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-120" windowWidth="17805" windowHeight="757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CX112" i="1"/>
  <c r="FQ7" l="1"/>
  <c r="FU16"/>
  <c r="FU15"/>
  <c r="FU14"/>
  <c r="FU13"/>
  <c r="FU12"/>
  <c r="FU11"/>
  <c r="FU10"/>
  <c r="FU9"/>
  <c r="FU8"/>
  <c r="FU7"/>
  <c r="FS16"/>
  <c r="FS15"/>
  <c r="FS14"/>
  <c r="FS13"/>
  <c r="FS12"/>
  <c r="FS11"/>
  <c r="FS10"/>
  <c r="FS9"/>
  <c r="FS8"/>
  <c r="FS7"/>
  <c r="FQ8"/>
  <c r="FQ9"/>
  <c r="FQ10"/>
  <c r="FQ11"/>
  <c r="FQ12"/>
  <c r="FQ13"/>
  <c r="FQ14"/>
  <c r="FQ15"/>
  <c r="FQ16"/>
  <c r="FM16"/>
  <c r="FK16"/>
  <c r="FI16"/>
  <c r="FH16"/>
  <c r="FM15"/>
  <c r="FK15"/>
  <c r="FI15"/>
  <c r="FH15"/>
  <c r="FM14"/>
  <c r="FK14"/>
  <c r="FI14"/>
  <c r="FH14"/>
  <c r="FM13"/>
  <c r="FK13"/>
  <c r="FI13"/>
  <c r="FH13"/>
  <c r="FM12"/>
  <c r="FK12"/>
  <c r="FI12"/>
  <c r="FH12"/>
  <c r="FM11"/>
  <c r="FK11"/>
  <c r="FI11"/>
  <c r="FH11"/>
  <c r="FM10"/>
  <c r="FK10"/>
  <c r="FI10"/>
  <c r="FH10"/>
  <c r="FM9"/>
  <c r="FK9"/>
  <c r="FI9"/>
  <c r="FH9"/>
  <c r="FM8"/>
  <c r="FK8"/>
  <c r="FI8"/>
  <c r="FH8"/>
  <c r="FM7"/>
  <c r="FK7"/>
  <c r="FI7"/>
  <c r="FH7"/>
  <c r="GI4"/>
  <c r="GH4"/>
  <c r="GG4"/>
  <c r="GF4"/>
  <c r="GE4"/>
  <c r="GD4"/>
  <c r="GC4"/>
  <c r="GB4"/>
  <c r="GA4"/>
  <c r="FZ4"/>
  <c r="CX117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H422" s="1"/>
  <c r="A438"/>
  <c r="I36"/>
  <c r="I372" s="1"/>
  <c r="I422" s="1"/>
  <c r="J36"/>
  <c r="E463" s="1"/>
  <c r="K36"/>
  <c r="E465" s="1"/>
  <c r="L36"/>
  <c r="E467" s="1"/>
  <c r="M36"/>
  <c r="E469" s="1"/>
  <c r="N36"/>
  <c r="E471" s="1"/>
  <c r="O36"/>
  <c r="O372" s="1"/>
  <c r="P36"/>
  <c r="P372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AD372" s="1"/>
  <c r="AD422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J372"/>
  <c r="N372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EK20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P198"/>
  <c r="FU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EK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EK19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2"/>
  <c r="CX186"/>
  <c r="CZ186"/>
  <c r="DJ186"/>
  <c r="DN186"/>
  <c r="DO186"/>
  <c r="DP186"/>
  <c r="DQ186"/>
  <c r="FA186" s="1"/>
  <c r="DR186"/>
  <c r="DS186"/>
  <c r="DT186"/>
  <c r="FD186" s="1"/>
  <c r="DU186"/>
  <c r="DV186"/>
  <c r="DW186"/>
  <c r="DX186"/>
  <c r="DY186"/>
  <c r="FI186" s="1"/>
  <c r="DZ186"/>
  <c r="EA186"/>
  <c r="FK186" s="1"/>
  <c r="EB186"/>
  <c r="EC186"/>
  <c r="FM186" s="1"/>
  <c r="ED186"/>
  <c r="EE186"/>
  <c r="FO186" s="1"/>
  <c r="EF186"/>
  <c r="EG186"/>
  <c r="EH186"/>
  <c r="EI186"/>
  <c r="EJ186"/>
  <c r="DD186"/>
  <c r="BA186"/>
  <c r="CM186"/>
  <c r="CL186"/>
  <c r="CK186"/>
  <c r="AY186"/>
  <c r="B186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4"/>
  <c r="CX184"/>
  <c r="CZ184"/>
  <c r="DF184"/>
  <c r="DL184"/>
  <c r="DT184"/>
  <c r="EA184"/>
  <c r="EI184"/>
  <c r="FS184" s="1"/>
  <c r="DD184"/>
  <c r="BA184"/>
  <c r="CM184"/>
  <c r="CL184"/>
  <c r="CK184"/>
  <c r="AY184"/>
  <c r="B179"/>
  <c r="CX183"/>
  <c r="CZ183"/>
  <c r="DH183"/>
  <c r="DL183"/>
  <c r="DP183"/>
  <c r="EZ183" s="1"/>
  <c r="DR183"/>
  <c r="DT183"/>
  <c r="DZ183"/>
  <c r="EF183"/>
  <c r="EH183"/>
  <c r="EJ183"/>
  <c r="DD183"/>
  <c r="DC183" s="1"/>
  <c r="DE183"/>
  <c r="BA183"/>
  <c r="CM183" s="1"/>
  <c r="CL183"/>
  <c r="CK183"/>
  <c r="AY183"/>
  <c r="B178"/>
  <c r="CX182"/>
  <c r="CZ182"/>
  <c r="DF182"/>
  <c r="DG182"/>
  <c r="DH182"/>
  <c r="DI182"/>
  <c r="ES182" s="1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80"/>
  <c r="CX181"/>
  <c r="CZ181"/>
  <c r="DO181"/>
  <c r="DQ181"/>
  <c r="DS181"/>
  <c r="DU181"/>
  <c r="DW181"/>
  <c r="DY181"/>
  <c r="EA181"/>
  <c r="EC181"/>
  <c r="EE181"/>
  <c r="FO181" s="1"/>
  <c r="EG181"/>
  <c r="EI181"/>
  <c r="DD181"/>
  <c r="DE181"/>
  <c r="DC181"/>
  <c r="BA181"/>
  <c r="CM181" s="1"/>
  <c r="CL181"/>
  <c r="CK181"/>
  <c r="AY181"/>
  <c r="B185"/>
  <c r="CX180"/>
  <c r="CZ180"/>
  <c r="DF180"/>
  <c r="DH180"/>
  <c r="DJ180"/>
  <c r="DK180"/>
  <c r="DN180"/>
  <c r="DP180"/>
  <c r="DQ180"/>
  <c r="FA180" s="1"/>
  <c r="DR180"/>
  <c r="DS180"/>
  <c r="DU180"/>
  <c r="DV180"/>
  <c r="DX180"/>
  <c r="FH180" s="1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1"/>
  <c r="CX179"/>
  <c r="CZ179"/>
  <c r="DP179"/>
  <c r="DR179"/>
  <c r="EF179"/>
  <c r="EH179"/>
  <c r="DD179"/>
  <c r="DC179" s="1"/>
  <c r="BA179"/>
  <c r="CM179"/>
  <c r="CL179"/>
  <c r="CK179"/>
  <c r="AY179"/>
  <c r="B187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FH178" s="1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3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0"/>
  <c r="CZ176"/>
  <c r="DK176"/>
  <c r="DM176"/>
  <c r="DS176"/>
  <c r="DU176"/>
  <c r="EA176"/>
  <c r="EC176"/>
  <c r="FM176" s="1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69"/>
  <c r="CZ174"/>
  <c r="DG174"/>
  <c r="DI174"/>
  <c r="ES174" s="1"/>
  <c r="DK174"/>
  <c r="DM174"/>
  <c r="EW174" s="1"/>
  <c r="DO174"/>
  <c r="DQ174"/>
  <c r="DR174"/>
  <c r="DS174"/>
  <c r="FC174" s="1"/>
  <c r="DT174"/>
  <c r="FD174" s="1"/>
  <c r="DU174"/>
  <c r="DV174"/>
  <c r="DW174"/>
  <c r="DX174"/>
  <c r="DY174"/>
  <c r="FI174" s="1"/>
  <c r="DZ174"/>
  <c r="EA174"/>
  <c r="FK174" s="1"/>
  <c r="EB174"/>
  <c r="FL174" s="1"/>
  <c r="EC174"/>
  <c r="FM174" s="1"/>
  <c r="ED174"/>
  <c r="EE174"/>
  <c r="FO174" s="1"/>
  <c r="EF174"/>
  <c r="EG174"/>
  <c r="EH174"/>
  <c r="EI174"/>
  <c r="EJ174"/>
  <c r="DD174"/>
  <c r="DE174" s="1"/>
  <c r="DC174"/>
  <c r="BA174"/>
  <c r="CM174" s="1"/>
  <c r="CL174"/>
  <c r="CK174"/>
  <c r="AY174"/>
  <c r="B177"/>
  <c r="CZ173"/>
  <c r="DF173"/>
  <c r="DG173"/>
  <c r="DH173"/>
  <c r="DI173"/>
  <c r="ES173" s="1"/>
  <c r="DJ173"/>
  <c r="DK173"/>
  <c r="DL173"/>
  <c r="DM173"/>
  <c r="EW173" s="1"/>
  <c r="DN173"/>
  <c r="DO173"/>
  <c r="DP173"/>
  <c r="DQ173"/>
  <c r="DR173"/>
  <c r="DS173"/>
  <c r="DT173"/>
  <c r="FD173" s="1"/>
  <c r="DU173"/>
  <c r="DV173"/>
  <c r="DW173"/>
  <c r="DX173"/>
  <c r="FH173" s="1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68"/>
  <c r="CZ172"/>
  <c r="DD172"/>
  <c r="DE172" s="1"/>
  <c r="DC172"/>
  <c r="BA172"/>
  <c r="CM172" s="1"/>
  <c r="CL172"/>
  <c r="CK172"/>
  <c r="AY172"/>
  <c r="B171"/>
  <c r="CX171"/>
  <c r="CZ171"/>
  <c r="DF171"/>
  <c r="DH171"/>
  <c r="DJ171"/>
  <c r="DL171"/>
  <c r="DN171"/>
  <c r="DP171"/>
  <c r="DR171"/>
  <c r="DT171"/>
  <c r="FD171" s="1"/>
  <c r="DV171"/>
  <c r="DX171"/>
  <c r="DZ171"/>
  <c r="EB171"/>
  <c r="ED171"/>
  <c r="EF171"/>
  <c r="EH171"/>
  <c r="EJ171"/>
  <c r="DD171"/>
  <c r="BA171"/>
  <c r="CM171"/>
  <c r="CL171"/>
  <c r="CK171"/>
  <c r="AY171"/>
  <c r="B172"/>
  <c r="CX170"/>
  <c r="CZ170"/>
  <c r="DF170"/>
  <c r="DG170"/>
  <c r="DH170"/>
  <c r="DI170"/>
  <c r="ES170" s="1"/>
  <c r="DJ170"/>
  <c r="DK170"/>
  <c r="DL170"/>
  <c r="DM170"/>
  <c r="DN170"/>
  <c r="DO170"/>
  <c r="DP170"/>
  <c r="DQ170"/>
  <c r="FA170" s="1"/>
  <c r="DR170"/>
  <c r="DS170"/>
  <c r="DT170"/>
  <c r="FD170" s="1"/>
  <c r="DU170"/>
  <c r="DV170"/>
  <c r="DW170"/>
  <c r="DX170"/>
  <c r="DY170"/>
  <c r="FI170" s="1"/>
  <c r="DZ170"/>
  <c r="EA170"/>
  <c r="FK170" s="1"/>
  <c r="EB170"/>
  <c r="EC170"/>
  <c r="FM170" s="1"/>
  <c r="ED170"/>
  <c r="EE170"/>
  <c r="FO170" s="1"/>
  <c r="EF170"/>
  <c r="EG170"/>
  <c r="EH170"/>
  <c r="EI170"/>
  <c r="FS170" s="1"/>
  <c r="EJ170"/>
  <c r="DD170"/>
  <c r="DC170" s="1"/>
  <c r="DE170"/>
  <c r="BA170"/>
  <c r="CM170"/>
  <c r="CL170"/>
  <c r="CK170"/>
  <c r="AY170"/>
  <c r="B173"/>
  <c r="CZ169"/>
  <c r="DI169" s="1"/>
  <c r="ES169" s="1"/>
  <c r="DG169"/>
  <c r="DK169"/>
  <c r="DO169"/>
  <c r="DS169"/>
  <c r="DW169"/>
  <c r="EA169"/>
  <c r="FK169" s="1"/>
  <c r="EE169"/>
  <c r="EI169"/>
  <c r="DD169"/>
  <c r="DE169" s="1"/>
  <c r="DC169"/>
  <c r="BA169"/>
  <c r="CM169"/>
  <c r="CL169"/>
  <c r="CK169"/>
  <c r="AY169"/>
  <c r="B176"/>
  <c r="CX168"/>
  <c r="CZ168"/>
  <c r="DZ168" s="1"/>
  <c r="DJ168"/>
  <c r="DP168"/>
  <c r="EF168"/>
  <c r="DD168"/>
  <c r="DC168" s="1"/>
  <c r="DE168"/>
  <c r="CL168"/>
  <c r="CK168"/>
  <c r="AY168"/>
  <c r="B175"/>
  <c r="CX167"/>
  <c r="CZ167"/>
  <c r="DZ167" s="1"/>
  <c r="DJ167"/>
  <c r="DK167"/>
  <c r="DP167"/>
  <c r="DU167"/>
  <c r="EA167"/>
  <c r="FK167" s="1"/>
  <c r="EF167"/>
  <c r="DD167"/>
  <c r="DE167" s="1"/>
  <c r="DC167"/>
  <c r="BA167"/>
  <c r="CM167"/>
  <c r="CL167"/>
  <c r="CK167"/>
  <c r="AY167"/>
  <c r="B163"/>
  <c r="CW166"/>
  <c r="CX166"/>
  <c r="CZ166"/>
  <c r="DF166"/>
  <c r="DK166"/>
  <c r="DP166"/>
  <c r="DQ166"/>
  <c r="FA166" s="1"/>
  <c r="DV166"/>
  <c r="EA166"/>
  <c r="EF166"/>
  <c r="EG166"/>
  <c r="DD166"/>
  <c r="BA166"/>
  <c r="CM166"/>
  <c r="CL166"/>
  <c r="CK166"/>
  <c r="AY166"/>
  <c r="B161"/>
  <c r="CZ165"/>
  <c r="DF165"/>
  <c r="DG165"/>
  <c r="DH165"/>
  <c r="DI165"/>
  <c r="ES165" s="1"/>
  <c r="DJ165"/>
  <c r="DK165"/>
  <c r="DL165"/>
  <c r="DM165"/>
  <c r="EW165" s="1"/>
  <c r="DN165"/>
  <c r="DO165"/>
  <c r="DP165"/>
  <c r="DQ165"/>
  <c r="FA165" s="1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62"/>
  <c r="CZ164"/>
  <c r="DJ164" s="1"/>
  <c r="DF164"/>
  <c r="DG164"/>
  <c r="DH164"/>
  <c r="DI164"/>
  <c r="ES164" s="1"/>
  <c r="DK164"/>
  <c r="DL164"/>
  <c r="DN164"/>
  <c r="DO164"/>
  <c r="DP164"/>
  <c r="DQ164"/>
  <c r="FA164" s="1"/>
  <c r="DS164"/>
  <c r="DT164"/>
  <c r="FD164" s="1"/>
  <c r="DV164"/>
  <c r="DW164"/>
  <c r="DX164"/>
  <c r="FH164" s="1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5"/>
  <c r="CZ163"/>
  <c r="DF163"/>
  <c r="DG163"/>
  <c r="DH163"/>
  <c r="DI163"/>
  <c r="ES163" s="1"/>
  <c r="DJ163"/>
  <c r="DK163"/>
  <c r="DL163"/>
  <c r="DM163"/>
  <c r="DN163"/>
  <c r="DO163"/>
  <c r="DP163"/>
  <c r="DQ163"/>
  <c r="FA163" s="1"/>
  <c r="DR163"/>
  <c r="DS163"/>
  <c r="DT163"/>
  <c r="FD163" s="1"/>
  <c r="DU163"/>
  <c r="DV163"/>
  <c r="DW163"/>
  <c r="FG163" s="1"/>
  <c r="DX163"/>
  <c r="DY163"/>
  <c r="FI163" s="1"/>
  <c r="DZ163"/>
  <c r="EA163"/>
  <c r="FK163" s="1"/>
  <c r="EB163"/>
  <c r="EC163"/>
  <c r="FM163" s="1"/>
  <c r="ED163"/>
  <c r="EE163"/>
  <c r="FO163" s="1"/>
  <c r="EF163"/>
  <c r="EG163"/>
  <c r="EH163"/>
  <c r="EI163"/>
  <c r="FS163" s="1"/>
  <c r="EJ163"/>
  <c r="DD163"/>
  <c r="BA163"/>
  <c r="CM163"/>
  <c r="CL163"/>
  <c r="CK163"/>
  <c r="AY163"/>
  <c r="B159"/>
  <c r="CZ162"/>
  <c r="DF162"/>
  <c r="DG162"/>
  <c r="DH162"/>
  <c r="DI162"/>
  <c r="ES162" s="1"/>
  <c r="DJ162"/>
  <c r="DK162"/>
  <c r="DL162"/>
  <c r="DM162"/>
  <c r="EW162" s="1"/>
  <c r="DN162"/>
  <c r="DO162"/>
  <c r="DP162"/>
  <c r="DQ162"/>
  <c r="DR162"/>
  <c r="DS162"/>
  <c r="DT162"/>
  <c r="FD162" s="1"/>
  <c r="DU162"/>
  <c r="DV162"/>
  <c r="DW162"/>
  <c r="DX162"/>
  <c r="FH162" s="1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7"/>
  <c r="CX161"/>
  <c r="CZ161"/>
  <c r="DP161"/>
  <c r="DV161"/>
  <c r="DD161"/>
  <c r="BA161"/>
  <c r="CM161"/>
  <c r="CL161"/>
  <c r="CK161"/>
  <c r="AY161"/>
  <c r="B160"/>
  <c r="CW160"/>
  <c r="CX160"/>
  <c r="CZ160"/>
  <c r="EB160"/>
  <c r="ED160"/>
  <c r="DD160"/>
  <c r="DC160" s="1"/>
  <c r="DE160"/>
  <c r="BA160"/>
  <c r="CM160"/>
  <c r="CL160"/>
  <c r="CK160"/>
  <c r="AY160"/>
  <c r="B166"/>
  <c r="CX159"/>
  <c r="DH159" s="1"/>
  <c r="CZ159"/>
  <c r="DG159"/>
  <c r="DJ159"/>
  <c r="DN159"/>
  <c r="DO159"/>
  <c r="DP159"/>
  <c r="DQ159"/>
  <c r="FA159" s="1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58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FD158" s="1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4"/>
  <c r="CZ157"/>
  <c r="DF157"/>
  <c r="DH157"/>
  <c r="DJ157"/>
  <c r="DL157"/>
  <c r="DN157"/>
  <c r="DP157"/>
  <c r="DR157"/>
  <c r="DT157"/>
  <c r="DV157"/>
  <c r="DX157"/>
  <c r="FH157" s="1"/>
  <c r="DZ157"/>
  <c r="EB157"/>
  <c r="ED157"/>
  <c r="EF157"/>
  <c r="EH157"/>
  <c r="EJ157"/>
  <c r="DD157"/>
  <c r="DC157" s="1"/>
  <c r="DE157"/>
  <c r="BA157"/>
  <c r="CM157" s="1"/>
  <c r="CL157"/>
  <c r="CK157"/>
  <c r="AY157"/>
  <c r="B153"/>
  <c r="CX156"/>
  <c r="DI156" s="1"/>
  <c r="ES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/>
  <c r="CL156"/>
  <c r="CK156"/>
  <c r="AY156"/>
  <c r="B155"/>
  <c r="CZ155"/>
  <c r="DK155" s="1"/>
  <c r="DG155"/>
  <c r="DO155"/>
  <c r="DW155"/>
  <c r="EE155"/>
  <c r="FO155" s="1"/>
  <c r="DD155"/>
  <c r="DE155"/>
  <c r="DC155"/>
  <c r="BA155"/>
  <c r="CM155" s="1"/>
  <c r="CL155"/>
  <c r="CK155"/>
  <c r="AY155"/>
  <c r="B151"/>
  <c r="CZ154"/>
  <c r="DG154" s="1"/>
  <c r="DF154"/>
  <c r="DH154"/>
  <c r="DJ154"/>
  <c r="DL154"/>
  <c r="DN154"/>
  <c r="DP154"/>
  <c r="DR154"/>
  <c r="DT154"/>
  <c r="FD154" s="1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2"/>
  <c r="CZ153"/>
  <c r="DG153"/>
  <c r="DI153"/>
  <c r="ES153" s="1"/>
  <c r="DK153"/>
  <c r="DM153"/>
  <c r="DO153"/>
  <c r="DQ153"/>
  <c r="FA153" s="1"/>
  <c r="DS153"/>
  <c r="DU153"/>
  <c r="DW153"/>
  <c r="DY153"/>
  <c r="EA153"/>
  <c r="EC153"/>
  <c r="FM153" s="1"/>
  <c r="EE153"/>
  <c r="EG153"/>
  <c r="EI153"/>
  <c r="DD153"/>
  <c r="DE153"/>
  <c r="DC153"/>
  <c r="BA153"/>
  <c r="CM153" s="1"/>
  <c r="CL153"/>
  <c r="CK153"/>
  <c r="AY153"/>
  <c r="B150"/>
  <c r="CZ152"/>
  <c r="DG152" s="1"/>
  <c r="DF152"/>
  <c r="DH152"/>
  <c r="DJ152"/>
  <c r="DL152"/>
  <c r="DN152"/>
  <c r="DP152"/>
  <c r="DR152"/>
  <c r="DT152"/>
  <c r="DV152"/>
  <c r="DX152"/>
  <c r="FH152" s="1"/>
  <c r="DZ152"/>
  <c r="EB152"/>
  <c r="ED152"/>
  <c r="EF152"/>
  <c r="EH152"/>
  <c r="EJ152"/>
  <c r="DD152"/>
  <c r="DC152" s="1"/>
  <c r="DE152"/>
  <c r="BA152"/>
  <c r="CM152"/>
  <c r="CL152"/>
  <c r="CK152"/>
  <c r="AY152"/>
  <c r="B149"/>
  <c r="CZ151"/>
  <c r="DK151" s="1"/>
  <c r="DG151"/>
  <c r="DO151"/>
  <c r="DW151"/>
  <c r="EE151"/>
  <c r="DD151"/>
  <c r="DE151"/>
  <c r="DC151"/>
  <c r="BA151"/>
  <c r="CM151" s="1"/>
  <c r="CL151"/>
  <c r="CK151"/>
  <c r="AY151"/>
  <c r="B148"/>
  <c r="CZ150"/>
  <c r="DG150" s="1"/>
  <c r="DF150"/>
  <c r="DH150"/>
  <c r="DJ150"/>
  <c r="DL150"/>
  <c r="DN150"/>
  <c r="DP150"/>
  <c r="DR150"/>
  <c r="DT150"/>
  <c r="FD150" s="1"/>
  <c r="DV150"/>
  <c r="DX150"/>
  <c r="DZ150"/>
  <c r="EB150"/>
  <c r="FL150" s="1"/>
  <c r="ED150"/>
  <c r="EF150"/>
  <c r="EH150"/>
  <c r="EJ150"/>
  <c r="DD150"/>
  <c r="DC150" s="1"/>
  <c r="DE150"/>
  <c r="BA150"/>
  <c r="CM150"/>
  <c r="CL150"/>
  <c r="CK150"/>
  <c r="AY150"/>
  <c r="B157"/>
  <c r="CW149"/>
  <c r="CX149"/>
  <c r="CZ149"/>
  <c r="DF149"/>
  <c r="DH149"/>
  <c r="DJ149"/>
  <c r="DL149"/>
  <c r="DN149"/>
  <c r="DP149"/>
  <c r="DR149"/>
  <c r="DT149"/>
  <c r="DV149"/>
  <c r="DX149"/>
  <c r="DZ149"/>
  <c r="EB149"/>
  <c r="ED149"/>
  <c r="EF149"/>
  <c r="EH149"/>
  <c r="EJ149"/>
  <c r="DD149"/>
  <c r="CM149"/>
  <c r="CL149"/>
  <c r="CK149"/>
  <c r="AY149"/>
  <c r="B156"/>
  <c r="CZ148"/>
  <c r="DF148"/>
  <c r="DJ148"/>
  <c r="DN148"/>
  <c r="DR148"/>
  <c r="DV148"/>
  <c r="DZ148"/>
  <c r="ED148"/>
  <c r="EH148"/>
  <c r="DD148"/>
  <c r="CL148"/>
  <c r="CK148"/>
  <c r="AY148"/>
  <c r="B154"/>
  <c r="CZ147"/>
  <c r="DF147"/>
  <c r="DH147"/>
  <c r="DJ147"/>
  <c r="DL147"/>
  <c r="DN147"/>
  <c r="DP147"/>
  <c r="DR147"/>
  <c r="DT147"/>
  <c r="FD147" s="1"/>
  <c r="DV147"/>
  <c r="DX147"/>
  <c r="DZ147"/>
  <c r="EB147"/>
  <c r="FL147" s="1"/>
  <c r="ED147"/>
  <c r="EF147"/>
  <c r="EH147"/>
  <c r="EJ147"/>
  <c r="DD147"/>
  <c r="BA147"/>
  <c r="CM147"/>
  <c r="CL147"/>
  <c r="CK147"/>
  <c r="AY147"/>
  <c r="B140"/>
  <c r="CX146"/>
  <c r="CZ146"/>
  <c r="DG146" s="1"/>
  <c r="DF146"/>
  <c r="DH146"/>
  <c r="DJ146"/>
  <c r="DL146"/>
  <c r="DN146"/>
  <c r="DP146"/>
  <c r="DR146"/>
  <c r="DT146"/>
  <c r="FD146" s="1"/>
  <c r="DV146"/>
  <c r="DX146"/>
  <c r="DZ146"/>
  <c r="EB146"/>
  <c r="ED146"/>
  <c r="EF146"/>
  <c r="EH146"/>
  <c r="EJ146"/>
  <c r="DD146"/>
  <c r="DC146" s="1"/>
  <c r="DE146"/>
  <c r="BA146"/>
  <c r="CM146"/>
  <c r="CL146"/>
  <c r="CK146"/>
  <c r="AY146"/>
  <c r="B141"/>
  <c r="CX145"/>
  <c r="CZ145"/>
  <c r="DI145"/>
  <c r="ES145" s="1"/>
  <c r="DM145"/>
  <c r="EW145" s="1"/>
  <c r="DN145"/>
  <c r="DO145"/>
  <c r="DP145"/>
  <c r="DQ145"/>
  <c r="FA145" s="1"/>
  <c r="DR145"/>
  <c r="DS145"/>
  <c r="DT145"/>
  <c r="FD145" s="1"/>
  <c r="DU145"/>
  <c r="DV145"/>
  <c r="DW145"/>
  <c r="DX145"/>
  <c r="FH145" s="1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44"/>
  <c r="CX144"/>
  <c r="CZ144"/>
  <c r="DG144"/>
  <c r="DK144"/>
  <c r="DO144"/>
  <c r="DS144"/>
  <c r="DW144"/>
  <c r="FG144" s="1"/>
  <c r="EA144"/>
  <c r="EE144"/>
  <c r="EI144"/>
  <c r="DD144"/>
  <c r="DE144"/>
  <c r="DC144"/>
  <c r="BA144"/>
  <c r="CM144" s="1"/>
  <c r="CL144"/>
  <c r="CK144"/>
  <c r="AY144"/>
  <c r="B142"/>
  <c r="CZ143"/>
  <c r="DG143" s="1"/>
  <c r="DF143"/>
  <c r="DH143"/>
  <c r="DJ143"/>
  <c r="DL143"/>
  <c r="DN143"/>
  <c r="DP143"/>
  <c r="DR143"/>
  <c r="DT143"/>
  <c r="FD143" s="1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43"/>
  <c r="CX142"/>
  <c r="CZ142"/>
  <c r="DI142"/>
  <c r="ES142" s="1"/>
  <c r="DM142"/>
  <c r="DN142"/>
  <c r="DO142"/>
  <c r="DP142"/>
  <c r="DQ142"/>
  <c r="FA142" s="1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E142"/>
  <c r="DC142"/>
  <c r="BA142"/>
  <c r="CM142"/>
  <c r="CL142"/>
  <c r="CK142"/>
  <c r="AY142"/>
  <c r="B145"/>
  <c r="CW141"/>
  <c r="CX141"/>
  <c r="CZ141"/>
  <c r="DI141"/>
  <c r="ES141" s="1"/>
  <c r="DM141"/>
  <c r="EW141" s="1"/>
  <c r="DO141"/>
  <c r="DQ141"/>
  <c r="DS141"/>
  <c r="DU141"/>
  <c r="DW141"/>
  <c r="DY141"/>
  <c r="FI141" s="1"/>
  <c r="EA141"/>
  <c r="EC141"/>
  <c r="EE141"/>
  <c r="EG141"/>
  <c r="EI141"/>
  <c r="DD141"/>
  <c r="DE141"/>
  <c r="DC141"/>
  <c r="BA141"/>
  <c r="CM141"/>
  <c r="CL141"/>
  <c r="CK141"/>
  <c r="AY141"/>
  <c r="B147"/>
  <c r="CW140"/>
  <c r="CX140"/>
  <c r="CZ140"/>
  <c r="DO140"/>
  <c r="DQ140"/>
  <c r="FA140" s="1"/>
  <c r="DS140"/>
  <c r="DU140"/>
  <c r="DW140"/>
  <c r="DY140"/>
  <c r="EA140"/>
  <c r="EC140"/>
  <c r="EE140"/>
  <c r="FO140" s="1"/>
  <c r="EG140"/>
  <c r="EI140"/>
  <c r="DD140"/>
  <c r="DE140"/>
  <c r="DC140"/>
  <c r="BA140"/>
  <c r="CM140"/>
  <c r="CL140"/>
  <c r="CK140"/>
  <c r="AY140"/>
  <c r="B138"/>
  <c r="CZ139"/>
  <c r="DJ139" s="1"/>
  <c r="DF139"/>
  <c r="DG139"/>
  <c r="DH139"/>
  <c r="DI139"/>
  <c r="ES139" s="1"/>
  <c r="DK139"/>
  <c r="DL139"/>
  <c r="DN139"/>
  <c r="DO139"/>
  <c r="DP139"/>
  <c r="DQ139"/>
  <c r="DS139"/>
  <c r="DT139"/>
  <c r="FD139" s="1"/>
  <c r="DV139"/>
  <c r="DW139"/>
  <c r="DX139"/>
  <c r="DY139"/>
  <c r="EA139"/>
  <c r="EB139"/>
  <c r="ED139"/>
  <c r="EE139"/>
  <c r="FO139" s="1"/>
  <c r="EF139"/>
  <c r="EG139"/>
  <c r="EI139"/>
  <c r="EJ139"/>
  <c r="DD139"/>
  <c r="DE139" s="1"/>
  <c r="DC139"/>
  <c r="BA139"/>
  <c r="CM139"/>
  <c r="CL139"/>
  <c r="CK139"/>
  <c r="AY139"/>
  <c r="B139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6"/>
  <c r="CZ137"/>
  <c r="DF137"/>
  <c r="DG137"/>
  <c r="DH137"/>
  <c r="DI137"/>
  <c r="ES137" s="1"/>
  <c r="DJ137"/>
  <c r="DK137"/>
  <c r="DL137"/>
  <c r="DM137"/>
  <c r="DN137"/>
  <c r="DO137"/>
  <c r="DP137"/>
  <c r="DQ137"/>
  <c r="FA137" s="1"/>
  <c r="DR137"/>
  <c r="DS137"/>
  <c r="DT137"/>
  <c r="FD137" s="1"/>
  <c r="DU137"/>
  <c r="DV137"/>
  <c r="DW137"/>
  <c r="DX137"/>
  <c r="DY137"/>
  <c r="FI137" s="1"/>
  <c r="DZ137"/>
  <c r="EA137"/>
  <c r="FK137" s="1"/>
  <c r="EB137"/>
  <c r="EC137"/>
  <c r="FM137" s="1"/>
  <c r="ED137"/>
  <c r="EE137"/>
  <c r="FO137" s="1"/>
  <c r="EF137"/>
  <c r="EG137"/>
  <c r="EH137"/>
  <c r="EI137"/>
  <c r="FS137" s="1"/>
  <c r="EJ137"/>
  <c r="DD137"/>
  <c r="DE137"/>
  <c r="DC137"/>
  <c r="BA137"/>
  <c r="CM137" s="1"/>
  <c r="CL137"/>
  <c r="CK137"/>
  <c r="AY137"/>
  <c r="B133"/>
  <c r="CZ136"/>
  <c r="DG136" s="1"/>
  <c r="DF136"/>
  <c r="DH136"/>
  <c r="DJ136"/>
  <c r="DL136"/>
  <c r="DN136"/>
  <c r="DP136"/>
  <c r="DR136"/>
  <c r="DT136"/>
  <c r="DV136"/>
  <c r="DX136"/>
  <c r="FH136" s="1"/>
  <c r="DZ136"/>
  <c r="EB136"/>
  <c r="ED136"/>
  <c r="EF136"/>
  <c r="EH136"/>
  <c r="EJ136"/>
  <c r="DD136"/>
  <c r="DC136" s="1"/>
  <c r="DE136"/>
  <c r="BA136"/>
  <c r="CM136"/>
  <c r="CL136"/>
  <c r="CK136"/>
  <c r="AY136"/>
  <c r="B134"/>
  <c r="CW135"/>
  <c r="CX135"/>
  <c r="CZ135"/>
  <c r="DF135"/>
  <c r="DH135"/>
  <c r="DJ135"/>
  <c r="DL135"/>
  <c r="DN135"/>
  <c r="DP135"/>
  <c r="DR135"/>
  <c r="DT135"/>
  <c r="FD135" s="1"/>
  <c r="DV135"/>
  <c r="DX135"/>
  <c r="DZ135"/>
  <c r="EB135"/>
  <c r="ED135"/>
  <c r="EF135"/>
  <c r="EH135"/>
  <c r="EJ135"/>
  <c r="DD135"/>
  <c r="DC135" s="1"/>
  <c r="BA135"/>
  <c r="CM135"/>
  <c r="CL135"/>
  <c r="CK135"/>
  <c r="AY135"/>
  <c r="B129"/>
  <c r="CW134"/>
  <c r="CX134"/>
  <c r="CZ134"/>
  <c r="DF134"/>
  <c r="DJ134"/>
  <c r="DN134"/>
  <c r="DR134"/>
  <c r="DV134"/>
  <c r="DZ134"/>
  <c r="ED134"/>
  <c r="EH134"/>
  <c r="DD134"/>
  <c r="DC134" s="1"/>
  <c r="BA134"/>
  <c r="CM134"/>
  <c r="CL134"/>
  <c r="CK134"/>
  <c r="AY134"/>
  <c r="B135"/>
  <c r="CZ133"/>
  <c r="DG133" s="1"/>
  <c r="DD133"/>
  <c r="DE133"/>
  <c r="DC133"/>
  <c r="BA133"/>
  <c r="CM133" s="1"/>
  <c r="CL133"/>
  <c r="CK133"/>
  <c r="AY133"/>
  <c r="B131"/>
  <c r="CX132"/>
  <c r="CZ132"/>
  <c r="DF132"/>
  <c r="EP132" s="1"/>
  <c r="DH132"/>
  <c r="DJ132"/>
  <c r="DL132"/>
  <c r="DN132"/>
  <c r="DP132"/>
  <c r="DR132"/>
  <c r="DT132"/>
  <c r="FD132" s="1"/>
  <c r="DV132"/>
  <c r="DX132"/>
  <c r="DZ132"/>
  <c r="EB132"/>
  <c r="ED132"/>
  <c r="EF132"/>
  <c r="EH132"/>
  <c r="EJ132"/>
  <c r="DD132"/>
  <c r="BA132"/>
  <c r="CM132" s="1"/>
  <c r="CL132"/>
  <c r="CK132"/>
  <c r="AY132"/>
  <c r="B136"/>
  <c r="CZ131"/>
  <c r="DF131"/>
  <c r="EP131" s="1"/>
  <c r="DG131"/>
  <c r="DH131"/>
  <c r="DI131"/>
  <c r="ES131" s="1"/>
  <c r="DJ131"/>
  <c r="DK131"/>
  <c r="DL131"/>
  <c r="DM131"/>
  <c r="EW131" s="1"/>
  <c r="DN131"/>
  <c r="DO131"/>
  <c r="DP131"/>
  <c r="DQ131"/>
  <c r="FA131" s="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/>
  <c r="DC131"/>
  <c r="BA131"/>
  <c r="CM131"/>
  <c r="CL131"/>
  <c r="CK131"/>
  <c r="AY131"/>
  <c r="B128"/>
  <c r="CX130"/>
  <c r="DG130" s="1"/>
  <c r="CZ130"/>
  <c r="DI130"/>
  <c r="ES130" s="1"/>
  <c r="DM130"/>
  <c r="EW130" s="1"/>
  <c r="DQ130"/>
  <c r="DU130"/>
  <c r="DY130"/>
  <c r="EC130"/>
  <c r="EG130"/>
  <c r="DD130"/>
  <c r="DE130"/>
  <c r="DC130"/>
  <c r="BA130"/>
  <c r="CM130" s="1"/>
  <c r="CL130"/>
  <c r="CK130"/>
  <c r="AY130"/>
  <c r="B130"/>
  <c r="CX129"/>
  <c r="CZ129"/>
  <c r="DH129" s="1"/>
  <c r="DF129"/>
  <c r="DJ129"/>
  <c r="DN129"/>
  <c r="DR129"/>
  <c r="DV129"/>
  <c r="DZ129"/>
  <c r="ED129"/>
  <c r="EH129"/>
  <c r="DD129"/>
  <c r="BA129"/>
  <c r="CM129" s="1"/>
  <c r="CL129"/>
  <c r="CK129"/>
  <c r="AY129"/>
  <c r="B132"/>
  <c r="CW128"/>
  <c r="CX128"/>
  <c r="CZ128"/>
  <c r="DH128"/>
  <c r="DL128"/>
  <c r="DP128"/>
  <c r="DT128"/>
  <c r="DX128"/>
  <c r="EB128"/>
  <c r="EF128"/>
  <c r="EJ128"/>
  <c r="DD128"/>
  <c r="CL128"/>
  <c r="CK128"/>
  <c r="AY128"/>
  <c r="B137"/>
  <c r="CX127"/>
  <c r="CZ127"/>
  <c r="DD127"/>
  <c r="DE127"/>
  <c r="DC127"/>
  <c r="BA127"/>
  <c r="CM127" s="1"/>
  <c r="CL127"/>
  <c r="CK127"/>
  <c r="AY127"/>
  <c r="B118"/>
  <c r="CX126"/>
  <c r="CZ126"/>
  <c r="DF126"/>
  <c r="DH126"/>
  <c r="DJ126"/>
  <c r="DL126"/>
  <c r="DN126"/>
  <c r="DP126"/>
  <c r="DR126"/>
  <c r="DT126"/>
  <c r="FD126" s="1"/>
  <c r="DV126"/>
  <c r="DX126"/>
  <c r="DZ126"/>
  <c r="EB126"/>
  <c r="ED126"/>
  <c r="EF126"/>
  <c r="EH126"/>
  <c r="EJ126"/>
  <c r="DD126"/>
  <c r="BA126"/>
  <c r="CM126" s="1"/>
  <c r="CL126"/>
  <c r="CK126"/>
  <c r="AY126"/>
  <c r="B121"/>
  <c r="CX125"/>
  <c r="CZ125"/>
  <c r="DG125" s="1"/>
  <c r="DF125"/>
  <c r="DH125"/>
  <c r="DJ125"/>
  <c r="DL125"/>
  <c r="DN125"/>
  <c r="DP125"/>
  <c r="DR125"/>
  <c r="DT125"/>
  <c r="FD125" s="1"/>
  <c r="DV125"/>
  <c r="DX125"/>
  <c r="DZ125"/>
  <c r="EB125"/>
  <c r="ED125"/>
  <c r="EF125"/>
  <c r="EH125"/>
  <c r="EJ125"/>
  <c r="DD125"/>
  <c r="DC125" s="1"/>
  <c r="BA125"/>
  <c r="CM125"/>
  <c r="CL125"/>
  <c r="CK125"/>
  <c r="AY125"/>
  <c r="B122"/>
  <c r="CX124"/>
  <c r="DI124" s="1"/>
  <c r="ES124" s="1"/>
  <c r="CZ124"/>
  <c r="DN124"/>
  <c r="DO124"/>
  <c r="DP124"/>
  <c r="DQ124"/>
  <c r="DR124"/>
  <c r="DS124"/>
  <c r="DT124"/>
  <c r="FD124" s="1"/>
  <c r="DU124"/>
  <c r="DV124"/>
  <c r="DW124"/>
  <c r="DX124"/>
  <c r="DY124"/>
  <c r="FI124" s="1"/>
  <c r="DZ124"/>
  <c r="EA124"/>
  <c r="FK124" s="1"/>
  <c r="EB124"/>
  <c r="EC124"/>
  <c r="FM124" s="1"/>
  <c r="ED124"/>
  <c r="EE124"/>
  <c r="FO124" s="1"/>
  <c r="EF124"/>
  <c r="EG124"/>
  <c r="EH124"/>
  <c r="EI124"/>
  <c r="FS124" s="1"/>
  <c r="EJ124"/>
  <c r="DD124"/>
  <c r="DE124"/>
  <c r="DC124"/>
  <c r="BA124"/>
  <c r="CM124"/>
  <c r="CL124"/>
  <c r="CK124"/>
  <c r="AY124"/>
  <c r="B126"/>
  <c r="CX123"/>
  <c r="CZ123"/>
  <c r="DD123"/>
  <c r="DE123"/>
  <c r="DC123"/>
  <c r="BA123"/>
  <c r="CM123" s="1"/>
  <c r="CL123"/>
  <c r="CK123"/>
  <c r="AY123"/>
  <c r="B125"/>
  <c r="CX122"/>
  <c r="CZ122"/>
  <c r="DF122"/>
  <c r="EP122" s="1"/>
  <c r="DH122"/>
  <c r="DJ122"/>
  <c r="DL122"/>
  <c r="DN122"/>
  <c r="DP122"/>
  <c r="DR122"/>
  <c r="DT122"/>
  <c r="DV122"/>
  <c r="DX122"/>
  <c r="FH122" s="1"/>
  <c r="DZ122"/>
  <c r="EB122"/>
  <c r="ED122"/>
  <c r="EF122"/>
  <c r="EH122"/>
  <c r="EJ122"/>
  <c r="DD122"/>
  <c r="BA122"/>
  <c r="CM122" s="1"/>
  <c r="CL122"/>
  <c r="CK122"/>
  <c r="AY122"/>
  <c r="B119"/>
  <c r="CW121"/>
  <c r="CX121"/>
  <c r="CZ121"/>
  <c r="DD121"/>
  <c r="BA121"/>
  <c r="CM121"/>
  <c r="CL121"/>
  <c r="CK121"/>
  <c r="AY121"/>
  <c r="B123"/>
  <c r="CZ120"/>
  <c r="DF120"/>
  <c r="DG120"/>
  <c r="DH120"/>
  <c r="DI120"/>
  <c r="ES120" s="1"/>
  <c r="DJ120"/>
  <c r="DK120"/>
  <c r="DL120"/>
  <c r="DM120"/>
  <c r="DN120"/>
  <c r="DO120"/>
  <c r="DP120"/>
  <c r="DQ120"/>
  <c r="DR120"/>
  <c r="DS120"/>
  <c r="DT120"/>
  <c r="DU120"/>
  <c r="DV120"/>
  <c r="DW120"/>
  <c r="DX120"/>
  <c r="DY120"/>
  <c r="DZ120"/>
  <c r="EA120"/>
  <c r="EB120"/>
  <c r="EC120"/>
  <c r="ED120"/>
  <c r="EE120"/>
  <c r="EF120"/>
  <c r="EG120"/>
  <c r="EH120"/>
  <c r="EI120"/>
  <c r="EJ120"/>
  <c r="DD120"/>
  <c r="DE120"/>
  <c r="DC120"/>
  <c r="BA120"/>
  <c r="CM120"/>
  <c r="CL120"/>
  <c r="CK120"/>
  <c r="AY120"/>
  <c r="B127"/>
  <c r="CW119"/>
  <c r="CX119"/>
  <c r="DG119" s="1"/>
  <c r="CZ119"/>
  <c r="DI119"/>
  <c r="ES119" s="1"/>
  <c r="DM119"/>
  <c r="EW119" s="1"/>
  <c r="DO119"/>
  <c r="DQ119"/>
  <c r="FA119" s="1"/>
  <c r="DS119"/>
  <c r="DU119"/>
  <c r="DW119"/>
  <c r="DY119"/>
  <c r="FI119" s="1"/>
  <c r="EA119"/>
  <c r="EC119"/>
  <c r="EE119"/>
  <c r="EG119"/>
  <c r="EI119"/>
  <c r="DD119"/>
  <c r="DE119"/>
  <c r="DC119"/>
  <c r="BA119"/>
  <c r="CM119"/>
  <c r="CL119"/>
  <c r="CK119"/>
  <c r="AY119"/>
  <c r="B120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4"/>
  <c r="CZ117"/>
  <c r="DI117" s="1"/>
  <c r="ES117" s="1"/>
  <c r="DG117"/>
  <c r="DK117"/>
  <c r="DO117"/>
  <c r="DS117"/>
  <c r="DW117"/>
  <c r="EA117"/>
  <c r="FK117" s="1"/>
  <c r="EE117"/>
  <c r="EI117"/>
  <c r="DD117"/>
  <c r="DE117"/>
  <c r="DC117"/>
  <c r="BA117"/>
  <c r="CM117" s="1"/>
  <c r="CL117"/>
  <c r="CK117"/>
  <c r="AY117"/>
  <c r="B113"/>
  <c r="CZ116"/>
  <c r="DG116" s="1"/>
  <c r="DF116"/>
  <c r="DH116"/>
  <c r="DJ116"/>
  <c r="DL116"/>
  <c r="DN116"/>
  <c r="DP116"/>
  <c r="DR116"/>
  <c r="DT116"/>
  <c r="DV116"/>
  <c r="DX116"/>
  <c r="DZ116"/>
  <c r="EB116"/>
  <c r="ED116"/>
  <c r="EF116"/>
  <c r="EH116"/>
  <c r="EJ116"/>
  <c r="DD116"/>
  <c r="DC116" s="1"/>
  <c r="BA116"/>
  <c r="CM116"/>
  <c r="CL116"/>
  <c r="CK116"/>
  <c r="AY116"/>
  <c r="B115"/>
  <c r="CZ115"/>
  <c r="DI115"/>
  <c r="ES115" s="1"/>
  <c r="DM115"/>
  <c r="EW115" s="1"/>
  <c r="DQ115"/>
  <c r="FA115" s="1"/>
  <c r="DU115"/>
  <c r="DY115"/>
  <c r="EC115"/>
  <c r="EG115"/>
  <c r="DD115"/>
  <c r="DE115"/>
  <c r="DC115"/>
  <c r="BA115"/>
  <c r="CM115" s="1"/>
  <c r="CL115"/>
  <c r="CK115"/>
  <c r="AY115"/>
  <c r="B117"/>
  <c r="CZ114"/>
  <c r="DG114" s="1"/>
  <c r="DF114"/>
  <c r="DH114"/>
  <c r="DJ114"/>
  <c r="DL114"/>
  <c r="DN114"/>
  <c r="DP114"/>
  <c r="DR114"/>
  <c r="DT114"/>
  <c r="DV114"/>
  <c r="DX114"/>
  <c r="DZ114"/>
  <c r="EB114"/>
  <c r="ED114"/>
  <c r="EF114"/>
  <c r="EH114"/>
  <c r="EJ114"/>
  <c r="DD114"/>
  <c r="DC114" s="1"/>
  <c r="DE114"/>
  <c r="BA114"/>
  <c r="CM114"/>
  <c r="CL114"/>
  <c r="CK114"/>
  <c r="AY114"/>
  <c r="B112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0"/>
  <c r="CZ112"/>
  <c r="DG112" s="1"/>
  <c r="DF112"/>
  <c r="DH112"/>
  <c r="DJ112"/>
  <c r="DL112"/>
  <c r="DN112"/>
  <c r="DP112"/>
  <c r="DR112"/>
  <c r="DT112"/>
  <c r="FD112" s="1"/>
  <c r="DV112"/>
  <c r="DX112"/>
  <c r="DZ112"/>
  <c r="EB112"/>
  <c r="ED112"/>
  <c r="EF112"/>
  <c r="EH112"/>
  <c r="EJ112"/>
  <c r="DD112"/>
  <c r="DC112" s="1"/>
  <c r="BA112"/>
  <c r="CM112"/>
  <c r="CL112"/>
  <c r="CK112"/>
  <c r="AY112"/>
  <c r="B109"/>
  <c r="CZ111"/>
  <c r="DI111"/>
  <c r="ES111" s="1"/>
  <c r="DM111"/>
  <c r="DQ111"/>
  <c r="DU111"/>
  <c r="DY111"/>
  <c r="FI111" s="1"/>
  <c r="EC111"/>
  <c r="EG111"/>
  <c r="DD111"/>
  <c r="DE111"/>
  <c r="DC111"/>
  <c r="BA111"/>
  <c r="CM111" s="1"/>
  <c r="CL111"/>
  <c r="CK111"/>
  <c r="AY111"/>
  <c r="B108"/>
  <c r="CZ110"/>
  <c r="DG110" s="1"/>
  <c r="DF110"/>
  <c r="DH110"/>
  <c r="DJ110"/>
  <c r="DL110"/>
  <c r="DN110"/>
  <c r="DP110"/>
  <c r="DR110"/>
  <c r="DT110"/>
  <c r="FD110" s="1"/>
  <c r="DV110"/>
  <c r="DX110"/>
  <c r="DZ110"/>
  <c r="EB110"/>
  <c r="ED110"/>
  <c r="EF110"/>
  <c r="EH110"/>
  <c r="EJ110"/>
  <c r="DD110"/>
  <c r="DC110" s="1"/>
  <c r="DE110"/>
  <c r="BA110"/>
  <c r="CM110"/>
  <c r="CL110"/>
  <c r="CK110"/>
  <c r="AY110"/>
  <c r="B111"/>
  <c r="CZ109"/>
  <c r="DI109" s="1"/>
  <c r="ES109" s="1"/>
  <c r="DG109"/>
  <c r="DK109"/>
  <c r="DO109"/>
  <c r="DS109"/>
  <c r="DW109"/>
  <c r="EA109"/>
  <c r="FK109" s="1"/>
  <c r="EE109"/>
  <c r="EI109"/>
  <c r="DD109"/>
  <c r="DE109"/>
  <c r="DC109"/>
  <c r="BA109"/>
  <c r="CM109" s="1"/>
  <c r="CL109"/>
  <c r="CK109"/>
  <c r="AY109"/>
  <c r="B114"/>
  <c r="CZ108"/>
  <c r="DG108" s="1"/>
  <c r="DF108"/>
  <c r="DH108"/>
  <c r="DJ108"/>
  <c r="DL108"/>
  <c r="DN108"/>
  <c r="DP108"/>
  <c r="DR108"/>
  <c r="DT108"/>
  <c r="DV108"/>
  <c r="DX108"/>
  <c r="DZ108"/>
  <c r="EB108"/>
  <c r="ED108"/>
  <c r="EF108"/>
  <c r="EH108"/>
  <c r="EJ108"/>
  <c r="DD108"/>
  <c r="DC108" s="1"/>
  <c r="CL108"/>
  <c r="CK108"/>
  <c r="AY108"/>
  <c r="B116"/>
  <c r="CW107"/>
  <c r="CX107"/>
  <c r="DG107" s="1"/>
  <c r="CZ107"/>
  <c r="DO107" s="1"/>
  <c r="DI107"/>
  <c r="ES107" s="1"/>
  <c r="DM107"/>
  <c r="EW107" s="1"/>
  <c r="DQ107"/>
  <c r="FA107" s="1"/>
  <c r="DU107"/>
  <c r="DY107"/>
  <c r="EC107"/>
  <c r="EG107"/>
  <c r="DD107"/>
  <c r="DE107"/>
  <c r="DC107"/>
  <c r="BA107"/>
  <c r="CM107" s="1"/>
  <c r="CL107"/>
  <c r="CK107"/>
  <c r="AY107"/>
  <c r="B100"/>
  <c r="CZ106"/>
  <c r="DG106" s="1"/>
  <c r="DF106"/>
  <c r="DH106"/>
  <c r="DJ106"/>
  <c r="DL106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105"/>
  <c r="CZ105"/>
  <c r="DI105" s="1"/>
  <c r="ES105" s="1"/>
  <c r="DG105"/>
  <c r="DK105"/>
  <c r="DO105"/>
  <c r="DS105"/>
  <c r="DW105"/>
  <c r="EA105"/>
  <c r="EE105"/>
  <c r="EI105"/>
  <c r="FS105" s="1"/>
  <c r="DD105"/>
  <c r="DE105"/>
  <c r="DC105"/>
  <c r="BA105"/>
  <c r="CM105" s="1"/>
  <c r="CL105"/>
  <c r="CK105"/>
  <c r="AY105"/>
  <c r="B98"/>
  <c r="CZ104"/>
  <c r="DG104" s="1"/>
  <c r="DF104"/>
  <c r="DH104"/>
  <c r="DJ104"/>
  <c r="DL104"/>
  <c r="DN104"/>
  <c r="DP104"/>
  <c r="DR104"/>
  <c r="DT104"/>
  <c r="FD104" s="1"/>
  <c r="DV104"/>
  <c r="DX104"/>
  <c r="DZ104"/>
  <c r="EB104"/>
  <c r="ED104"/>
  <c r="EF104"/>
  <c r="EH104"/>
  <c r="EJ104"/>
  <c r="DD104"/>
  <c r="DC104" s="1"/>
  <c r="BA104"/>
  <c r="CM104"/>
  <c r="CL104"/>
  <c r="CK104"/>
  <c r="AY104"/>
  <c r="B103"/>
  <c r="CZ103"/>
  <c r="DI103"/>
  <c r="ES103" s="1"/>
  <c r="DM103"/>
  <c r="DQ103"/>
  <c r="FA103" s="1"/>
  <c r="DU103"/>
  <c r="DY103"/>
  <c r="FI103" s="1"/>
  <c r="EC103"/>
  <c r="EG103"/>
  <c r="DD103"/>
  <c r="DE103"/>
  <c r="DC103"/>
  <c r="BA103"/>
  <c r="CM103" s="1"/>
  <c r="CL103"/>
  <c r="CK103"/>
  <c r="AY103"/>
  <c r="B106"/>
  <c r="CZ102"/>
  <c r="DG102" s="1"/>
  <c r="DF102"/>
  <c r="DH102"/>
  <c r="DJ102"/>
  <c r="DL102"/>
  <c r="DN102"/>
  <c r="DP102"/>
  <c r="DR102"/>
  <c r="DT102"/>
  <c r="FD102" s="1"/>
  <c r="DV102"/>
  <c r="DX102"/>
  <c r="DZ102"/>
  <c r="EB102"/>
  <c r="ED102"/>
  <c r="EF102"/>
  <c r="EH102"/>
  <c r="EJ102"/>
  <c r="DD102"/>
  <c r="DC102" s="1"/>
  <c r="DE102"/>
  <c r="BA102"/>
  <c r="CM102"/>
  <c r="CL102"/>
  <c r="CK102"/>
  <c r="AY102"/>
  <c r="B104"/>
  <c r="CX101"/>
  <c r="DG101" s="1"/>
  <c r="CZ101"/>
  <c r="DI101"/>
  <c r="ES101" s="1"/>
  <c r="DM101"/>
  <c r="EW101" s="1"/>
  <c r="DN101"/>
  <c r="DO101"/>
  <c r="DP101"/>
  <c r="EZ101" s="1"/>
  <c r="DQ101"/>
  <c r="FA101" s="1"/>
  <c r="DR101"/>
  <c r="DS101"/>
  <c r="DT101"/>
  <c r="FD101" s="1"/>
  <c r="DU101"/>
  <c r="DV101"/>
  <c r="DW101"/>
  <c r="DX101"/>
  <c r="FH101" s="1"/>
  <c r="DY101"/>
  <c r="DZ101"/>
  <c r="EA101"/>
  <c r="EB101"/>
  <c r="EC101"/>
  <c r="ED101"/>
  <c r="EE101"/>
  <c r="EF101"/>
  <c r="EG101"/>
  <c r="EH101"/>
  <c r="EI101"/>
  <c r="EJ101"/>
  <c r="DD101"/>
  <c r="DE101"/>
  <c r="DC101"/>
  <c r="BA101"/>
  <c r="CM101"/>
  <c r="CL101"/>
  <c r="CK101"/>
  <c r="AY101"/>
  <c r="B101"/>
  <c r="CX100"/>
  <c r="CZ100"/>
  <c r="DI100" s="1"/>
  <c r="ES100" s="1"/>
  <c r="DG100"/>
  <c r="DK100"/>
  <c r="DO100"/>
  <c r="DS100"/>
  <c r="DW100"/>
  <c r="EA100"/>
  <c r="EE100"/>
  <c r="EI100"/>
  <c r="DD100"/>
  <c r="DE100"/>
  <c r="DC100"/>
  <c r="BA100"/>
  <c r="CM100" s="1"/>
  <c r="CL100"/>
  <c r="CK100"/>
  <c r="AY100"/>
  <c r="B102"/>
  <c r="CZ99"/>
  <c r="DG99" s="1"/>
  <c r="DF99"/>
  <c r="DH99"/>
  <c r="DJ99"/>
  <c r="DL99"/>
  <c r="DN99"/>
  <c r="DP99"/>
  <c r="DR99"/>
  <c r="DT99"/>
  <c r="FD99" s="1"/>
  <c r="DV99"/>
  <c r="DX99"/>
  <c r="DZ99"/>
  <c r="EB99"/>
  <c r="FL99" s="1"/>
  <c r="ED99"/>
  <c r="EF99"/>
  <c r="EG99"/>
  <c r="EH99"/>
  <c r="EI99"/>
  <c r="EJ99"/>
  <c r="DD99"/>
  <c r="DC99" s="1"/>
  <c r="BA99"/>
  <c r="CM99"/>
  <c r="CL99"/>
  <c r="CK99"/>
  <c r="AY99"/>
  <c r="B107"/>
  <c r="CZ98"/>
  <c r="DI98"/>
  <c r="DM98"/>
  <c r="DQ98"/>
  <c r="DU98"/>
  <c r="DY98"/>
  <c r="EC98"/>
  <c r="EG98"/>
  <c r="DD98"/>
  <c r="DE98" s="1"/>
  <c r="DC98"/>
  <c r="CL98"/>
  <c r="CK98"/>
  <c r="AY98"/>
  <c r="B99"/>
  <c r="CZ97"/>
  <c r="DG97" s="1"/>
  <c r="DD97"/>
  <c r="DE97" s="1"/>
  <c r="DC97"/>
  <c r="BA97"/>
  <c r="CM97" s="1"/>
  <c r="CL97"/>
  <c r="CK97"/>
  <c r="AY97"/>
  <c r="B90"/>
  <c r="CZ96"/>
  <c r="DF96"/>
  <c r="DG96"/>
  <c r="DH96"/>
  <c r="DI96"/>
  <c r="ES96" s="1"/>
  <c r="DJ96"/>
  <c r="DK96"/>
  <c r="DL96"/>
  <c r="DM96"/>
  <c r="EW96" s="1"/>
  <c r="DN96"/>
  <c r="DO96"/>
  <c r="DP96"/>
  <c r="DQ96"/>
  <c r="FA96" s="1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2"/>
  <c r="CZ95"/>
  <c r="DD95"/>
  <c r="DE95" s="1"/>
  <c r="DC95"/>
  <c r="BA95"/>
  <c r="CM95" s="1"/>
  <c r="CL95"/>
  <c r="CK95"/>
  <c r="AY95"/>
  <c r="B96"/>
  <c r="CZ94"/>
  <c r="DF94"/>
  <c r="DG94"/>
  <c r="DH94"/>
  <c r="DI94"/>
  <c r="ES94" s="1"/>
  <c r="DJ94"/>
  <c r="DK94"/>
  <c r="DL94"/>
  <c r="DM94"/>
  <c r="DN94"/>
  <c r="DO94"/>
  <c r="DP94"/>
  <c r="DQ94"/>
  <c r="FA94" s="1"/>
  <c r="DR94"/>
  <c r="DS94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7"/>
  <c r="CZ93"/>
  <c r="DD93"/>
  <c r="DE93" s="1"/>
  <c r="DC93"/>
  <c r="BA93"/>
  <c r="CM93" s="1"/>
  <c r="CL93"/>
  <c r="CK93"/>
  <c r="AY93"/>
  <c r="B93"/>
  <c r="CZ92"/>
  <c r="DF92"/>
  <c r="DG92"/>
  <c r="DH92"/>
  <c r="DI92"/>
  <c r="ES92" s="1"/>
  <c r="DJ92"/>
  <c r="DK92"/>
  <c r="DL92"/>
  <c r="DM92"/>
  <c r="DN92"/>
  <c r="DO92"/>
  <c r="DP92"/>
  <c r="DQ92"/>
  <c r="FA92" s="1"/>
  <c r="DR92"/>
  <c r="DS92"/>
  <c r="FC92" s="1"/>
  <c r="DT92"/>
  <c r="FD92" s="1"/>
  <c r="DU92"/>
  <c r="DV92"/>
  <c r="DW92"/>
  <c r="FG92" s="1"/>
  <c r="DX92"/>
  <c r="DY92"/>
  <c r="FI92" s="1"/>
  <c r="DZ92"/>
  <c r="EA92"/>
  <c r="FK92" s="1"/>
  <c r="EB92"/>
  <c r="FL92" s="1"/>
  <c r="EC92"/>
  <c r="FM92" s="1"/>
  <c r="ED92"/>
  <c r="EE92"/>
  <c r="FO92" s="1"/>
  <c r="EF92"/>
  <c r="EG92"/>
  <c r="EH92"/>
  <c r="EI92"/>
  <c r="FS92" s="1"/>
  <c r="EJ92"/>
  <c r="DD92"/>
  <c r="DC92" s="1"/>
  <c r="BA92"/>
  <c r="CM92"/>
  <c r="CL92"/>
  <c r="CK92"/>
  <c r="AY92"/>
  <c r="B88"/>
  <c r="CZ91"/>
  <c r="DG91" s="1"/>
  <c r="DD91"/>
  <c r="DE91" s="1"/>
  <c r="DC91"/>
  <c r="BA91"/>
  <c r="CM91" s="1"/>
  <c r="CL91"/>
  <c r="CK91"/>
  <c r="AY91"/>
  <c r="B94"/>
  <c r="CZ90"/>
  <c r="DF90"/>
  <c r="DG90"/>
  <c r="DH90"/>
  <c r="DI90"/>
  <c r="ES90" s="1"/>
  <c r="DJ90"/>
  <c r="DK90"/>
  <c r="DL90"/>
  <c r="DM90"/>
  <c r="EW90" s="1"/>
  <c r="DN90"/>
  <c r="DO90"/>
  <c r="DP90"/>
  <c r="EZ90" s="1"/>
  <c r="DQ90"/>
  <c r="FA90" s="1"/>
  <c r="DR90"/>
  <c r="DS90"/>
  <c r="DT90"/>
  <c r="FD90" s="1"/>
  <c r="DU90"/>
  <c r="DV90"/>
  <c r="DW90"/>
  <c r="DX90"/>
  <c r="FH90" s="1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89"/>
  <c r="CX89"/>
  <c r="CZ89"/>
  <c r="DN89" s="1"/>
  <c r="DO89"/>
  <c r="DQ89"/>
  <c r="FA89" s="1"/>
  <c r="DS89"/>
  <c r="FC89" s="1"/>
  <c r="DU89"/>
  <c r="DW89"/>
  <c r="DY89"/>
  <c r="EA89"/>
  <c r="FK89" s="1"/>
  <c r="EC89"/>
  <c r="EE89"/>
  <c r="EG89"/>
  <c r="EI89"/>
  <c r="FS89" s="1"/>
  <c r="DD89"/>
  <c r="DE89"/>
  <c r="DC89"/>
  <c r="BA89"/>
  <c r="CM89" s="1"/>
  <c r="CL89"/>
  <c r="CK89"/>
  <c r="AY89"/>
  <c r="B91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5"/>
  <c r="C79"/>
  <c r="C78"/>
  <c r="C77"/>
  <c r="C76"/>
  <c r="C75"/>
  <c r="C74"/>
  <c r="C73"/>
  <c r="C72"/>
  <c r="C71"/>
  <c r="C70"/>
  <c r="E61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D96" l="1"/>
  <c r="FD106"/>
  <c r="FD108"/>
  <c r="FD114"/>
  <c r="FD116"/>
  <c r="FD131"/>
  <c r="FD149"/>
  <c r="FD156"/>
  <c r="FD165"/>
  <c r="FP94"/>
  <c r="FD94"/>
  <c r="FP99"/>
  <c r="FD120"/>
  <c r="FD122"/>
  <c r="FD136"/>
  <c r="FP142"/>
  <c r="FD142"/>
  <c r="FP150"/>
  <c r="FD152"/>
  <c r="FD157"/>
  <c r="FD159"/>
  <c r="FD175"/>
  <c r="FP182"/>
  <c r="FD182"/>
  <c r="FD183"/>
  <c r="FD184"/>
  <c r="U372"/>
  <c r="U378" s="1"/>
  <c r="ET110"/>
  <c r="ET112"/>
  <c r="EQ137"/>
  <c r="ET139"/>
  <c r="EQ151"/>
  <c r="ET154"/>
  <c r="EQ163"/>
  <c r="ET171"/>
  <c r="EQ92"/>
  <c r="ET94"/>
  <c r="EQ97"/>
  <c r="EQ99"/>
  <c r="EQ100"/>
  <c r="ET102"/>
  <c r="ET104"/>
  <c r="ET120"/>
  <c r="EQ143"/>
  <c r="EQ144"/>
  <c r="ET146"/>
  <c r="ET148"/>
  <c r="EQ150"/>
  <c r="ET167"/>
  <c r="EQ170"/>
  <c r="EX90"/>
  <c r="EX101"/>
  <c r="EX102"/>
  <c r="EX104"/>
  <c r="EX110"/>
  <c r="EX126"/>
  <c r="EX129"/>
  <c r="EX132"/>
  <c r="EX134"/>
  <c r="EX145"/>
  <c r="EX146"/>
  <c r="EX154"/>
  <c r="EX162"/>
  <c r="EX173"/>
  <c r="J376"/>
  <c r="J422"/>
  <c r="U374"/>
  <c r="U422"/>
  <c r="O381"/>
  <c r="O422"/>
  <c r="FR94"/>
  <c r="FR104"/>
  <c r="FR110"/>
  <c r="FR112"/>
  <c r="FR120"/>
  <c r="FR125"/>
  <c r="FR132"/>
  <c r="FR159"/>
  <c r="FR171"/>
  <c r="FR182"/>
  <c r="FR187"/>
  <c r="P374"/>
  <c r="P422"/>
  <c r="N382"/>
  <c r="N422"/>
  <c r="FR99"/>
  <c r="FR102"/>
  <c r="FR126"/>
  <c r="FR135"/>
  <c r="FR142"/>
  <c r="FR146"/>
  <c r="FR154"/>
  <c r="FR180"/>
  <c r="EZ92"/>
  <c r="FS94"/>
  <c r="FO94"/>
  <c r="FC94"/>
  <c r="FS99"/>
  <c r="FO109"/>
  <c r="FO117"/>
  <c r="FO119"/>
  <c r="FO120"/>
  <c r="FO141"/>
  <c r="FS142"/>
  <c r="FO142"/>
  <c r="FC142"/>
  <c r="EZ149"/>
  <c r="FO159"/>
  <c r="FO164"/>
  <c r="FO169"/>
  <c r="FS182"/>
  <c r="FO182"/>
  <c r="FO185"/>
  <c r="EZ187"/>
  <c r="EX88"/>
  <c r="ES158"/>
  <c r="FA98"/>
  <c r="EW98"/>
  <c r="FR96"/>
  <c r="FR122"/>
  <c r="FR131"/>
  <c r="FR143"/>
  <c r="FR183"/>
  <c r="EZ88"/>
  <c r="FS90"/>
  <c r="FG90"/>
  <c r="FC90"/>
  <c r="FJ92"/>
  <c r="EV96"/>
  <c r="ER96"/>
  <c r="FS100"/>
  <c r="FC100"/>
  <c r="FS101"/>
  <c r="FC101"/>
  <c r="EZ102"/>
  <c r="EZ104"/>
  <c r="EV106"/>
  <c r="EV108"/>
  <c r="EZ110"/>
  <c r="EV114"/>
  <c r="FJ124"/>
  <c r="EZ126"/>
  <c r="ER126"/>
  <c r="ER129"/>
  <c r="EV131"/>
  <c r="EZ132"/>
  <c r="EZ135"/>
  <c r="FS144"/>
  <c r="EZ156"/>
  <c r="FJ163"/>
  <c r="EV164"/>
  <c r="EZ165"/>
  <c r="ER165"/>
  <c r="EZ171"/>
  <c r="ER171"/>
  <c r="FJ183"/>
  <c r="AB372"/>
  <c r="AB375" s="1"/>
  <c r="FR136"/>
  <c r="FR152"/>
  <c r="FR156"/>
  <c r="FR157"/>
  <c r="FR165"/>
  <c r="FJ90"/>
  <c r="EZ94"/>
  <c r="EV94"/>
  <c r="FS96"/>
  <c r="EU96"/>
  <c r="EZ99"/>
  <c r="FJ101"/>
  <c r="EU105"/>
  <c r="FS109"/>
  <c r="FC109"/>
  <c r="EU113"/>
  <c r="FS117"/>
  <c r="EV120"/>
  <c r="EV122"/>
  <c r="EU131"/>
  <c r="EZ142"/>
  <c r="FS143"/>
  <c r="EZ143"/>
  <c r="FJ149"/>
  <c r="EZ150"/>
  <c r="EV157"/>
  <c r="EU164"/>
  <c r="FS165"/>
  <c r="EU165"/>
  <c r="EU166"/>
  <c r="FJ180"/>
  <c r="FS181"/>
  <c r="FC181"/>
  <c r="EV182"/>
  <c r="N373"/>
  <c r="Z372"/>
  <c r="Z422" s="1"/>
  <c r="AD382"/>
  <c r="AD381"/>
  <c r="FI89"/>
  <c r="EU90"/>
  <c r="EX92"/>
  <c r="FM94"/>
  <c r="FP96"/>
  <c r="FM103"/>
  <c r="FP104"/>
  <c r="FM111"/>
  <c r="FP112"/>
  <c r="FM120"/>
  <c r="FP125"/>
  <c r="FP126"/>
  <c r="FP132"/>
  <c r="FM142"/>
  <c r="EU151"/>
  <c r="EX152"/>
  <c r="FP156"/>
  <c r="EX158"/>
  <c r="FM159"/>
  <c r="EX163"/>
  <c r="FP165"/>
  <c r="EU174"/>
  <c r="EX177"/>
  <c r="FI182"/>
  <c r="EX186"/>
  <c r="E503"/>
  <c r="FT90"/>
  <c r="EV90"/>
  <c r="EY92"/>
  <c r="EU92"/>
  <c r="EV88"/>
  <c r="FM89"/>
  <c r="EX89"/>
  <c r="FM90"/>
  <c r="FI90"/>
  <c r="FP92"/>
  <c r="EV92"/>
  <c r="EU94"/>
  <c r="FJ96"/>
  <c r="FF96"/>
  <c r="FB96"/>
  <c r="EX96"/>
  <c r="FF99"/>
  <c r="EX99"/>
  <c r="EU100"/>
  <c r="FM101"/>
  <c r="FI101"/>
  <c r="EV102"/>
  <c r="EV104"/>
  <c r="FP106"/>
  <c r="ER106"/>
  <c r="FM107"/>
  <c r="FP108"/>
  <c r="ER108"/>
  <c r="ER114"/>
  <c r="FM115"/>
  <c r="EU120"/>
  <c r="FB122"/>
  <c r="FP124"/>
  <c r="EV125"/>
  <c r="FF131"/>
  <c r="FB131"/>
  <c r="EX131"/>
  <c r="EV135"/>
  <c r="FB136"/>
  <c r="FP139"/>
  <c r="FF139"/>
  <c r="EU139"/>
  <c r="FI140"/>
  <c r="FF143"/>
  <c r="EU144"/>
  <c r="FM145"/>
  <c r="FI145"/>
  <c r="FF147"/>
  <c r="FP149"/>
  <c r="FF150"/>
  <c r="FB152"/>
  <c r="EU153"/>
  <c r="FJ156"/>
  <c r="FF156"/>
  <c r="FB156"/>
  <c r="EX156"/>
  <c r="FJ157"/>
  <c r="FB157"/>
  <c r="EV158"/>
  <c r="FM162"/>
  <c r="FI162"/>
  <c r="FP163"/>
  <c r="FI164"/>
  <c r="FJ165"/>
  <c r="FF165"/>
  <c r="FB165"/>
  <c r="FF166"/>
  <c r="FP167"/>
  <c r="EU167"/>
  <c r="FP170"/>
  <c r="EV170"/>
  <c r="ER170"/>
  <c r="FM173"/>
  <c r="FI173"/>
  <c r="FB175"/>
  <c r="EU176"/>
  <c r="FF177"/>
  <c r="FI180"/>
  <c r="FI181"/>
  <c r="EU182"/>
  <c r="FB183"/>
  <c r="EV184"/>
  <c r="FP186"/>
  <c r="AK372"/>
  <c r="AK377" s="1"/>
  <c r="W372"/>
  <c r="W422" s="1"/>
  <c r="M372"/>
  <c r="H466"/>
  <c r="FI94"/>
  <c r="FP102"/>
  <c r="FP110"/>
  <c r="FI120"/>
  <c r="EX122"/>
  <c r="FI130"/>
  <c r="FP135"/>
  <c r="EX136"/>
  <c r="EX139"/>
  <c r="FM140"/>
  <c r="FI142"/>
  <c r="FI159"/>
  <c r="EU162"/>
  <c r="FP166"/>
  <c r="EX170"/>
  <c r="FP171"/>
  <c r="EU173"/>
  <c r="FM181"/>
  <c r="FM182"/>
  <c r="EU185"/>
  <c r="FP90"/>
  <c r="FF94"/>
  <c r="FB94"/>
  <c r="EX94"/>
  <c r="FM96"/>
  <c r="FI96"/>
  <c r="FE96"/>
  <c r="EV99"/>
  <c r="FT101"/>
  <c r="FP101"/>
  <c r="FJ102"/>
  <c r="FB102"/>
  <c r="FJ104"/>
  <c r="FB104"/>
  <c r="FF106"/>
  <c r="EX106"/>
  <c r="FI107"/>
  <c r="EU109"/>
  <c r="FJ110"/>
  <c r="FB110"/>
  <c r="FJ112"/>
  <c r="FB112"/>
  <c r="FF114"/>
  <c r="FI115"/>
  <c r="FF116"/>
  <c r="EX116"/>
  <c r="EU117"/>
  <c r="EU118"/>
  <c r="FM119"/>
  <c r="FJ120"/>
  <c r="FF120"/>
  <c r="FB120"/>
  <c r="EY124"/>
  <c r="FB125"/>
  <c r="FB126"/>
  <c r="FF129"/>
  <c r="FM130"/>
  <c r="FM131"/>
  <c r="FI131"/>
  <c r="FB132"/>
  <c r="FF134"/>
  <c r="FB135"/>
  <c r="FP136"/>
  <c r="EY137"/>
  <c r="EU137"/>
  <c r="FP138"/>
  <c r="FT139"/>
  <c r="FI139"/>
  <c r="EY139"/>
  <c r="EY140"/>
  <c r="FM141"/>
  <c r="FF142"/>
  <c r="FB142"/>
  <c r="EX142"/>
  <c r="FM143"/>
  <c r="FI143"/>
  <c r="EV143"/>
  <c r="FT145"/>
  <c r="FJ146"/>
  <c r="FB146"/>
  <c r="FT147"/>
  <c r="EV147"/>
  <c r="FF149"/>
  <c r="FT150"/>
  <c r="EV150"/>
  <c r="FI153"/>
  <c r="FJ154"/>
  <c r="FB154"/>
  <c r="EU155"/>
  <c r="FM156"/>
  <c r="FI156"/>
  <c r="FF159"/>
  <c r="FB159"/>
  <c r="ER159"/>
  <c r="FT162"/>
  <c r="ER162"/>
  <c r="EY163"/>
  <c r="EU163"/>
  <c r="EX164"/>
  <c r="FQ165"/>
  <c r="FM165"/>
  <c r="FI165"/>
  <c r="EU169"/>
  <c r="EY170"/>
  <c r="EU170"/>
  <c r="FJ171"/>
  <c r="FB171"/>
  <c r="FT173"/>
  <c r="FP173"/>
  <c r="EV173"/>
  <c r="FT175"/>
  <c r="FP177"/>
  <c r="FB179"/>
  <c r="FM180"/>
  <c r="FB180"/>
  <c r="EU180"/>
  <c r="EY181"/>
  <c r="FF182"/>
  <c r="FB182"/>
  <c r="FP183"/>
  <c r="FM185"/>
  <c r="EY185"/>
  <c r="EY186"/>
  <c r="L372"/>
  <c r="L380" s="1"/>
  <c r="H382"/>
  <c r="H380"/>
  <c r="H375"/>
  <c r="H378"/>
  <c r="H379"/>
  <c r="FH92"/>
  <c r="FK94"/>
  <c r="EY94"/>
  <c r="EQ94"/>
  <c r="ET96"/>
  <c r="FK100"/>
  <c r="FE101"/>
  <c r="FT102"/>
  <c r="FE103"/>
  <c r="EQ104"/>
  <c r="EQ105"/>
  <c r="EY109"/>
  <c r="FT110"/>
  <c r="EQ110"/>
  <c r="FT112"/>
  <c r="EQ112"/>
  <c r="FH116"/>
  <c r="EY117"/>
  <c r="EQ119"/>
  <c r="FT124"/>
  <c r="FH124"/>
  <c r="FN131"/>
  <c r="FT132"/>
  <c r="FT135"/>
  <c r="ET136"/>
  <c r="FH137"/>
  <c r="FK142"/>
  <c r="EY142"/>
  <c r="EQ146"/>
  <c r="ET152"/>
  <c r="FT154"/>
  <c r="EQ156"/>
  <c r="FK159"/>
  <c r="FT164"/>
  <c r="ET165"/>
  <c r="FT174"/>
  <c r="FH174"/>
  <c r="EQ174"/>
  <c r="FN180"/>
  <c r="EY182"/>
  <c r="EQ182"/>
  <c r="U379"/>
  <c r="N381"/>
  <c r="E475"/>
  <c r="FO89"/>
  <c r="EY89"/>
  <c r="FR90"/>
  <c r="FF90"/>
  <c r="FB90"/>
  <c r="ET90"/>
  <c r="FE92"/>
  <c r="EW92"/>
  <c r="FT94"/>
  <c r="FH94"/>
  <c r="FO96"/>
  <c r="FK96"/>
  <c r="EY96"/>
  <c r="EQ96"/>
  <c r="FT99"/>
  <c r="FH99"/>
  <c r="FO100"/>
  <c r="EY100"/>
  <c r="FR101"/>
  <c r="FF101"/>
  <c r="FB101"/>
  <c r="EQ101"/>
  <c r="FF102"/>
  <c r="FF104"/>
  <c r="FK105"/>
  <c r="FR106"/>
  <c r="FB106"/>
  <c r="ET106"/>
  <c r="FQ107"/>
  <c r="EQ107"/>
  <c r="ET108"/>
  <c r="FF110"/>
  <c r="FF112"/>
  <c r="FK113"/>
  <c r="FR114"/>
  <c r="FB114"/>
  <c r="FQ115"/>
  <c r="FR116"/>
  <c r="FB116"/>
  <c r="FT120"/>
  <c r="FH120"/>
  <c r="FT122"/>
  <c r="FE124"/>
  <c r="FF125"/>
  <c r="FF126"/>
  <c r="FO131"/>
  <c r="FK131"/>
  <c r="EY131"/>
  <c r="EQ131"/>
  <c r="FN132"/>
  <c r="FF132"/>
  <c r="FN134"/>
  <c r="FF135"/>
  <c r="FT136"/>
  <c r="EQ136"/>
  <c r="EW137"/>
  <c r="EQ139"/>
  <c r="FK140"/>
  <c r="FT142"/>
  <c r="FH142"/>
  <c r="FO143"/>
  <c r="FK143"/>
  <c r="FO144"/>
  <c r="EY144"/>
  <c r="FR145"/>
  <c r="FN145"/>
  <c r="FF145"/>
  <c r="FB145"/>
  <c r="FF146"/>
  <c r="FH147"/>
  <c r="FR149"/>
  <c r="FB149"/>
  <c r="ET149"/>
  <c r="FH150"/>
  <c r="FT152"/>
  <c r="EQ152"/>
  <c r="EW153"/>
  <c r="FF154"/>
  <c r="EY155"/>
  <c r="FO156"/>
  <c r="FK156"/>
  <c r="EY156"/>
  <c r="FT157"/>
  <c r="EW158"/>
  <c r="FT159"/>
  <c r="FH159"/>
  <c r="EQ159"/>
  <c r="FR162"/>
  <c r="FF162"/>
  <c r="FB162"/>
  <c r="ET162"/>
  <c r="FQ163"/>
  <c r="FK164"/>
  <c r="FF164"/>
  <c r="FO165"/>
  <c r="FK165"/>
  <c r="EY165"/>
  <c r="EQ165"/>
  <c r="FK166"/>
  <c r="EW170"/>
  <c r="FF171"/>
  <c r="FR173"/>
  <c r="FF173"/>
  <c r="FB173"/>
  <c r="FQ174"/>
  <c r="FE174"/>
  <c r="ET175"/>
  <c r="EW176"/>
  <c r="FH177"/>
  <c r="FR179"/>
  <c r="FE180"/>
  <c r="FK181"/>
  <c r="FT182"/>
  <c r="FH182"/>
  <c r="FT183"/>
  <c r="FF187"/>
  <c r="J377"/>
  <c r="J378"/>
  <c r="W379"/>
  <c r="AD380"/>
  <c r="AF372"/>
  <c r="Y372"/>
  <c r="H468"/>
  <c r="FQ90"/>
  <c r="EQ91"/>
  <c r="FT92"/>
  <c r="FN96"/>
  <c r="EQ102"/>
  <c r="FT104"/>
  <c r="FH106"/>
  <c r="FE111"/>
  <c r="EQ113"/>
  <c r="FH114"/>
  <c r="EY119"/>
  <c r="FK120"/>
  <c r="EY120"/>
  <c r="EQ120"/>
  <c r="FT125"/>
  <c r="EQ125"/>
  <c r="FT126"/>
  <c r="EQ130"/>
  <c r="FT137"/>
  <c r="FK139"/>
  <c r="EY141"/>
  <c r="FK144"/>
  <c r="FT146"/>
  <c r="FH149"/>
  <c r="EY151"/>
  <c r="FK153"/>
  <c r="EQ154"/>
  <c r="EY159"/>
  <c r="FT163"/>
  <c r="FH163"/>
  <c r="EY164"/>
  <c r="ET164"/>
  <c r="EY169"/>
  <c r="FT170"/>
  <c r="FH170"/>
  <c r="FT171"/>
  <c r="EY174"/>
  <c r="FK176"/>
  <c r="FK182"/>
  <c r="FT186"/>
  <c r="FH186"/>
  <c r="FQ89"/>
  <c r="FO90"/>
  <c r="FK90"/>
  <c r="EY90"/>
  <c r="EQ90"/>
  <c r="FR92"/>
  <c r="FF92"/>
  <c r="FB92"/>
  <c r="ET92"/>
  <c r="FE94"/>
  <c r="EW94"/>
  <c r="FT96"/>
  <c r="FH96"/>
  <c r="FB99"/>
  <c r="ET99"/>
  <c r="FO101"/>
  <c r="FK101"/>
  <c r="EY101"/>
  <c r="FH102"/>
  <c r="EW103"/>
  <c r="FH104"/>
  <c r="FO105"/>
  <c r="EY105"/>
  <c r="FT106"/>
  <c r="EQ106"/>
  <c r="FE107"/>
  <c r="EY107"/>
  <c r="EQ108"/>
  <c r="EQ109"/>
  <c r="FH110"/>
  <c r="EW111"/>
  <c r="FH112"/>
  <c r="FO113"/>
  <c r="EY113"/>
  <c r="FT114"/>
  <c r="FL114"/>
  <c r="EQ114"/>
  <c r="FT116"/>
  <c r="FL116"/>
  <c r="EQ117"/>
  <c r="EQ118"/>
  <c r="FK119"/>
  <c r="FE120"/>
  <c r="EW120"/>
  <c r="FN122"/>
  <c r="FF122"/>
  <c r="FR124"/>
  <c r="FF124"/>
  <c r="FB124"/>
  <c r="FH125"/>
  <c r="FH126"/>
  <c r="FR129"/>
  <c r="FB129"/>
  <c r="FT131"/>
  <c r="FH131"/>
  <c r="FH132"/>
  <c r="EQ133"/>
  <c r="FR134"/>
  <c r="FB134"/>
  <c r="FH135"/>
  <c r="FF136"/>
  <c r="FR137"/>
  <c r="FF137"/>
  <c r="FB137"/>
  <c r="EQ138"/>
  <c r="FH139"/>
  <c r="FK141"/>
  <c r="EW142"/>
  <c r="FT143"/>
  <c r="FH143"/>
  <c r="FB143"/>
  <c r="FO145"/>
  <c r="FK145"/>
  <c r="EY145"/>
  <c r="FH146"/>
  <c r="FR147"/>
  <c r="FB147"/>
  <c r="ET147"/>
  <c r="FT149"/>
  <c r="FR150"/>
  <c r="FB150"/>
  <c r="FO151"/>
  <c r="FF152"/>
  <c r="FO153"/>
  <c r="EY153"/>
  <c r="EQ153"/>
  <c r="FH154"/>
  <c r="FT156"/>
  <c r="FH156"/>
  <c r="ET156"/>
  <c r="FN157"/>
  <c r="FF157"/>
  <c r="FF158"/>
  <c r="ET159"/>
  <c r="FF161"/>
  <c r="FO162"/>
  <c r="FK162"/>
  <c r="EY162"/>
  <c r="EQ162"/>
  <c r="FR163"/>
  <c r="FN163"/>
  <c r="FF163"/>
  <c r="FB163"/>
  <c r="ET163"/>
  <c r="EQ164"/>
  <c r="FT165"/>
  <c r="FH165"/>
  <c r="EQ169"/>
  <c r="FR170"/>
  <c r="FF170"/>
  <c r="FB170"/>
  <c r="FH171"/>
  <c r="FO173"/>
  <c r="FK173"/>
  <c r="EY173"/>
  <c r="EQ173"/>
  <c r="FR174"/>
  <c r="FF174"/>
  <c r="FB174"/>
  <c r="FR175"/>
  <c r="FH175"/>
  <c r="FK180"/>
  <c r="FF180"/>
  <c r="ET180"/>
  <c r="EW182"/>
  <c r="FK184"/>
  <c r="FK185"/>
  <c r="FR186"/>
  <c r="FF186"/>
  <c r="FB186"/>
  <c r="J373"/>
  <c r="N374"/>
  <c r="N377"/>
  <c r="N380"/>
  <c r="AI372"/>
  <c r="AI376" s="1"/>
  <c r="S372"/>
  <c r="S381" s="1"/>
  <c r="H516"/>
  <c r="EK137"/>
  <c r="FD88"/>
  <c r="EV128"/>
  <c r="FS138"/>
  <c r="FM138"/>
  <c r="FI158"/>
  <c r="FB178"/>
  <c r="EY178"/>
  <c r="EY118"/>
  <c r="EZ128"/>
  <c r="EW138"/>
  <c r="ES138"/>
  <c r="FR148"/>
  <c r="FI178"/>
  <c r="EU178"/>
  <c r="FP88"/>
  <c r="FH88"/>
  <c r="ER88"/>
  <c r="FE98"/>
  <c r="FN10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P178"/>
  <c r="FT138"/>
  <c r="FD138"/>
  <c r="FT158"/>
  <c r="FN158"/>
  <c r="EZ178"/>
  <c r="FT88"/>
  <c r="FM98"/>
  <c r="FJ108"/>
  <c r="EX108"/>
  <c r="FK118"/>
  <c r="FI138"/>
  <c r="FF138"/>
  <c r="FM158"/>
  <c r="EY158"/>
  <c r="FJ168"/>
  <c r="FS178"/>
  <c r="FF88"/>
  <c r="FR108"/>
  <c r="FF108"/>
  <c r="FO118"/>
  <c r="FP128"/>
  <c r="FB148"/>
  <c r="ET168"/>
  <c r="FT178"/>
  <c r="FM178"/>
  <c r="FC178"/>
  <c r="FR88"/>
  <c r="FJ88"/>
  <c r="FB88"/>
  <c r="ET88"/>
  <c r="FI98"/>
  <c r="ES98"/>
  <c r="FH128"/>
  <c r="FE138"/>
  <c r="EY138"/>
  <c r="EU138"/>
  <c r="FJ148"/>
  <c r="FO158"/>
  <c r="FH158"/>
  <c r="FE158"/>
  <c r="FB158"/>
  <c r="FR178"/>
  <c r="FO178"/>
  <c r="FK178"/>
  <c r="ES178"/>
  <c r="FF178"/>
  <c r="FT108"/>
  <c r="FH108"/>
  <c r="FR138"/>
  <c r="FH138"/>
  <c r="FB138"/>
  <c r="FR158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25"/>
  <c r="G41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Y381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H492" s="1"/>
  <c r="X372"/>
  <c r="X374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74"/>
  <c r="O376"/>
  <c r="O373"/>
  <c r="O380"/>
  <c r="J380"/>
  <c r="J374"/>
  <c r="J382"/>
  <c r="J381"/>
  <c r="AA372"/>
  <c r="AA376" s="1"/>
  <c r="FJ182"/>
  <c r="FJ158"/>
  <c r="FJ150"/>
  <c r="FJ143"/>
  <c r="FJ142"/>
  <c r="FJ114"/>
  <c r="FJ159"/>
  <c r="FJ145"/>
  <c r="FJ137"/>
  <c r="FJ131"/>
  <c r="E487"/>
  <c r="H488" s="1"/>
  <c r="FE156"/>
  <c r="FC164"/>
  <c r="T372"/>
  <c r="FC169"/>
  <c r="FC156"/>
  <c r="FC153"/>
  <c r="EZ186"/>
  <c r="EZ177"/>
  <c r="EZ170"/>
  <c r="EZ152"/>
  <c r="EZ145"/>
  <c r="EZ131"/>
  <c r="EZ116"/>
  <c r="E477"/>
  <c r="H478" s="1"/>
  <c r="Q372"/>
  <c r="EZ182"/>
  <c r="EZ154"/>
  <c r="EZ146"/>
  <c r="EZ137"/>
  <c r="EZ120"/>
  <c r="AK378"/>
  <c r="R372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74" s="1"/>
  <c r="E511"/>
  <c r="H512" s="1"/>
  <c r="E50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G372"/>
  <c r="G422" s="1"/>
  <c r="H514"/>
  <c r="E497"/>
  <c r="H498" s="1"/>
  <c r="E483"/>
  <c r="H484" s="1"/>
  <c r="W377"/>
  <c r="AJ372"/>
  <c r="AJ422" s="1"/>
  <c r="FS164"/>
  <c r="FS162"/>
  <c r="FS139"/>
  <c r="FS180"/>
  <c r="FS169"/>
  <c r="FS156"/>
  <c r="FS153"/>
  <c r="AG372"/>
  <c r="AG382" s="1"/>
  <c r="FP152"/>
  <c r="FP145"/>
  <c r="FP143"/>
  <c r="FP131"/>
  <c r="FP116"/>
  <c r="E509"/>
  <c r="H508" s="1"/>
  <c r="FP157"/>
  <c r="FP154"/>
  <c r="FP146"/>
  <c r="FP137"/>
  <c r="FP120"/>
  <c r="K372"/>
  <c r="K422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S380"/>
  <c r="AH372"/>
  <c r="AC372"/>
  <c r="AC374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DM88"/>
  <c r="DO88"/>
  <c r="DQ88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P215" s="1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EU168" s="1"/>
  <c r="DM168"/>
  <c r="EW168" s="1"/>
  <c r="DO168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EU147" s="1"/>
  <c r="DM147"/>
  <c r="EW147" s="1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DK108"/>
  <c r="DI108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3"/>
  <c r="AJ379"/>
  <c r="AG377"/>
  <c r="AA379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74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P377"/>
  <c r="P373"/>
  <c r="P375"/>
  <c r="P380"/>
  <c r="P382"/>
  <c r="P379"/>
  <c r="P378"/>
  <c r="P376"/>
  <c r="M380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D379"/>
  <c r="AD375"/>
  <c r="AD378"/>
  <c r="AD376"/>
  <c r="AD377"/>
  <c r="AD374"/>
  <c r="AD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75"/>
  <c r="AB373"/>
  <c r="Y378"/>
  <c r="N379"/>
  <c r="N375"/>
  <c r="N378"/>
  <c r="N376"/>
  <c r="H381"/>
  <c r="H377"/>
  <c r="H373"/>
  <c r="H376"/>
  <c r="H374"/>
  <c r="AJ30"/>
  <c r="AJ46" s="1"/>
  <c r="AJ432" s="1"/>
  <c r="AJ21"/>
  <c r="AJ37" s="1"/>
  <c r="AF21"/>
  <c r="AF37" s="1"/>
  <c r="AF30"/>
  <c r="AF46" s="1"/>
  <c r="AB30"/>
  <c r="AB46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AF377"/>
  <c r="H480"/>
  <c r="H470"/>
  <c r="W378"/>
  <c r="O382"/>
  <c r="O378"/>
  <c r="O374"/>
  <c r="J379"/>
  <c r="J375"/>
  <c r="AH23"/>
  <c r="AH39" s="1"/>
  <c r="AH30"/>
  <c r="AH46" s="1"/>
  <c r="AD23"/>
  <c r="AD39" s="1"/>
  <c r="AD30"/>
  <c r="AD46" s="1"/>
  <c r="AD432" s="1"/>
  <c r="Z23"/>
  <c r="Z39" s="1"/>
  <c r="Z30"/>
  <c r="Z46" s="1"/>
  <c r="V23"/>
  <c r="V39" s="1"/>
  <c r="V30"/>
  <c r="V46" s="1"/>
  <c r="R23"/>
  <c r="R39" s="1"/>
  <c r="R30"/>
  <c r="R46" s="1"/>
  <c r="N23"/>
  <c r="N39" s="1"/>
  <c r="N30"/>
  <c r="N46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DF219" l="1"/>
  <c r="W374"/>
  <c r="AG380"/>
  <c r="AJ377"/>
  <c r="AJ378"/>
  <c r="W376"/>
  <c r="L379"/>
  <c r="AG375"/>
  <c r="AJ374"/>
  <c r="AJ382"/>
  <c r="AB378"/>
  <c r="K378"/>
  <c r="S376"/>
  <c r="AG373"/>
  <c r="AJ380"/>
  <c r="AJ381"/>
  <c r="AH379"/>
  <c r="AH422"/>
  <c r="AH431" s="1"/>
  <c r="AH449" s="1"/>
  <c r="AC378"/>
  <c r="AC422"/>
  <c r="AC429" s="1"/>
  <c r="AC447" s="1"/>
  <c r="Q382"/>
  <c r="Q422"/>
  <c r="Q431" s="1"/>
  <c r="Q449" s="1"/>
  <c r="T381"/>
  <c r="T422"/>
  <c r="T429" s="1"/>
  <c r="T447" s="1"/>
  <c r="AF380"/>
  <c r="AF422"/>
  <c r="AF432" s="1"/>
  <c r="AF450" s="1"/>
  <c r="M373"/>
  <c r="M422"/>
  <c r="M432" s="1"/>
  <c r="M450" s="1"/>
  <c r="G428"/>
  <c r="G446" s="1"/>
  <c r="AK373"/>
  <c r="AK379"/>
  <c r="Z380"/>
  <c r="Z375"/>
  <c r="AB379"/>
  <c r="AB381"/>
  <c r="AK380"/>
  <c r="Z373"/>
  <c r="W373"/>
  <c r="Z382"/>
  <c r="AE432"/>
  <c r="AE450" s="1"/>
  <c r="AA374"/>
  <c r="AA422"/>
  <c r="AI378"/>
  <c r="AI422"/>
  <c r="AI427" s="1"/>
  <c r="AI445" s="1"/>
  <c r="AK381"/>
  <c r="AK422"/>
  <c r="AB376"/>
  <c r="AB422"/>
  <c r="AB432" s="1"/>
  <c r="AB450" s="1"/>
  <c r="AE378"/>
  <c r="AE422"/>
  <c r="X373"/>
  <c r="X422"/>
  <c r="X432" s="1"/>
  <c r="X450" s="1"/>
  <c r="S373"/>
  <c r="S422"/>
  <c r="AG378"/>
  <c r="AG422"/>
  <c r="AG432" s="1"/>
  <c r="AG450" s="1"/>
  <c r="V376"/>
  <c r="V422"/>
  <c r="R379"/>
  <c r="R422"/>
  <c r="R429" s="1"/>
  <c r="R447" s="1"/>
  <c r="Y373"/>
  <c r="Y422"/>
  <c r="L382"/>
  <c r="L422"/>
  <c r="L424" s="1"/>
  <c r="L442" s="1"/>
  <c r="G423"/>
  <c r="G441" s="1"/>
  <c r="G430"/>
  <c r="G448" s="1"/>
  <c r="Z432"/>
  <c r="Z450" s="1"/>
  <c r="Z379"/>
  <c r="AB382"/>
  <c r="AK382"/>
  <c r="AI382"/>
  <c r="AB374"/>
  <c r="G427"/>
  <c r="H460"/>
  <c r="N432"/>
  <c r="N450" s="1"/>
  <c r="V432"/>
  <c r="V450" s="1"/>
  <c r="G382"/>
  <c r="W382"/>
  <c r="AB377"/>
  <c r="AK376"/>
  <c r="X381"/>
  <c r="AI373"/>
  <c r="AA382"/>
  <c r="H502"/>
  <c r="AK374"/>
  <c r="Z378"/>
  <c r="AB380"/>
  <c r="DN214"/>
  <c r="DF217"/>
  <c r="DH212"/>
  <c r="DM213"/>
  <c r="DF218"/>
  <c r="DH216"/>
  <c r="ES108"/>
  <c r="DI214"/>
  <c r="EY98"/>
  <c r="DO213"/>
  <c r="EV98"/>
  <c r="DL213"/>
  <c r="EU98"/>
  <c r="DK213"/>
  <c r="EY88"/>
  <c r="DO212"/>
  <c r="EX98"/>
  <c r="DN213"/>
  <c r="EW108"/>
  <c r="DM214"/>
  <c r="FA88"/>
  <c r="DQ212"/>
  <c r="EZ98"/>
  <c r="DP213"/>
  <c r="DN212"/>
  <c r="DM221"/>
  <c r="DG213"/>
  <c r="DJ215"/>
  <c r="DH213"/>
  <c r="DH217"/>
  <c r="DI215"/>
  <c r="DL221"/>
  <c r="DL212"/>
  <c r="DN221"/>
  <c r="EQ148"/>
  <c r="DG218"/>
  <c r="EW88"/>
  <c r="DM212"/>
  <c r="ER118"/>
  <c r="DH215"/>
  <c r="EU108"/>
  <c r="DK214"/>
  <c r="ES168"/>
  <c r="DI220"/>
  <c r="EV118"/>
  <c r="DL215"/>
  <c r="EU88"/>
  <c r="DK212"/>
  <c r="EQ128"/>
  <c r="DG216"/>
  <c r="DO215"/>
  <c r="DG215"/>
  <c r="DO214"/>
  <c r="DG212"/>
  <c r="DK215"/>
  <c r="DL214"/>
  <c r="DJ214"/>
  <c r="DG217"/>
  <c r="DQ213"/>
  <c r="DN215"/>
  <c r="DM215"/>
  <c r="DH218"/>
  <c r="DP214"/>
  <c r="DP212"/>
  <c r="DI219"/>
  <c r="N424"/>
  <c r="N442" s="1"/>
  <c r="AD424"/>
  <c r="AD442" s="1"/>
  <c r="W426"/>
  <c r="W444" s="1"/>
  <c r="N426"/>
  <c r="N444" s="1"/>
  <c r="AH428"/>
  <c r="AH446" s="1"/>
  <c r="N425"/>
  <c r="N443" s="1"/>
  <c r="AD425"/>
  <c r="AD443" s="1"/>
  <c r="W424"/>
  <c r="W442" s="1"/>
  <c r="V427"/>
  <c r="V445" s="1"/>
  <c r="W423"/>
  <c r="W441" s="1"/>
  <c r="T423"/>
  <c r="T441" s="1"/>
  <c r="J427"/>
  <c r="J445" s="1"/>
  <c r="S61"/>
  <c r="S432"/>
  <c r="S450" s="1"/>
  <c r="AD423"/>
  <c r="AD441" s="1"/>
  <c r="AA432"/>
  <c r="AA450" s="1"/>
  <c r="Q426"/>
  <c r="Q444" s="1"/>
  <c r="H427"/>
  <c r="H445" s="1"/>
  <c r="AK427"/>
  <c r="AK445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K425"/>
  <c r="K443" s="1"/>
  <c r="AK425"/>
  <c r="AK443" s="1"/>
  <c r="AJ427"/>
  <c r="AJ445" s="1"/>
  <c r="J424"/>
  <c r="J442" s="1"/>
  <c r="Z424"/>
  <c r="Z442" s="1"/>
  <c r="J426"/>
  <c r="J444" s="1"/>
  <c r="Z426"/>
  <c r="Z444" s="1"/>
  <c r="AD428"/>
  <c r="AD446" s="1"/>
  <c r="AD430"/>
  <c r="AD448" s="1"/>
  <c r="AJ423"/>
  <c r="AJ441" s="1"/>
  <c r="Z431"/>
  <c r="Z449" s="1"/>
  <c r="AI423"/>
  <c r="AI441" s="1"/>
  <c r="M61"/>
  <c r="AK424"/>
  <c r="AK442" s="1"/>
  <c r="N431"/>
  <c r="N449" s="1"/>
  <c r="I423"/>
  <c r="I441" s="1"/>
  <c r="H432"/>
  <c r="H450" s="1"/>
  <c r="P425"/>
  <c r="P443" s="1"/>
  <c r="M426"/>
  <c r="M444" s="1"/>
  <c r="H428"/>
  <c r="H446" s="1"/>
  <c r="AJ429"/>
  <c r="AJ447" s="1"/>
  <c r="W428"/>
  <c r="W446" s="1"/>
  <c r="O429"/>
  <c r="O447" s="1"/>
  <c r="AK429"/>
  <c r="AK447" s="1"/>
  <c r="K430"/>
  <c r="K448" s="1"/>
  <c r="AE431"/>
  <c r="AE449" s="1"/>
  <c r="T428"/>
  <c r="T446" s="1"/>
  <c r="U427"/>
  <c r="U445" s="1"/>
  <c r="Q423"/>
  <c r="Q441" s="1"/>
  <c r="V426"/>
  <c r="V444" s="1"/>
  <c r="AH425"/>
  <c r="AH443" s="1"/>
  <c r="Z430"/>
  <c r="Z448" s="1"/>
  <c r="O424"/>
  <c r="O442" s="1"/>
  <c r="AE424"/>
  <c r="AE442" s="1"/>
  <c r="I61"/>
  <c r="I432"/>
  <c r="I450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V423"/>
  <c r="V441" s="1"/>
  <c r="U423"/>
  <c r="U441" s="1"/>
  <c r="AK61"/>
  <c r="AK432"/>
  <c r="AK450" s="1"/>
  <c r="Y424"/>
  <c r="Y442" s="1"/>
  <c r="H425"/>
  <c r="H443" s="1"/>
  <c r="S425"/>
  <c r="S443" s="1"/>
  <c r="I426"/>
  <c r="I444" s="1"/>
  <c r="Y426"/>
  <c r="Y444" s="1"/>
  <c r="I427"/>
  <c r="I445" s="1"/>
  <c r="O427"/>
  <c r="O445" s="1"/>
  <c r="AA427"/>
  <c r="AA445" s="1"/>
  <c r="Q428"/>
  <c r="Q446" s="1"/>
  <c r="L429"/>
  <c r="L447" s="1"/>
  <c r="S428"/>
  <c r="S446" s="1"/>
  <c r="K429"/>
  <c r="K447" s="1"/>
  <c r="AA429"/>
  <c r="AA447" s="1"/>
  <c r="W430"/>
  <c r="W448" s="1"/>
  <c r="U430"/>
  <c r="U448" s="1"/>
  <c r="I431"/>
  <c r="I449" s="1"/>
  <c r="AF431"/>
  <c r="AF449" s="1"/>
  <c r="W431"/>
  <c r="W449" s="1"/>
  <c r="S431"/>
  <c r="S449" s="1"/>
  <c r="AJ428"/>
  <c r="AJ446" s="1"/>
  <c r="AJ424"/>
  <c r="AJ442" s="1"/>
  <c r="I425"/>
  <c r="I443" s="1"/>
  <c r="Y431"/>
  <c r="Y449" s="1"/>
  <c r="AH423"/>
  <c r="AH441" s="1"/>
  <c r="L425"/>
  <c r="L443" s="1"/>
  <c r="H426"/>
  <c r="H444" s="1"/>
  <c r="AE429"/>
  <c r="AE447" s="1"/>
  <c r="AJ430"/>
  <c r="AJ448" s="1"/>
  <c r="AD426"/>
  <c r="AD444" s="1"/>
  <c r="V425"/>
  <c r="V443" s="1"/>
  <c r="H423"/>
  <c r="H441" s="1"/>
  <c r="N429"/>
  <c r="N447" s="1"/>
  <c r="V431"/>
  <c r="V449" s="1"/>
  <c r="N423"/>
  <c r="N441" s="1"/>
  <c r="AE425"/>
  <c r="AE443" s="1"/>
  <c r="S427"/>
  <c r="S445" s="1"/>
  <c r="K428"/>
  <c r="K446" s="1"/>
  <c r="U428"/>
  <c r="U446" s="1"/>
  <c r="I429"/>
  <c r="I447" s="1"/>
  <c r="Y429"/>
  <c r="Y447" s="1"/>
  <c r="H430"/>
  <c r="H448" s="1"/>
  <c r="AB424"/>
  <c r="AB442" s="1"/>
  <c r="U425"/>
  <c r="U443" s="1"/>
  <c r="AK423"/>
  <c r="AK441" s="1"/>
  <c r="P430"/>
  <c r="P448" s="1"/>
  <c r="S426"/>
  <c r="S444" s="1"/>
  <c r="N428"/>
  <c r="N446" s="1"/>
  <c r="N430"/>
  <c r="N448" s="1"/>
  <c r="S424"/>
  <c r="S442" s="1"/>
  <c r="N427"/>
  <c r="N445" s="1"/>
  <c r="Z429"/>
  <c r="Z447" s="1"/>
  <c r="S423"/>
  <c r="S441" s="1"/>
  <c r="K432"/>
  <c r="K450" s="1"/>
  <c r="Z423"/>
  <c r="Z441" s="1"/>
  <c r="Y432"/>
  <c r="Y450" s="1"/>
  <c r="O432"/>
  <c r="O450" s="1"/>
  <c r="U61"/>
  <c r="U432"/>
  <c r="U450" s="1"/>
  <c r="AA425"/>
  <c r="AA443" s="1"/>
  <c r="K427"/>
  <c r="K445" s="1"/>
  <c r="AE427"/>
  <c r="AE445" s="1"/>
  <c r="Y428"/>
  <c r="Y446" s="1"/>
  <c r="U429"/>
  <c r="U447" s="1"/>
  <c r="AE430"/>
  <c r="AE448" s="1"/>
  <c r="AA430"/>
  <c r="AA448" s="1"/>
  <c r="M431"/>
  <c r="M449" s="1"/>
  <c r="AA431"/>
  <c r="AA449" s="1"/>
  <c r="P427"/>
  <c r="P445" s="1"/>
  <c r="X425"/>
  <c r="X443" s="1"/>
  <c r="P426"/>
  <c r="P444" s="1"/>
  <c r="AK431"/>
  <c r="AK449" s="1"/>
  <c r="V424"/>
  <c r="V442" s="1"/>
  <c r="O426"/>
  <c r="O444" s="1"/>
  <c r="AE426"/>
  <c r="AE444" s="1"/>
  <c r="Z428"/>
  <c r="Z446" s="1"/>
  <c r="Z425"/>
  <c r="Z443" s="1"/>
  <c r="K426"/>
  <c r="K444" s="1"/>
  <c r="AA426"/>
  <c r="AA444" s="1"/>
  <c r="V428"/>
  <c r="V446" s="1"/>
  <c r="V430"/>
  <c r="V448" s="1"/>
  <c r="K424"/>
  <c r="K442" s="1"/>
  <c r="AA424"/>
  <c r="AA442" s="1"/>
  <c r="K423"/>
  <c r="K441" s="1"/>
  <c r="AA423"/>
  <c r="AA441" s="1"/>
  <c r="U424"/>
  <c r="U442" s="1"/>
  <c r="R427"/>
  <c r="R445" s="1"/>
  <c r="V429"/>
  <c r="V447" s="1"/>
  <c r="AD431"/>
  <c r="AD449" s="1"/>
  <c r="W61"/>
  <c r="W432"/>
  <c r="W450" s="1"/>
  <c r="J423"/>
  <c r="J441" s="1"/>
  <c r="Q432"/>
  <c r="Q450" s="1"/>
  <c r="AI61"/>
  <c r="AI432"/>
  <c r="AI450" s="1"/>
  <c r="I424"/>
  <c r="I442" s="1"/>
  <c r="G425"/>
  <c r="G443" s="1"/>
  <c r="AI425"/>
  <c r="AI443" s="1"/>
  <c r="U426"/>
  <c r="U444" s="1"/>
  <c r="AK426"/>
  <c r="AK444" s="1"/>
  <c r="Y427"/>
  <c r="Y445" s="1"/>
  <c r="T427"/>
  <c r="T445" s="1"/>
  <c r="W427"/>
  <c r="W445" s="1"/>
  <c r="I428"/>
  <c r="I446" s="1"/>
  <c r="AK428"/>
  <c r="AK446" s="1"/>
  <c r="H429"/>
  <c r="H447" s="1"/>
  <c r="O428"/>
  <c r="O446" s="1"/>
  <c r="AE428"/>
  <c r="AE446" s="1"/>
  <c r="G429"/>
  <c r="G447" s="1"/>
  <c r="W429"/>
  <c r="W447" s="1"/>
  <c r="P429"/>
  <c r="P447" s="1"/>
  <c r="S430"/>
  <c r="S448" s="1"/>
  <c r="Y430"/>
  <c r="Y448" s="1"/>
  <c r="AJ431"/>
  <c r="AJ449" s="1"/>
  <c r="U431"/>
  <c r="U449" s="1"/>
  <c r="O431"/>
  <c r="O449" s="1"/>
  <c r="G431"/>
  <c r="G449" s="1"/>
  <c r="AB428"/>
  <c r="AB446" s="1"/>
  <c r="P424"/>
  <c r="P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Z376"/>
  <c r="Z377"/>
  <c r="T380"/>
  <c r="AF373"/>
  <c r="AE382"/>
  <c r="AC382"/>
  <c r="L381"/>
  <c r="DG235"/>
  <c r="AF382"/>
  <c r="AC380"/>
  <c r="H476"/>
  <c r="M379"/>
  <c r="M375"/>
  <c r="L376"/>
  <c r="L378"/>
  <c r="W381"/>
  <c r="W380"/>
  <c r="W375"/>
  <c r="T378"/>
  <c r="M376"/>
  <c r="M378"/>
  <c r="H474"/>
  <c r="Q379"/>
  <c r="T377"/>
  <c r="AF381"/>
  <c r="S374"/>
  <c r="M374"/>
  <c r="M382"/>
  <c r="L374"/>
  <c r="L373"/>
  <c r="V381"/>
  <c r="AF376"/>
  <c r="S379"/>
  <c r="S382"/>
  <c r="S375"/>
  <c r="Q376"/>
  <c r="AF375"/>
  <c r="Q374"/>
  <c r="S378"/>
  <c r="M381"/>
  <c r="L375"/>
  <c r="L377"/>
  <c r="H496"/>
  <c r="M377"/>
  <c r="G459"/>
  <c r="Y382"/>
  <c r="Y379"/>
  <c r="AH375"/>
  <c r="AC376"/>
  <c r="Y380"/>
  <c r="AA377"/>
  <c r="H500"/>
  <c r="Y375"/>
  <c r="Y377"/>
  <c r="AI381"/>
  <c r="AI380"/>
  <c r="AI377"/>
  <c r="AI375"/>
  <c r="AI379"/>
  <c r="AF379"/>
  <c r="AF374"/>
  <c r="AF378"/>
  <c r="H510"/>
  <c r="H482"/>
  <c r="H472"/>
  <c r="AC381"/>
  <c r="Y376"/>
  <c r="AI374"/>
  <c r="AA375"/>
  <c r="H490"/>
  <c r="Y374"/>
  <c r="DT212"/>
  <c r="DT214"/>
  <c r="EB217"/>
  <c r="DY221"/>
  <c r="EG217"/>
  <c r="EJ217"/>
  <c r="DY219"/>
  <c r="DF212"/>
  <c r="DF214"/>
  <c r="DG219"/>
  <c r="EK171"/>
  <c r="DF221"/>
  <c r="EK156"/>
  <c r="DF216"/>
  <c r="FU131"/>
  <c r="DH221"/>
  <c r="EY108"/>
  <c r="FB168"/>
  <c r="DR220"/>
  <c r="FQ168"/>
  <c r="EG220"/>
  <c r="FF118"/>
  <c r="DV215"/>
  <c r="FJ128"/>
  <c r="DZ216"/>
  <c r="FS98"/>
  <c r="EI213"/>
  <c r="FH148"/>
  <c r="DX218"/>
  <c r="FM148"/>
  <c r="EC218"/>
  <c r="FE148"/>
  <c r="DU218"/>
  <c r="FS88"/>
  <c r="EI212"/>
  <c r="FG128"/>
  <c r="DW216"/>
  <c r="EY128"/>
  <c r="DO216"/>
  <c r="FR98"/>
  <c r="EH213"/>
  <c r="FB98"/>
  <c r="DR213"/>
  <c r="FR168"/>
  <c r="EH220"/>
  <c r="FT168"/>
  <c r="EJ220"/>
  <c r="FK168"/>
  <c r="EA220"/>
  <c r="FH118"/>
  <c r="DX215"/>
  <c r="FO148"/>
  <c r="EE218"/>
  <c r="EY148"/>
  <c r="DO218"/>
  <c r="FM88"/>
  <c r="EC212"/>
  <c r="FE88"/>
  <c r="DU212"/>
  <c r="FQ128"/>
  <c r="EG216"/>
  <c r="FA128"/>
  <c r="DQ216"/>
  <c r="FL98"/>
  <c r="EB213"/>
  <c r="FA108"/>
  <c r="DQ214"/>
  <c r="FI108"/>
  <c r="DY214"/>
  <c r="FQ108"/>
  <c r="EG214"/>
  <c r="FH168"/>
  <c r="DX220"/>
  <c r="FD168"/>
  <c r="DT220"/>
  <c r="FO168"/>
  <c r="EE220"/>
  <c r="FG168"/>
  <c r="DW220"/>
  <c r="EY168"/>
  <c r="DO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EB219"/>
  <c r="DZ219"/>
  <c r="DJ221"/>
  <c r="DQ219"/>
  <c r="EJ219"/>
  <c r="EF221"/>
  <c r="DG221"/>
  <c r="DN217"/>
  <c r="EJ216"/>
  <c r="EI215"/>
  <c r="ED214"/>
  <c r="EF212"/>
  <c r="DI217"/>
  <c r="DP216"/>
  <c r="DO221"/>
  <c r="FU92"/>
  <c r="DF215"/>
  <c r="DH219"/>
  <c r="DW217"/>
  <c r="EI219"/>
  <c r="EE221"/>
  <c r="DX219"/>
  <c r="DO217"/>
  <c r="DR212"/>
  <c r="EC221"/>
  <c r="EF216"/>
  <c r="DV212"/>
  <c r="DY217"/>
  <c r="DP220"/>
  <c r="FU162"/>
  <c r="DM219"/>
  <c r="EF220"/>
  <c r="EF217"/>
  <c r="EG219"/>
  <c r="EB221"/>
  <c r="DP217"/>
  <c r="EA221"/>
  <c r="EH221"/>
  <c r="DU219"/>
  <c r="EE219"/>
  <c r="DK217"/>
  <c r="DU217"/>
  <c r="DI213"/>
  <c r="DJ212"/>
  <c r="DZ212"/>
  <c r="DS221"/>
  <c r="EJ221"/>
  <c r="DR218"/>
  <c r="EE215"/>
  <c r="EH214"/>
  <c r="EI221"/>
  <c r="DO219"/>
  <c r="DV217"/>
  <c r="EA215"/>
  <c r="DZ214"/>
  <c r="EJ212"/>
  <c r="ED221"/>
  <c r="DW219"/>
  <c r="DX217"/>
  <c r="DX214"/>
  <c r="DJ219"/>
  <c r="DT217"/>
  <c r="EB214"/>
  <c r="DL220"/>
  <c r="DL217"/>
  <c r="FG108"/>
  <c r="DW214"/>
  <c r="FO108"/>
  <c r="EE214"/>
  <c r="FF168"/>
  <c r="DV220"/>
  <c r="FL168"/>
  <c r="EB220"/>
  <c r="FI168"/>
  <c r="DY220"/>
  <c r="FA168"/>
  <c r="DQ220"/>
  <c r="FN118"/>
  <c r="ED215"/>
  <c r="EX118"/>
  <c r="ET128"/>
  <c r="DJ216"/>
  <c r="FM118"/>
  <c r="EC215"/>
  <c r="FC98"/>
  <c r="DS213"/>
  <c r="FK88"/>
  <c r="EA212"/>
  <c r="FC88"/>
  <c r="DS212"/>
  <c r="FO128"/>
  <c r="EE216"/>
  <c r="FJ98"/>
  <c r="DZ213"/>
  <c r="ET98"/>
  <c r="DJ213"/>
  <c r="FE108"/>
  <c r="DU214"/>
  <c r="FM108"/>
  <c r="EC214"/>
  <c r="FN168"/>
  <c r="ED220"/>
  <c r="FS168"/>
  <c r="EI220"/>
  <c r="FC168"/>
  <c r="DS220"/>
  <c r="FP118"/>
  <c r="EF215"/>
  <c r="EZ118"/>
  <c r="FF128"/>
  <c r="DV216"/>
  <c r="FI118"/>
  <c r="DY215"/>
  <c r="FO98"/>
  <c r="EE213"/>
  <c r="FL148"/>
  <c r="EB218"/>
  <c r="FG148"/>
  <c r="DW218"/>
  <c r="FI128"/>
  <c r="DY216"/>
  <c r="ES128"/>
  <c r="DI216"/>
  <c r="FT98"/>
  <c r="EJ213"/>
  <c r="FD98"/>
  <c r="DT213"/>
  <c r="EW178"/>
  <c r="FU178" s="1"/>
  <c r="FC108"/>
  <c r="DS214"/>
  <c r="FK108"/>
  <c r="EA214"/>
  <c r="FS108"/>
  <c r="EI214"/>
  <c r="ER168"/>
  <c r="DH220"/>
  <c r="FM168"/>
  <c r="EC220"/>
  <c r="FE168"/>
  <c r="DU220"/>
  <c r="FR118"/>
  <c r="EH215"/>
  <c r="FJ118"/>
  <c r="DZ215"/>
  <c r="FB118"/>
  <c r="DR215"/>
  <c r="FB128"/>
  <c r="DR216"/>
  <c r="FR128"/>
  <c r="EH216"/>
  <c r="FE118"/>
  <c r="DU215"/>
  <c r="FK98"/>
  <c r="EA213"/>
  <c r="FP148"/>
  <c r="EF218"/>
  <c r="EZ148"/>
  <c r="DP218"/>
  <c r="FQ148"/>
  <c r="EG218"/>
  <c r="FI148"/>
  <c r="DY218"/>
  <c r="FA148"/>
  <c r="DQ218"/>
  <c r="FO88"/>
  <c r="EE212"/>
  <c r="FG88"/>
  <c r="DW212"/>
  <c r="EQ88"/>
  <c r="FS128"/>
  <c r="EI216"/>
  <c r="FK128"/>
  <c r="EA216"/>
  <c r="FC128"/>
  <c r="DS216"/>
  <c r="EU128"/>
  <c r="DK216"/>
  <c r="FN98"/>
  <c r="ED213"/>
  <c r="FF98"/>
  <c r="DV213"/>
  <c r="DX221"/>
  <c r="DN218"/>
  <c r="DW221"/>
  <c r="DS215"/>
  <c r="ED218"/>
  <c r="DT221"/>
  <c r="EA219"/>
  <c r="EE217"/>
  <c r="EI217"/>
  <c r="FU137"/>
  <c r="FU170"/>
  <c r="FU173"/>
  <c r="DU221"/>
  <c r="DW215"/>
  <c r="DT219"/>
  <c r="DI221"/>
  <c r="DR219"/>
  <c r="DZ218"/>
  <c r="DX216"/>
  <c r="DY213"/>
  <c r="EH212"/>
  <c r="DJ220"/>
  <c r="DV214"/>
  <c r="DZ220"/>
  <c r="EC219"/>
  <c r="EC213"/>
  <c r="EH219"/>
  <c r="DR217"/>
  <c r="DP221"/>
  <c r="ED219"/>
  <c r="ED217"/>
  <c r="DV221"/>
  <c r="EF219"/>
  <c r="EB212"/>
  <c r="FU125"/>
  <c r="FU106"/>
  <c r="FU102"/>
  <c r="DF220"/>
  <c r="DF213"/>
  <c r="FU147"/>
  <c r="FU129"/>
  <c r="FU158"/>
  <c r="DG214"/>
  <c r="DL219"/>
  <c r="DQ221"/>
  <c r="DN219"/>
  <c r="EF214"/>
  <c r="DQ217"/>
  <c r="EG213"/>
  <c r="DV219"/>
  <c r="EB216"/>
  <c r="EG221"/>
  <c r="DJ217"/>
  <c r="EH217"/>
  <c r="EJ214"/>
  <c r="DP219"/>
  <c r="DZ217"/>
  <c r="ED212"/>
  <c r="DS219"/>
  <c r="DS217"/>
  <c r="DZ221"/>
  <c r="DK219"/>
  <c r="DV218"/>
  <c r="EA217"/>
  <c r="DT216"/>
  <c r="DR214"/>
  <c r="DU213"/>
  <c r="DX212"/>
  <c r="DK221"/>
  <c r="EH218"/>
  <c r="DM217"/>
  <c r="DR221"/>
  <c r="EC217"/>
  <c r="DL216"/>
  <c r="DH214"/>
  <c r="EW118"/>
  <c r="ET118"/>
  <c r="FA91"/>
  <c r="EU91"/>
  <c r="EV123"/>
  <c r="EU123"/>
  <c r="ET155"/>
  <c r="DJ218"/>
  <c r="ES155"/>
  <c r="DI218"/>
  <c r="ER148"/>
  <c r="EW116"/>
  <c r="EU116"/>
  <c r="ES116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DK220"/>
  <c r="FU165"/>
  <c r="EV153"/>
  <c r="DL218"/>
  <c r="EW154"/>
  <c r="DM218"/>
  <c r="EU154"/>
  <c r="DK218"/>
  <c r="K381"/>
  <c r="K379"/>
  <c r="K373"/>
  <c r="K380"/>
  <c r="K376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61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AF61"/>
  <c r="EP107"/>
  <c r="FU107" s="1"/>
  <c r="EK107"/>
  <c r="EP155"/>
  <c r="EK155"/>
  <c r="EP123"/>
  <c r="EK123"/>
  <c r="EP130"/>
  <c r="FU130" s="1"/>
  <c r="EK130"/>
  <c r="F517"/>
  <c r="I518" s="1"/>
  <c r="J518" s="1"/>
  <c r="G517"/>
  <c r="F501"/>
  <c r="G501"/>
  <c r="F485"/>
  <c r="G485"/>
  <c r="F469"/>
  <c r="I470" s="1"/>
  <c r="J470" s="1"/>
  <c r="G469"/>
  <c r="R61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G465"/>
  <c r="F465"/>
  <c r="I466" s="1"/>
  <c r="J466" s="1"/>
  <c r="G38"/>
  <c r="G424" s="1"/>
  <c r="D22"/>
  <c r="C373"/>
  <c r="D531"/>
  <c r="N61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L427" l="1"/>
  <c r="L445" s="1"/>
  <c r="AB425"/>
  <c r="AB443" s="1"/>
  <c r="L431"/>
  <c r="L449" s="1"/>
  <c r="I476"/>
  <c r="J476" s="1"/>
  <c r="I510"/>
  <c r="J510" s="1"/>
  <c r="K512" s="1"/>
  <c r="T430"/>
  <c r="T448" s="1"/>
  <c r="X429"/>
  <c r="X447" s="1"/>
  <c r="T432"/>
  <c r="T450" s="1"/>
  <c r="AI428"/>
  <c r="AI446" s="1"/>
  <c r="X424"/>
  <c r="X442" s="1"/>
  <c r="T431"/>
  <c r="T449" s="1"/>
  <c r="M429"/>
  <c r="M447" s="1"/>
  <c r="AC430"/>
  <c r="AC448" s="1"/>
  <c r="AC432"/>
  <c r="AC450" s="1"/>
  <c r="AG423"/>
  <c r="AG441" s="1"/>
  <c r="L423"/>
  <c r="L441" s="1"/>
  <c r="AC423"/>
  <c r="AC441" s="1"/>
  <c r="T425"/>
  <c r="T443" s="1"/>
  <c r="X431"/>
  <c r="X449" s="1"/>
  <c r="AI429"/>
  <c r="AI447" s="1"/>
  <c r="M430"/>
  <c r="M448" s="1"/>
  <c r="M423"/>
  <c r="M441" s="1"/>
  <c r="AG429"/>
  <c r="AG447" s="1"/>
  <c r="M424"/>
  <c r="M442" s="1"/>
  <c r="T426"/>
  <c r="T444" s="1"/>
  <c r="AC428"/>
  <c r="AC446" s="1"/>
  <c r="AC424"/>
  <c r="AC442" s="1"/>
  <c r="AC425"/>
  <c r="AC443" s="1"/>
  <c r="AC431"/>
  <c r="AC449" s="1"/>
  <c r="AC427"/>
  <c r="AC445" s="1"/>
  <c r="AC426"/>
  <c r="AC444" s="1"/>
  <c r="I502"/>
  <c r="J502" s="1"/>
  <c r="M428"/>
  <c r="M446" s="1"/>
  <c r="M427"/>
  <c r="M445" s="1"/>
  <c r="AI430"/>
  <c r="AI448" s="1"/>
  <c r="L426"/>
  <c r="L444" s="1"/>
  <c r="T424"/>
  <c r="T442" s="1"/>
  <c r="AB430"/>
  <c r="AB448" s="1"/>
  <c r="L432"/>
  <c r="L450" s="1"/>
  <c r="L430"/>
  <c r="L448" s="1"/>
  <c r="M425"/>
  <c r="M443" s="1"/>
  <c r="AG431"/>
  <c r="AG449" s="1"/>
  <c r="AG427"/>
  <c r="AG445" s="1"/>
  <c r="R432"/>
  <c r="R450" s="1"/>
  <c r="Q430"/>
  <c r="Q448" s="1"/>
  <c r="AF423"/>
  <c r="AF441" s="1"/>
  <c r="AH429"/>
  <c r="AH447" s="1"/>
  <c r="X430"/>
  <c r="X448" s="1"/>
  <c r="Q424"/>
  <c r="Q442" s="1"/>
  <c r="AF427"/>
  <c r="AF445" s="1"/>
  <c r="AH426"/>
  <c r="AH444" s="1"/>
  <c r="AH424"/>
  <c r="AH442" s="1"/>
  <c r="AG425"/>
  <c r="AG443" s="1"/>
  <c r="AB431"/>
  <c r="AB449" s="1"/>
  <c r="AG428"/>
  <c r="AG446" s="1"/>
  <c r="AH427"/>
  <c r="AH445" s="1"/>
  <c r="AI426"/>
  <c r="AI444" s="1"/>
  <c r="AF430"/>
  <c r="AF448" s="1"/>
  <c r="X428"/>
  <c r="X446" s="1"/>
  <c r="Q427"/>
  <c r="Q445" s="1"/>
  <c r="Q425"/>
  <c r="Q443" s="1"/>
  <c r="R430"/>
  <c r="R448" s="1"/>
  <c r="L428"/>
  <c r="L446" s="1"/>
  <c r="Q429"/>
  <c r="Q447" s="1"/>
  <c r="X427"/>
  <c r="X445" s="1"/>
  <c r="X423"/>
  <c r="X441" s="1"/>
  <c r="R431"/>
  <c r="R449" s="1"/>
  <c r="R425"/>
  <c r="R443" s="1"/>
  <c r="AG430"/>
  <c r="AG448" s="1"/>
  <c r="AI424"/>
  <c r="AI442" s="1"/>
  <c r="X426"/>
  <c r="X444" s="1"/>
  <c r="AH430"/>
  <c r="AH448" s="1"/>
  <c r="R428"/>
  <c r="R446" s="1"/>
  <c r="AF429"/>
  <c r="AF447" s="1"/>
  <c r="AH432"/>
  <c r="AH450" s="1"/>
  <c r="I474"/>
  <c r="J474" s="1"/>
  <c r="I460"/>
  <c r="J460" s="1"/>
  <c r="K462" s="1"/>
  <c r="AF426"/>
  <c r="AF444" s="1"/>
  <c r="AF424"/>
  <c r="AF442" s="1"/>
  <c r="AB429"/>
  <c r="AB447" s="1"/>
  <c r="AG424"/>
  <c r="AG442" s="1"/>
  <c r="R423"/>
  <c r="R441" s="1"/>
  <c r="R426"/>
  <c r="R444" s="1"/>
  <c r="R424"/>
  <c r="R442" s="1"/>
  <c r="AB423"/>
  <c r="AB441" s="1"/>
  <c r="AB426"/>
  <c r="AB444" s="1"/>
  <c r="AF428"/>
  <c r="AF446" s="1"/>
  <c r="AG426"/>
  <c r="AG444" s="1"/>
  <c r="AB427"/>
  <c r="AB445" s="1"/>
  <c r="AF425"/>
  <c r="AF443" s="1"/>
  <c r="J429"/>
  <c r="J447" s="1"/>
  <c r="J431"/>
  <c r="J449" s="1"/>
  <c r="I496"/>
  <c r="J496" s="1"/>
  <c r="K496" s="1"/>
  <c r="I482"/>
  <c r="J482" s="1"/>
  <c r="K484" s="1"/>
  <c r="I472"/>
  <c r="J472" s="1"/>
  <c r="K472" s="1"/>
  <c r="I504"/>
  <c r="J504" s="1"/>
  <c r="I490"/>
  <c r="J490" s="1"/>
  <c r="K490" s="1"/>
  <c r="I500"/>
  <c r="J500" s="1"/>
  <c r="FU108"/>
  <c r="FU153"/>
  <c r="Y11"/>
  <c r="AD9"/>
  <c r="Z9"/>
  <c r="X11"/>
  <c r="FU88"/>
  <c r="FU154"/>
  <c r="AD13"/>
  <c r="DG229"/>
  <c r="DG234"/>
  <c r="FU98"/>
  <c r="AC5" s="1"/>
  <c r="FU168"/>
  <c r="FU148"/>
  <c r="FU116"/>
  <c r="DG232"/>
  <c r="DG230"/>
  <c r="FU128"/>
  <c r="AD8" s="1"/>
  <c r="DG226"/>
  <c r="DG233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E57" s="1"/>
  <c r="K514"/>
  <c r="D375"/>
  <c r="E375" s="1"/>
  <c r="D32"/>
  <c r="AN15" s="1"/>
  <c r="D45"/>
  <c r="E45" s="1"/>
  <c r="FU175"/>
  <c r="AD11"/>
  <c r="AC11"/>
  <c r="G445"/>
  <c r="K494"/>
  <c r="AC9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9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0"/>
  <c r="K468"/>
  <c r="K504" l="1"/>
  <c r="K476"/>
  <c r="K478"/>
  <c r="K510"/>
  <c r="C445"/>
  <c r="K502"/>
  <c r="C447"/>
  <c r="C427"/>
  <c r="C449"/>
  <c r="AE8"/>
  <c r="AF8" s="1"/>
  <c r="K492"/>
  <c r="C431"/>
  <c r="K482"/>
  <c r="K506"/>
  <c r="C429"/>
  <c r="K474"/>
  <c r="K498"/>
  <c r="K500"/>
  <c r="F395"/>
  <c r="F381" s="1"/>
  <c r="E59" s="1"/>
  <c r="L59" s="1"/>
  <c r="F390"/>
  <c r="F376" s="1"/>
  <c r="E54" s="1"/>
  <c r="M54" s="1"/>
  <c r="DH235"/>
  <c r="F394"/>
  <c r="F380" s="1"/>
  <c r="E58" s="1"/>
  <c r="U58" s="1"/>
  <c r="AC6"/>
  <c r="AE6"/>
  <c r="AD6"/>
  <c r="AE7"/>
  <c r="DH230"/>
  <c r="AA11"/>
  <c r="DH232"/>
  <c r="AC4"/>
  <c r="DH229"/>
  <c r="AA9"/>
  <c r="AE5"/>
  <c r="AD5"/>
  <c r="AE10"/>
  <c r="AF9"/>
  <c r="DH234"/>
  <c r="AC8"/>
  <c r="AA13"/>
  <c r="AF13"/>
  <c r="AC12"/>
  <c r="DH226"/>
  <c r="DH233"/>
  <c r="AC7"/>
  <c r="DH228"/>
  <c r="AD4"/>
  <c r="AE4"/>
  <c r="AD7"/>
  <c r="DH227"/>
  <c r="AD10"/>
  <c r="AC10"/>
  <c r="DH231"/>
  <c r="AA6"/>
  <c r="F396"/>
  <c r="F382" s="1"/>
  <c r="E60" s="1"/>
  <c r="K60" s="1"/>
  <c r="F392"/>
  <c r="F378" s="1"/>
  <c r="E56" s="1"/>
  <c r="K56" s="1"/>
  <c r="F389"/>
  <c r="F375" s="1"/>
  <c r="E53" s="1"/>
  <c r="J53" s="1"/>
  <c r="K460"/>
  <c r="F391"/>
  <c r="F377" s="1"/>
  <c r="E55" s="1"/>
  <c r="K488"/>
  <c r="AD12"/>
  <c r="AA12"/>
  <c r="AE12"/>
  <c r="AF11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F388"/>
  <c r="F374" s="1"/>
  <c r="E52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59" l="1"/>
  <c r="M58"/>
  <c r="Q59"/>
  <c r="Z58"/>
  <c r="Z59"/>
  <c r="P59"/>
  <c r="AD58"/>
  <c r="AG54"/>
  <c r="R54"/>
  <c r="AE54"/>
  <c r="AH54"/>
  <c r="L54"/>
  <c r="H54"/>
  <c r="AA54"/>
  <c r="AF54"/>
  <c r="AC54"/>
  <c r="Y54"/>
  <c r="AK54"/>
  <c r="Q54"/>
  <c r="K54"/>
  <c r="AD54"/>
  <c r="AJ54"/>
  <c r="W54"/>
  <c r="AJ58"/>
  <c r="AE58"/>
  <c r="AF58"/>
  <c r="Y58"/>
  <c r="T58"/>
  <c r="P58"/>
  <c r="V58"/>
  <c r="V59"/>
  <c r="O59"/>
  <c r="AK58"/>
  <c r="R58"/>
  <c r="AG58"/>
  <c r="J58"/>
  <c r="AB58"/>
  <c r="AH58"/>
  <c r="N58"/>
  <c r="I58"/>
  <c r="O58"/>
  <c r="G58"/>
  <c r="W58"/>
  <c r="H58"/>
  <c r="AK59"/>
  <c r="AE59"/>
  <c r="AI58"/>
  <c r="Q58"/>
  <c r="AA58"/>
  <c r="AC58"/>
  <c r="L58"/>
  <c r="X58"/>
  <c r="S58"/>
  <c r="K58"/>
  <c r="Y59"/>
  <c r="AI59"/>
  <c r="S59"/>
  <c r="T59"/>
  <c r="M59"/>
  <c r="AG59"/>
  <c r="AC59"/>
  <c r="J59"/>
  <c r="W59"/>
  <c r="G59"/>
  <c r="X59"/>
  <c r="H59"/>
  <c r="O54"/>
  <c r="I54"/>
  <c r="G54"/>
  <c r="V54"/>
  <c r="P54"/>
  <c r="U54"/>
  <c r="N54"/>
  <c r="AD59"/>
  <c r="AH59"/>
  <c r="AJ59"/>
  <c r="U59"/>
  <c r="N59"/>
  <c r="I59"/>
  <c r="R59"/>
  <c r="AA59"/>
  <c r="K59"/>
  <c r="AB59"/>
  <c r="AB54"/>
  <c r="J54"/>
  <c r="X54"/>
  <c r="AI54"/>
  <c r="S54"/>
  <c r="T54"/>
  <c r="Z54"/>
  <c r="AF6"/>
  <c r="AF7"/>
  <c r="AF10"/>
  <c r="AF5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I520"/>
  <c r="F522" s="1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 l="1"/>
  <c r="D58"/>
  <c r="D54"/>
  <c r="D56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<sst xmlns="http://schemas.openxmlformats.org/spreadsheetml/2006/main" count="1032" uniqueCount="150">
  <si>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</si>
  <si>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</si>
  <si>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</si>
  <si>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</si>
  <si>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</si>
  <si>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</si>
  <si>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</si>
  <si>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</si>
  <si>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</si>
  <si>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</si>
  <si>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</si>
  <si>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</si>
  <si>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</si>
  <si>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</si>
  <si>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</si>
  <si>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</si>
  <si>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</si>
  <si>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</si>
  <si>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</si>
  <si>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</si>
  <si>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</si>
  <si>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</si>
  <si>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</si>
  <si>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</si>
  <si>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</si>
  <si>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</si>
  <si>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</si>
  <si>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</si>
  <si>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</si>
  <si>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</si>
  <si>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</si>
  <si>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</si>
  <si>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</si>
  <si>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</si>
  <si>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</si>
  <si>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</si>
  <si>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</si>
  <si>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</si>
  <si>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</si>
  <si>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</si>
  <si>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</si>
  <si>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</si>
  <si>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</si>
  <si>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</si>
  <si>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</si>
  <si>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</si>
  <si>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</si>
  <si>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</si>
  <si>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</si>
  <si>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</si>
  <si>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</si>
  <si>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</si>
  <si>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</si>
  <si>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</si>
  <si>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</si>
  <si>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</si>
  <si>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</si>
  <si>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</si>
  <si>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</si>
  <si>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</si>
  <si>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</si>
  <si>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</si>
  <si>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</si>
  <si>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</si>
  <si>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</si>
  <si>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</si>
  <si>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</si>
  <si>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</si>
  <si>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</si>
  <si>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</si>
  <si>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</si>
  <si>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</si>
  <si>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</si>
  <si>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</si>
  <si>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</si>
  <si>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</si>
  <si>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</si>
  <si>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</si>
  <si>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</si>
  <si>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</si>
  <si>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</si>
  <si>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</si>
  <si>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</si>
  <si>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</si>
  <si>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</si>
  <si>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</si>
  <si>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</si>
  <si>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</si>
  <si>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</si>
  <si>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</si>
  <si>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</si>
  <si>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</si>
  <si>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</si>
  <si>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</si>
  <si>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</si>
  <si>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</si>
  <si>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</si>
  <si>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</si>
  <si>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</si>
  <si>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</si>
  <si>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</si>
  <si>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</si>
  <si>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</si>
  <si>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</si>
  <si>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</si>
  <si>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</si>
  <si>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</si>
  <si>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</si>
  <si>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</si>
  <si>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</si>
  <si>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</si>
  <si>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</si>
  <si>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</si>
  <si>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</si>
  <si>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</si>
  <si>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</si>
  <si>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</si>
  <si>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</si>
  <si>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</si>
  <si>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</si>
  <si>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</si>
  <si>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</si>
  <si>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</si>
  <si>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</si>
  <si>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</si>
  <si>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</si>
  <si>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</si>
  <si>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</si>
  <si>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</si>
  <si>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</si>
  <si>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</si>
  <si>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</si>
  <si>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</si>
  <si>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</si>
  <si>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</si>
  <si>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</si>
  <si>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</si>
  <si>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</si>
  <si>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</si>
  <si>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</si>
  <si>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</si>
  <si>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</si>
  <si>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</si>
  <si>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Inerval Growth Boot</t>
  </si>
  <si>
    <t>Boot</t>
  </si>
  <si>
    <t>Interval Growth Variation</t>
  </si>
  <si>
    <t>Avg. Boot</t>
  </si>
  <si>
    <t>Upper 95% CI</t>
  </si>
  <si>
    <t>Lower 95% CI</t>
  </si>
  <si>
    <t>Baetis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</si>
</sst>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66"/>
        <bgColor indexed="64"/>
      </patternFill>
    </fill>
  </fills>
  <borders count="1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4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 applyProtection="0"/>
    <xf numFmtId="0" fontId="24" fillId="6" borderId="0" applyNumberFormat="0" applyBorder="0" applyAlignment="0" applyProtection="0"/>
    <xf numFmtId="0" fontId="24" fillId="8" borderId="0" applyNumberFormat="0" applyBorder="0" applyAlignment="0" applyProtection="0"/>
    <xf numFmtId="0" fontId="24" fillId="3" borderId="0" applyNumberFormat="0" applyBorder="0" applyAlignment="0" applyProtection="0"/>
    <xf numFmtId="0" fontId="24" fillId="11" borderId="0" applyNumberFormat="0" applyBorder="0" applyAlignment="0" applyProtection="0"/>
    <xf numFmtId="0" fontId="24" fillId="6" borderId="0" applyNumberFormat="0" applyBorder="0" applyAlignment="0" applyProtection="0"/>
    <xf numFmtId="0" fontId="24" fillId="4" borderId="0" applyNumberFormat="0" applyBorder="0" applyAlignment="0" applyProtection="0"/>
    <xf numFmtId="0" fontId="24" fillId="7" borderId="0" applyNumberFormat="0" applyBorder="0" applyAlignment="0" applyProtection="0"/>
    <xf numFmtId="0" fontId="24" fillId="9" borderId="0" applyNumberFormat="0" applyBorder="0" applyAlignment="0" applyProtection="0"/>
    <xf numFmtId="0" fontId="24" fillId="4" borderId="0" applyNumberFormat="0" applyBorder="0" applyAlignment="0" applyProtection="0"/>
    <xf numFmtId="0" fontId="24" fillId="12" borderId="0" applyNumberFormat="0" applyBorder="0" applyAlignment="0" applyProtection="0"/>
    <xf numFmtId="0" fontId="24" fillId="6" borderId="0" applyNumberFormat="0" applyBorder="0" applyAlignment="0" applyProtection="0"/>
    <xf numFmtId="0" fontId="25" fillId="2" borderId="0" applyNumberFormat="0" applyBorder="0" applyAlignment="0" applyProtection="0"/>
    <xf numFmtId="0" fontId="25" fillId="7" borderId="0" applyNumberFormat="0" applyBorder="0" applyAlignment="0" applyProtection="0"/>
    <xf numFmtId="0" fontId="25" fillId="9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6" borderId="0" applyNumberFormat="0" applyBorder="0" applyAlignment="0" applyProtection="0"/>
    <xf numFmtId="0" fontId="38" fillId="0" borderId="0" applyNumberFormat="0" applyFill="0" applyBorder="0" applyAlignment="0" applyProtection="0"/>
  </cellStyleXfs>
  <cellXfs count="227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0" borderId="0" xfId="0" applyFill="1"/>
    <xf numFmtId="0" fontId="1" fillId="30" borderId="10" xfId="0" applyFont="1" applyFill="1" applyBorder="1"/>
    <xf numFmtId="2" fontId="3" fillId="29" borderId="0" xfId="0" applyNumberFormat="1" applyFont="1" applyFill="1" applyBorder="1"/>
    <xf numFmtId="0" fontId="0" fillId="0" borderId="0" xfId="0"/>
    <xf numFmtId="0" fontId="0" fillId="0" borderId="0" xfId="0"/>
    <xf numFmtId="0" fontId="1" fillId="31" borderId="0" xfId="0" applyFont="1" applyFill="1"/>
    <xf numFmtId="0" fontId="1" fillId="32" borderId="12" xfId="0" applyFont="1" applyFill="1" applyBorder="1" applyAlignment="1"/>
    <xf numFmtId="0" fontId="1" fillId="32" borderId="13" xfId="0" applyFont="1" applyFill="1" applyBorder="1" applyAlignment="1">
      <alignment horizontal="center"/>
    </xf>
    <xf numFmtId="164" fontId="1" fillId="32" borderId="13" xfId="0" applyNumberFormat="1" applyFont="1" applyFill="1" applyBorder="1" applyAlignment="1"/>
    <xf numFmtId="0" fontId="1" fillId="33" borderId="10" xfId="0" applyFont="1" applyFill="1" applyBorder="1"/>
    <xf numFmtId="164" fontId="3" fillId="20" borderId="14" xfId="0" applyNumberFormat="1" applyFont="1" applyFill="1" applyBorder="1"/>
    <xf numFmtId="0" fontId="3" fillId="20" borderId="14" xfId="0" applyFont="1" applyFill="1" applyBorder="1"/>
    <xf numFmtId="0" fontId="3" fillId="20" borderId="0" xfId="0" applyFont="1" applyFill="1" applyBorder="1" applyAlignment="1">
      <alignment horizontal="center"/>
    </xf>
    <xf numFmtId="0" fontId="3" fillId="20" borderId="15" xfId="0" applyFont="1" applyFill="1" applyBorder="1" applyAlignment="1">
      <alignment horizontal="center"/>
    </xf>
    <xf numFmtId="0" fontId="3" fillId="20" borderId="0" xfId="0" applyFont="1" applyFill="1" applyBorder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1" borderId="11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  <xf numFmtId="0" fontId="43" fillId="20" borderId="11" xfId="0" applyFont="1" applyFill="1" applyBorder="1" applyAlignment="1">
      <alignment horizontal="center"/>
    </xf>
    <xf numFmtId="0" fontId="4" fillId="20" borderId="11" xfId="0" applyFont="1" applyFill="1" applyBorder="1" applyAlignment="1">
      <alignment horizontal="center"/>
    </xf>
    <xf numFmtId="0" fontId="3" fillId="20" borderId="17" xfId="0" applyFont="1" applyFill="1" applyBorder="1" applyAlignment="1">
      <alignment horizontal="center"/>
    </xf>
    <xf numFmtId="0" fontId="3" fillId="20" borderId="16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</cellXfs>
  <cellStyles count="64">
    <cellStyle name="20% - Accent1 2" xfId="45"/>
    <cellStyle name="20% - Accent2 2" xfId="46"/>
    <cellStyle name="20% - Accent3 2" xfId="47"/>
    <cellStyle name="20% - Accent4 2" xfId="48"/>
    <cellStyle name="20% - Accent5 2" xfId="49"/>
    <cellStyle name="20% - Accent6 2" xfId="50"/>
    <cellStyle name="40% - Accent1 2" xfId="51"/>
    <cellStyle name="40% - Accent2 2" xfId="52"/>
    <cellStyle name="40% - Accent3 2" xfId="53"/>
    <cellStyle name="40% - Accent4 2" xfId="54"/>
    <cellStyle name="40% - Accent5 2" xfId="55"/>
    <cellStyle name="40% - Accent6 2" xfId="56"/>
    <cellStyle name="60% - Accent1 2" xfId="57"/>
    <cellStyle name="60% - Accent2 2" xfId="58"/>
    <cellStyle name="60% - Accent3 2" xfId="59"/>
    <cellStyle name="60% - Accent4 2" xfId="60"/>
    <cellStyle name="60% - Accent5 2" xfId="61"/>
    <cellStyle name="60% - Accent6 2" xfId="62"/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itle 2" xfId="63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1338"/>
  <sheetViews>
    <sheetView tabSelected="1" topLeftCell="FF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71" width="8.85546875" style="8"/>
    <col min="172" max="172" width="9.85546875" style="8" bestFit="1" customWidth="1"/>
    <col min="173" max="176" width="8.85546875" style="8"/>
    <col min="177" max="177" width="15.140625" style="8" customWidth="1"/>
    <col min="178" max="193" width="8.85546875" style="8"/>
    <col min="194" max="194" width="9.85546875" style="8" bestFit="1" customWidth="1"/>
    <col min="195" max="195" width="9.7109375" style="8" bestFit="1" customWidth="1"/>
    <col min="196" max="16384" width="8.85546875" style="8"/>
  </cols>
  <sheetData>
    <row r="1" spans="1:203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203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20" t="s">
        <v>143</v>
      </c>
      <c r="GD2" s="220"/>
      <c r="GE2" s="220"/>
      <c r="GF2" s="220"/>
      <c r="GG2" s="220"/>
      <c r="GH2" s="220"/>
      <c r="GI2" s="220"/>
      <c r="GJ2" s="209"/>
      <c r="GK2" s="209"/>
      <c r="GL2" s="209"/>
      <c r="GM2" s="209"/>
      <c r="GN2" s="209"/>
      <c r="GO2" s="209"/>
      <c r="GP2" s="209"/>
      <c r="GQ2" s="209"/>
      <c r="GR2" s="209"/>
      <c r="GS2" s="209"/>
      <c r="GT2" s="209"/>
      <c r="GU2" s="209"/>
    </row>
    <row r="3" spans="1:203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10"/>
      <c r="FZ3" s="210"/>
      <c r="GA3" s="210"/>
      <c r="GB3" s="210"/>
      <c r="GC3" s="210"/>
      <c r="GD3" s="210"/>
      <c r="GE3" s="210"/>
      <c r="GF3" s="210"/>
      <c r="GG3" s="210"/>
      <c r="GH3" s="210"/>
      <c r="GI3" s="210"/>
      <c r="GJ3" s="210"/>
      <c r="GK3" s="210"/>
      <c r="GL3" s="210"/>
      <c r="GM3" s="210"/>
      <c r="GN3" s="210"/>
      <c r="GO3" s="210"/>
      <c r="GP3" s="210"/>
      <c r="GQ3" s="210"/>
      <c r="GR3" s="210"/>
      <c r="GS3" s="210"/>
      <c r="GT3" s="210"/>
      <c r="GU3" s="210"/>
    </row>
    <row r="4" spans="1:203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276.97203429310935</v>
      </c>
      <c r="N4" s="130">
        <v>26.173475896084891</v>
      </c>
      <c r="O4" s="130">
        <v>18.851159019370236</v>
      </c>
      <c r="P4" s="130">
        <v>190.21388620501955</v>
      </c>
      <c r="Q4" s="130">
        <v>26.818463796443854</v>
      </c>
      <c r="R4" s="130">
        <v>362.60824879577922</v>
      </c>
      <c r="S4" s="131">
        <v>16.111926115161662</v>
      </c>
      <c r="T4" s="131">
        <v>-7.2167790756584722</v>
      </c>
      <c r="U4" s="5"/>
      <c r="V4" s="4"/>
      <c r="W4" s="127">
        <f t="shared" ref="W4:W13" si="0">C4</f>
        <v>39646</v>
      </c>
      <c r="X4" s="132">
        <f>AVERAGE(EK88:EK97)</f>
        <v>194.79166666666669</v>
      </c>
      <c r="Y4" s="131">
        <f>COUNT(EK88:EK97)</f>
        <v>10</v>
      </c>
      <c r="Z4" s="130">
        <f>STDEV(EK88:EK97)</f>
        <v>113.79675304281061</v>
      </c>
      <c r="AA4" s="130">
        <f>Z4/SQRT(Y4)</f>
        <v>35.9856929946978</v>
      </c>
      <c r="AB4" s="131"/>
      <c r="AC4" s="130">
        <f>AVERAGE($FU88:$FU97)</f>
        <v>56.407182309407929</v>
      </c>
      <c r="AD4" s="132">
        <f>COUNT($FU88:$FU97)</f>
        <v>10</v>
      </c>
      <c r="AE4" s="130">
        <f>STDEV($FU88:$FU97)</f>
        <v>36.178364849811487</v>
      </c>
      <c r="AF4" s="130">
        <f>AE4/SQRT(AD4)</f>
        <v>11.44060349459798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1" t="s">
        <v>145</v>
      </c>
      <c r="FK4" s="221"/>
      <c r="FL4" s="221"/>
      <c r="FM4" s="221"/>
      <c r="FN4" s="5"/>
      <c r="FO4" s="5"/>
      <c r="FP4" s="5"/>
      <c r="FQ4" s="5"/>
      <c r="FR4" s="221"/>
      <c r="FS4" s="221"/>
      <c r="FT4" s="221"/>
      <c r="FU4" s="221"/>
      <c r="FV4" s="5"/>
      <c r="FW4" s="5"/>
      <c r="FX4" s="209"/>
      <c r="FY4" s="211" t="s">
        <v>144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11"/>
      <c r="GK4" s="212">
        <v>39646</v>
      </c>
      <c r="GL4" s="212">
        <v>39673</v>
      </c>
      <c r="GM4" s="212">
        <v>39714</v>
      </c>
      <c r="GN4" s="212">
        <v>39747</v>
      </c>
      <c r="GO4" s="212">
        <v>39775</v>
      </c>
      <c r="GP4" s="212">
        <v>39799</v>
      </c>
      <c r="GQ4" s="212">
        <v>39847</v>
      </c>
      <c r="GR4" s="212">
        <v>39910</v>
      </c>
      <c r="GS4" s="212">
        <v>39949</v>
      </c>
      <c r="GT4" s="212">
        <v>39987</v>
      </c>
      <c r="GU4" s="211" t="s">
        <v>144</v>
      </c>
    </row>
    <row r="5" spans="1:203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276.16964971275348</v>
      </c>
      <c r="N5" s="130">
        <f t="shared" si="1"/>
        <v>26.154392267734512</v>
      </c>
      <c r="O5" s="130">
        <f t="shared" si="1"/>
        <v>32.277437076562258</v>
      </c>
      <c r="P5" s="130">
        <f t="shared" si="1"/>
        <v>190.02062439785763</v>
      </c>
      <c r="Q5" s="130">
        <f t="shared" si="1"/>
        <v>26.79099442816339</v>
      </c>
      <c r="R5" s="130">
        <f t="shared" si="1"/>
        <v>386.26738807297005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160.25881185807657</v>
      </c>
      <c r="Y5" s="131">
        <f>COUNT(EK98:EK107)</f>
        <v>10</v>
      </c>
      <c r="Z5" s="130">
        <f>STDEV(EK98:EK107)</f>
        <v>153.75414581083882</v>
      </c>
      <c r="AA5" s="130">
        <f t="shared" ref="AA5:AA13" si="2">Z5/SQRT(Y5)</f>
        <v>48.621330045588721</v>
      </c>
      <c r="AB5" s="131"/>
      <c r="AC5" s="130">
        <f>AVERAGE($FU98:$FU107)</f>
        <v>44.794497850819667</v>
      </c>
      <c r="AD5" s="132">
        <f>COUNT($FU98:$FU107)</f>
        <v>10</v>
      </c>
      <c r="AE5" s="130">
        <f>STDEV($FU98:$FU107)</f>
        <v>46.861025017789608</v>
      </c>
      <c r="AF5" s="130">
        <f t="shared" ref="AF5:AF13" si="3">AE5/SQRT(AD5)</f>
        <v>14.818757254634759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216"/>
      <c r="FK5" s="137"/>
      <c r="FL5" s="216"/>
      <c r="FM5" s="216"/>
      <c r="FN5" s="216"/>
      <c r="FO5" s="5"/>
      <c r="FP5" s="13"/>
      <c r="FQ5" s="13"/>
      <c r="FR5" s="216"/>
      <c r="FS5" s="137"/>
      <c r="FT5" s="216"/>
      <c r="FU5" s="216"/>
      <c r="FV5" s="216"/>
      <c r="FW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  <c r="GO5" s="209"/>
      <c r="GP5" s="209"/>
      <c r="GQ5" s="209"/>
      <c r="GR5" s="209"/>
      <c r="GS5" s="209"/>
      <c r="GT5" s="209"/>
      <c r="GU5" s="209"/>
    </row>
    <row r="6" spans="1:203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364.90704965475015</v>
      </c>
      <c r="N6" s="130">
        <f t="shared" si="4"/>
        <v>33.527378933648777</v>
      </c>
      <c r="O6" s="130">
        <f t="shared" si="4"/>
        <v>68.882711400636722</v>
      </c>
      <c r="P6" s="130">
        <f t="shared" si="4"/>
        <v>248.36669651640207</v>
      </c>
      <c r="Q6" s="130">
        <f t="shared" si="4"/>
        <v>33.784662645212464</v>
      </c>
      <c r="R6" s="130">
        <f t="shared" si="4"/>
        <v>505.39470639604554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423.87732814900147</v>
      </c>
      <c r="Y6" s="131">
        <f>COUNT(EK108:EK117)</f>
        <v>10</v>
      </c>
      <c r="Z6" s="130">
        <f>STDEV(EK108:EK117)</f>
        <v>745.68177941218437</v>
      </c>
      <c r="AA6" s="130">
        <f t="shared" si="2"/>
        <v>235.80528326297559</v>
      </c>
      <c r="AB6" s="131"/>
      <c r="AC6" s="130">
        <f>AVERAGE($FU108:$FU117)</f>
        <v>36.920377059018662</v>
      </c>
      <c r="AD6" s="132">
        <f>COUNT($FU108:$FU117)</f>
        <v>10</v>
      </c>
      <c r="AE6" s="130">
        <f>STDEV($FU108:$FU117)</f>
        <v>62.085442027097457</v>
      </c>
      <c r="AF6" s="130">
        <f t="shared" si="3"/>
        <v>19.633140634396931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2" t="s">
        <v>146</v>
      </c>
      <c r="FJ6" s="222"/>
      <c r="FK6" s="223" t="s">
        <v>147</v>
      </c>
      <c r="FL6" s="223"/>
      <c r="FM6" s="223" t="s">
        <v>148</v>
      </c>
      <c r="FN6" s="223"/>
      <c r="FO6" s="5"/>
      <c r="FP6" s="13"/>
      <c r="FQ6" s="222" t="s">
        <v>146</v>
      </c>
      <c r="FR6" s="222"/>
      <c r="FS6" s="223" t="s">
        <v>147</v>
      </c>
      <c r="FT6" s="223"/>
      <c r="FU6" s="223" t="s">
        <v>148</v>
      </c>
      <c r="FV6" s="223"/>
      <c r="FW6" s="5"/>
      <c r="FY6" s="213">
        <v>1</v>
      </c>
      <c r="FZ6">
        <v>54.493381070754168</v>
      </c>
      <c r="GA6">
        <v>69.088799951232772</v>
      </c>
      <c r="GB6">
        <v>34.468760002515808</v>
      </c>
      <c r="GC6">
        <v>10.165827372749396</v>
      </c>
      <c r="GD6">
        <v>2.5632254168087312</v>
      </c>
      <c r="GE6">
        <v>4.7315126457971282</v>
      </c>
      <c r="GF6">
        <v>6.3273285756888873</v>
      </c>
      <c r="GG6">
        <v>8.063374640883838</v>
      </c>
      <c r="GH6">
        <v>10.400444012024661</v>
      </c>
      <c r="GI6">
        <v>20.75132120630651</v>
      </c>
      <c r="GJ6"/>
      <c r="GK6"/>
      <c r="GL6"/>
      <c r="GM6"/>
      <c r="GN6" s="208"/>
      <c r="GO6" s="208"/>
      <c r="GP6" s="208"/>
      <c r="GQ6" s="208"/>
      <c r="GR6" s="208"/>
      <c r="GS6" s="208"/>
      <c r="GT6" s="208"/>
      <c r="GU6" s="213">
        <v>1</v>
      </c>
    </row>
    <row r="7" spans="1:203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203.38523277881194</v>
      </c>
      <c r="N7" s="130">
        <f t="shared" si="5"/>
        <v>19.743954726403022</v>
      </c>
      <c r="O7" s="130">
        <f t="shared" si="5"/>
        <v>9.9333319445136752</v>
      </c>
      <c r="P7" s="130">
        <f t="shared" si="5"/>
        <v>136.36159602018324</v>
      </c>
      <c r="Q7" s="130">
        <f t="shared" si="5"/>
        <v>20.484906756757589</v>
      </c>
      <c r="R7" s="130">
        <f t="shared" si="5"/>
        <v>280.46801145296399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884.95672082391502</v>
      </c>
      <c r="Y7" s="131">
        <f>COUNT(EK118:EK127)</f>
        <v>10</v>
      </c>
      <c r="Z7" s="130">
        <f>STDEV(EK118:EK127)</f>
        <v>464.49818191028885</v>
      </c>
      <c r="AA7" s="130">
        <f t="shared" si="2"/>
        <v>146.88722238437344</v>
      </c>
      <c r="AB7" s="131"/>
      <c r="AC7" s="130">
        <f>AVERAGE($FU118:$FU127)</f>
        <v>71.866865949624838</v>
      </c>
      <c r="AD7" s="132">
        <f>COUNT($FU118:$FU127)</f>
        <v>10</v>
      </c>
      <c r="AE7" s="130">
        <f>STDEV($FU118:$FU127)</f>
        <v>52.661726134057211</v>
      </c>
      <c r="AF7" s="130">
        <f t="shared" si="3"/>
        <v>16.653100009963442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24">
        <f>AVERAGE(FZ6:FZ1005)</f>
        <v>48.959046624352013</v>
      </c>
      <c r="FJ7" s="225"/>
      <c r="FK7" s="225">
        <f>PERCENTILE($FZ$6:$FZ$1005,0.975)</f>
        <v>66.949120361436698</v>
      </c>
      <c r="FL7" s="225"/>
      <c r="FM7" s="225">
        <f>PERCENTILE($FZ$6:$FZ$1005,0.025)</f>
        <v>33.314526706242802</v>
      </c>
      <c r="FN7" s="225"/>
      <c r="FO7" s="5"/>
      <c r="FP7" s="214">
        <v>39646</v>
      </c>
      <c r="FQ7" s="224" t="e">
        <f>AVERAGE(GK6:GK1005)</f>
        <v>#DIV/0!</v>
      </c>
      <c r="FR7" s="225"/>
      <c r="FS7" s="225" t="e">
        <f>PERCENTILE($GK$6:$GK$1005,0.975)</f>
        <v>#NUM!</v>
      </c>
      <c r="FT7" s="225"/>
      <c r="FU7" s="225" t="e">
        <f>PERCENTILE($GK$6:$GK$1005,0.025)</f>
        <v>#NUM!</v>
      </c>
      <c r="FV7" s="225"/>
      <c r="FW7" s="5"/>
      <c r="FY7" s="213">
        <v>2</v>
      </c>
      <c r="FZ7">
        <v>46.262509296489334</v>
      </c>
      <c r="GA7">
        <v>26.800239715358487</v>
      </c>
      <c r="GB7">
        <v>32.533455119293855</v>
      </c>
      <c r="GC7">
        <v>16.596937421997719</v>
      </c>
      <c r="GD7">
        <v>3.0276835163781031</v>
      </c>
      <c r="GE7">
        <v>4.7180093101774645</v>
      </c>
      <c r="GF7">
        <v>4.5539778035281273</v>
      </c>
      <c r="GG7">
        <v>5.7842296449855972</v>
      </c>
      <c r="GH7">
        <v>6.9249320821241112</v>
      </c>
      <c r="GI7">
        <v>18.47990211065407</v>
      </c>
      <c r="GJ7"/>
      <c r="GK7"/>
      <c r="GL7"/>
      <c r="GM7"/>
      <c r="GN7" s="208"/>
      <c r="GO7" s="208"/>
      <c r="GP7" s="208"/>
      <c r="GQ7" s="208"/>
      <c r="GR7" s="208"/>
      <c r="GS7" s="208"/>
      <c r="GT7" s="208"/>
      <c r="GU7" s="213">
        <v>2</v>
      </c>
    </row>
    <row r="8" spans="1:203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205.21166333666332</v>
      </c>
      <c r="Y8" s="131">
        <f>COUNT(EK128:EK137)</f>
        <v>10</v>
      </c>
      <c r="Z8" s="130">
        <f>STDEV(EK128:EK137)</f>
        <v>227.81053476390048</v>
      </c>
      <c r="AA8" s="130">
        <f t="shared" si="2"/>
        <v>72.040016483489438</v>
      </c>
      <c r="AB8" s="131"/>
      <c r="AC8" s="130">
        <f>AVERAGE($FU128:$FU137)</f>
        <v>12.118509953764326</v>
      </c>
      <c r="AD8" s="132">
        <f>COUNT($FU128:$FU137)</f>
        <v>10</v>
      </c>
      <c r="AE8" s="130">
        <f>STDEV($FU128:$FU137)</f>
        <v>15.335578931016476</v>
      </c>
      <c r="AF8" s="130">
        <f t="shared" si="3"/>
        <v>4.8495358659302275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17">
        <f>AVERAGE(GA6:GA1005)</f>
        <v>47.095347942691333</v>
      </c>
      <c r="FJ8" s="218"/>
      <c r="FK8" s="218">
        <f>PERCENTILE($GA$6:$GA$1005,0.975)</f>
        <v>75.771932049754653</v>
      </c>
      <c r="FL8" s="218"/>
      <c r="FM8" s="218">
        <f>PERCENTILE($GA$6:$GA$1005,0.025)</f>
        <v>21.791174579971926</v>
      </c>
      <c r="FN8" s="218"/>
      <c r="FO8" s="5"/>
      <c r="FP8" s="214">
        <v>39673</v>
      </c>
      <c r="FQ8" s="224" t="e">
        <f t="shared" ref="FQ8:FQ16" si="7">AVERAGE(GK7:GT1006)</f>
        <v>#DIV/0!</v>
      </c>
      <c r="FR8" s="225"/>
      <c r="FS8" s="218" t="e">
        <f>PERCENTILE($GL$6:$GL$1005,0.975)</f>
        <v>#NUM!</v>
      </c>
      <c r="FT8" s="218"/>
      <c r="FU8" s="218" t="e">
        <f>PERCENTILE($GL$6:$GL$1005,0.025)</f>
        <v>#NUM!</v>
      </c>
      <c r="FV8" s="218"/>
      <c r="FW8" s="5"/>
      <c r="FY8" s="213">
        <v>3</v>
      </c>
      <c r="FZ8">
        <v>49.223969158418825</v>
      </c>
      <c r="GA8">
        <v>49.117156909799156</v>
      </c>
      <c r="GB8">
        <v>30.899144560211958</v>
      </c>
      <c r="GC8">
        <v>14.472956827898985</v>
      </c>
      <c r="GD8">
        <v>4.2691799942209876</v>
      </c>
      <c r="GE8">
        <v>4.4487708458104667</v>
      </c>
      <c r="GF8">
        <v>4.5539778035281273</v>
      </c>
      <c r="GG8">
        <v>5.7842296449855972</v>
      </c>
      <c r="GH8">
        <v>11.630693374264135</v>
      </c>
      <c r="GI8">
        <v>19.944224581721098</v>
      </c>
      <c r="GJ8"/>
      <c r="GK8"/>
      <c r="GL8"/>
      <c r="GM8"/>
      <c r="GN8" s="208"/>
      <c r="GO8" s="208"/>
      <c r="GP8" s="208"/>
      <c r="GQ8" s="208"/>
      <c r="GR8" s="208"/>
      <c r="GS8" s="208"/>
      <c r="GT8" s="208"/>
      <c r="GU8" s="213">
        <v>3</v>
      </c>
    </row>
    <row r="9" spans="1:203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416.17390437499881</v>
      </c>
      <c r="Y9" s="131">
        <f>COUNT(EK138:EK147)</f>
        <v>10</v>
      </c>
      <c r="Z9" s="130">
        <f>STDEV(EK138:EK147)</f>
        <v>725.14345889391473</v>
      </c>
      <c r="AA9" s="130">
        <f t="shared" si="2"/>
        <v>229.31049604774537</v>
      </c>
      <c r="AB9" s="131"/>
      <c r="AC9" s="130">
        <f>AVERAGE($FU138:$FU147)</f>
        <v>15.613009693620759</v>
      </c>
      <c r="AD9" s="132">
        <f>COUNT($FU138:$FU147)</f>
        <v>10</v>
      </c>
      <c r="AE9" s="130">
        <f>STDEV($FU138:$FU147)</f>
        <v>23.097202818821177</v>
      </c>
      <c r="AF9" s="130">
        <f t="shared" si="3"/>
        <v>7.3039768486336323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17">
        <f>AVERAGE(GB6:GB1005)</f>
        <v>32.807735028529564</v>
      </c>
      <c r="FJ9" s="218"/>
      <c r="FK9" s="218">
        <f>PERCENTILE($GB$6:$GB$1005,0.975)</f>
        <v>47.966835080409425</v>
      </c>
      <c r="FL9" s="218"/>
      <c r="FM9" s="218">
        <f>PERCENTILE($GB$6:$GB$1005,0.025)</f>
        <v>19.790098475650428</v>
      </c>
      <c r="FN9" s="218"/>
      <c r="FO9" s="5"/>
      <c r="FP9" s="214">
        <v>39714</v>
      </c>
      <c r="FQ9" s="224" t="e">
        <f t="shared" si="7"/>
        <v>#DIV/0!</v>
      </c>
      <c r="FR9" s="225"/>
      <c r="FS9" s="218" t="e">
        <f>PERCENTILE($GM$6:$GM$1005,0.975)</f>
        <v>#NUM!</v>
      </c>
      <c r="FT9" s="218"/>
      <c r="FU9" s="218" t="e">
        <f>PERCENTILE($GM$6:$GM$1005,0.025)</f>
        <v>#NUM!</v>
      </c>
      <c r="FV9" s="218"/>
      <c r="FW9" s="5"/>
      <c r="FY9" s="213">
        <v>4</v>
      </c>
      <c r="FZ9">
        <v>33.349414526780905</v>
      </c>
      <c r="GA9">
        <v>27.037020669776634</v>
      </c>
      <c r="GB9">
        <v>21.778764002253801</v>
      </c>
      <c r="GC9">
        <v>11.758525561968264</v>
      </c>
      <c r="GD9">
        <v>4.7229065499587017</v>
      </c>
      <c r="GE9">
        <v>4.6202538815085274</v>
      </c>
      <c r="GF9">
        <v>7.2037399655462266</v>
      </c>
      <c r="GG9">
        <v>10.557060985386983</v>
      </c>
      <c r="GH9">
        <v>9.467198731020396</v>
      </c>
      <c r="GI9">
        <v>15.776736135889406</v>
      </c>
      <c r="GJ9"/>
      <c r="GK9"/>
      <c r="GL9"/>
      <c r="GM9"/>
      <c r="GN9" s="208"/>
      <c r="GO9" s="208"/>
      <c r="GP9" s="208"/>
      <c r="GQ9" s="208"/>
      <c r="GR9" s="208"/>
      <c r="GS9" s="208"/>
      <c r="GT9" s="208"/>
      <c r="GU9" s="213">
        <v>4</v>
      </c>
    </row>
    <row r="10" spans="1:203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88.324652777777771</v>
      </c>
      <c r="Y10" s="131">
        <f>COUNT(EK148:EK157)</f>
        <v>10</v>
      </c>
      <c r="Z10" s="130">
        <f>STDEV(EK148:EK157)</f>
        <v>213.714428642407</v>
      </c>
      <c r="AA10" s="130">
        <f t="shared" si="2"/>
        <v>67.58243633515329</v>
      </c>
      <c r="AB10" s="131"/>
      <c r="AC10" s="130">
        <f>AVERAGE($FU148:$FU157)</f>
        <v>3.7604783270197553</v>
      </c>
      <c r="AD10" s="132">
        <f>COUNT($FU148:$FU157)</f>
        <v>10</v>
      </c>
      <c r="AE10" s="130">
        <f>STDEV($FU148:$FU157)</f>
        <v>7.8992878702900331</v>
      </c>
      <c r="AF10" s="130">
        <f t="shared" si="3"/>
        <v>2.4979741563457223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17">
        <f>AVERAGE(GC6:GC1005)</f>
        <v>14.082081081091602</v>
      </c>
      <c r="FJ10" s="218"/>
      <c r="FK10" s="218">
        <f>PERCENTILE($GC$6:$GC$1005,0.975)</f>
        <v>20.254896219398351</v>
      </c>
      <c r="FL10" s="218"/>
      <c r="FM10" s="218">
        <f>PERCENTILE($GC$6:$GC$1005,0.025)</f>
        <v>9.0724027978435409</v>
      </c>
      <c r="FN10" s="218"/>
      <c r="FO10" s="5"/>
      <c r="FP10" s="214">
        <v>39747</v>
      </c>
      <c r="FQ10" s="224" t="e">
        <f t="shared" si="7"/>
        <v>#DIV/0!</v>
      </c>
      <c r="FR10" s="225"/>
      <c r="FS10" s="218" t="e">
        <f>PERCENTILE($GN$6:$GN$1005,0.975)</f>
        <v>#NUM!</v>
      </c>
      <c r="FT10" s="218"/>
      <c r="FU10" s="218" t="e">
        <f>PERCENTILE($GN$6:$GN$1005,0.025)</f>
        <v>#NUM!</v>
      </c>
      <c r="FV10" s="218"/>
      <c r="FW10" s="5"/>
      <c r="FY10" s="213">
        <v>5</v>
      </c>
      <c r="FZ10">
        <v>48.2382785313836</v>
      </c>
      <c r="GA10">
        <v>33.518226723918417</v>
      </c>
      <c r="GB10">
        <v>32.405390132962346</v>
      </c>
      <c r="GC10">
        <v>15.894126765315558</v>
      </c>
      <c r="GD10">
        <v>3.1560383899436428</v>
      </c>
      <c r="GE10">
        <v>3.6050591473005746</v>
      </c>
      <c r="GF10">
        <v>1.3920638417150828</v>
      </c>
      <c r="GG10">
        <v>4.0279011205512125</v>
      </c>
      <c r="GH10">
        <v>7.5277486159776679</v>
      </c>
      <c r="GI10">
        <v>18.300320923776479</v>
      </c>
      <c r="GJ10"/>
      <c r="GK10"/>
      <c r="GL10"/>
      <c r="GM10"/>
      <c r="GN10" s="208"/>
      <c r="GO10" s="208"/>
      <c r="GP10" s="208"/>
      <c r="GQ10" s="208"/>
      <c r="GR10" s="208"/>
      <c r="GS10" s="208"/>
      <c r="GT10" s="208"/>
      <c r="GU10" s="213">
        <v>5</v>
      </c>
    </row>
    <row r="11" spans="1:203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111.17149758454107</v>
      </c>
      <c r="Y11" s="131">
        <f>COUNT(EK158:EK167)</f>
        <v>10</v>
      </c>
      <c r="Z11" s="130">
        <f>STDEV(EK158:EK167)</f>
        <v>179.98961412371639</v>
      </c>
      <c r="AA11" s="130">
        <f t="shared" si="2"/>
        <v>56.91771358057553</v>
      </c>
      <c r="AB11" s="131"/>
      <c r="AC11" s="130">
        <f>AVERAGE($FU158:$FU167)</f>
        <v>9.9723241813170382</v>
      </c>
      <c r="AD11" s="132">
        <f>COUNT($FU158:$FU167)</f>
        <v>10</v>
      </c>
      <c r="AE11" s="130">
        <f>STDEV($FU158:$FU167)</f>
        <v>25.651205134590917</v>
      </c>
      <c r="AF11" s="130">
        <f t="shared" si="3"/>
        <v>8.1116232953513272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17">
        <f>AVERAGE(GD5:GD1005)</f>
        <v>3.6034769167720024</v>
      </c>
      <c r="FJ11" s="218"/>
      <c r="FK11" s="218">
        <f>PERCENTILE($GD$6:$GD$1005,0.975)</f>
        <v>5.9460497818609319</v>
      </c>
      <c r="FL11" s="218"/>
      <c r="FM11" s="218">
        <f>PERCENTILE($GD$6:$GD$1005,0.025)</f>
        <v>1.7516946329971896</v>
      </c>
      <c r="FN11" s="218"/>
      <c r="FO11" s="5"/>
      <c r="FP11" s="214">
        <v>39775</v>
      </c>
      <c r="FQ11" s="224" t="e">
        <f t="shared" si="7"/>
        <v>#DIV/0!</v>
      </c>
      <c r="FR11" s="225"/>
      <c r="FS11" s="218" t="e">
        <f>PERCENTILE($GO$6:$GO$1005,0.975)</f>
        <v>#NUM!</v>
      </c>
      <c r="FT11" s="218"/>
      <c r="FU11" s="218" t="e">
        <f>PERCENTILE($GO$6:$GO$1005,0.025)</f>
        <v>#NUM!</v>
      </c>
      <c r="FV11" s="218"/>
      <c r="FW11" s="5"/>
      <c r="FY11" s="213">
        <v>6</v>
      </c>
      <c r="FZ11">
        <v>61.479223272750062</v>
      </c>
      <c r="GA11">
        <v>38.259695407617301</v>
      </c>
      <c r="GB11">
        <v>31.682682247080152</v>
      </c>
      <c r="GC11">
        <v>16.43695850490813</v>
      </c>
      <c r="GD11">
        <v>1.9489652996205065</v>
      </c>
      <c r="GE11">
        <v>3.3377256636075412</v>
      </c>
      <c r="GF11">
        <v>13.760832456445637</v>
      </c>
      <c r="GG11">
        <v>12.304375988072371</v>
      </c>
      <c r="GH11">
        <v>9.7399787005380496</v>
      </c>
      <c r="GI11">
        <v>22.007045720386593</v>
      </c>
      <c r="GJ11"/>
      <c r="GK11"/>
      <c r="GL11"/>
      <c r="GM11"/>
      <c r="GN11" s="208"/>
      <c r="GO11" s="208"/>
      <c r="GP11" s="208"/>
      <c r="GQ11" s="208"/>
      <c r="GR11" s="208"/>
      <c r="GS11" s="208"/>
      <c r="GT11" s="208"/>
      <c r="GU11" s="213">
        <v>6</v>
      </c>
    </row>
    <row r="12" spans="1:203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102.47523579859774</v>
      </c>
      <c r="Y12" s="131">
        <f>COUNT(EK168:EK177)</f>
        <v>10</v>
      </c>
      <c r="Z12" s="130">
        <f>STDEV(EK168:EK177)</f>
        <v>258.36921379550216</v>
      </c>
      <c r="AA12" s="130">
        <f t="shared" si="2"/>
        <v>81.703519286078432</v>
      </c>
      <c r="AB12" s="131"/>
      <c r="AC12" s="130">
        <f>AVERAGE($FU168:$FU177)</f>
        <v>6.6018893491865569</v>
      </c>
      <c r="AD12" s="132">
        <f>COUNT($FU168:$FU177)</f>
        <v>10</v>
      </c>
      <c r="AE12" s="130">
        <f>STDEV($FU168:$FU177)</f>
        <v>16.546459815269106</v>
      </c>
      <c r="AF12" s="130">
        <f t="shared" si="3"/>
        <v>5.23245002286993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17">
        <f>AVERAGE(GE6:GE1005)</f>
        <v>5.0662200094694914</v>
      </c>
      <c r="FJ12" s="218"/>
      <c r="FK12" s="218">
        <f>PERCENTILE($GE$6:$GE$1005,0.975)</f>
        <v>9.4563616639212853</v>
      </c>
      <c r="FL12" s="218"/>
      <c r="FM12" s="218">
        <f>PERCENTILE($GE$6:$GE$1005,0.025)</f>
        <v>1.8711337407758226</v>
      </c>
      <c r="FN12" s="218"/>
      <c r="FO12" s="5"/>
      <c r="FP12" s="214">
        <v>39799</v>
      </c>
      <c r="FQ12" s="224" t="e">
        <f t="shared" si="7"/>
        <v>#DIV/0!</v>
      </c>
      <c r="FR12" s="225"/>
      <c r="FS12" s="218" t="e">
        <f>PERCENTILE($GP$6:$GP$1005,0.975)</f>
        <v>#NUM!</v>
      </c>
      <c r="FT12" s="218"/>
      <c r="FU12" s="218" t="e">
        <f>PERCENTILE($GP$6:$GP$1005,0.025)</f>
        <v>#NUM!</v>
      </c>
      <c r="FV12" s="218"/>
      <c r="FW12" s="5"/>
      <c r="FY12" s="213">
        <v>7</v>
      </c>
      <c r="FZ12">
        <v>42.355522949389041</v>
      </c>
      <c r="GA12">
        <v>48.206516499816914</v>
      </c>
      <c r="GB12">
        <v>29.559657941474228</v>
      </c>
      <c r="GC12">
        <v>11.515762771091989</v>
      </c>
      <c r="GD12">
        <v>2.6128341118116092</v>
      </c>
      <c r="GE12">
        <v>2.8887138307621401</v>
      </c>
      <c r="GF12">
        <v>9.7190064527124562</v>
      </c>
      <c r="GG12">
        <v>9.5074341678521375</v>
      </c>
      <c r="GH12">
        <v>11.099195504832018</v>
      </c>
      <c r="GI12">
        <v>18.523262154923707</v>
      </c>
      <c r="GJ12"/>
      <c r="GK12"/>
      <c r="GL12"/>
      <c r="GM12"/>
      <c r="GN12" s="208"/>
      <c r="GO12" s="208"/>
      <c r="GP12" s="208"/>
      <c r="GQ12" s="208"/>
      <c r="GR12" s="208"/>
      <c r="GS12" s="208"/>
      <c r="GT12" s="208"/>
      <c r="GU12" s="213">
        <v>7</v>
      </c>
    </row>
    <row r="13" spans="1:203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35.250911261940672</v>
      </c>
      <c r="Y13" s="131">
        <f>COUNT(EK178:EK187)</f>
        <v>10</v>
      </c>
      <c r="Z13" s="130">
        <f>STDEV(EK178:EK187)</f>
        <v>47.051811092205064</v>
      </c>
      <c r="AA13" s="130">
        <f t="shared" si="2"/>
        <v>14.879089108734282</v>
      </c>
      <c r="AB13" s="131"/>
      <c r="AC13" s="130">
        <f>AVERAGE($FU178:$FU187)</f>
        <v>10.129503290659045</v>
      </c>
      <c r="AD13" s="132">
        <f>COUNT($FU178:$FU187)</f>
        <v>10</v>
      </c>
      <c r="AE13" s="130">
        <f>STDEV($FU178:$FU187)</f>
        <v>15.691322543589354</v>
      </c>
      <c r="AF13" s="130">
        <f t="shared" si="3"/>
        <v>4.9620318738089084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17">
        <f>AVERAGE(GF6:GF1005)</f>
        <v>5.4355967539619474</v>
      </c>
      <c r="FJ13" s="218"/>
      <c r="FK13" s="218">
        <f>PERCENTILE($GF$6:$GF$1005,0.975)</f>
        <v>13.049563869062824</v>
      </c>
      <c r="FL13" s="218"/>
      <c r="FM13" s="218">
        <f>PERCENTILE($GF$6:$GF$1005,0.025)</f>
        <v>0.92499296526311359</v>
      </c>
      <c r="FN13" s="218"/>
      <c r="FO13" s="5"/>
      <c r="FP13" s="214">
        <v>39847</v>
      </c>
      <c r="FQ13" s="224" t="e">
        <f t="shared" si="7"/>
        <v>#DIV/0!</v>
      </c>
      <c r="FR13" s="225"/>
      <c r="FS13" s="218" t="e">
        <f>PERCENTILE($GQ$6:$GQ$1005,0.975)</f>
        <v>#NUM!</v>
      </c>
      <c r="FT13" s="218"/>
      <c r="FU13" s="218" t="e">
        <f>PERCENTILE($GQ$6:$GQ$1005,0.025)</f>
        <v>#NUM!</v>
      </c>
      <c r="FV13" s="218"/>
      <c r="FW13" s="5"/>
      <c r="FY13" s="213">
        <v>8</v>
      </c>
      <c r="FZ13">
        <v>39.434357921009479</v>
      </c>
      <c r="GA13">
        <v>40.260720255706509</v>
      </c>
      <c r="GB13">
        <v>27.735944874965469</v>
      </c>
      <c r="GC13">
        <v>13.328840281422924</v>
      </c>
      <c r="GD13">
        <v>4.2111763299878975</v>
      </c>
      <c r="GE13">
        <v>4.102736962728466</v>
      </c>
      <c r="GF13">
        <v>1.5582801124392989</v>
      </c>
      <c r="GG13">
        <v>1.5192101449413711</v>
      </c>
      <c r="GH13">
        <v>7.9860999936153911</v>
      </c>
      <c r="GI13">
        <v>16.572707711555822</v>
      </c>
      <c r="GJ13"/>
      <c r="GK13"/>
      <c r="GL13"/>
      <c r="GM13"/>
      <c r="GN13" s="208"/>
      <c r="GO13" s="208"/>
      <c r="GP13" s="208"/>
      <c r="GQ13" s="208"/>
      <c r="GR13" s="208"/>
      <c r="GS13" s="208"/>
      <c r="GT13" s="208"/>
      <c r="GU13" s="213">
        <v>8</v>
      </c>
    </row>
    <row r="14" spans="1:203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17">
        <f>AVERAGE(GG6:GG1005)</f>
        <v>5.7977486864601877</v>
      </c>
      <c r="FJ14" s="218"/>
      <c r="FK14" s="218">
        <f>PERCENTILE($GG$6:$GG$1005,0.975)</f>
        <v>13.136724207362606</v>
      </c>
      <c r="FL14" s="218"/>
      <c r="FM14" s="218">
        <f>PERCENTILE($GG$6:$GG$1005,0.025)</f>
        <v>0.72509742711850156</v>
      </c>
      <c r="FN14" s="218"/>
      <c r="FO14" s="5"/>
      <c r="FP14" s="214">
        <v>39910</v>
      </c>
      <c r="FQ14" s="224" t="e">
        <f t="shared" si="7"/>
        <v>#DIV/0!</v>
      </c>
      <c r="FR14" s="225"/>
      <c r="FS14" s="218" t="e">
        <f>PERCENTILE($GR$6:$GR$1005,0.975)</f>
        <v>#NUM!</v>
      </c>
      <c r="FT14" s="218"/>
      <c r="FU14" s="218" t="e">
        <f>PERCENTILE($GR$6:$GR$1005,0.025)</f>
        <v>#NUM!</v>
      </c>
      <c r="FV14" s="218"/>
      <c r="FW14" s="5"/>
      <c r="FY14" s="213">
        <v>9</v>
      </c>
      <c r="FZ14">
        <v>50.158576596396827</v>
      </c>
      <c r="GA14">
        <v>69.479135528393542</v>
      </c>
      <c r="GB14">
        <v>39.390689067790682</v>
      </c>
      <c r="GC14">
        <v>12.030064430596552</v>
      </c>
      <c r="GD14">
        <v>4.4221948345506936</v>
      </c>
      <c r="GE14">
        <v>8.0744722176886299</v>
      </c>
      <c r="GF14">
        <v>7.0507906862521743</v>
      </c>
      <c r="GG14">
        <v>4.1421703969245103</v>
      </c>
      <c r="GH14">
        <v>4.6804806793626845</v>
      </c>
      <c r="GI14">
        <v>21.609243766561782</v>
      </c>
      <c r="GJ14"/>
      <c r="GK14"/>
      <c r="GL14"/>
      <c r="GM14"/>
      <c r="GN14" s="208"/>
      <c r="GO14" s="208"/>
      <c r="GP14" s="208"/>
      <c r="GQ14" s="208"/>
      <c r="GR14" s="208"/>
      <c r="GS14" s="208"/>
      <c r="GT14" s="208"/>
      <c r="GU14" s="213">
        <v>9</v>
      </c>
    </row>
    <row r="15" spans="1:203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252.40210386545442</v>
      </c>
      <c r="AO15" s="163">
        <f>D48</f>
        <v>24.03068458672211</v>
      </c>
      <c r="AP15" s="163">
        <f>D63</f>
        <v>36.385516617983129</v>
      </c>
      <c r="AQ15" s="163">
        <f>C453</f>
        <v>167.00894735343797</v>
      </c>
      <c r="AR15" s="163">
        <f>G520</f>
        <v>24.382111339403625</v>
      </c>
      <c r="AS15" s="163">
        <f>I523</f>
        <v>379.20691703080422</v>
      </c>
      <c r="AT15" s="122">
        <f>G556</f>
        <v>15.113885334825936</v>
      </c>
      <c r="AU15" s="122">
        <f>I556</f>
        <v>24.932320818107051</v>
      </c>
      <c r="AV15" s="23"/>
      <c r="AW15" s="23"/>
      <c r="FG15" s="5"/>
      <c r="FH15" s="214">
        <f t="shared" si="6"/>
        <v>39949</v>
      </c>
      <c r="FI15" s="217">
        <f>AVERAGE(GH6:GH1005)</f>
        <v>7.6488084643158309</v>
      </c>
      <c r="FJ15" s="218"/>
      <c r="FK15" s="218">
        <f>PERCENTILE($GH$6:$GH$1005,0.975)</f>
        <v>14.22994637486789</v>
      </c>
      <c r="FL15" s="218"/>
      <c r="FM15" s="218">
        <f>PERCENTILE($GH$6:$GH$1005,0.025)</f>
        <v>2.3833059736802826</v>
      </c>
      <c r="FN15" s="218"/>
      <c r="FO15" s="5"/>
      <c r="FP15" s="214">
        <v>39949</v>
      </c>
      <c r="FQ15" s="224" t="e">
        <f t="shared" si="7"/>
        <v>#DIV/0!</v>
      </c>
      <c r="FR15" s="225"/>
      <c r="FS15" s="218" t="e">
        <f>PERCENTILE($GS$6:$GS$1005,0.975)</f>
        <v>#NUM!</v>
      </c>
      <c r="FT15" s="218"/>
      <c r="FU15" s="218" t="e">
        <f>PERCENTILE($GS$6:$GS$1005,0.025)</f>
        <v>#NUM!</v>
      </c>
      <c r="FV15" s="218"/>
      <c r="FW15" s="5"/>
      <c r="FY15" s="213">
        <v>10</v>
      </c>
      <c r="FZ15">
        <v>55.011012398833557</v>
      </c>
      <c r="GA15">
        <v>39.152448385938037</v>
      </c>
      <c r="GB15">
        <v>41.382794394169373</v>
      </c>
      <c r="GC15">
        <v>20.767275264917668</v>
      </c>
      <c r="GD15">
        <v>4.2601772816920329</v>
      </c>
      <c r="GE15">
        <v>6.1223444117856243</v>
      </c>
      <c r="GF15">
        <v>3.6817295216823367</v>
      </c>
      <c r="GG15">
        <v>4.900993075733874</v>
      </c>
      <c r="GH15">
        <v>5.3495852585753321</v>
      </c>
      <c r="GI15">
        <v>22.22281964801109</v>
      </c>
      <c r="GJ15"/>
      <c r="GK15"/>
      <c r="GL15"/>
      <c r="GM15"/>
      <c r="GN15" s="208"/>
      <c r="GO15" s="208"/>
      <c r="GP15" s="208"/>
      <c r="GQ15" s="208"/>
      <c r="GR15" s="208"/>
      <c r="GS15" s="208"/>
      <c r="GT15" s="208"/>
      <c r="GU15" s="213">
        <v>10</v>
      </c>
    </row>
    <row r="16" spans="1:203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17">
        <f>AVERAGE(GI6:GI1005)</f>
        <v>19.524562890213858</v>
      </c>
      <c r="FJ16" s="218"/>
      <c r="FK16" s="218">
        <f>PERCENTILE($GI$6:$GI$1005,0.975)</f>
        <v>24.606207621590968</v>
      </c>
      <c r="FL16" s="218"/>
      <c r="FM16" s="218">
        <f>PERCENTILE($GI$6:$GI$1005,0.025)</f>
        <v>14.990149791106733</v>
      </c>
      <c r="FN16" s="218"/>
      <c r="FO16" s="5"/>
      <c r="FP16" s="214">
        <v>39987</v>
      </c>
      <c r="FQ16" s="224" t="e">
        <f t="shared" si="7"/>
        <v>#DIV/0!</v>
      </c>
      <c r="FR16" s="225"/>
      <c r="FS16" s="218" t="e">
        <f>PERCENTILE($GT$6:$GT$1005,0.975)</f>
        <v>#NUM!</v>
      </c>
      <c r="FT16" s="218"/>
      <c r="FU16" s="218" t="e">
        <f>PERCENTILE($GT$6:$GT$1005,0.025)</f>
        <v>#NUM!</v>
      </c>
      <c r="FV16" s="218"/>
      <c r="FW16" s="5"/>
      <c r="FY16" s="213">
        <v>11</v>
      </c>
      <c r="FZ16">
        <v>51.233281354360216</v>
      </c>
      <c r="GA16">
        <v>77.128467076280501</v>
      </c>
      <c r="GB16">
        <v>39.989315565615144</v>
      </c>
      <c r="GC16">
        <v>12.475518235533656</v>
      </c>
      <c r="GD16">
        <v>3.6807871205632621</v>
      </c>
      <c r="GE16">
        <v>3.8417498986629468</v>
      </c>
      <c r="GF16">
        <v>1.916172053046441</v>
      </c>
      <c r="GG16">
        <v>5.0438026863951899</v>
      </c>
      <c r="GH16">
        <v>9.4145561391672583</v>
      </c>
      <c r="GI16">
        <v>21.30553296336462</v>
      </c>
      <c r="GJ16"/>
      <c r="GK16"/>
      <c r="GL16"/>
      <c r="GM16"/>
      <c r="GN16" s="208"/>
      <c r="GO16" s="208"/>
      <c r="GP16" s="208"/>
      <c r="GQ16" s="208"/>
      <c r="GR16" s="208"/>
      <c r="GS16" s="208"/>
      <c r="GT16" s="208"/>
      <c r="GU16" s="213">
        <v>11</v>
      </c>
    </row>
    <row r="17" spans="1:203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315.33924241186855</v>
      </c>
      <c r="AO17">
        <v>28.021168054469449</v>
      </c>
      <c r="AP17">
        <v>27.093116355045517</v>
      </c>
      <c r="AQ17">
        <v>221.05397489476186</v>
      </c>
      <c r="AR17">
        <v>28.341271169969925</v>
      </c>
      <c r="AS17">
        <v>420.67762064435834</v>
      </c>
      <c r="AT17">
        <v>17.801948907367613</v>
      </c>
      <c r="AU17">
        <v>-16.639770801584156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P17" s="215"/>
      <c r="FQ17" s="13"/>
      <c r="FR17" s="13"/>
      <c r="FS17" s="13"/>
      <c r="FT17" s="13"/>
      <c r="FU17" s="13"/>
      <c r="FV17" s="13"/>
      <c r="FW17" s="5"/>
      <c r="FY17" s="213">
        <v>12</v>
      </c>
      <c r="FZ17">
        <v>49.901961245744737</v>
      </c>
      <c r="GA17">
        <v>57.066490381040296</v>
      </c>
      <c r="GB17">
        <v>40.772938398702848</v>
      </c>
      <c r="GC17">
        <v>15.508004375669506</v>
      </c>
      <c r="GD17">
        <v>2.7541841702058325</v>
      </c>
      <c r="GE17">
        <v>3.4921640744331972</v>
      </c>
      <c r="GF17">
        <v>1.8765424694840827</v>
      </c>
      <c r="GG17">
        <v>2.5801478615578932</v>
      </c>
      <c r="GH17">
        <v>3.9077231131233341</v>
      </c>
      <c r="GI17">
        <v>19.889775975629465</v>
      </c>
      <c r="GJ17"/>
      <c r="GK17"/>
      <c r="GL17"/>
      <c r="GM17"/>
      <c r="GN17" s="208"/>
      <c r="GO17" s="208"/>
      <c r="GP17" s="208"/>
      <c r="GQ17" s="208"/>
      <c r="GR17" s="208"/>
      <c r="GS17" s="208"/>
      <c r="GT17" s="208"/>
      <c r="GU17" s="213">
        <v>12</v>
      </c>
    </row>
    <row r="18" spans="1:203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264.98247476938707</v>
      </c>
      <c r="AO18">
        <v>24.175323678403949</v>
      </c>
      <c r="AP18">
        <v>35.35952818750016</v>
      </c>
      <c r="AQ18">
        <v>165.68187602098686</v>
      </c>
      <c r="AR18">
        <v>25.289861749378428</v>
      </c>
      <c r="AS18">
        <v>353.26133808494518</v>
      </c>
      <c r="AT18">
        <v>14.947852446205902</v>
      </c>
      <c r="AU18">
        <v>16.573652695660883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P18" s="215"/>
      <c r="FQ18" s="13"/>
      <c r="FR18" s="13"/>
      <c r="FS18" s="13"/>
      <c r="FT18" s="13"/>
      <c r="FU18" s="13"/>
      <c r="FV18" s="13"/>
      <c r="FW18" s="5"/>
      <c r="FY18" s="213">
        <v>13</v>
      </c>
      <c r="FZ18">
        <v>46.594870802162745</v>
      </c>
      <c r="GA18">
        <v>57.763535878943173</v>
      </c>
      <c r="GB18">
        <v>41.345576254394068</v>
      </c>
      <c r="GC18">
        <v>16.655075524232629</v>
      </c>
      <c r="GD18">
        <v>3.7607923889212382</v>
      </c>
      <c r="GE18">
        <v>5.1745072878252971</v>
      </c>
      <c r="GF18">
        <v>8.3503231315612521</v>
      </c>
      <c r="GG18">
        <v>10.581888667477415</v>
      </c>
      <c r="GH18">
        <v>10.208592111002451</v>
      </c>
      <c r="GI18">
        <v>22.311004762021472</v>
      </c>
      <c r="GJ18"/>
      <c r="GK18"/>
      <c r="GL18"/>
      <c r="GM18"/>
      <c r="GN18" s="208"/>
      <c r="GO18" s="208"/>
      <c r="GP18" s="208"/>
      <c r="GQ18" s="208"/>
      <c r="GR18" s="208"/>
      <c r="GS18" s="208"/>
      <c r="GT18" s="208"/>
      <c r="GU18" s="213">
        <v>13</v>
      </c>
    </row>
    <row r="19" spans="1:203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268.57288266261787</v>
      </c>
      <c r="AO19">
        <v>26.684416719436875</v>
      </c>
      <c r="AP19">
        <v>31.299672733998527</v>
      </c>
      <c r="AQ19">
        <v>194.34430370085934</v>
      </c>
      <c r="AR19">
        <v>27.379850826674904</v>
      </c>
      <c r="AS19">
        <v>386.03063299430016</v>
      </c>
      <c r="AT19">
        <v>16.936360713180417</v>
      </c>
      <c r="AU19">
        <v>-5.1642176420309696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P19" s="215"/>
      <c r="FQ19" s="13"/>
      <c r="FR19" s="13"/>
      <c r="FS19" s="13"/>
      <c r="FT19" s="13"/>
      <c r="FU19" s="13"/>
      <c r="FV19" s="13"/>
      <c r="FW19" s="5"/>
      <c r="FY19" s="213">
        <v>14</v>
      </c>
      <c r="FZ19">
        <v>47.299970380292855</v>
      </c>
      <c r="GA19">
        <v>65.608383167397079</v>
      </c>
      <c r="GB19">
        <v>45.400353607565044</v>
      </c>
      <c r="GC19">
        <v>17.986244140326836</v>
      </c>
      <c r="GD19">
        <v>4.0170177165491854</v>
      </c>
      <c r="GE19">
        <v>4.2501296028072311</v>
      </c>
      <c r="GF19">
        <v>4.4350693457152719</v>
      </c>
      <c r="GG19">
        <v>3.0596378313388657</v>
      </c>
      <c r="GH19">
        <v>9.8550031485814547</v>
      </c>
      <c r="GI19">
        <v>22.805384019730219</v>
      </c>
      <c r="GJ19"/>
      <c r="GK19"/>
      <c r="GL19"/>
      <c r="GM19"/>
      <c r="GN19" s="208"/>
      <c r="GO19" s="208"/>
      <c r="GP19" s="208"/>
      <c r="GQ19" s="208"/>
      <c r="GR19" s="208"/>
      <c r="GS19" s="208"/>
      <c r="GT19" s="208"/>
      <c r="GU19" s="213">
        <v>14</v>
      </c>
    </row>
    <row r="20" spans="1:203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237.69652549528124</v>
      </c>
      <c r="AO20">
        <v>21.138297771582693</v>
      </c>
      <c r="AP20">
        <v>39.706640638464776</v>
      </c>
      <c r="AQ20">
        <v>146.27162101008986</v>
      </c>
      <c r="AR20">
        <v>21.557713345191292</v>
      </c>
      <c r="AS20">
        <v>329.47414793264983</v>
      </c>
      <c r="AT20">
        <v>13.554478625938167</v>
      </c>
      <c r="AU20">
        <v>16.416240645075632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Y20" s="213">
        <v>15</v>
      </c>
      <c r="FZ20">
        <v>51.890202757897647</v>
      </c>
      <c r="GA20">
        <v>59.951215890779721</v>
      </c>
      <c r="GB20">
        <v>46.538583205169687</v>
      </c>
      <c r="GC20">
        <v>17.133621603622363</v>
      </c>
      <c r="GD20">
        <v>4.0550044467200737</v>
      </c>
      <c r="GE20">
        <v>6.6581382452110658</v>
      </c>
      <c r="GF20">
        <v>12.377988182314317</v>
      </c>
      <c r="GG20">
        <v>11.532927372255239</v>
      </c>
      <c r="GH20">
        <v>10.568284053633102</v>
      </c>
      <c r="GI20">
        <v>25.303904459285107</v>
      </c>
      <c r="GJ20"/>
      <c r="GK20"/>
      <c r="GL20"/>
      <c r="GM20"/>
      <c r="GN20" s="208"/>
      <c r="GO20" s="208"/>
      <c r="GP20" s="208"/>
      <c r="GQ20" s="208"/>
      <c r="GR20" s="208"/>
      <c r="GS20" s="208"/>
      <c r="GT20" s="208"/>
      <c r="GU20" s="213">
        <v>15</v>
      </c>
    </row>
    <row r="21" spans="1:203" s="7" customFormat="1">
      <c r="A21" s="4"/>
      <c r="B21" s="36"/>
      <c r="C21" s="48" t="s">
        <v>38</v>
      </c>
      <c r="D21" s="49">
        <f t="shared" ref="D21:D26" si="8">SUM(G21:AK21)</f>
        <v>174.50440592903828</v>
      </c>
      <c r="E21" s="18">
        <f t="shared" ref="E21:E26" si="9">C5-C4</f>
        <v>27</v>
      </c>
      <c r="F21" s="50"/>
      <c r="G21" s="18">
        <f t="shared" ref="G21:AK21" si="10">AVERAGE(G70:G71)</f>
        <v>0</v>
      </c>
      <c r="H21" s="18">
        <f t="shared" si="10"/>
        <v>5.7291666666666661</v>
      </c>
      <c r="I21" s="18">
        <f t="shared" si="10"/>
        <v>75.233572595704956</v>
      </c>
      <c r="J21" s="18">
        <f t="shared" si="10"/>
        <v>29.166666666666664</v>
      </c>
      <c r="K21" s="18">
        <f t="shared" si="10"/>
        <v>23.4375</v>
      </c>
      <c r="L21" s="18">
        <f t="shared" si="10"/>
        <v>21.770833333333332</v>
      </c>
      <c r="M21" s="18">
        <f t="shared" si="10"/>
        <v>14.479166666666668</v>
      </c>
      <c r="N21" s="18">
        <f t="shared" si="10"/>
        <v>3.645833333333333</v>
      </c>
      <c r="O21" s="18">
        <f t="shared" si="10"/>
        <v>1.0416666666666665</v>
      </c>
      <c r="P21" s="18">
        <f t="shared" si="10"/>
        <v>0</v>
      </c>
      <c r="Q21" s="18">
        <f t="shared" si="10"/>
        <v>0</v>
      </c>
      <c r="R21" s="18">
        <f t="shared" si="10"/>
        <v>0</v>
      </c>
      <c r="S21" s="18">
        <f t="shared" si="10"/>
        <v>0</v>
      </c>
      <c r="T21" s="18">
        <f t="shared" si="10"/>
        <v>0</v>
      </c>
      <c r="U21" s="18">
        <f t="shared" si="10"/>
        <v>0</v>
      </c>
      <c r="V21" s="18">
        <f t="shared" si="10"/>
        <v>0</v>
      </c>
      <c r="W21" s="18">
        <f t="shared" si="10"/>
        <v>0</v>
      </c>
      <c r="X21" s="18">
        <f t="shared" si="10"/>
        <v>0</v>
      </c>
      <c r="Y21" s="18">
        <f t="shared" si="10"/>
        <v>0</v>
      </c>
      <c r="Z21" s="18">
        <f t="shared" si="10"/>
        <v>0</v>
      </c>
      <c r="AA21" s="18">
        <f t="shared" si="10"/>
        <v>0</v>
      </c>
      <c r="AB21" s="18">
        <f t="shared" si="10"/>
        <v>0</v>
      </c>
      <c r="AC21" s="18">
        <f t="shared" si="10"/>
        <v>0</v>
      </c>
      <c r="AD21" s="18">
        <f t="shared" si="10"/>
        <v>0</v>
      </c>
      <c r="AE21" s="18">
        <f t="shared" si="10"/>
        <v>0</v>
      </c>
      <c r="AF21" s="18">
        <f t="shared" si="10"/>
        <v>0</v>
      </c>
      <c r="AG21" s="18">
        <f t="shared" si="10"/>
        <v>0</v>
      </c>
      <c r="AH21" s="18">
        <f t="shared" si="10"/>
        <v>0</v>
      </c>
      <c r="AI21" s="18">
        <f t="shared" si="10"/>
        <v>0</v>
      </c>
      <c r="AJ21" s="18">
        <f t="shared" si="10"/>
        <v>0</v>
      </c>
      <c r="AK21" s="18">
        <f t="shared" si="10"/>
        <v>0</v>
      </c>
      <c r="AL21" s="42"/>
      <c r="AM21" s="43">
        <v>5</v>
      </c>
      <c r="AN21">
        <v>241.0803508560619</v>
      </c>
      <c r="AO21">
        <v>24.000375737923868</v>
      </c>
      <c r="AP21">
        <v>24.599470065864026</v>
      </c>
      <c r="AQ21">
        <v>168.06515419284452</v>
      </c>
      <c r="AR21">
        <v>25.156076586861325</v>
      </c>
      <c r="AS21">
        <v>378.13298594726575</v>
      </c>
      <c r="AT21">
        <v>15.40832302739642</v>
      </c>
      <c r="AU21">
        <v>23.931543606857048</v>
      </c>
      <c r="AV21"/>
      <c r="AW21"/>
      <c r="FY21" s="213">
        <v>16</v>
      </c>
      <c r="FZ21">
        <v>59.048298779527286</v>
      </c>
      <c r="GA21">
        <v>67.746352295486446</v>
      </c>
      <c r="GB21">
        <v>46.007105443474927</v>
      </c>
      <c r="GC21">
        <v>20.249967492027121</v>
      </c>
      <c r="GD21">
        <v>3.1504342315823832</v>
      </c>
      <c r="GE21">
        <v>4.2975484689469621</v>
      </c>
      <c r="GF21">
        <v>2.03352470334988</v>
      </c>
      <c r="GG21">
        <v>0.44892224354928567</v>
      </c>
      <c r="GH21">
        <v>2.2087529476052037</v>
      </c>
      <c r="GI21">
        <v>22.511942678377721</v>
      </c>
      <c r="GJ21"/>
      <c r="GK21"/>
      <c r="GL21"/>
      <c r="GM21"/>
      <c r="GN21" s="208"/>
      <c r="GO21" s="208"/>
      <c r="GP21" s="208"/>
      <c r="GQ21" s="208"/>
      <c r="GR21" s="208"/>
      <c r="GS21" s="208"/>
      <c r="GT21" s="208"/>
      <c r="GU21" s="213">
        <v>16</v>
      </c>
    </row>
    <row r="22" spans="1:203" s="7" customFormat="1">
      <c r="B22" s="36"/>
      <c r="C22" s="48" t="s">
        <v>39</v>
      </c>
      <c r="D22" s="49">
        <f t="shared" si="8"/>
        <v>106.79607259570494</v>
      </c>
      <c r="E22" s="18">
        <f t="shared" si="9"/>
        <v>41</v>
      </c>
      <c r="F22" s="50"/>
      <c r="G22" s="18">
        <f t="shared" ref="G22:AK22" si="11">AVERAGE(G71:G72)</f>
        <v>0</v>
      </c>
      <c r="H22" s="18">
        <f t="shared" si="11"/>
        <v>5.7291666666666661</v>
      </c>
      <c r="I22" s="18">
        <f t="shared" si="11"/>
        <v>50.233572595704949</v>
      </c>
      <c r="J22" s="18">
        <f t="shared" si="11"/>
        <v>23.958333333333336</v>
      </c>
      <c r="K22" s="18">
        <f t="shared" si="11"/>
        <v>8.3333333333333321</v>
      </c>
      <c r="L22" s="18">
        <f t="shared" si="11"/>
        <v>7.708333333333333</v>
      </c>
      <c r="M22" s="18">
        <f t="shared" si="11"/>
        <v>8.2291666666666679</v>
      </c>
      <c r="N22" s="18">
        <f t="shared" si="11"/>
        <v>1.5625</v>
      </c>
      <c r="O22" s="18">
        <f t="shared" si="11"/>
        <v>1.0416666666666665</v>
      </c>
      <c r="P22" s="18">
        <f t="shared" si="11"/>
        <v>0</v>
      </c>
      <c r="Q22" s="18">
        <f t="shared" si="11"/>
        <v>0</v>
      </c>
      <c r="R22" s="18">
        <f t="shared" si="11"/>
        <v>0</v>
      </c>
      <c r="S22" s="18">
        <f t="shared" si="11"/>
        <v>0</v>
      </c>
      <c r="T22" s="18">
        <f t="shared" si="11"/>
        <v>0</v>
      </c>
      <c r="U22" s="18">
        <f t="shared" si="11"/>
        <v>0</v>
      </c>
      <c r="V22" s="18">
        <f t="shared" si="11"/>
        <v>0</v>
      </c>
      <c r="W22" s="18">
        <f t="shared" si="11"/>
        <v>0</v>
      </c>
      <c r="X22" s="18">
        <f t="shared" si="11"/>
        <v>0</v>
      </c>
      <c r="Y22" s="18">
        <f t="shared" si="11"/>
        <v>0</v>
      </c>
      <c r="Z22" s="18">
        <f t="shared" si="11"/>
        <v>0</v>
      </c>
      <c r="AA22" s="18">
        <f t="shared" si="11"/>
        <v>0</v>
      </c>
      <c r="AB22" s="18">
        <f t="shared" si="11"/>
        <v>0</v>
      </c>
      <c r="AC22" s="18">
        <f t="shared" si="11"/>
        <v>0</v>
      </c>
      <c r="AD22" s="18">
        <f t="shared" si="11"/>
        <v>0</v>
      </c>
      <c r="AE22" s="18">
        <f t="shared" si="11"/>
        <v>0</v>
      </c>
      <c r="AF22" s="18">
        <f t="shared" si="11"/>
        <v>0</v>
      </c>
      <c r="AG22" s="18">
        <f t="shared" si="11"/>
        <v>0</v>
      </c>
      <c r="AH22" s="18">
        <f t="shared" si="11"/>
        <v>0</v>
      </c>
      <c r="AI22" s="18">
        <f t="shared" si="11"/>
        <v>0</v>
      </c>
      <c r="AJ22" s="18">
        <f t="shared" si="11"/>
        <v>0</v>
      </c>
      <c r="AK22" s="18">
        <f t="shared" si="11"/>
        <v>0</v>
      </c>
      <c r="AL22" s="42"/>
      <c r="AM22" s="43">
        <v>6</v>
      </c>
      <c r="AN22">
        <v>256.7725779061322</v>
      </c>
      <c r="AO22">
        <v>28.829006044265991</v>
      </c>
      <c r="AP22">
        <v>58.610355570807215</v>
      </c>
      <c r="AQ22">
        <v>210.95748326102631</v>
      </c>
      <c r="AR22">
        <v>30.299398461972821</v>
      </c>
      <c r="AS22">
        <v>409.01442364385434</v>
      </c>
      <c r="AT22">
        <v>18.22103751707705</v>
      </c>
      <c r="AU22">
        <v>32.032505542348503</v>
      </c>
      <c r="AV22"/>
      <c r="AW22"/>
      <c r="FY22" s="213">
        <v>17</v>
      </c>
      <c r="FZ22">
        <v>58.382069597410897</v>
      </c>
      <c r="GA22">
        <v>51.050353037320527</v>
      </c>
      <c r="GB22">
        <v>30.800703655180435</v>
      </c>
      <c r="GC22">
        <v>15.326386437865317</v>
      </c>
      <c r="GD22">
        <v>4.3341289107387864</v>
      </c>
      <c r="GE22">
        <v>5.6513577923763272</v>
      </c>
      <c r="GF22">
        <v>4.5659342150645399</v>
      </c>
      <c r="GG22">
        <v>5.5210116228686834</v>
      </c>
      <c r="GH22">
        <v>7.9633043559930785</v>
      </c>
      <c r="GI22">
        <v>20.735360727995388</v>
      </c>
      <c r="GJ22"/>
      <c r="GK22"/>
      <c r="GL22"/>
      <c r="GM22"/>
      <c r="GN22" s="208"/>
      <c r="GO22" s="208"/>
      <c r="GP22" s="208"/>
      <c r="GQ22" s="208"/>
      <c r="GR22" s="208"/>
      <c r="GS22" s="208"/>
      <c r="GT22" s="208"/>
      <c r="GU22" s="213">
        <v>17</v>
      </c>
    </row>
    <row r="23" spans="1:203" s="7" customFormat="1">
      <c r="B23" s="36"/>
      <c r="C23" s="48" t="s">
        <v>40</v>
      </c>
      <c r="D23" s="49">
        <f t="shared" si="8"/>
        <v>491.07025378281423</v>
      </c>
      <c r="E23" s="18">
        <f t="shared" si="9"/>
        <v>33</v>
      </c>
      <c r="F23" s="50"/>
      <c r="G23" s="18">
        <f t="shared" ref="G23:AK23" si="12">AVERAGE(G72:G73)</f>
        <v>0</v>
      </c>
      <c r="H23" s="18">
        <f t="shared" si="12"/>
        <v>70.415083533710003</v>
      </c>
      <c r="I23" s="18">
        <f t="shared" si="12"/>
        <v>223.49908233528922</v>
      </c>
      <c r="J23" s="18">
        <f t="shared" si="12"/>
        <v>172.25473059058262</v>
      </c>
      <c r="K23" s="18">
        <f t="shared" si="12"/>
        <v>23.480902777777779</v>
      </c>
      <c r="L23" s="18">
        <f t="shared" si="12"/>
        <v>1.4204545454545454</v>
      </c>
      <c r="M23" s="18">
        <f t="shared" si="12"/>
        <v>0</v>
      </c>
      <c r="N23" s="18">
        <f t="shared" si="12"/>
        <v>0</v>
      </c>
      <c r="O23" s="18">
        <f t="shared" si="12"/>
        <v>0</v>
      </c>
      <c r="P23" s="18">
        <f t="shared" si="12"/>
        <v>0</v>
      </c>
      <c r="Q23" s="18">
        <f t="shared" si="12"/>
        <v>0</v>
      </c>
      <c r="R23" s="18">
        <f t="shared" si="12"/>
        <v>0</v>
      </c>
      <c r="S23" s="18">
        <f t="shared" si="12"/>
        <v>0</v>
      </c>
      <c r="T23" s="18">
        <f t="shared" si="12"/>
        <v>0</v>
      </c>
      <c r="U23" s="18">
        <f t="shared" si="12"/>
        <v>0</v>
      </c>
      <c r="V23" s="18">
        <f t="shared" si="12"/>
        <v>0</v>
      </c>
      <c r="W23" s="18">
        <f t="shared" si="12"/>
        <v>0</v>
      </c>
      <c r="X23" s="18">
        <f t="shared" si="12"/>
        <v>0</v>
      </c>
      <c r="Y23" s="18">
        <f t="shared" si="12"/>
        <v>0</v>
      </c>
      <c r="Z23" s="18">
        <f t="shared" si="12"/>
        <v>0</v>
      </c>
      <c r="AA23" s="18">
        <f t="shared" si="12"/>
        <v>0</v>
      </c>
      <c r="AB23" s="18">
        <f t="shared" si="12"/>
        <v>0</v>
      </c>
      <c r="AC23" s="18">
        <f t="shared" si="12"/>
        <v>0</v>
      </c>
      <c r="AD23" s="18">
        <f t="shared" si="12"/>
        <v>0</v>
      </c>
      <c r="AE23" s="18">
        <f t="shared" si="12"/>
        <v>0</v>
      </c>
      <c r="AF23" s="18">
        <f t="shared" si="12"/>
        <v>0</v>
      </c>
      <c r="AG23" s="18">
        <f t="shared" si="12"/>
        <v>0</v>
      </c>
      <c r="AH23" s="18">
        <f t="shared" si="12"/>
        <v>0</v>
      </c>
      <c r="AI23" s="18">
        <f t="shared" si="12"/>
        <v>0</v>
      </c>
      <c r="AJ23" s="18">
        <f t="shared" si="12"/>
        <v>0</v>
      </c>
      <c r="AK23" s="18">
        <f t="shared" si="12"/>
        <v>0</v>
      </c>
      <c r="AL23" s="42"/>
      <c r="AM23" s="43">
        <v>7</v>
      </c>
      <c r="AN23">
        <v>254.42378071328076</v>
      </c>
      <c r="AO23">
        <v>24.813266963879222</v>
      </c>
      <c r="AP23">
        <v>28.686815516784435</v>
      </c>
      <c r="AQ23">
        <v>185.98790638466622</v>
      </c>
      <c r="AR23">
        <v>25.458281762810984</v>
      </c>
      <c r="AS23">
        <v>377.1561738383536</v>
      </c>
      <c r="AT23">
        <v>14.767722806194387</v>
      </c>
      <c r="AU23">
        <v>-0.47564462713458511</v>
      </c>
      <c r="AV23"/>
      <c r="AW23"/>
      <c r="FY23" s="213">
        <v>18</v>
      </c>
      <c r="FZ23">
        <v>44.04477610568815</v>
      </c>
      <c r="GA23">
        <v>45.980229035811568</v>
      </c>
      <c r="GB23">
        <v>35.719523583302028</v>
      </c>
      <c r="GC23">
        <v>15.795394026159041</v>
      </c>
      <c r="GD23">
        <v>2.7268201607159059</v>
      </c>
      <c r="GE23">
        <v>2.4591787676141452</v>
      </c>
      <c r="GF23">
        <v>1.0200109481278243</v>
      </c>
      <c r="GG23">
        <v>3.1968411959010452</v>
      </c>
      <c r="GH23">
        <v>7.8795292324738657</v>
      </c>
      <c r="GI23">
        <v>18.25221080258947</v>
      </c>
      <c r="GJ23"/>
      <c r="GK23"/>
      <c r="GL23"/>
      <c r="GM23"/>
      <c r="GN23" s="208"/>
      <c r="GO23" s="208"/>
      <c r="GP23" s="208"/>
      <c r="GQ23" s="208"/>
      <c r="GR23" s="208"/>
      <c r="GS23" s="208"/>
      <c r="GT23" s="208"/>
      <c r="GU23" s="213">
        <v>18</v>
      </c>
    </row>
    <row r="24" spans="1:203" s="7" customFormat="1">
      <c r="A24" s="4"/>
      <c r="B24" s="36"/>
      <c r="C24" s="48" t="s">
        <v>41</v>
      </c>
      <c r="D24" s="49">
        <f t="shared" si="8"/>
        <v>527.71964605720643</v>
      </c>
      <c r="E24" s="18">
        <f t="shared" si="9"/>
        <v>28</v>
      </c>
      <c r="F24" s="50"/>
      <c r="G24" s="18">
        <f t="shared" ref="G24:AK24" si="13">AVERAGE(G73:G74)</f>
        <v>0.52083333333333326</v>
      </c>
      <c r="H24" s="18">
        <f t="shared" si="13"/>
        <v>91.311999118125584</v>
      </c>
      <c r="I24" s="18">
        <f t="shared" si="13"/>
        <v>245.61082475953162</v>
      </c>
      <c r="J24" s="18">
        <f t="shared" si="13"/>
        <v>165.33456742041946</v>
      </c>
      <c r="K24" s="18">
        <f t="shared" si="13"/>
        <v>23.520966880341881</v>
      </c>
      <c r="L24" s="18">
        <f t="shared" si="13"/>
        <v>1.4204545454545454</v>
      </c>
      <c r="M24" s="18">
        <f t="shared" si="13"/>
        <v>0</v>
      </c>
      <c r="N24" s="18">
        <f t="shared" si="13"/>
        <v>0</v>
      </c>
      <c r="O24" s="18">
        <f t="shared" si="13"/>
        <v>0</v>
      </c>
      <c r="P24" s="18">
        <f t="shared" si="13"/>
        <v>0</v>
      </c>
      <c r="Q24" s="18">
        <f t="shared" si="13"/>
        <v>0</v>
      </c>
      <c r="R24" s="18">
        <f t="shared" si="13"/>
        <v>0</v>
      </c>
      <c r="S24" s="18">
        <f t="shared" si="13"/>
        <v>0</v>
      </c>
      <c r="T24" s="18">
        <f t="shared" si="13"/>
        <v>0</v>
      </c>
      <c r="U24" s="18">
        <f t="shared" si="13"/>
        <v>0</v>
      </c>
      <c r="V24" s="18">
        <f t="shared" si="13"/>
        <v>0</v>
      </c>
      <c r="W24" s="18">
        <f t="shared" si="13"/>
        <v>0</v>
      </c>
      <c r="X24" s="18">
        <f t="shared" si="13"/>
        <v>0</v>
      </c>
      <c r="Y24" s="18">
        <f t="shared" si="13"/>
        <v>0</v>
      </c>
      <c r="Z24" s="18">
        <f t="shared" si="13"/>
        <v>0</v>
      </c>
      <c r="AA24" s="18">
        <f t="shared" si="13"/>
        <v>0</v>
      </c>
      <c r="AB24" s="18">
        <f t="shared" si="13"/>
        <v>0</v>
      </c>
      <c r="AC24" s="18">
        <f t="shared" si="13"/>
        <v>0</v>
      </c>
      <c r="AD24" s="18">
        <f t="shared" si="13"/>
        <v>0</v>
      </c>
      <c r="AE24" s="18">
        <f t="shared" si="13"/>
        <v>0</v>
      </c>
      <c r="AF24" s="18">
        <f t="shared" si="13"/>
        <v>0</v>
      </c>
      <c r="AG24" s="18">
        <f t="shared" si="13"/>
        <v>0</v>
      </c>
      <c r="AH24" s="18">
        <f t="shared" si="13"/>
        <v>0</v>
      </c>
      <c r="AI24" s="18">
        <f t="shared" si="13"/>
        <v>0</v>
      </c>
      <c r="AJ24" s="18">
        <f t="shared" si="13"/>
        <v>0</v>
      </c>
      <c r="AK24" s="18">
        <f t="shared" si="13"/>
        <v>0</v>
      </c>
      <c r="AL24" s="42"/>
      <c r="AM24" s="43">
        <v>8</v>
      </c>
      <c r="AN24">
        <v>235.20321608267835</v>
      </c>
      <c r="AO24">
        <v>22.090475815293178</v>
      </c>
      <c r="AP24">
        <v>35.262948835606181</v>
      </c>
      <c r="AQ24">
        <v>156.71007458837261</v>
      </c>
      <c r="AR24">
        <v>22.74199383740655</v>
      </c>
      <c r="AS24">
        <v>349.62345192648445</v>
      </c>
      <c r="AT24">
        <v>14.12303523075102</v>
      </c>
      <c r="AU24">
        <v>-3.1407827050621826</v>
      </c>
      <c r="AV24"/>
      <c r="AW24"/>
      <c r="FY24" s="213">
        <v>19</v>
      </c>
      <c r="FZ24">
        <v>60.891099695709975</v>
      </c>
      <c r="GA24">
        <v>38.660215156032521</v>
      </c>
      <c r="GB24">
        <v>31.234262560447558</v>
      </c>
      <c r="GC24">
        <v>14.837843224040764</v>
      </c>
      <c r="GD24">
        <v>4.3214398230645985</v>
      </c>
      <c r="GE24">
        <v>7.8068495098852555</v>
      </c>
      <c r="GF24">
        <v>8.5985406512139591</v>
      </c>
      <c r="GG24">
        <v>8.4739525776156661</v>
      </c>
      <c r="GH24">
        <v>9.5947560833872796</v>
      </c>
      <c r="GI24">
        <v>22.186764340946336</v>
      </c>
      <c r="GJ24"/>
      <c r="GK24"/>
      <c r="GL24"/>
      <c r="GM24"/>
      <c r="GN24" s="208"/>
      <c r="GO24" s="208"/>
      <c r="GP24" s="208"/>
      <c r="GQ24" s="208"/>
      <c r="GR24" s="208"/>
      <c r="GS24" s="208"/>
      <c r="GT24" s="208"/>
      <c r="GU24" s="213">
        <v>19</v>
      </c>
    </row>
    <row r="25" spans="1:203" s="7" customFormat="1">
      <c r="A25" s="4"/>
      <c r="B25" s="36"/>
      <c r="C25" s="48" t="s">
        <v>42</v>
      </c>
      <c r="D25" s="49">
        <f t="shared" si="8"/>
        <v>369.61425964311564</v>
      </c>
      <c r="E25" s="18">
        <f t="shared" si="9"/>
        <v>24</v>
      </c>
      <c r="F25" s="50"/>
      <c r="G25" s="18">
        <f t="shared" ref="G25:AK25" si="14">AVERAGE(G74:G75)</f>
        <v>0.52083333333333326</v>
      </c>
      <c r="H25" s="18">
        <f t="shared" si="14"/>
        <v>140.55051566080976</v>
      </c>
      <c r="I25" s="18">
        <f t="shared" si="14"/>
        <v>211.39027162133354</v>
      </c>
      <c r="J25" s="18">
        <f t="shared" si="14"/>
        <v>15.550074925074926</v>
      </c>
      <c r="K25" s="18">
        <f t="shared" si="14"/>
        <v>1.6025641025641026</v>
      </c>
      <c r="L25" s="18">
        <f t="shared" si="14"/>
        <v>0</v>
      </c>
      <c r="M25" s="18">
        <f t="shared" si="14"/>
        <v>0</v>
      </c>
      <c r="N25" s="18">
        <f t="shared" si="14"/>
        <v>0</v>
      </c>
      <c r="O25" s="18">
        <f t="shared" si="14"/>
        <v>0</v>
      </c>
      <c r="P25" s="18">
        <f t="shared" si="14"/>
        <v>0</v>
      </c>
      <c r="Q25" s="18">
        <f t="shared" si="14"/>
        <v>0</v>
      </c>
      <c r="R25" s="18">
        <f t="shared" si="14"/>
        <v>0</v>
      </c>
      <c r="S25" s="18">
        <f t="shared" si="14"/>
        <v>0</v>
      </c>
      <c r="T25" s="18">
        <f t="shared" si="14"/>
        <v>0</v>
      </c>
      <c r="U25" s="18">
        <f t="shared" si="14"/>
        <v>0</v>
      </c>
      <c r="V25" s="18">
        <f t="shared" si="14"/>
        <v>0</v>
      </c>
      <c r="W25" s="18">
        <f t="shared" si="14"/>
        <v>0</v>
      </c>
      <c r="X25" s="18">
        <f t="shared" si="14"/>
        <v>0</v>
      </c>
      <c r="Y25" s="18">
        <f t="shared" si="14"/>
        <v>0</v>
      </c>
      <c r="Z25" s="18">
        <f t="shared" si="14"/>
        <v>0</v>
      </c>
      <c r="AA25" s="18">
        <f t="shared" si="14"/>
        <v>0</v>
      </c>
      <c r="AB25" s="18">
        <f t="shared" si="14"/>
        <v>0</v>
      </c>
      <c r="AC25" s="18">
        <f t="shared" si="14"/>
        <v>0</v>
      </c>
      <c r="AD25" s="18">
        <f t="shared" si="14"/>
        <v>0</v>
      </c>
      <c r="AE25" s="18">
        <f t="shared" si="14"/>
        <v>0</v>
      </c>
      <c r="AF25" s="18">
        <f t="shared" si="14"/>
        <v>0</v>
      </c>
      <c r="AG25" s="18">
        <f t="shared" si="14"/>
        <v>0</v>
      </c>
      <c r="AH25" s="18">
        <f t="shared" si="14"/>
        <v>0</v>
      </c>
      <c r="AI25" s="18">
        <f t="shared" si="14"/>
        <v>0</v>
      </c>
      <c r="AJ25" s="18">
        <f t="shared" si="14"/>
        <v>0</v>
      </c>
      <c r="AK25" s="18">
        <f t="shared" si="14"/>
        <v>0</v>
      </c>
      <c r="AL25" s="42"/>
      <c r="AM25" s="43">
        <v>9</v>
      </c>
      <c r="AN25">
        <v>308.63775644972947</v>
      </c>
      <c r="AO25">
        <v>29.420248632277428</v>
      </c>
      <c r="AP25">
        <v>17.934475854368877</v>
      </c>
      <c r="AQ25">
        <v>221.03781820451806</v>
      </c>
      <c r="AR25">
        <v>29.563991352843317</v>
      </c>
      <c r="AS25">
        <v>449.3074945552155</v>
      </c>
      <c r="AT25">
        <v>18.756431160937719</v>
      </c>
      <c r="AU25">
        <v>-38.14807652765591</v>
      </c>
      <c r="AV25"/>
      <c r="AW25"/>
      <c r="FY25" s="213">
        <v>20</v>
      </c>
      <c r="FZ25">
        <v>56.075271533998759</v>
      </c>
      <c r="GA25">
        <v>75.36628325031684</v>
      </c>
      <c r="GB25">
        <v>45.671587825195537</v>
      </c>
      <c r="GC25">
        <v>14.778837815707226</v>
      </c>
      <c r="GD25">
        <v>4.3091034339024308</v>
      </c>
      <c r="GE25">
        <v>7.0852202976389664</v>
      </c>
      <c r="GF25">
        <v>3.4228517011123132</v>
      </c>
      <c r="GG25">
        <v>1.6275696279290834</v>
      </c>
      <c r="GH25">
        <v>8.0635562175017625</v>
      </c>
      <c r="GI25">
        <v>23.821758488397112</v>
      </c>
      <c r="GJ25"/>
      <c r="GK25"/>
      <c r="GL25"/>
      <c r="GM25"/>
      <c r="GN25" s="208"/>
      <c r="GO25" s="208"/>
      <c r="GP25" s="208"/>
      <c r="GQ25" s="208"/>
      <c r="GR25" s="208"/>
      <c r="GS25" s="208"/>
      <c r="GT25" s="208"/>
      <c r="GU25" s="213">
        <v>20</v>
      </c>
    </row>
    <row r="26" spans="1:203" s="7" customFormat="1">
      <c r="A26" s="4"/>
      <c r="B26" s="36"/>
      <c r="C26" s="48" t="s">
        <v>118</v>
      </c>
      <c r="D26" s="49">
        <f t="shared" si="8"/>
        <v>324.45792292427899</v>
      </c>
      <c r="E26" s="18">
        <f t="shared" si="9"/>
        <v>48</v>
      </c>
      <c r="F26" s="50"/>
      <c r="G26" s="18">
        <f t="shared" ref="G26:AK26" si="15">AVERAGE(G75:G76)</f>
        <v>0</v>
      </c>
      <c r="H26" s="18">
        <f t="shared" si="15"/>
        <v>118.61193340972753</v>
      </c>
      <c r="I26" s="18">
        <f t="shared" si="15"/>
        <v>181.46602919709113</v>
      </c>
      <c r="J26" s="18">
        <f t="shared" si="15"/>
        <v>24.379960317460316</v>
      </c>
      <c r="K26" s="18">
        <f t="shared" si="15"/>
        <v>0</v>
      </c>
      <c r="L26" s="18">
        <f t="shared" si="15"/>
        <v>0</v>
      </c>
      <c r="M26" s="18">
        <f t="shared" si="15"/>
        <v>0</v>
      </c>
      <c r="N26" s="18">
        <f t="shared" si="15"/>
        <v>0</v>
      </c>
      <c r="O26" s="18">
        <f t="shared" si="15"/>
        <v>0</v>
      </c>
      <c r="P26" s="18">
        <f t="shared" si="15"/>
        <v>0</v>
      </c>
      <c r="Q26" s="18">
        <f t="shared" si="15"/>
        <v>0</v>
      </c>
      <c r="R26" s="18">
        <f t="shared" si="15"/>
        <v>0</v>
      </c>
      <c r="S26" s="18">
        <f t="shared" si="15"/>
        <v>0</v>
      </c>
      <c r="T26" s="18">
        <f t="shared" si="15"/>
        <v>0</v>
      </c>
      <c r="U26" s="18">
        <f t="shared" si="15"/>
        <v>0</v>
      </c>
      <c r="V26" s="18">
        <f t="shared" si="15"/>
        <v>0</v>
      </c>
      <c r="W26" s="18">
        <f t="shared" si="15"/>
        <v>0</v>
      </c>
      <c r="X26" s="18">
        <f t="shared" si="15"/>
        <v>0</v>
      </c>
      <c r="Y26" s="18">
        <f t="shared" si="15"/>
        <v>0</v>
      </c>
      <c r="Z26" s="18">
        <f t="shared" si="15"/>
        <v>0</v>
      </c>
      <c r="AA26" s="18">
        <f t="shared" si="15"/>
        <v>0</v>
      </c>
      <c r="AB26" s="18">
        <f t="shared" si="15"/>
        <v>0</v>
      </c>
      <c r="AC26" s="18">
        <f t="shared" si="15"/>
        <v>0</v>
      </c>
      <c r="AD26" s="18">
        <f t="shared" si="15"/>
        <v>0</v>
      </c>
      <c r="AE26" s="18">
        <f t="shared" si="15"/>
        <v>0</v>
      </c>
      <c r="AF26" s="18">
        <f t="shared" si="15"/>
        <v>0</v>
      </c>
      <c r="AG26" s="18">
        <f t="shared" si="15"/>
        <v>0</v>
      </c>
      <c r="AH26" s="18">
        <f t="shared" si="15"/>
        <v>0</v>
      </c>
      <c r="AI26" s="18">
        <f t="shared" si="15"/>
        <v>0</v>
      </c>
      <c r="AJ26" s="18">
        <f t="shared" si="15"/>
        <v>0</v>
      </c>
      <c r="AK26" s="18">
        <f t="shared" si="15"/>
        <v>0</v>
      </c>
      <c r="AL26" s="42"/>
      <c r="AM26" s="43">
        <v>10</v>
      </c>
      <c r="AN26">
        <v>296.31695597759642</v>
      </c>
      <c r="AO26">
        <v>29.752332339364635</v>
      </c>
      <c r="AP26">
        <v>34.822202168214467</v>
      </c>
      <c r="AQ26">
        <v>202.85117964133892</v>
      </c>
      <c r="AR26">
        <v>30.444323767172285</v>
      </c>
      <c r="AS26">
        <v>438.02251924870376</v>
      </c>
      <c r="AT26">
        <v>19.17015227998446</v>
      </c>
      <c r="AU26">
        <v>14.449746224455353</v>
      </c>
      <c r="AV26"/>
      <c r="AW26"/>
      <c r="FY26" s="213">
        <v>21</v>
      </c>
      <c r="FZ26">
        <v>54.593769907339649</v>
      </c>
      <c r="GA26">
        <v>40.113372556150225</v>
      </c>
      <c r="GB26">
        <v>28.465929987898694</v>
      </c>
      <c r="GC26">
        <v>17.009755383353056</v>
      </c>
      <c r="GD26">
        <v>4.0109265755245067</v>
      </c>
      <c r="GE26">
        <v>5.2329735775357014</v>
      </c>
      <c r="GF26">
        <v>5.8922511087007354</v>
      </c>
      <c r="GG26">
        <v>6.3354487615222261</v>
      </c>
      <c r="GH26">
        <v>5.7328137464014617</v>
      </c>
      <c r="GI26">
        <v>19.318320833999046</v>
      </c>
      <c r="GJ26"/>
      <c r="GK26"/>
      <c r="GL26"/>
      <c r="GM26"/>
      <c r="GN26" s="208"/>
      <c r="GO26" s="208"/>
      <c r="GP26" s="208"/>
      <c r="GQ26" s="208"/>
      <c r="GR26" s="208"/>
      <c r="GS26" s="208"/>
      <c r="GT26" s="208"/>
      <c r="GU26" s="213">
        <v>21</v>
      </c>
    </row>
    <row r="27" spans="1:203" s="7" customFormat="1">
      <c r="A27" s="4"/>
      <c r="B27" s="1"/>
      <c r="C27" s="48" t="s">
        <v>119</v>
      </c>
      <c r="D27" s="49">
        <f>SUM(G27:AK27)</f>
        <v>55.555555555555564</v>
      </c>
      <c r="E27" s="18">
        <f>C11-C10</f>
        <v>63</v>
      </c>
      <c r="F27" s="50"/>
      <c r="G27" s="18">
        <f t="shared" ref="G27:AK29" si="16">AVERAGE(G76:G77)</f>
        <v>0</v>
      </c>
      <c r="H27" s="18">
        <f t="shared" si="16"/>
        <v>0</v>
      </c>
      <c r="I27" s="18">
        <f t="shared" si="16"/>
        <v>10.416666666666668</v>
      </c>
      <c r="J27" s="18">
        <f t="shared" si="16"/>
        <v>24.305555555555557</v>
      </c>
      <c r="K27" s="18">
        <f t="shared" si="16"/>
        <v>20.833333333333336</v>
      </c>
      <c r="L27" s="18">
        <f t="shared" si="16"/>
        <v>0</v>
      </c>
      <c r="M27" s="18">
        <f t="shared" si="16"/>
        <v>0</v>
      </c>
      <c r="N27" s="18">
        <f t="shared" si="16"/>
        <v>0</v>
      </c>
      <c r="O27" s="18">
        <f t="shared" si="16"/>
        <v>0</v>
      </c>
      <c r="P27" s="18">
        <f t="shared" si="16"/>
        <v>0</v>
      </c>
      <c r="Q27" s="18">
        <f t="shared" si="16"/>
        <v>0</v>
      </c>
      <c r="R27" s="18">
        <f t="shared" si="16"/>
        <v>0</v>
      </c>
      <c r="S27" s="18">
        <f t="shared" si="16"/>
        <v>0</v>
      </c>
      <c r="T27" s="18">
        <f t="shared" si="16"/>
        <v>0</v>
      </c>
      <c r="U27" s="18">
        <f t="shared" si="16"/>
        <v>0</v>
      </c>
      <c r="V27" s="18">
        <f t="shared" si="16"/>
        <v>0</v>
      </c>
      <c r="W27" s="18">
        <f t="shared" si="16"/>
        <v>0</v>
      </c>
      <c r="X27" s="18">
        <f t="shared" si="16"/>
        <v>0</v>
      </c>
      <c r="Y27" s="18">
        <f t="shared" si="16"/>
        <v>0</v>
      </c>
      <c r="Z27" s="18">
        <f t="shared" si="16"/>
        <v>0</v>
      </c>
      <c r="AA27" s="18">
        <f t="shared" si="16"/>
        <v>0</v>
      </c>
      <c r="AB27" s="18">
        <f t="shared" si="16"/>
        <v>0</v>
      </c>
      <c r="AC27" s="18">
        <f t="shared" si="16"/>
        <v>0</v>
      </c>
      <c r="AD27" s="18">
        <f t="shared" si="16"/>
        <v>0</v>
      </c>
      <c r="AE27" s="18">
        <f t="shared" si="16"/>
        <v>0</v>
      </c>
      <c r="AF27" s="18">
        <f t="shared" si="16"/>
        <v>0</v>
      </c>
      <c r="AG27" s="18">
        <f t="shared" si="16"/>
        <v>0</v>
      </c>
      <c r="AH27" s="18">
        <f t="shared" si="16"/>
        <v>0</v>
      </c>
      <c r="AI27" s="18">
        <f t="shared" si="16"/>
        <v>0</v>
      </c>
      <c r="AJ27" s="18">
        <f t="shared" si="16"/>
        <v>0</v>
      </c>
      <c r="AK27" s="18">
        <f t="shared" si="16"/>
        <v>0</v>
      </c>
      <c r="AL27" s="42"/>
      <c r="AM27" s="43">
        <v>11</v>
      </c>
      <c r="AN27">
        <v>329.1331105389653</v>
      </c>
      <c r="AO27">
        <v>29.265911585300692</v>
      </c>
      <c r="AP27">
        <v>46.831832463965725</v>
      </c>
      <c r="AQ27">
        <v>226.0291830929892</v>
      </c>
      <c r="AR27">
        <v>29.126699252651964</v>
      </c>
      <c r="AS27">
        <v>432.39238399322028</v>
      </c>
      <c r="AT27">
        <v>18.161502312536495</v>
      </c>
      <c r="AU27">
        <v>-15.466980948701732</v>
      </c>
      <c r="AV27"/>
      <c r="AW27"/>
      <c r="FY27" s="213">
        <v>22</v>
      </c>
      <c r="FZ27">
        <v>44.170710036081921</v>
      </c>
      <c r="GA27">
        <v>40.455759938878145</v>
      </c>
      <c r="GB27">
        <v>30.342185058704349</v>
      </c>
      <c r="GC27">
        <v>15.762529946655125</v>
      </c>
      <c r="GD27">
        <v>3.9506632423635875</v>
      </c>
      <c r="GE27">
        <v>4.9906868008593488</v>
      </c>
      <c r="GF27">
        <v>4.0262387866941669</v>
      </c>
      <c r="GG27">
        <v>1.795253647605324</v>
      </c>
      <c r="GH27">
        <v>5.5849338083637718</v>
      </c>
      <c r="GI27">
        <v>17.834646215171233</v>
      </c>
      <c r="GJ27"/>
      <c r="GK27"/>
      <c r="GL27"/>
      <c r="GM27"/>
      <c r="GN27" s="208"/>
      <c r="GO27" s="208"/>
      <c r="GP27" s="208"/>
      <c r="GQ27" s="208"/>
      <c r="GR27" s="208"/>
      <c r="GS27" s="208"/>
      <c r="GT27" s="208"/>
      <c r="GU27" s="213">
        <v>22</v>
      </c>
    </row>
    <row r="28" spans="1:203" s="7" customFormat="1">
      <c r="A28" s="51"/>
      <c r="B28" s="1"/>
      <c r="C28" s="48" t="s">
        <v>120</v>
      </c>
      <c r="D28" s="49">
        <f>SUM(G28:AK28)</f>
        <v>134.97604382522479</v>
      </c>
      <c r="E28" s="18">
        <f>C12-C11</f>
        <v>39</v>
      </c>
      <c r="F28" s="50"/>
      <c r="G28" s="18">
        <f t="shared" si="16"/>
        <v>0</v>
      </c>
      <c r="H28" s="18">
        <f t="shared" si="16"/>
        <v>12.668061897513951</v>
      </c>
      <c r="I28" s="18">
        <f t="shared" si="16"/>
        <v>70.210703926818383</v>
      </c>
      <c r="J28" s="18">
        <f t="shared" si="16"/>
        <v>29.180611334225794</v>
      </c>
      <c r="K28" s="18">
        <f t="shared" si="16"/>
        <v>22.916666666666668</v>
      </c>
      <c r="L28" s="18">
        <f t="shared" si="16"/>
        <v>0</v>
      </c>
      <c r="M28" s="18">
        <f t="shared" si="16"/>
        <v>0</v>
      </c>
      <c r="N28" s="18">
        <f t="shared" si="16"/>
        <v>0</v>
      </c>
      <c r="O28" s="18">
        <f t="shared" si="16"/>
        <v>0</v>
      </c>
      <c r="P28" s="18">
        <f t="shared" si="16"/>
        <v>0</v>
      </c>
      <c r="Q28" s="18">
        <f t="shared" si="16"/>
        <v>0</v>
      </c>
      <c r="R28" s="18">
        <f t="shared" si="16"/>
        <v>0</v>
      </c>
      <c r="S28" s="18">
        <f t="shared" si="16"/>
        <v>0</v>
      </c>
      <c r="T28" s="18">
        <f t="shared" si="16"/>
        <v>0</v>
      </c>
      <c r="U28" s="18">
        <f t="shared" si="16"/>
        <v>0</v>
      </c>
      <c r="V28" s="18">
        <f t="shared" si="16"/>
        <v>0</v>
      </c>
      <c r="W28" s="18">
        <f t="shared" si="16"/>
        <v>0</v>
      </c>
      <c r="X28" s="18">
        <f t="shared" si="16"/>
        <v>0</v>
      </c>
      <c r="Y28" s="18">
        <f t="shared" si="16"/>
        <v>0</v>
      </c>
      <c r="Z28" s="18">
        <f t="shared" si="16"/>
        <v>0</v>
      </c>
      <c r="AA28" s="18">
        <f t="shared" si="16"/>
        <v>0</v>
      </c>
      <c r="AB28" s="18">
        <f t="shared" si="16"/>
        <v>0</v>
      </c>
      <c r="AC28" s="18">
        <f t="shared" si="16"/>
        <v>0</v>
      </c>
      <c r="AD28" s="18">
        <f t="shared" si="16"/>
        <v>0</v>
      </c>
      <c r="AE28" s="18">
        <f t="shared" si="16"/>
        <v>0</v>
      </c>
      <c r="AF28" s="18">
        <f t="shared" si="16"/>
        <v>0</v>
      </c>
      <c r="AG28" s="18">
        <f t="shared" si="16"/>
        <v>0</v>
      </c>
      <c r="AH28" s="18">
        <f t="shared" si="16"/>
        <v>0</v>
      </c>
      <c r="AI28" s="18">
        <f t="shared" si="16"/>
        <v>0</v>
      </c>
      <c r="AJ28" s="18">
        <f t="shared" si="16"/>
        <v>0</v>
      </c>
      <c r="AK28" s="18">
        <f t="shared" si="16"/>
        <v>0</v>
      </c>
      <c r="AL28" s="42"/>
      <c r="AM28" s="43">
        <v>12</v>
      </c>
      <c r="AN28">
        <v>276.73783354094923</v>
      </c>
      <c r="AO28">
        <v>27.022792154519657</v>
      </c>
      <c r="AP28">
        <v>31.23316290061965</v>
      </c>
      <c r="AQ28">
        <v>197.7499320655912</v>
      </c>
      <c r="AR28">
        <v>27.306499851200996</v>
      </c>
      <c r="AS28">
        <v>359.83931815685844</v>
      </c>
      <c r="AT28">
        <v>16.513825294924441</v>
      </c>
      <c r="AU28">
        <v>-25.58346405437571</v>
      </c>
      <c r="AV28"/>
      <c r="AW28"/>
      <c r="FY28" s="213">
        <v>23</v>
      </c>
      <c r="FZ28">
        <v>40.341602944190946</v>
      </c>
      <c r="GA28">
        <v>48.569782892997324</v>
      </c>
      <c r="GB28">
        <v>33.078886146874112</v>
      </c>
      <c r="GC28">
        <v>11.869243032674191</v>
      </c>
      <c r="GD28">
        <v>2.2482279004293209</v>
      </c>
      <c r="GE28">
        <v>3.3770480113607304</v>
      </c>
      <c r="GF28">
        <v>0.78374984001153103</v>
      </c>
      <c r="GG28">
        <v>0.61555289643321731</v>
      </c>
      <c r="GH28">
        <v>3.3306147188953221</v>
      </c>
      <c r="GI28">
        <v>16.017893559658511</v>
      </c>
      <c r="GJ28"/>
      <c r="GK28"/>
      <c r="GL28"/>
      <c r="GM28"/>
      <c r="GN28" s="208"/>
      <c r="GO28" s="208"/>
      <c r="GP28" s="208"/>
      <c r="GQ28" s="208"/>
      <c r="GR28" s="208"/>
      <c r="GS28" s="208"/>
      <c r="GT28" s="208"/>
      <c r="GU28" s="213">
        <v>23</v>
      </c>
    </row>
    <row r="29" spans="1:203" s="7" customFormat="1">
      <c r="A29" s="51"/>
      <c r="B29" s="1"/>
      <c r="C29" s="48" t="s">
        <v>121</v>
      </c>
      <c r="D29" s="49">
        <f>SUM(G29:AK29)</f>
        <v>100.98165279958378</v>
      </c>
      <c r="E29" s="18">
        <f>C13-C12</f>
        <v>38</v>
      </c>
      <c r="F29" s="50"/>
      <c r="G29" s="18">
        <f t="shared" si="16"/>
        <v>0</v>
      </c>
      <c r="H29" s="18">
        <f t="shared" si="16"/>
        <v>12.668061897513951</v>
      </c>
      <c r="I29" s="18">
        <f t="shared" si="16"/>
        <v>63.299646234510689</v>
      </c>
      <c r="J29" s="18">
        <f t="shared" si="16"/>
        <v>18.763944667559127</v>
      </c>
      <c r="K29" s="18">
        <f t="shared" si="16"/>
        <v>4.1666666666666661</v>
      </c>
      <c r="L29" s="18">
        <f t="shared" si="16"/>
        <v>1.0416666666666665</v>
      </c>
      <c r="M29" s="18">
        <f t="shared" si="16"/>
        <v>0</v>
      </c>
      <c r="N29" s="18">
        <f t="shared" si="16"/>
        <v>1.0416666666666665</v>
      </c>
      <c r="O29" s="18">
        <f t="shared" si="16"/>
        <v>0</v>
      </c>
      <c r="P29" s="18">
        <f t="shared" si="16"/>
        <v>0</v>
      </c>
      <c r="Q29" s="18">
        <f t="shared" si="16"/>
        <v>0</v>
      </c>
      <c r="R29" s="18">
        <f t="shared" si="16"/>
        <v>0</v>
      </c>
      <c r="S29" s="18">
        <f t="shared" si="16"/>
        <v>0</v>
      </c>
      <c r="T29" s="18">
        <f t="shared" si="16"/>
        <v>0</v>
      </c>
      <c r="U29" s="18">
        <f t="shared" si="16"/>
        <v>0</v>
      </c>
      <c r="V29" s="18">
        <f t="shared" si="16"/>
        <v>0</v>
      </c>
      <c r="W29" s="18">
        <f t="shared" si="16"/>
        <v>0</v>
      </c>
      <c r="X29" s="18">
        <f t="shared" si="16"/>
        <v>0</v>
      </c>
      <c r="Y29" s="18">
        <f t="shared" si="16"/>
        <v>0</v>
      </c>
      <c r="Z29" s="18">
        <f t="shared" si="16"/>
        <v>0</v>
      </c>
      <c r="AA29" s="18">
        <f t="shared" si="16"/>
        <v>0</v>
      </c>
      <c r="AB29" s="18">
        <f t="shared" si="16"/>
        <v>0</v>
      </c>
      <c r="AC29" s="18">
        <f t="shared" si="16"/>
        <v>0</v>
      </c>
      <c r="AD29" s="18">
        <f t="shared" si="16"/>
        <v>0</v>
      </c>
      <c r="AE29" s="18">
        <f t="shared" si="16"/>
        <v>0</v>
      </c>
      <c r="AF29" s="18">
        <f t="shared" si="16"/>
        <v>0</v>
      </c>
      <c r="AG29" s="18">
        <f t="shared" si="16"/>
        <v>0</v>
      </c>
      <c r="AH29" s="18">
        <f t="shared" si="16"/>
        <v>0</v>
      </c>
      <c r="AI29" s="18">
        <f t="shared" si="16"/>
        <v>0</v>
      </c>
      <c r="AJ29" s="18">
        <f t="shared" si="16"/>
        <v>0</v>
      </c>
      <c r="AK29" s="18">
        <f t="shared" si="16"/>
        <v>0</v>
      </c>
      <c r="AL29" s="42"/>
      <c r="AM29" s="43">
        <v>13</v>
      </c>
      <c r="AN29">
        <v>315.93070724660731</v>
      </c>
      <c r="AO29">
        <v>30.74008408843228</v>
      </c>
      <c r="AP29">
        <v>49.225051197301994</v>
      </c>
      <c r="AQ29">
        <v>222.74616680854174</v>
      </c>
      <c r="AR29">
        <v>30.468278851250307</v>
      </c>
      <c r="AS29">
        <v>444.31671578295499</v>
      </c>
      <c r="AT29">
        <v>19.09187089158824</v>
      </c>
      <c r="AU29">
        <v>-12.37168347580959</v>
      </c>
      <c r="AV29"/>
      <c r="AW29"/>
      <c r="FY29" s="213">
        <v>24</v>
      </c>
      <c r="FZ29">
        <v>45.759563961237667</v>
      </c>
      <c r="GA29">
        <v>41.126375342096189</v>
      </c>
      <c r="GB29">
        <v>27.186165025713919</v>
      </c>
      <c r="GC29">
        <v>12.114726257142946</v>
      </c>
      <c r="GD29">
        <v>4.7722758757172201</v>
      </c>
      <c r="GE29">
        <v>7.9832271725744732</v>
      </c>
      <c r="GF29">
        <v>6.5282382824302321</v>
      </c>
      <c r="GG29">
        <v>5.3540405582320858</v>
      </c>
      <c r="GH29">
        <v>4.2755607055833664</v>
      </c>
      <c r="GI29">
        <v>18.004353003359245</v>
      </c>
      <c r="GJ29"/>
      <c r="GK29"/>
      <c r="GL29"/>
      <c r="GM29"/>
      <c r="GN29" s="208"/>
      <c r="GO29" s="208"/>
      <c r="GP29" s="208"/>
      <c r="GQ29" s="208"/>
      <c r="GR29" s="208"/>
      <c r="GS29" s="208"/>
      <c r="GT29" s="208"/>
      <c r="GU29" s="213">
        <v>24</v>
      </c>
    </row>
    <row r="30" spans="1:203" s="7" customFormat="1">
      <c r="A30" s="51"/>
      <c r="B30" s="1"/>
      <c r="C30" s="48" t="s">
        <v>122</v>
      </c>
      <c r="D30" s="49">
        <f>SUM(G30:AK30)</f>
        <v>238.3452255420215</v>
      </c>
      <c r="E30" s="18">
        <v>24</v>
      </c>
      <c r="F30" s="50"/>
      <c r="G30" s="18">
        <f>AVERAGE(G70:G79)</f>
        <v>0.10416666666666666</v>
      </c>
      <c r="H30" s="18">
        <f t="shared" ref="H30:AK30" si="17">AVERAGE(H70:H79)</f>
        <v>45.872565551740081</v>
      </c>
      <c r="I30" s="18">
        <f t="shared" si="17"/>
        <v>116.76784789070102</v>
      </c>
      <c r="J30" s="18">
        <f t="shared" si="17"/>
        <v>52.008194481087777</v>
      </c>
      <c r="K30" s="18">
        <f t="shared" si="17"/>
        <v>14.704193376068375</v>
      </c>
      <c r="L30" s="18">
        <f t="shared" si="17"/>
        <v>4.8465909090909092</v>
      </c>
      <c r="M30" s="18">
        <f t="shared" si="17"/>
        <v>2.8958333333333335</v>
      </c>
      <c r="N30" s="18">
        <f t="shared" si="17"/>
        <v>0.9375</v>
      </c>
      <c r="O30" s="18">
        <f t="shared" si="17"/>
        <v>0.20833333333333331</v>
      </c>
      <c r="P30" s="18">
        <f t="shared" si="17"/>
        <v>0</v>
      </c>
      <c r="Q30" s="18">
        <f t="shared" si="17"/>
        <v>0</v>
      </c>
      <c r="R30" s="18">
        <f t="shared" si="17"/>
        <v>0</v>
      </c>
      <c r="S30" s="18">
        <f t="shared" si="17"/>
        <v>0</v>
      </c>
      <c r="T30" s="18">
        <f t="shared" si="17"/>
        <v>0</v>
      </c>
      <c r="U30" s="18">
        <f t="shared" si="17"/>
        <v>0</v>
      </c>
      <c r="V30" s="18">
        <f t="shared" si="17"/>
        <v>0</v>
      </c>
      <c r="W30" s="18">
        <f t="shared" si="17"/>
        <v>0</v>
      </c>
      <c r="X30" s="18">
        <f t="shared" si="17"/>
        <v>0</v>
      </c>
      <c r="Y30" s="18">
        <f t="shared" si="17"/>
        <v>0</v>
      </c>
      <c r="Z30" s="18">
        <f t="shared" si="17"/>
        <v>0</v>
      </c>
      <c r="AA30" s="18">
        <f t="shared" si="17"/>
        <v>0</v>
      </c>
      <c r="AB30" s="18">
        <f t="shared" si="17"/>
        <v>0</v>
      </c>
      <c r="AC30" s="18">
        <f t="shared" si="17"/>
        <v>0</v>
      </c>
      <c r="AD30" s="18">
        <f t="shared" si="17"/>
        <v>0</v>
      </c>
      <c r="AE30" s="18">
        <f t="shared" si="17"/>
        <v>0</v>
      </c>
      <c r="AF30" s="18">
        <f t="shared" si="17"/>
        <v>0</v>
      </c>
      <c r="AG30" s="18">
        <f t="shared" si="17"/>
        <v>0</v>
      </c>
      <c r="AH30" s="18">
        <f t="shared" si="17"/>
        <v>0</v>
      </c>
      <c r="AI30" s="18">
        <f t="shared" si="17"/>
        <v>0</v>
      </c>
      <c r="AJ30" s="18">
        <f t="shared" si="17"/>
        <v>0</v>
      </c>
      <c r="AK30" s="18">
        <f t="shared" si="17"/>
        <v>0</v>
      </c>
      <c r="AL30" s="42"/>
      <c r="AM30" s="43">
        <v>14</v>
      </c>
      <c r="AN30">
        <v>283.65520694223295</v>
      </c>
      <c r="AO30">
        <v>31.119902808136054</v>
      </c>
      <c r="AP30">
        <v>75.74755104497001</v>
      </c>
      <c r="AQ30">
        <v>224.71719296030406</v>
      </c>
      <c r="AR30">
        <v>31.330517192030314</v>
      </c>
      <c r="AS30">
        <v>428.94168279477731</v>
      </c>
      <c r="AT30">
        <v>19.569534905429155</v>
      </c>
      <c r="AU30">
        <v>-31.246326882282389</v>
      </c>
      <c r="AV30"/>
      <c r="AW30"/>
      <c r="FY30" s="213">
        <v>25</v>
      </c>
      <c r="FZ30">
        <v>44.318160372502618</v>
      </c>
      <c r="GA30">
        <v>56.504228447931546</v>
      </c>
      <c r="GB30">
        <v>38.118473504265715</v>
      </c>
      <c r="GC30">
        <v>11.955805308156354</v>
      </c>
      <c r="GD30">
        <v>4.0965925971536858</v>
      </c>
      <c r="GE30">
        <v>6.4160932242180726</v>
      </c>
      <c r="GF30">
        <v>1.2682284677805309</v>
      </c>
      <c r="GG30">
        <v>3.1454645774567571</v>
      </c>
      <c r="GH30">
        <v>10.437750218019117</v>
      </c>
      <c r="GI30">
        <v>20.107186851940192</v>
      </c>
      <c r="GJ30"/>
      <c r="GK30"/>
      <c r="GL30"/>
      <c r="GM30"/>
      <c r="GN30" s="208"/>
      <c r="GO30" s="208"/>
      <c r="GP30" s="208"/>
      <c r="GQ30" s="208"/>
      <c r="GR30" s="208"/>
      <c r="GS30" s="208"/>
      <c r="GT30" s="208"/>
      <c r="GU30" s="213">
        <v>25</v>
      </c>
    </row>
    <row r="31" spans="1:203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377.51639770232384</v>
      </c>
      <c r="AO31">
        <v>34.018281829500097</v>
      </c>
      <c r="AP31">
        <v>53.529278626275101</v>
      </c>
      <c r="AQ31">
        <v>246.00987021688832</v>
      </c>
      <c r="AR31">
        <v>34.701060527431814</v>
      </c>
      <c r="AS31">
        <v>496.90430601889022</v>
      </c>
      <c r="AT31">
        <v>21.145691279097214</v>
      </c>
      <c r="AU31">
        <v>-19.151925769234289</v>
      </c>
      <c r="AV31"/>
      <c r="AW31"/>
      <c r="FY31" s="213">
        <v>26</v>
      </c>
      <c r="FZ31">
        <v>49.703897652341418</v>
      </c>
      <c r="GA31">
        <v>38.329218245577067</v>
      </c>
      <c r="GB31">
        <v>40.736737783449058</v>
      </c>
      <c r="GC31">
        <v>19.761310631305193</v>
      </c>
      <c r="GD31">
        <v>3.3528315790891878</v>
      </c>
      <c r="GE31">
        <v>4.4653560866438786</v>
      </c>
      <c r="GF31">
        <v>5.1242180291787367</v>
      </c>
      <c r="GG31">
        <v>6.906425520615997</v>
      </c>
      <c r="GH31">
        <v>8.5718308621900867</v>
      </c>
      <c r="GI31">
        <v>21.541829926365214</v>
      </c>
      <c r="GJ31"/>
      <c r="GK31"/>
      <c r="GL31"/>
      <c r="GM31"/>
      <c r="GN31" s="208"/>
      <c r="GO31" s="208"/>
      <c r="GP31" s="208"/>
      <c r="GQ31" s="208"/>
      <c r="GR31" s="208"/>
      <c r="GS31" s="208"/>
      <c r="GT31" s="208"/>
      <c r="GU31" s="213">
        <v>26</v>
      </c>
    </row>
    <row r="32" spans="1:203" s="7" customFormat="1">
      <c r="A32" s="51"/>
      <c r="B32" s="1"/>
      <c r="C32" s="52" t="s">
        <v>43</v>
      </c>
      <c r="D32" s="53">
        <f>AVERAGE(D21:D31)</f>
        <v>252.40210386545442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288.32540300715448</v>
      </c>
      <c r="AO32">
        <v>31.476495642167514</v>
      </c>
      <c r="AP32">
        <v>22.64520616204258</v>
      </c>
      <c r="AQ32">
        <v>227.70284928392721</v>
      </c>
      <c r="AR32">
        <v>30.956205979272244</v>
      </c>
      <c r="AS32">
        <v>494.8050136655325</v>
      </c>
      <c r="AT32">
        <v>18.172451696370686</v>
      </c>
      <c r="AU32">
        <v>-28.714553422167192</v>
      </c>
      <c r="AV32"/>
      <c r="AW32"/>
      <c r="FY32" s="213">
        <v>27</v>
      </c>
      <c r="FZ32">
        <v>46.474133482786605</v>
      </c>
      <c r="GA32">
        <v>51.414487183121935</v>
      </c>
      <c r="GB32">
        <v>39.510165949937225</v>
      </c>
      <c r="GC32">
        <v>15.5317212327941</v>
      </c>
      <c r="GD32">
        <v>4.4912043074879691</v>
      </c>
      <c r="GE32">
        <v>5.9224104491778515</v>
      </c>
      <c r="GF32">
        <v>4.5631973711118903</v>
      </c>
      <c r="GG32">
        <v>5.7920581190370175</v>
      </c>
      <c r="GH32">
        <v>5.3367694235028305</v>
      </c>
      <c r="GI32">
        <v>20.78742446669078</v>
      </c>
      <c r="GJ32"/>
      <c r="GK32"/>
      <c r="GL32"/>
      <c r="GM32"/>
      <c r="GN32" s="208"/>
      <c r="GO32" s="208"/>
      <c r="GP32" s="208"/>
      <c r="GQ32" s="208"/>
      <c r="GR32" s="208"/>
      <c r="GS32" s="208"/>
      <c r="GT32" s="208"/>
      <c r="GU32" s="213">
        <v>27</v>
      </c>
    </row>
    <row r="33" spans="1:203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281.61952980239323</v>
      </c>
      <c r="AO33">
        <v>27.947654103063723</v>
      </c>
      <c r="AP33">
        <v>33.626318656092295</v>
      </c>
      <c r="AQ33">
        <v>204.33061035281401</v>
      </c>
      <c r="AR33">
        <v>28.44273304129867</v>
      </c>
      <c r="AS33">
        <v>375.94827209245727</v>
      </c>
      <c r="AT33">
        <v>17.399635408993934</v>
      </c>
      <c r="AU33">
        <v>15.681759010607468</v>
      </c>
      <c r="AV33"/>
      <c r="AW33"/>
      <c r="FY33" s="213">
        <v>28</v>
      </c>
      <c r="FZ33">
        <v>45.519249623724903</v>
      </c>
      <c r="GA33">
        <v>50.148538922490019</v>
      </c>
      <c r="GB33">
        <v>30.128974176738318</v>
      </c>
      <c r="GC33">
        <v>12.341092965207141</v>
      </c>
      <c r="GD33">
        <v>3.3455352155670335</v>
      </c>
      <c r="GE33">
        <v>4.3172002363316473</v>
      </c>
      <c r="GF33">
        <v>4.3149798514591833</v>
      </c>
      <c r="GG33">
        <v>3.9201656887972134</v>
      </c>
      <c r="GH33">
        <v>4.7387252463131153</v>
      </c>
      <c r="GI33">
        <v>17.54909236889128</v>
      </c>
      <c r="GJ33"/>
      <c r="GK33"/>
      <c r="GL33"/>
      <c r="GM33"/>
      <c r="GN33" s="208"/>
      <c r="GO33" s="208"/>
      <c r="GP33" s="208"/>
      <c r="GQ33" s="208"/>
      <c r="GR33" s="208"/>
      <c r="GS33" s="208"/>
      <c r="GT33" s="208"/>
      <c r="GU33" s="213">
        <v>28</v>
      </c>
    </row>
    <row r="34" spans="1:203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219.08285522793818</v>
      </c>
      <c r="AO34">
        <v>24.80131900991061</v>
      </c>
      <c r="AP34">
        <v>50.66934444709787</v>
      </c>
      <c r="AQ34">
        <v>177.07451385838303</v>
      </c>
      <c r="AR34">
        <v>25.156733381769239</v>
      </c>
      <c r="AS34">
        <v>332.82199586162488</v>
      </c>
      <c r="AT34">
        <v>14.928669582399669</v>
      </c>
      <c r="AU34">
        <v>-3.7634525420106684</v>
      </c>
      <c r="AV34"/>
      <c r="AW34"/>
      <c r="FY34" s="213">
        <v>29</v>
      </c>
      <c r="FZ34">
        <v>64.495716375460773</v>
      </c>
      <c r="GA34">
        <v>52.811167099421404</v>
      </c>
      <c r="GB34">
        <v>27.734878062921542</v>
      </c>
      <c r="GC34">
        <v>12.093196468810525</v>
      </c>
      <c r="GD34">
        <v>1.2856735787934244</v>
      </c>
      <c r="GE34">
        <v>2.7613058833223922</v>
      </c>
      <c r="GF34">
        <v>3.3598415969860751</v>
      </c>
      <c r="GG34">
        <v>10.519555472823129</v>
      </c>
      <c r="GH34">
        <v>15.862078196708845</v>
      </c>
      <c r="GI34">
        <v>20.16774383890635</v>
      </c>
      <c r="GJ34"/>
      <c r="GK34"/>
      <c r="GL34"/>
      <c r="GM34"/>
      <c r="GN34" s="208"/>
      <c r="GO34" s="208"/>
      <c r="GP34" s="208"/>
      <c r="GQ34" s="208"/>
      <c r="GR34" s="208"/>
      <c r="GS34" s="208"/>
      <c r="GT34" s="208"/>
      <c r="GU34" s="213">
        <v>29</v>
      </c>
    </row>
    <row r="35" spans="1:203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304.09405422129612</v>
      </c>
      <c r="AO35">
        <v>28.807907513104162</v>
      </c>
      <c r="AP35">
        <v>31.959115860773057</v>
      </c>
      <c r="AQ35">
        <v>206.6057236223439</v>
      </c>
      <c r="AR35">
        <v>30.52091671579683</v>
      </c>
      <c r="AS35">
        <v>451.32730194622638</v>
      </c>
      <c r="AT35">
        <v>18.358431614248964</v>
      </c>
      <c r="AU35">
        <v>-0.2049499452264385</v>
      </c>
      <c r="AV35"/>
      <c r="AW35"/>
      <c r="FY35" s="213">
        <v>30</v>
      </c>
      <c r="FZ35">
        <v>36.352517415441334</v>
      </c>
      <c r="GA35">
        <v>34.823027246152108</v>
      </c>
      <c r="GB35">
        <v>32.264014792149737</v>
      </c>
      <c r="GC35">
        <v>13.697725732964635</v>
      </c>
      <c r="GD35">
        <v>3.1929791899464717</v>
      </c>
      <c r="GE35">
        <v>5.0280510911475051</v>
      </c>
      <c r="GF35">
        <v>3.2120789307040414</v>
      </c>
      <c r="GG35">
        <v>5.2121497427707206</v>
      </c>
      <c r="GH35">
        <v>9.5097358485455832</v>
      </c>
      <c r="GI35">
        <v>17.182568186858433</v>
      </c>
      <c r="GJ35"/>
      <c r="GK35"/>
      <c r="GL35"/>
      <c r="GM35"/>
      <c r="GN35" s="208"/>
      <c r="GO35" s="208"/>
      <c r="GP35" s="208"/>
      <c r="GQ35" s="208"/>
      <c r="GR35" s="208"/>
      <c r="GS35" s="208"/>
      <c r="GT35" s="208"/>
      <c r="GU35" s="213">
        <v>30</v>
      </c>
    </row>
    <row r="36" spans="1:203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1.1192378560128725E-3</v>
      </c>
      <c r="H36" s="59">
        <f t="shared" ref="H36:AK36" si="18">(1-($A$43/100))*($A$39*(H35^$A$41))</f>
        <v>7.2275999999999998E-3</v>
      </c>
      <c r="I36" s="59">
        <f t="shared" si="18"/>
        <v>4.6673011888725101E-2</v>
      </c>
      <c r="J36" s="59">
        <f t="shared" si="18"/>
        <v>0.13897203136197886</v>
      </c>
      <c r="K36" s="59">
        <f t="shared" si="18"/>
        <v>0.30139604277562043</v>
      </c>
      <c r="L36" s="59">
        <f t="shared" si="18"/>
        <v>0.54944267880487196</v>
      </c>
      <c r="M36" s="59">
        <f t="shared" si="18"/>
        <v>0.89742698433199364</v>
      </c>
      <c r="N36" s="59">
        <f t="shared" si="18"/>
        <v>1.3587918549382612</v>
      </c>
      <c r="O36" s="59">
        <f t="shared" si="18"/>
        <v>1.9462976766397186</v>
      </c>
      <c r="P36" s="59">
        <f t="shared" si="18"/>
        <v>2.6721491921073159</v>
      </c>
      <c r="Q36" s="59">
        <f t="shared" si="18"/>
        <v>3.5480857656805531</v>
      </c>
      <c r="R36" s="59">
        <f t="shared" si="18"/>
        <v>4.5854485507812486</v>
      </c>
      <c r="S36" s="59">
        <f t="shared" si="18"/>
        <v>5.7952322083388497</v>
      </c>
      <c r="T36" s="59">
        <f t="shared" si="18"/>
        <v>7.1881258189983859</v>
      </c>
      <c r="U36" s="59">
        <f t="shared" si="18"/>
        <v>8.7745459626758926</v>
      </c>
      <c r="V36" s="59">
        <f t="shared" si="18"/>
        <v>10.564663953522661</v>
      </c>
      <c r="W36" s="59">
        <f t="shared" si="18"/>
        <v>12.568428607117669</v>
      </c>
      <c r="X36" s="59">
        <f t="shared" si="18"/>
        <v>14.795585521883805</v>
      </c>
      <c r="Y36" s="59">
        <f t="shared" si="18"/>
        <v>17.255693592848509</v>
      </c>
      <c r="Z36" s="59">
        <f t="shared" si="18"/>
        <v>19.958139294316886</v>
      </c>
      <c r="AA36" s="59">
        <f t="shared" si="18"/>
        <v>22.912149139939221</v>
      </c>
      <c r="AB36" s="59">
        <f t="shared" si="18"/>
        <v>26.126800636294448</v>
      </c>
      <c r="AC36" s="59">
        <f t="shared" si="18"/>
        <v>29.611031978215532</v>
      </c>
      <c r="AD36" s="59">
        <f t="shared" si="18"/>
        <v>33.373650683313194</v>
      </c>
      <c r="AE36" s="59">
        <f t="shared" si="18"/>
        <v>37.423341324605943</v>
      </c>
      <c r="AF36" s="59">
        <f t="shared" si="18"/>
        <v>41.768672490491134</v>
      </c>
      <c r="AG36" s="59">
        <f t="shared" si="18"/>
        <v>46.418103078167533</v>
      </c>
      <c r="AH36" s="59">
        <f t="shared" si="18"/>
        <v>51.37998800838789</v>
      </c>
      <c r="AI36" s="59">
        <f t="shared" si="18"/>
        <v>56.662583434907432</v>
      </c>
      <c r="AJ36" s="59">
        <f t="shared" si="18"/>
        <v>62.274051510321357</v>
      </c>
      <c r="AK36" s="59">
        <f t="shared" si="18"/>
        <v>68.222464760522016</v>
      </c>
      <c r="AL36" s="42"/>
      <c r="AM36" s="43">
        <v>20</v>
      </c>
      <c r="AN36">
        <v>343.05653216568084</v>
      </c>
      <c r="AO36">
        <v>32.163208418347281</v>
      </c>
      <c r="AP36">
        <v>40.149973829533529</v>
      </c>
      <c r="AQ36">
        <v>240.22204019170002</v>
      </c>
      <c r="AR36">
        <v>32.719428257227186</v>
      </c>
      <c r="AS36">
        <v>497.86272093698261</v>
      </c>
      <c r="AT36">
        <v>20.339118461678719</v>
      </c>
      <c r="AU36">
        <v>-59.365846260544693</v>
      </c>
      <c r="AV36"/>
      <c r="AW36"/>
      <c r="FY36" s="213">
        <v>31</v>
      </c>
      <c r="FZ36">
        <v>55.826883642670872</v>
      </c>
      <c r="GA36">
        <v>38.941827051446353</v>
      </c>
      <c r="GB36">
        <v>32.76029849229279</v>
      </c>
      <c r="GC36">
        <v>16.095870584227761</v>
      </c>
      <c r="GD36">
        <v>4.3198819019545214</v>
      </c>
      <c r="GE36">
        <v>7.0226791275269083</v>
      </c>
      <c r="GF36">
        <v>5.2188191857268027</v>
      </c>
      <c r="GG36">
        <v>3.8151690291593301</v>
      </c>
      <c r="GH36">
        <v>2.7460681821950299</v>
      </c>
      <c r="GI36">
        <v>20.10397948358256</v>
      </c>
      <c r="GJ36"/>
      <c r="GK36"/>
      <c r="GL36"/>
      <c r="GM36"/>
      <c r="GN36" s="208"/>
      <c r="GO36" s="208"/>
      <c r="GP36" s="208"/>
      <c r="GQ36" s="208"/>
      <c r="GR36" s="208"/>
      <c r="GS36" s="208"/>
      <c r="GT36" s="208"/>
      <c r="GU36" s="213">
        <v>31</v>
      </c>
    </row>
    <row r="37" spans="1:203" s="7" customFormat="1">
      <c r="A37" s="9" t="s">
        <v>46</v>
      </c>
      <c r="B37" s="57"/>
      <c r="C37" s="48" t="s">
        <v>38</v>
      </c>
      <c r="D37" s="49">
        <f t="shared" ref="D37:D42" si="19">IF(SUM(G37:AK37)&lt;0.0001, 0, SUM(G37:AK37))</f>
        <v>46.607248135218761</v>
      </c>
      <c r="E37" s="107">
        <f t="shared" ref="E37:E46" si="20">+D37/D21</f>
        <v>0.26708350363469596</v>
      </c>
      <c r="F37" s="18"/>
      <c r="G37" s="49">
        <f t="shared" ref="G37:G43" si="21">G21*G$36</f>
        <v>0</v>
      </c>
      <c r="H37" s="49">
        <f t="shared" ref="H37:AK40" si="22">H21*H$36</f>
        <v>4.1408124999999997E-2</v>
      </c>
      <c r="I37" s="49">
        <f t="shared" si="22"/>
        <v>3.5113774281906003</v>
      </c>
      <c r="J37" s="49">
        <f t="shared" si="22"/>
        <v>4.0533509147243834</v>
      </c>
      <c r="K37" s="49">
        <f t="shared" si="22"/>
        <v>7.0639697525536036</v>
      </c>
      <c r="L37" s="49">
        <f t="shared" si="22"/>
        <v>11.961824986481066</v>
      </c>
      <c r="M37" s="49">
        <f t="shared" si="22"/>
        <v>12.993994877306992</v>
      </c>
      <c r="N37" s="49">
        <f t="shared" si="22"/>
        <v>4.9539286377957437</v>
      </c>
      <c r="O37" s="49">
        <f t="shared" si="22"/>
        <v>2.0273934131663731</v>
      </c>
      <c r="P37" s="49">
        <f t="shared" si="22"/>
        <v>0</v>
      </c>
      <c r="Q37" s="49">
        <f t="shared" si="22"/>
        <v>0</v>
      </c>
      <c r="R37" s="49">
        <f t="shared" si="22"/>
        <v>0</v>
      </c>
      <c r="S37" s="49">
        <f t="shared" si="22"/>
        <v>0</v>
      </c>
      <c r="T37" s="49">
        <f t="shared" si="22"/>
        <v>0</v>
      </c>
      <c r="U37" s="49">
        <f t="shared" si="22"/>
        <v>0</v>
      </c>
      <c r="V37" s="49">
        <f t="shared" si="22"/>
        <v>0</v>
      </c>
      <c r="W37" s="49">
        <f t="shared" si="22"/>
        <v>0</v>
      </c>
      <c r="X37" s="49">
        <f t="shared" si="22"/>
        <v>0</v>
      </c>
      <c r="Y37" s="49">
        <f t="shared" si="22"/>
        <v>0</v>
      </c>
      <c r="Z37" s="49">
        <f t="shared" si="22"/>
        <v>0</v>
      </c>
      <c r="AA37" s="49">
        <f t="shared" si="22"/>
        <v>0</v>
      </c>
      <c r="AB37" s="49">
        <f t="shared" si="22"/>
        <v>0</v>
      </c>
      <c r="AC37" s="49">
        <f t="shared" si="22"/>
        <v>0</v>
      </c>
      <c r="AD37" s="49">
        <f t="shared" si="22"/>
        <v>0</v>
      </c>
      <c r="AE37" s="49">
        <f t="shared" si="22"/>
        <v>0</v>
      </c>
      <c r="AF37" s="49">
        <f t="shared" si="22"/>
        <v>0</v>
      </c>
      <c r="AG37" s="49">
        <f t="shared" si="22"/>
        <v>0</v>
      </c>
      <c r="AH37" s="49">
        <f t="shared" si="22"/>
        <v>0</v>
      </c>
      <c r="AI37" s="49">
        <f t="shared" si="22"/>
        <v>0</v>
      </c>
      <c r="AJ37" s="49">
        <f t="shared" si="22"/>
        <v>0</v>
      </c>
      <c r="AK37" s="49">
        <f t="shared" si="22"/>
        <v>0</v>
      </c>
      <c r="AL37" s="42"/>
      <c r="AM37" s="43">
        <v>21</v>
      </c>
      <c r="AN37">
        <v>261.45129019633504</v>
      </c>
      <c r="AO37">
        <v>26.3512164654495</v>
      </c>
      <c r="AP37">
        <v>14.144257279828505</v>
      </c>
      <c r="AQ37">
        <v>186.70556243842532</v>
      </c>
      <c r="AR37">
        <v>26.455325543310252</v>
      </c>
      <c r="AS37">
        <v>360.86300645373183</v>
      </c>
      <c r="AT37">
        <v>16.172496093980744</v>
      </c>
      <c r="AU37">
        <v>-4.7420289371634183</v>
      </c>
      <c r="AV37"/>
      <c r="AW37"/>
      <c r="FY37" s="213">
        <v>32</v>
      </c>
      <c r="FZ37">
        <v>50.459025685124018</v>
      </c>
      <c r="GA37">
        <v>27.921632764446443</v>
      </c>
      <c r="GB37">
        <v>24.794716182669649</v>
      </c>
      <c r="GC37">
        <v>13.812753678706505</v>
      </c>
      <c r="GD37">
        <v>2.2976879202905645</v>
      </c>
      <c r="GE37">
        <v>4.3500620012194702</v>
      </c>
      <c r="GF37">
        <v>6.1850395973121532</v>
      </c>
      <c r="GG37">
        <v>7.6562346776763697</v>
      </c>
      <c r="GH37">
        <v>6.1861148004346234</v>
      </c>
      <c r="GI37">
        <v>16.939687516530469</v>
      </c>
      <c r="GJ37"/>
      <c r="GK37"/>
      <c r="GL37"/>
      <c r="GM37"/>
      <c r="GN37" s="208"/>
      <c r="GO37" s="208"/>
      <c r="GP37" s="208"/>
      <c r="GQ37" s="208"/>
      <c r="GR37" s="208"/>
      <c r="GS37" s="208"/>
      <c r="GT37" s="208"/>
      <c r="GU37" s="213">
        <v>32</v>
      </c>
    </row>
    <row r="38" spans="1:203" s="7" customFormat="1">
      <c r="A38" s="9" t="s">
        <v>47</v>
      </c>
      <c r="B38" s="57"/>
      <c r="C38" s="48" t="s">
        <v>39</v>
      </c>
      <c r="D38" s="49">
        <f t="shared" si="19"/>
        <v>23.998001424677046</v>
      </c>
      <c r="E38" s="107">
        <f t="shared" si="20"/>
        <v>0.22470865118350974</v>
      </c>
      <c r="F38" s="18"/>
      <c r="G38" s="49">
        <f t="shared" si="21"/>
        <v>0</v>
      </c>
      <c r="H38" s="49">
        <f t="shared" si="22"/>
        <v>4.1408124999999997E-2</v>
      </c>
      <c r="I38" s="49">
        <f t="shared" si="22"/>
        <v>2.3445521309724726</v>
      </c>
      <c r="J38" s="49">
        <f t="shared" si="22"/>
        <v>3.3295382513807437</v>
      </c>
      <c r="K38" s="49">
        <f t="shared" si="22"/>
        <v>2.5116336897968368</v>
      </c>
      <c r="L38" s="49">
        <f t="shared" si="22"/>
        <v>4.2352873157875548</v>
      </c>
      <c r="M38" s="49">
        <f t="shared" si="22"/>
        <v>7.3850762252320319</v>
      </c>
      <c r="N38" s="49">
        <f t="shared" si="22"/>
        <v>2.1231122733410333</v>
      </c>
      <c r="O38" s="49">
        <f t="shared" si="22"/>
        <v>2.0273934131663731</v>
      </c>
      <c r="P38" s="49">
        <f t="shared" si="22"/>
        <v>0</v>
      </c>
      <c r="Q38" s="49">
        <f t="shared" si="22"/>
        <v>0</v>
      </c>
      <c r="R38" s="49">
        <f t="shared" si="22"/>
        <v>0</v>
      </c>
      <c r="S38" s="49">
        <f t="shared" si="22"/>
        <v>0</v>
      </c>
      <c r="T38" s="49">
        <f t="shared" si="22"/>
        <v>0</v>
      </c>
      <c r="U38" s="49">
        <f t="shared" si="22"/>
        <v>0</v>
      </c>
      <c r="V38" s="49">
        <f t="shared" si="22"/>
        <v>0</v>
      </c>
      <c r="W38" s="49">
        <f t="shared" si="22"/>
        <v>0</v>
      </c>
      <c r="X38" s="49">
        <f t="shared" si="22"/>
        <v>0</v>
      </c>
      <c r="Y38" s="49">
        <f t="shared" si="22"/>
        <v>0</v>
      </c>
      <c r="Z38" s="49">
        <f t="shared" si="22"/>
        <v>0</v>
      </c>
      <c r="AA38" s="49">
        <f t="shared" si="22"/>
        <v>0</v>
      </c>
      <c r="AB38" s="49">
        <f t="shared" si="22"/>
        <v>0</v>
      </c>
      <c r="AC38" s="49">
        <f t="shared" si="22"/>
        <v>0</v>
      </c>
      <c r="AD38" s="49">
        <f t="shared" si="22"/>
        <v>0</v>
      </c>
      <c r="AE38" s="49">
        <f t="shared" si="22"/>
        <v>0</v>
      </c>
      <c r="AF38" s="49">
        <f t="shared" si="22"/>
        <v>0</v>
      </c>
      <c r="AG38" s="49">
        <f t="shared" si="22"/>
        <v>0</v>
      </c>
      <c r="AH38" s="49">
        <f t="shared" si="22"/>
        <v>0</v>
      </c>
      <c r="AI38" s="49">
        <f t="shared" si="22"/>
        <v>0</v>
      </c>
      <c r="AJ38" s="49">
        <f t="shared" si="22"/>
        <v>0</v>
      </c>
      <c r="AK38" s="49">
        <f t="shared" si="22"/>
        <v>0</v>
      </c>
      <c r="AL38" s="42"/>
      <c r="AM38" s="43">
        <v>22</v>
      </c>
      <c r="AN38">
        <v>243.60007535898188</v>
      </c>
      <c r="AO38">
        <v>24.108197363153778</v>
      </c>
      <c r="AP38">
        <v>19.43392230086744</v>
      </c>
      <c r="AQ38">
        <v>168.91360748137697</v>
      </c>
      <c r="AR38">
        <v>24.441997900917841</v>
      </c>
      <c r="AS38">
        <v>355.57365834699755</v>
      </c>
      <c r="AT38">
        <v>14.888047946091389</v>
      </c>
      <c r="AU38">
        <v>-11.807873723974048</v>
      </c>
      <c r="AV38"/>
      <c r="AW38"/>
      <c r="FY38" s="213">
        <v>33</v>
      </c>
      <c r="FZ38">
        <v>36.374716902317275</v>
      </c>
      <c r="GA38">
        <v>45.384688423645244</v>
      </c>
      <c r="GB38">
        <v>35.924635705634174</v>
      </c>
      <c r="GC38">
        <v>12.846949112162594</v>
      </c>
      <c r="GD38">
        <v>5.1848755281214114</v>
      </c>
      <c r="GE38">
        <v>6.8588137611959912</v>
      </c>
      <c r="GF38">
        <v>6.6287076050755598</v>
      </c>
      <c r="GG38">
        <v>8.8625289749899636</v>
      </c>
      <c r="GH38">
        <v>7.5482395499373425</v>
      </c>
      <c r="GI38">
        <v>19.526031501024651</v>
      </c>
      <c r="GJ38"/>
      <c r="GK38"/>
      <c r="GL38"/>
      <c r="GM38"/>
      <c r="GN38" s="208"/>
      <c r="GO38" s="208"/>
      <c r="GP38" s="208"/>
      <c r="GQ38" s="208"/>
      <c r="GR38" s="208"/>
      <c r="GS38" s="208"/>
      <c r="GT38" s="208"/>
      <c r="GU38" s="213">
        <v>33</v>
      </c>
    </row>
    <row r="39" spans="1:203" s="7" customFormat="1">
      <c r="A39" s="114">
        <v>7.6E-3</v>
      </c>
      <c r="B39" s="57"/>
      <c r="C39" s="48" t="s">
        <v>40</v>
      </c>
      <c r="D39" s="49">
        <f t="shared" si="19"/>
        <v>42.736406735182413</v>
      </c>
      <c r="E39" s="107">
        <f t="shared" si="20"/>
        <v>8.7027072818960549E-2</v>
      </c>
      <c r="F39" s="18"/>
      <c r="G39" s="49">
        <f t="shared" si="21"/>
        <v>0</v>
      </c>
      <c r="H39" s="49">
        <f t="shared" si="22"/>
        <v>0.50893205774824246</v>
      </c>
      <c r="I39" s="49">
        <f t="shared" si="22"/>
        <v>10.431375326954104</v>
      </c>
      <c r="J39" s="49">
        <f t="shared" si="22"/>
        <v>23.938589821883667</v>
      </c>
      <c r="K39" s="49">
        <f t="shared" si="22"/>
        <v>7.0770511780212964</v>
      </c>
      <c r="L39" s="49">
        <f t="shared" si="22"/>
        <v>0.78045835057510216</v>
      </c>
      <c r="M39" s="49">
        <f t="shared" si="22"/>
        <v>0</v>
      </c>
      <c r="N39" s="49">
        <f t="shared" si="22"/>
        <v>0</v>
      </c>
      <c r="O39" s="49">
        <f t="shared" si="22"/>
        <v>0</v>
      </c>
      <c r="P39" s="49">
        <f t="shared" si="22"/>
        <v>0</v>
      </c>
      <c r="Q39" s="49">
        <f t="shared" si="22"/>
        <v>0</v>
      </c>
      <c r="R39" s="49">
        <f t="shared" si="22"/>
        <v>0</v>
      </c>
      <c r="S39" s="49">
        <f t="shared" si="22"/>
        <v>0</v>
      </c>
      <c r="T39" s="49">
        <f t="shared" si="22"/>
        <v>0</v>
      </c>
      <c r="U39" s="49">
        <f t="shared" si="22"/>
        <v>0</v>
      </c>
      <c r="V39" s="49">
        <f t="shared" si="22"/>
        <v>0</v>
      </c>
      <c r="W39" s="49">
        <f t="shared" si="22"/>
        <v>0</v>
      </c>
      <c r="X39" s="49">
        <f t="shared" si="22"/>
        <v>0</v>
      </c>
      <c r="Y39" s="49">
        <f t="shared" si="22"/>
        <v>0</v>
      </c>
      <c r="Z39" s="49">
        <f t="shared" si="22"/>
        <v>0</v>
      </c>
      <c r="AA39" s="49">
        <f t="shared" si="22"/>
        <v>0</v>
      </c>
      <c r="AB39" s="49">
        <f t="shared" si="22"/>
        <v>0</v>
      </c>
      <c r="AC39" s="49">
        <f t="shared" si="22"/>
        <v>0</v>
      </c>
      <c r="AD39" s="49">
        <f t="shared" si="22"/>
        <v>0</v>
      </c>
      <c r="AE39" s="49">
        <f t="shared" si="22"/>
        <v>0</v>
      </c>
      <c r="AF39" s="49">
        <f t="shared" si="22"/>
        <v>0</v>
      </c>
      <c r="AG39" s="49">
        <f t="shared" si="22"/>
        <v>0</v>
      </c>
      <c r="AH39" s="49">
        <f t="shared" si="22"/>
        <v>0</v>
      </c>
      <c r="AI39" s="49">
        <f t="shared" si="22"/>
        <v>0</v>
      </c>
      <c r="AJ39" s="49">
        <f t="shared" si="22"/>
        <v>0</v>
      </c>
      <c r="AK39" s="49">
        <f t="shared" si="22"/>
        <v>0</v>
      </c>
      <c r="AL39" s="42"/>
      <c r="AM39" s="43">
        <v>23</v>
      </c>
      <c r="AN39">
        <v>215.82680497492115</v>
      </c>
      <c r="AO39">
        <v>21.666310365032221</v>
      </c>
      <c r="AP39">
        <v>25.943157642401832</v>
      </c>
      <c r="AQ39">
        <v>160.23260194352522</v>
      </c>
      <c r="AR39">
        <v>21.983476378099429</v>
      </c>
      <c r="AS39">
        <v>284.71501934691588</v>
      </c>
      <c r="AT39">
        <v>13.16931341298317</v>
      </c>
      <c r="AU39">
        <v>-22.280796076782909</v>
      </c>
      <c r="AV39"/>
      <c r="AW39"/>
      <c r="FY39" s="213">
        <v>34</v>
      </c>
      <c r="FZ39">
        <v>45.805403903693062</v>
      </c>
      <c r="GA39">
        <v>32.882639123307371</v>
      </c>
      <c r="GB39">
        <v>24.199235371978137</v>
      </c>
      <c r="GC39">
        <v>13.491812756091633</v>
      </c>
      <c r="GD39">
        <v>4.5355862256731792</v>
      </c>
      <c r="GE39">
        <v>4.7102986336417114</v>
      </c>
      <c r="GF39">
        <v>5.789059411377413</v>
      </c>
      <c r="GG39">
        <v>8.2310870838101202</v>
      </c>
      <c r="GH39">
        <v>10.477839497481966</v>
      </c>
      <c r="GI39">
        <v>17.984848667684172</v>
      </c>
      <c r="GJ39"/>
      <c r="GK39"/>
      <c r="GL39"/>
      <c r="GM39"/>
      <c r="GN39" s="208"/>
      <c r="GO39" s="208"/>
      <c r="GP39" s="208"/>
      <c r="GQ39" s="208"/>
      <c r="GR39" s="208"/>
      <c r="GS39" s="208"/>
      <c r="GT39" s="208"/>
      <c r="GU39" s="213">
        <v>34</v>
      </c>
    </row>
    <row r="40" spans="1:203" s="7" customFormat="1">
      <c r="A40" s="9" t="s">
        <v>48</v>
      </c>
      <c r="B40" s="57"/>
      <c r="C40" s="48" t="s">
        <v>41</v>
      </c>
      <c r="D40" s="49">
        <f t="shared" si="19"/>
        <v>42.970411864547025</v>
      </c>
      <c r="E40" s="107">
        <f t="shared" si="20"/>
        <v>8.1426591156109618E-2</v>
      </c>
      <c r="F40" s="18"/>
      <c r="G40" s="49">
        <f t="shared" si="21"/>
        <v>5.8293638334003771E-4</v>
      </c>
      <c r="H40" s="49">
        <f t="shared" si="22"/>
        <v>0.65996660482616443</v>
      </c>
      <c r="I40" s="49">
        <f t="shared" si="22"/>
        <v>11.463396944001197</v>
      </c>
      <c r="J40" s="49">
        <f t="shared" si="22"/>
        <v>22.976880688769743</v>
      </c>
      <c r="K40" s="49">
        <f t="shared" si="22"/>
        <v>7.0891263399914726</v>
      </c>
      <c r="L40" s="49">
        <f t="shared" si="22"/>
        <v>0.78045835057510216</v>
      </c>
      <c r="M40" s="49">
        <f t="shared" si="22"/>
        <v>0</v>
      </c>
      <c r="N40" s="49">
        <f t="shared" si="22"/>
        <v>0</v>
      </c>
      <c r="O40" s="49">
        <f t="shared" si="22"/>
        <v>0</v>
      </c>
      <c r="P40" s="49">
        <f t="shared" si="22"/>
        <v>0</v>
      </c>
      <c r="Q40" s="49">
        <f t="shared" si="22"/>
        <v>0</v>
      </c>
      <c r="R40" s="49">
        <f t="shared" si="22"/>
        <v>0</v>
      </c>
      <c r="S40" s="49">
        <f t="shared" si="22"/>
        <v>0</v>
      </c>
      <c r="T40" s="49">
        <f t="shared" si="22"/>
        <v>0</v>
      </c>
      <c r="U40" s="49">
        <f t="shared" si="22"/>
        <v>0</v>
      </c>
      <c r="V40" s="49">
        <f t="shared" si="22"/>
        <v>0</v>
      </c>
      <c r="W40" s="49">
        <f t="shared" si="22"/>
        <v>0</v>
      </c>
      <c r="X40" s="49">
        <f t="shared" si="22"/>
        <v>0</v>
      </c>
      <c r="Y40" s="49">
        <f t="shared" si="22"/>
        <v>0</v>
      </c>
      <c r="Z40" s="49">
        <f t="shared" si="22"/>
        <v>0</v>
      </c>
      <c r="AA40" s="49">
        <f t="shared" si="22"/>
        <v>0</v>
      </c>
      <c r="AB40" s="49">
        <f t="shared" si="22"/>
        <v>0</v>
      </c>
      <c r="AC40" s="49">
        <f t="shared" si="22"/>
        <v>0</v>
      </c>
      <c r="AD40" s="49">
        <f t="shared" si="22"/>
        <v>0</v>
      </c>
      <c r="AE40" s="49">
        <f t="shared" si="22"/>
        <v>0</v>
      </c>
      <c r="AF40" s="49">
        <f t="shared" si="22"/>
        <v>0</v>
      </c>
      <c r="AG40" s="49">
        <f t="shared" si="22"/>
        <v>0</v>
      </c>
      <c r="AH40" s="49">
        <f t="shared" si="22"/>
        <v>0</v>
      </c>
      <c r="AI40" s="49">
        <f t="shared" si="22"/>
        <v>0</v>
      </c>
      <c r="AJ40" s="49">
        <f t="shared" si="22"/>
        <v>0</v>
      </c>
      <c r="AK40" s="49">
        <f t="shared" si="22"/>
        <v>0</v>
      </c>
      <c r="AL40" s="42"/>
      <c r="AM40" s="43">
        <v>24</v>
      </c>
      <c r="AN40">
        <v>289.49899019020745</v>
      </c>
      <c r="AO40">
        <v>24.279321032922237</v>
      </c>
      <c r="AP40">
        <v>20.348587824438304</v>
      </c>
      <c r="AQ40">
        <v>173.10452618408732</v>
      </c>
      <c r="AR40">
        <v>24.685579462594294</v>
      </c>
      <c r="AS40">
        <v>385.85353194961078</v>
      </c>
      <c r="AT40">
        <v>14.593784100578993</v>
      </c>
      <c r="AU40">
        <v>-12.815095508123264</v>
      </c>
      <c r="AV40"/>
      <c r="AW40"/>
      <c r="FY40" s="213">
        <v>35</v>
      </c>
      <c r="FZ40">
        <v>45.253629180023317</v>
      </c>
      <c r="GA40">
        <v>61.739072830102074</v>
      </c>
      <c r="GB40">
        <v>39.710848741681104</v>
      </c>
      <c r="GC40">
        <v>14.625369950675456</v>
      </c>
      <c r="GD40">
        <v>5.8340366712685192</v>
      </c>
      <c r="GE40">
        <v>7.4055898012799952</v>
      </c>
      <c r="GF40">
        <v>1.9954509272969378</v>
      </c>
      <c r="GG40">
        <v>3.6164324961001308</v>
      </c>
      <c r="GH40">
        <v>4.568781716736388</v>
      </c>
      <c r="GI40">
        <v>20.827582565634739</v>
      </c>
      <c r="GJ40"/>
      <c r="GK40"/>
      <c r="GL40"/>
      <c r="GM40"/>
      <c r="GN40" s="208"/>
      <c r="GO40" s="208"/>
      <c r="GP40" s="208"/>
      <c r="GQ40" s="208"/>
      <c r="GR40" s="208"/>
      <c r="GS40" s="208"/>
      <c r="GT40" s="208"/>
      <c r="GU40" s="213">
        <v>35</v>
      </c>
    </row>
    <row r="41" spans="1:203" s="7" customFormat="1">
      <c r="A41" s="114">
        <v>2.6909999999999998</v>
      </c>
      <c r="B41" s="57"/>
      <c r="C41" s="48" t="s">
        <v>42</v>
      </c>
      <c r="D41" s="49">
        <f t="shared" si="19"/>
        <v>13.526678482892455</v>
      </c>
      <c r="E41" s="107">
        <f t="shared" si="20"/>
        <v>3.6596744118999255E-2</v>
      </c>
      <c r="F41" s="18"/>
      <c r="G41" s="49">
        <f t="shared" si="21"/>
        <v>5.8293638334003771E-4</v>
      </c>
      <c r="H41" s="49">
        <f t="shared" ref="H41:AK43" si="23">H25*H$36</f>
        <v>1.0158429069900687</v>
      </c>
      <c r="I41" s="49">
        <f t="shared" si="23"/>
        <v>9.8662206605433287</v>
      </c>
      <c r="J41" s="49">
        <f t="shared" si="23"/>
        <v>2.1610255001686336</v>
      </c>
      <c r="K41" s="49">
        <f t="shared" si="23"/>
        <v>0.48300647880708403</v>
      </c>
      <c r="L41" s="49">
        <f t="shared" si="23"/>
        <v>0</v>
      </c>
      <c r="M41" s="49">
        <f t="shared" si="23"/>
        <v>0</v>
      </c>
      <c r="N41" s="49">
        <f t="shared" si="23"/>
        <v>0</v>
      </c>
      <c r="O41" s="49">
        <f t="shared" si="23"/>
        <v>0</v>
      </c>
      <c r="P41" s="49">
        <f t="shared" si="23"/>
        <v>0</v>
      </c>
      <c r="Q41" s="49">
        <f t="shared" si="23"/>
        <v>0</v>
      </c>
      <c r="R41" s="49">
        <f t="shared" si="23"/>
        <v>0</v>
      </c>
      <c r="S41" s="49">
        <f t="shared" si="23"/>
        <v>0</v>
      </c>
      <c r="T41" s="49">
        <f t="shared" si="23"/>
        <v>0</v>
      </c>
      <c r="U41" s="49">
        <f t="shared" si="23"/>
        <v>0</v>
      </c>
      <c r="V41" s="49">
        <f t="shared" si="23"/>
        <v>0</v>
      </c>
      <c r="W41" s="49">
        <f t="shared" si="23"/>
        <v>0</v>
      </c>
      <c r="X41" s="49">
        <f t="shared" si="23"/>
        <v>0</v>
      </c>
      <c r="Y41" s="49">
        <f t="shared" si="23"/>
        <v>0</v>
      </c>
      <c r="Z41" s="49">
        <f t="shared" si="23"/>
        <v>0</v>
      </c>
      <c r="AA41" s="49">
        <f t="shared" si="23"/>
        <v>0</v>
      </c>
      <c r="AB41" s="49">
        <f t="shared" si="23"/>
        <v>0</v>
      </c>
      <c r="AC41" s="49">
        <f t="shared" si="23"/>
        <v>0</v>
      </c>
      <c r="AD41" s="49">
        <f t="shared" si="23"/>
        <v>0</v>
      </c>
      <c r="AE41" s="49">
        <f t="shared" si="23"/>
        <v>0</v>
      </c>
      <c r="AF41" s="49">
        <f t="shared" si="23"/>
        <v>0</v>
      </c>
      <c r="AG41" s="49">
        <f t="shared" si="23"/>
        <v>0</v>
      </c>
      <c r="AH41" s="49">
        <f t="shared" si="23"/>
        <v>0</v>
      </c>
      <c r="AI41" s="49">
        <f t="shared" si="23"/>
        <v>0</v>
      </c>
      <c r="AJ41" s="49">
        <f t="shared" si="23"/>
        <v>0</v>
      </c>
      <c r="AK41" s="49">
        <f t="shared" si="23"/>
        <v>0</v>
      </c>
      <c r="AL41" s="42"/>
      <c r="AM41" s="43">
        <v>25</v>
      </c>
      <c r="AN41">
        <v>323.4331382726325</v>
      </c>
      <c r="AO41">
        <v>26.53699891473503</v>
      </c>
      <c r="AP41">
        <v>33.998155979679161</v>
      </c>
      <c r="AQ41">
        <v>196.36798356942455</v>
      </c>
      <c r="AR41">
        <v>27.459033876026005</v>
      </c>
      <c r="AS41">
        <v>463.01238665540768</v>
      </c>
      <c r="AT41">
        <v>17.024032659702424</v>
      </c>
      <c r="AU41">
        <v>23.008666663240572</v>
      </c>
      <c r="AV41"/>
      <c r="AW41"/>
      <c r="FY41" s="213">
        <v>36</v>
      </c>
      <c r="FZ41">
        <v>36.108877573074608</v>
      </c>
      <c r="GA41">
        <v>23.601660683697979</v>
      </c>
      <c r="GB41">
        <v>23.425414984542257</v>
      </c>
      <c r="GC41">
        <v>14.647455786898371</v>
      </c>
      <c r="GD41">
        <v>4.0687861637389462</v>
      </c>
      <c r="GE41">
        <v>5.1428039265677139</v>
      </c>
      <c r="GF41">
        <v>2.1192863012314893</v>
      </c>
      <c r="GG41">
        <v>5.1974761778268208</v>
      </c>
      <c r="GH41">
        <v>6.4828243687727198</v>
      </c>
      <c r="GI41">
        <v>14.786077844421103</v>
      </c>
      <c r="GJ41"/>
      <c r="GK41"/>
      <c r="GL41"/>
      <c r="GM41"/>
      <c r="GN41" s="208"/>
      <c r="GO41" s="208"/>
      <c r="GP41" s="208"/>
      <c r="GQ41" s="208"/>
      <c r="GR41" s="208"/>
      <c r="GS41" s="208"/>
      <c r="GT41" s="208"/>
      <c r="GU41" s="213">
        <v>36</v>
      </c>
    </row>
    <row r="42" spans="1:203" s="7" customFormat="1">
      <c r="A42" s="9" t="s">
        <v>49</v>
      </c>
      <c r="B42" s="57"/>
      <c r="C42" s="48" t="s">
        <v>118</v>
      </c>
      <c r="D42" s="49">
        <f t="shared" si="19"/>
        <v>12.714978357869613</v>
      </c>
      <c r="E42" s="107">
        <f t="shared" si="20"/>
        <v>3.9188373775162814E-2</v>
      </c>
      <c r="F42" s="18"/>
      <c r="G42" s="49">
        <f t="shared" si="21"/>
        <v>0</v>
      </c>
      <c r="H42" s="49">
        <f t="shared" si="23"/>
        <v>0.85727960991214669</v>
      </c>
      <c r="I42" s="49">
        <f t="shared" si="23"/>
        <v>8.4695661381155709</v>
      </c>
      <c r="J42" s="49">
        <f t="shared" si="23"/>
        <v>3.3881326098418953</v>
      </c>
      <c r="K42" s="49">
        <f t="shared" si="23"/>
        <v>0</v>
      </c>
      <c r="L42" s="49">
        <f t="shared" si="23"/>
        <v>0</v>
      </c>
      <c r="M42" s="49">
        <f t="shared" si="23"/>
        <v>0</v>
      </c>
      <c r="N42" s="49">
        <f t="shared" si="23"/>
        <v>0</v>
      </c>
      <c r="O42" s="49">
        <f t="shared" si="23"/>
        <v>0</v>
      </c>
      <c r="P42" s="49">
        <f t="shared" si="23"/>
        <v>0</v>
      </c>
      <c r="Q42" s="49">
        <f t="shared" si="23"/>
        <v>0</v>
      </c>
      <c r="R42" s="49">
        <f t="shared" si="23"/>
        <v>0</v>
      </c>
      <c r="S42" s="49">
        <f t="shared" si="23"/>
        <v>0</v>
      </c>
      <c r="T42" s="49">
        <f t="shared" si="23"/>
        <v>0</v>
      </c>
      <c r="U42" s="49">
        <f t="shared" si="23"/>
        <v>0</v>
      </c>
      <c r="V42" s="49">
        <f t="shared" si="23"/>
        <v>0</v>
      </c>
      <c r="W42" s="49">
        <f t="shared" si="23"/>
        <v>0</v>
      </c>
      <c r="X42" s="49">
        <f t="shared" si="23"/>
        <v>0</v>
      </c>
      <c r="Y42" s="49">
        <f t="shared" si="23"/>
        <v>0</v>
      </c>
      <c r="Z42" s="49">
        <f t="shared" si="23"/>
        <v>0</v>
      </c>
      <c r="AA42" s="49">
        <f t="shared" si="23"/>
        <v>0</v>
      </c>
      <c r="AB42" s="49">
        <f t="shared" si="23"/>
        <v>0</v>
      </c>
      <c r="AC42" s="49">
        <f t="shared" si="23"/>
        <v>0</v>
      </c>
      <c r="AD42" s="49">
        <f t="shared" si="23"/>
        <v>0</v>
      </c>
      <c r="AE42" s="49">
        <f t="shared" si="23"/>
        <v>0</v>
      </c>
      <c r="AF42" s="49">
        <f t="shared" si="23"/>
        <v>0</v>
      </c>
      <c r="AG42" s="49">
        <f t="shared" si="23"/>
        <v>0</v>
      </c>
      <c r="AH42" s="49">
        <f t="shared" si="23"/>
        <v>0</v>
      </c>
      <c r="AI42" s="49">
        <f t="shared" si="23"/>
        <v>0</v>
      </c>
      <c r="AJ42" s="49">
        <f t="shared" si="23"/>
        <v>0</v>
      </c>
      <c r="AK42" s="49">
        <f t="shared" si="23"/>
        <v>0</v>
      </c>
      <c r="AL42" s="42"/>
      <c r="AM42" s="43">
        <v>26</v>
      </c>
      <c r="AN42">
        <v>278.38069248969407</v>
      </c>
      <c r="AO42">
        <v>28.824867274206731</v>
      </c>
      <c r="AP42">
        <v>17.121171277360247</v>
      </c>
      <c r="AQ42">
        <v>198.49365631675585</v>
      </c>
      <c r="AR42">
        <v>29.535297602103661</v>
      </c>
      <c r="AS42">
        <v>473.8425345637948</v>
      </c>
      <c r="AT42">
        <v>17.800243610873924</v>
      </c>
      <c r="AU42">
        <v>-13.795189901286534</v>
      </c>
      <c r="AV42"/>
      <c r="AW42"/>
      <c r="FY42" s="213">
        <v>37</v>
      </c>
      <c r="FZ42">
        <v>43.651609656493484</v>
      </c>
      <c r="GA42">
        <v>61.474044363306625</v>
      </c>
      <c r="GB42">
        <v>34.962892768810939</v>
      </c>
      <c r="GC42">
        <v>12.409590808520376</v>
      </c>
      <c r="GD42">
        <v>3.0616193299197016</v>
      </c>
      <c r="GE42">
        <v>5.3100765950014663</v>
      </c>
      <c r="GF42">
        <v>7.0834052436744734</v>
      </c>
      <c r="GG42">
        <v>6.0920329917500906</v>
      </c>
      <c r="GH42">
        <v>12.54118760728182</v>
      </c>
      <c r="GI42">
        <v>20.032522343865107</v>
      </c>
      <c r="GJ42"/>
      <c r="GK42"/>
      <c r="GL42"/>
      <c r="GM42"/>
      <c r="GN42" s="208"/>
      <c r="GO42" s="208"/>
      <c r="GP42" s="208"/>
      <c r="GQ42" s="208"/>
      <c r="GR42" s="208"/>
      <c r="GS42" s="208"/>
      <c r="GT42" s="208"/>
      <c r="GU42" s="213">
        <v>37</v>
      </c>
    </row>
    <row r="43" spans="1:203" s="7" customFormat="1">
      <c r="A43" s="95">
        <v>4.9000000000000004</v>
      </c>
      <c r="B43" s="1"/>
      <c r="C43" s="48" t="s">
        <v>119</v>
      </c>
      <c r="D43" s="49">
        <f>IF(SUM(G43:AK43)&lt;0.0001, 0, SUM(G43:AK43))</f>
        <v>10.143053860603299</v>
      </c>
      <c r="E43" s="107">
        <f t="shared" si="20"/>
        <v>0.18257496949085936</v>
      </c>
      <c r="F43" s="18"/>
      <c r="G43" s="49">
        <f t="shared" si="21"/>
        <v>0</v>
      </c>
      <c r="H43" s="49">
        <f t="shared" si="23"/>
        <v>0</v>
      </c>
      <c r="I43" s="49">
        <f t="shared" si="23"/>
        <v>0.48617720717421986</v>
      </c>
      <c r="J43" s="49">
        <f t="shared" si="23"/>
        <v>3.3777924289369863</v>
      </c>
      <c r="K43" s="49">
        <f t="shared" si="23"/>
        <v>6.2790842244920935</v>
      </c>
      <c r="L43" s="49">
        <f t="shared" si="23"/>
        <v>0</v>
      </c>
      <c r="M43" s="49">
        <f t="shared" si="23"/>
        <v>0</v>
      </c>
      <c r="N43" s="49">
        <f t="shared" si="23"/>
        <v>0</v>
      </c>
      <c r="O43" s="49">
        <f t="shared" si="23"/>
        <v>0</v>
      </c>
      <c r="P43" s="49">
        <f t="shared" si="23"/>
        <v>0</v>
      </c>
      <c r="Q43" s="49">
        <f t="shared" si="23"/>
        <v>0</v>
      </c>
      <c r="R43" s="49">
        <f t="shared" si="23"/>
        <v>0</v>
      </c>
      <c r="S43" s="49">
        <f t="shared" si="23"/>
        <v>0</v>
      </c>
      <c r="T43" s="49">
        <f t="shared" si="23"/>
        <v>0</v>
      </c>
      <c r="U43" s="49">
        <f t="shared" si="23"/>
        <v>0</v>
      </c>
      <c r="V43" s="49">
        <f t="shared" si="23"/>
        <v>0</v>
      </c>
      <c r="W43" s="49">
        <f t="shared" si="23"/>
        <v>0</v>
      </c>
      <c r="X43" s="49">
        <f t="shared" si="23"/>
        <v>0</v>
      </c>
      <c r="Y43" s="49">
        <f t="shared" si="23"/>
        <v>0</v>
      </c>
      <c r="Z43" s="49">
        <f t="shared" si="23"/>
        <v>0</v>
      </c>
      <c r="AA43" s="49">
        <f t="shared" si="23"/>
        <v>0</v>
      </c>
      <c r="AB43" s="49">
        <f t="shared" si="23"/>
        <v>0</v>
      </c>
      <c r="AC43" s="49">
        <f t="shared" si="23"/>
        <v>0</v>
      </c>
      <c r="AD43" s="49">
        <f t="shared" si="23"/>
        <v>0</v>
      </c>
      <c r="AE43" s="49">
        <f t="shared" si="23"/>
        <v>0</v>
      </c>
      <c r="AF43" s="49">
        <f t="shared" si="23"/>
        <v>0</v>
      </c>
      <c r="AG43" s="49">
        <f t="shared" si="23"/>
        <v>0</v>
      </c>
      <c r="AH43" s="49">
        <f t="shared" si="23"/>
        <v>0</v>
      </c>
      <c r="AI43" s="49">
        <f t="shared" si="23"/>
        <v>0</v>
      </c>
      <c r="AJ43" s="49">
        <f t="shared" si="23"/>
        <v>0</v>
      </c>
      <c r="AK43" s="49">
        <f t="shared" si="23"/>
        <v>0</v>
      </c>
      <c r="AL43" s="42"/>
      <c r="AM43" s="43">
        <v>27</v>
      </c>
      <c r="AN43">
        <v>313.70047836598928</v>
      </c>
      <c r="AO43">
        <v>28.121597436050866</v>
      </c>
      <c r="AP43">
        <v>29.421377793642755</v>
      </c>
      <c r="AQ43">
        <v>199.82357198564824</v>
      </c>
      <c r="AR43">
        <v>28.455915566662593</v>
      </c>
      <c r="AS43">
        <v>503.34845771004717</v>
      </c>
      <c r="AT43">
        <v>17.420924869336801</v>
      </c>
      <c r="AU43">
        <v>-5.60857165652871</v>
      </c>
      <c r="AV43"/>
      <c r="AW43"/>
      <c r="FY43" s="213">
        <v>38</v>
      </c>
      <c r="FZ43">
        <v>55.225816113682548</v>
      </c>
      <c r="GA43">
        <v>31.541252268097168</v>
      </c>
      <c r="GB43">
        <v>32.664363418790309</v>
      </c>
      <c r="GC43">
        <v>18.570324595940967</v>
      </c>
      <c r="GD43">
        <v>2.5249210886613618</v>
      </c>
      <c r="GE43">
        <v>4.0276942591955374</v>
      </c>
      <c r="GF43">
        <v>6.3420218311779504</v>
      </c>
      <c r="GG43">
        <v>5.7260617327446015</v>
      </c>
      <c r="GH43">
        <v>11.506266662984102</v>
      </c>
      <c r="GI43">
        <v>20.588668931734805</v>
      </c>
      <c r="GJ43"/>
      <c r="GK43"/>
      <c r="GL43"/>
      <c r="GM43"/>
      <c r="GN43" s="208"/>
      <c r="GO43" s="208"/>
      <c r="GP43" s="208"/>
      <c r="GQ43" s="208"/>
      <c r="GR43" s="208"/>
      <c r="GS43" s="208"/>
      <c r="GT43" s="208"/>
      <c r="GU43" s="213">
        <v>38</v>
      </c>
    </row>
    <row r="44" spans="1:203" s="7" customFormat="1">
      <c r="A44" s="4"/>
      <c r="B44" s="1"/>
      <c r="C44" s="48" t="s">
        <v>120</v>
      </c>
      <c r="D44" s="49">
        <f>IF(SUM(G44:AK44)&lt;0.0001, 0, SUM(G44:AK44))</f>
        <v>14.330786183705669</v>
      </c>
      <c r="E44" s="107">
        <f t="shared" si="20"/>
        <v>0.1061728124307899</v>
      </c>
      <c r="F44" s="18"/>
      <c r="G44" s="49">
        <f>G28*G36</f>
        <v>0</v>
      </c>
      <c r="H44" s="49">
        <f t="shared" ref="H44:AK44" si="24">H28*H36</f>
        <v>9.1559684170471833E-2</v>
      </c>
      <c r="I44" s="49">
        <f t="shared" si="24"/>
        <v>3.2769450190921523</v>
      </c>
      <c r="J44" s="49">
        <f t="shared" si="24"/>
        <v>4.0552888335017432</v>
      </c>
      <c r="K44" s="49">
        <f t="shared" si="24"/>
        <v>6.9069926469413021</v>
      </c>
      <c r="L44" s="49">
        <f t="shared" si="24"/>
        <v>0</v>
      </c>
      <c r="M44" s="49">
        <f t="shared" si="24"/>
        <v>0</v>
      </c>
      <c r="N44" s="49">
        <f t="shared" si="24"/>
        <v>0</v>
      </c>
      <c r="O44" s="49">
        <f t="shared" si="24"/>
        <v>0</v>
      </c>
      <c r="P44" s="49">
        <f t="shared" si="24"/>
        <v>0</v>
      </c>
      <c r="Q44" s="49">
        <f t="shared" si="24"/>
        <v>0</v>
      </c>
      <c r="R44" s="49">
        <f t="shared" si="24"/>
        <v>0</v>
      </c>
      <c r="S44" s="49">
        <f t="shared" si="24"/>
        <v>0</v>
      </c>
      <c r="T44" s="49">
        <f t="shared" si="24"/>
        <v>0</v>
      </c>
      <c r="U44" s="49">
        <f t="shared" si="24"/>
        <v>0</v>
      </c>
      <c r="V44" s="49">
        <f t="shared" si="24"/>
        <v>0</v>
      </c>
      <c r="W44" s="49">
        <f t="shared" si="24"/>
        <v>0</v>
      </c>
      <c r="X44" s="49">
        <f t="shared" si="24"/>
        <v>0</v>
      </c>
      <c r="Y44" s="49">
        <f t="shared" si="24"/>
        <v>0</v>
      </c>
      <c r="Z44" s="49">
        <f t="shared" si="24"/>
        <v>0</v>
      </c>
      <c r="AA44" s="49">
        <f t="shared" si="24"/>
        <v>0</v>
      </c>
      <c r="AB44" s="49">
        <f t="shared" si="24"/>
        <v>0</v>
      </c>
      <c r="AC44" s="49">
        <f t="shared" si="24"/>
        <v>0</v>
      </c>
      <c r="AD44" s="49">
        <f t="shared" si="24"/>
        <v>0</v>
      </c>
      <c r="AE44" s="49">
        <f t="shared" si="24"/>
        <v>0</v>
      </c>
      <c r="AF44" s="49">
        <f t="shared" si="24"/>
        <v>0</v>
      </c>
      <c r="AG44" s="49">
        <f t="shared" si="24"/>
        <v>0</v>
      </c>
      <c r="AH44" s="49">
        <f t="shared" si="24"/>
        <v>0</v>
      </c>
      <c r="AI44" s="49">
        <f t="shared" si="24"/>
        <v>0</v>
      </c>
      <c r="AJ44" s="49">
        <f t="shared" si="24"/>
        <v>0</v>
      </c>
      <c r="AK44" s="49">
        <f t="shared" si="24"/>
        <v>0</v>
      </c>
      <c r="AL44" s="42"/>
      <c r="AM44" s="43">
        <v>28</v>
      </c>
      <c r="AN44">
        <v>254.02498757726147</v>
      </c>
      <c r="AO44">
        <v>23.891124770613754</v>
      </c>
      <c r="AP44">
        <v>11.876454868422668</v>
      </c>
      <c r="AQ44">
        <v>176.32355429551987</v>
      </c>
      <c r="AR44">
        <v>24.112927856730259</v>
      </c>
      <c r="AS44">
        <v>336.6900592723033</v>
      </c>
      <c r="AT44">
        <v>14.434359243937509</v>
      </c>
      <c r="AU44">
        <v>-38.474517457253398</v>
      </c>
      <c r="AV44"/>
      <c r="AW44"/>
      <c r="FY44" s="213">
        <v>39</v>
      </c>
      <c r="FZ44">
        <v>46.521152092861264</v>
      </c>
      <c r="GA44">
        <v>27.27879144947757</v>
      </c>
      <c r="GB44">
        <v>27.399425674870319</v>
      </c>
      <c r="GC44">
        <v>15.327155737120872</v>
      </c>
      <c r="GD44">
        <v>3.3464215534543897</v>
      </c>
      <c r="GE44">
        <v>4.1224352490011267</v>
      </c>
      <c r="GF44">
        <v>7.1125046797593168</v>
      </c>
      <c r="GG44">
        <v>6.3495182534037671</v>
      </c>
      <c r="GH44">
        <v>2.4280266553388365</v>
      </c>
      <c r="GI44">
        <v>17.175512760096726</v>
      </c>
      <c r="GJ44"/>
      <c r="GK44"/>
      <c r="GL44"/>
      <c r="GM44"/>
      <c r="GN44" s="208"/>
      <c r="GO44" s="208"/>
      <c r="GP44" s="208"/>
      <c r="GQ44" s="208"/>
      <c r="GR44" s="208"/>
      <c r="GS44" s="208"/>
      <c r="GT44" s="208"/>
      <c r="GU44" s="213">
        <v>39</v>
      </c>
    </row>
    <row r="45" spans="1:203" s="7" customFormat="1">
      <c r="A45" s="4"/>
      <c r="B45" s="1"/>
      <c r="C45" s="48" t="s">
        <v>121</v>
      </c>
      <c r="D45" s="49">
        <f>IF(SUM(G45:AK45)&lt;0.0001, 0, SUM(G45:AK45))</f>
        <v>8.8971694831211927</v>
      </c>
      <c r="E45" s="107">
        <f t="shared" si="20"/>
        <v>8.8106792040522672E-2</v>
      </c>
      <c r="F45" s="18"/>
      <c r="G45" s="49">
        <f>G29*G36</f>
        <v>0</v>
      </c>
      <c r="H45" s="49">
        <f t="shared" ref="H45:AK45" si="25">H29*H36</f>
        <v>9.1559684170471833E-2</v>
      </c>
      <c r="I45" s="49">
        <f t="shared" si="25"/>
        <v>2.9543851412554103</v>
      </c>
      <c r="J45" s="49">
        <f t="shared" si="25"/>
        <v>2.6076635068144629</v>
      </c>
      <c r="K45" s="49">
        <f t="shared" si="25"/>
        <v>1.2558168448984184</v>
      </c>
      <c r="L45" s="49">
        <f t="shared" si="25"/>
        <v>0.57233612375507492</v>
      </c>
      <c r="M45" s="49">
        <f t="shared" si="25"/>
        <v>0</v>
      </c>
      <c r="N45" s="49">
        <f t="shared" si="25"/>
        <v>1.4154081822273552</v>
      </c>
      <c r="O45" s="49">
        <f t="shared" si="25"/>
        <v>0</v>
      </c>
      <c r="P45" s="49">
        <f t="shared" si="25"/>
        <v>0</v>
      </c>
      <c r="Q45" s="49">
        <f t="shared" si="25"/>
        <v>0</v>
      </c>
      <c r="R45" s="49">
        <f t="shared" si="25"/>
        <v>0</v>
      </c>
      <c r="S45" s="49">
        <f t="shared" si="25"/>
        <v>0</v>
      </c>
      <c r="T45" s="49">
        <f t="shared" si="25"/>
        <v>0</v>
      </c>
      <c r="U45" s="49">
        <f t="shared" si="25"/>
        <v>0</v>
      </c>
      <c r="V45" s="49">
        <f t="shared" si="25"/>
        <v>0</v>
      </c>
      <c r="W45" s="49">
        <f t="shared" si="25"/>
        <v>0</v>
      </c>
      <c r="X45" s="49">
        <f t="shared" si="25"/>
        <v>0</v>
      </c>
      <c r="Y45" s="49">
        <f t="shared" si="25"/>
        <v>0</v>
      </c>
      <c r="Z45" s="49">
        <f t="shared" si="25"/>
        <v>0</v>
      </c>
      <c r="AA45" s="49">
        <f t="shared" si="25"/>
        <v>0</v>
      </c>
      <c r="AB45" s="49">
        <f t="shared" si="25"/>
        <v>0</v>
      </c>
      <c r="AC45" s="49">
        <f t="shared" si="25"/>
        <v>0</v>
      </c>
      <c r="AD45" s="49">
        <f t="shared" si="25"/>
        <v>0</v>
      </c>
      <c r="AE45" s="49">
        <f t="shared" si="25"/>
        <v>0</v>
      </c>
      <c r="AF45" s="49">
        <f t="shared" si="25"/>
        <v>0</v>
      </c>
      <c r="AG45" s="49">
        <f t="shared" si="25"/>
        <v>0</v>
      </c>
      <c r="AH45" s="49">
        <f t="shared" si="25"/>
        <v>0</v>
      </c>
      <c r="AI45" s="49">
        <f t="shared" si="25"/>
        <v>0</v>
      </c>
      <c r="AJ45" s="49">
        <f t="shared" si="25"/>
        <v>0</v>
      </c>
      <c r="AK45" s="49">
        <f t="shared" si="25"/>
        <v>0</v>
      </c>
      <c r="AL45" s="42"/>
      <c r="AM45" s="43">
        <v>29</v>
      </c>
      <c r="AN45">
        <v>236.56882129324148</v>
      </c>
      <c r="AO45">
        <v>26.856473811398065</v>
      </c>
      <c r="AP45">
        <v>42.909533086336509</v>
      </c>
      <c r="AQ45">
        <v>211.09115657415447</v>
      </c>
      <c r="AR45">
        <v>27.723416929757235</v>
      </c>
      <c r="AS45">
        <v>338.55378635324092</v>
      </c>
      <c r="AT45">
        <v>17.07288529259888</v>
      </c>
      <c r="AU45">
        <v>23.779273205761957</v>
      </c>
      <c r="AV45"/>
      <c r="AW45"/>
      <c r="FY45" s="213">
        <v>40</v>
      </c>
      <c r="FZ45">
        <v>43.940566157689759</v>
      </c>
      <c r="GA45">
        <v>29.613111784418145</v>
      </c>
      <c r="GB45">
        <v>24.662843701956895</v>
      </c>
      <c r="GC45">
        <v>14.56290387360783</v>
      </c>
      <c r="GD45">
        <v>6.1299960025394</v>
      </c>
      <c r="GE45">
        <v>9.2620938571760991</v>
      </c>
      <c r="GF45">
        <v>17.42410837368579</v>
      </c>
      <c r="GG45">
        <v>12.783865957853346</v>
      </c>
      <c r="GH45">
        <v>2.5215074620994207</v>
      </c>
      <c r="GI45">
        <v>19.617333635074576</v>
      </c>
      <c r="GJ45"/>
      <c r="GK45"/>
      <c r="GL45"/>
      <c r="GM45"/>
      <c r="GN45" s="208"/>
      <c r="GO45" s="208"/>
      <c r="GP45" s="208"/>
      <c r="GQ45" s="208"/>
      <c r="GR45" s="208"/>
      <c r="GS45" s="208"/>
      <c r="GT45" s="208"/>
      <c r="GU45" s="213">
        <v>40</v>
      </c>
    </row>
    <row r="46" spans="1:203" s="7" customFormat="1">
      <c r="A46" s="4"/>
      <c r="B46" s="1"/>
      <c r="C46" s="48" t="s">
        <v>122</v>
      </c>
      <c r="D46" s="49">
        <f>IF(SUM(G46:AK46)&lt;0.0001, 0, SUM(G46:AK46))</f>
        <v>24.382111339403622</v>
      </c>
      <c r="E46" s="107">
        <f t="shared" si="20"/>
        <v>0.10229746068525686</v>
      </c>
      <c r="F46" s="18"/>
      <c r="G46" s="49">
        <f>G30*G36</f>
        <v>1.1658727666800754E-4</v>
      </c>
      <c r="H46" s="49">
        <f t="shared" ref="H46:AK46" si="26">H30*H36</f>
        <v>0.3315485547817566</v>
      </c>
      <c r="I46" s="49">
        <f t="shared" si="26"/>
        <v>5.449907152823533</v>
      </c>
      <c r="J46" s="49">
        <f t="shared" si="26"/>
        <v>7.2276844345056261</v>
      </c>
      <c r="K46" s="49">
        <f t="shared" si="26"/>
        <v>4.4317856957544981</v>
      </c>
      <c r="L46" s="49">
        <f t="shared" si="26"/>
        <v>2.6629238921622487</v>
      </c>
      <c r="M46" s="49">
        <f t="shared" si="26"/>
        <v>2.5987989754613983</v>
      </c>
      <c r="N46" s="49">
        <f t="shared" si="26"/>
        <v>1.2738673640046199</v>
      </c>
      <c r="O46" s="49">
        <f t="shared" si="26"/>
        <v>0.40547868263327469</v>
      </c>
      <c r="P46" s="49">
        <f t="shared" si="26"/>
        <v>0</v>
      </c>
      <c r="Q46" s="49">
        <f t="shared" si="26"/>
        <v>0</v>
      </c>
      <c r="R46" s="49">
        <f t="shared" si="26"/>
        <v>0</v>
      </c>
      <c r="S46" s="49">
        <f t="shared" si="26"/>
        <v>0</v>
      </c>
      <c r="T46" s="49">
        <f t="shared" si="26"/>
        <v>0</v>
      </c>
      <c r="U46" s="49">
        <f t="shared" si="26"/>
        <v>0</v>
      </c>
      <c r="V46" s="49">
        <f t="shared" si="26"/>
        <v>0</v>
      </c>
      <c r="W46" s="49">
        <f t="shared" si="26"/>
        <v>0</v>
      </c>
      <c r="X46" s="49">
        <f t="shared" si="26"/>
        <v>0</v>
      </c>
      <c r="Y46" s="49">
        <f t="shared" si="26"/>
        <v>0</v>
      </c>
      <c r="Z46" s="49">
        <f t="shared" si="26"/>
        <v>0</v>
      </c>
      <c r="AA46" s="49">
        <f t="shared" si="26"/>
        <v>0</v>
      </c>
      <c r="AB46" s="49">
        <f t="shared" si="26"/>
        <v>0</v>
      </c>
      <c r="AC46" s="49">
        <f t="shared" si="26"/>
        <v>0</v>
      </c>
      <c r="AD46" s="49">
        <f t="shared" si="26"/>
        <v>0</v>
      </c>
      <c r="AE46" s="49">
        <f t="shared" si="26"/>
        <v>0</v>
      </c>
      <c r="AF46" s="49">
        <f t="shared" si="26"/>
        <v>0</v>
      </c>
      <c r="AG46" s="49">
        <f t="shared" si="26"/>
        <v>0</v>
      </c>
      <c r="AH46" s="49">
        <f t="shared" si="26"/>
        <v>0</v>
      </c>
      <c r="AI46" s="49">
        <f t="shared" si="26"/>
        <v>0</v>
      </c>
      <c r="AJ46" s="49">
        <f t="shared" si="26"/>
        <v>0</v>
      </c>
      <c r="AK46" s="49">
        <f t="shared" si="26"/>
        <v>0</v>
      </c>
      <c r="AL46" s="42"/>
      <c r="AM46" s="43">
        <v>30</v>
      </c>
      <c r="AN46">
        <v>281.69970708291612</v>
      </c>
      <c r="AO46">
        <v>22.918416173849863</v>
      </c>
      <c r="AP46">
        <v>23.867941235466859</v>
      </c>
      <c r="AQ46">
        <v>160.47484817668055</v>
      </c>
      <c r="AR46">
        <v>23.533942306934446</v>
      </c>
      <c r="AS46">
        <v>356.72668930651201</v>
      </c>
      <c r="AT46">
        <v>14.531062949839994</v>
      </c>
      <c r="AU46">
        <v>-9.1995869382233053</v>
      </c>
      <c r="AV46"/>
      <c r="AW46"/>
      <c r="FY46" s="213">
        <v>41</v>
      </c>
      <c r="FZ46">
        <v>29.172233537606196</v>
      </c>
      <c r="GA46">
        <v>51.323070568014522</v>
      </c>
      <c r="GB46">
        <v>40.529860502728027</v>
      </c>
      <c r="GC46">
        <v>14.77610039474135</v>
      </c>
      <c r="GD46">
        <v>2.583782219709839</v>
      </c>
      <c r="GE46">
        <v>3.1218935035588755</v>
      </c>
      <c r="GF46">
        <v>1.4105174461572649</v>
      </c>
      <c r="GG46">
        <v>4.4695757064025567</v>
      </c>
      <c r="GH46">
        <v>10.036101789467072</v>
      </c>
      <c r="GI46">
        <v>17.571760394548331</v>
      </c>
      <c r="GJ46"/>
      <c r="GK46"/>
      <c r="GL46"/>
      <c r="GM46"/>
      <c r="GN46" s="208"/>
      <c r="GO46" s="208"/>
      <c r="GP46" s="208"/>
      <c r="GQ46" s="208"/>
      <c r="GR46" s="208"/>
      <c r="GS46" s="208"/>
      <c r="GT46" s="208"/>
      <c r="GU46" s="213">
        <v>41</v>
      </c>
    </row>
    <row r="47" spans="1:203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294.31922381234097</v>
      </c>
      <c r="AO47">
        <v>26.76154083011599</v>
      </c>
      <c r="AP47">
        <v>13.35497465054338</v>
      </c>
      <c r="AQ47">
        <v>186.85147668078292</v>
      </c>
      <c r="AR47">
        <v>27.725744825053155</v>
      </c>
      <c r="AS47">
        <v>426.16088621413707</v>
      </c>
      <c r="AT47">
        <v>16.250411087296847</v>
      </c>
      <c r="AU47">
        <v>-12.051245338295026</v>
      </c>
      <c r="AV47"/>
      <c r="AW47"/>
      <c r="FY47" s="213">
        <v>42</v>
      </c>
      <c r="FZ47">
        <v>51.179056658491113</v>
      </c>
      <c r="GA47">
        <v>32.262870682187639</v>
      </c>
      <c r="GB47">
        <v>23.358623102066971</v>
      </c>
      <c r="GC47">
        <v>14.305468279590155</v>
      </c>
      <c r="GD47">
        <v>2.5696416838262999</v>
      </c>
      <c r="GE47">
        <v>1.0634616716394216</v>
      </c>
      <c r="GF47">
        <v>1.1742563380409714</v>
      </c>
      <c r="GG47">
        <v>0.91423011899775275</v>
      </c>
      <c r="GH47">
        <v>4.8129770432915979</v>
      </c>
      <c r="GI47">
        <v>15.722995939061539</v>
      </c>
      <c r="GJ47"/>
      <c r="GK47"/>
      <c r="GL47"/>
      <c r="GM47"/>
      <c r="GN47" s="208"/>
      <c r="GO47" s="208"/>
      <c r="GP47" s="208"/>
      <c r="GQ47" s="208"/>
      <c r="GR47" s="208"/>
      <c r="GS47" s="208"/>
      <c r="GT47" s="208"/>
      <c r="GU47" s="213">
        <v>42</v>
      </c>
    </row>
    <row r="48" spans="1:203" s="7" customFormat="1">
      <c r="A48" s="4"/>
      <c r="B48" s="1"/>
      <c r="C48" s="60" t="s">
        <v>50</v>
      </c>
      <c r="D48" s="53">
        <f>AVERAGE(D37:D47)</f>
        <v>24.03068458672211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234.25631220537358</v>
      </c>
      <c r="AO48">
        <v>22.441648517887586</v>
      </c>
      <c r="AP48">
        <v>7.4913870104104321</v>
      </c>
      <c r="AQ48">
        <v>160.60295482441023</v>
      </c>
      <c r="AR48">
        <v>23.238032519109684</v>
      </c>
      <c r="AS48">
        <v>325.9853449164458</v>
      </c>
      <c r="AT48">
        <v>14.029025530502858</v>
      </c>
      <c r="AU48">
        <v>0.7363332362463737</v>
      </c>
      <c r="AV48"/>
      <c r="AW48"/>
      <c r="FY48" s="213">
        <v>43</v>
      </c>
      <c r="FZ48">
        <v>55.4388798070405</v>
      </c>
      <c r="GA48">
        <v>57.2864358729163</v>
      </c>
      <c r="GB48">
        <v>32.375778577720361</v>
      </c>
      <c r="GC48">
        <v>13.139987078259498</v>
      </c>
      <c r="GD48">
        <v>2.8463049354761845</v>
      </c>
      <c r="GE48">
        <v>3.4418355736619901</v>
      </c>
      <c r="GF48">
        <v>5.2535270910185883</v>
      </c>
      <c r="GG48">
        <v>4.1925098351140857</v>
      </c>
      <c r="GH48">
        <v>11.258422509429078</v>
      </c>
      <c r="GI48">
        <v>20.478056269430187</v>
      </c>
      <c r="GJ48"/>
      <c r="GK48"/>
      <c r="GL48"/>
      <c r="GM48"/>
      <c r="GN48" s="208"/>
      <c r="GO48" s="208"/>
      <c r="GP48" s="208"/>
      <c r="GQ48" s="208"/>
      <c r="GR48" s="208"/>
      <c r="GS48" s="208"/>
      <c r="GT48" s="208"/>
      <c r="GU48" s="213">
        <v>43</v>
      </c>
    </row>
    <row r="49" spans="1:203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352.92518965988813</v>
      </c>
      <c r="AO49">
        <v>26.212533541455322</v>
      </c>
      <c r="AP49">
        <v>19.971284761041105</v>
      </c>
      <c r="AQ49">
        <v>185.1401870641042</v>
      </c>
      <c r="AR49">
        <v>26.608518846540633</v>
      </c>
      <c r="AS49">
        <v>383.38555883287228</v>
      </c>
      <c r="AT49">
        <v>16.961168891092509</v>
      </c>
      <c r="AU49">
        <v>13.460907604945557</v>
      </c>
      <c r="AV49"/>
      <c r="AW49"/>
      <c r="FY49" s="213">
        <v>44</v>
      </c>
      <c r="FZ49">
        <v>47.016561345677978</v>
      </c>
      <c r="GA49">
        <v>60.249283885797396</v>
      </c>
      <c r="GB49">
        <v>36.701845091789387</v>
      </c>
      <c r="GC49">
        <v>12.09132037747548</v>
      </c>
      <c r="GD49">
        <v>3.8529384768455994</v>
      </c>
      <c r="GE49">
        <v>5.6583122680308957</v>
      </c>
      <c r="GF49">
        <v>1.9742604789021057</v>
      </c>
      <c r="GG49">
        <v>3.3532144739832161</v>
      </c>
      <c r="GH49">
        <v>9.6930679700489168</v>
      </c>
      <c r="GI49">
        <v>20.02547558436941</v>
      </c>
      <c r="GJ49"/>
      <c r="GK49"/>
      <c r="GL49"/>
      <c r="GM49"/>
      <c r="GN49" s="208"/>
      <c r="GO49" s="208"/>
      <c r="GP49" s="208"/>
      <c r="GQ49" s="208"/>
      <c r="GR49" s="208"/>
      <c r="GS49" s="208"/>
      <c r="GT49" s="208"/>
      <c r="GU49" s="213">
        <v>44</v>
      </c>
    </row>
    <row r="50" spans="1:203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257.37570818117229</v>
      </c>
      <c r="AO50">
        <v>23.737075991816102</v>
      </c>
      <c r="AP50">
        <v>25.460847986484509</v>
      </c>
      <c r="AQ50">
        <v>168.10781067473874</v>
      </c>
      <c r="AR50">
        <v>24.678057803968894</v>
      </c>
      <c r="AS50">
        <v>338.05304547743526</v>
      </c>
      <c r="AT50">
        <v>15.361905022117506</v>
      </c>
      <c r="AU50">
        <v>8.4930462220324259</v>
      </c>
      <c r="AV50"/>
      <c r="AW50"/>
      <c r="FY50" s="213">
        <v>45</v>
      </c>
      <c r="FZ50">
        <v>39.356673886229913</v>
      </c>
      <c r="GA50">
        <v>42.291083990788422</v>
      </c>
      <c r="GB50">
        <v>34.705793538142075</v>
      </c>
      <c r="GC50">
        <v>14.844389569729501</v>
      </c>
      <c r="GD50">
        <v>2.1728611550667076</v>
      </c>
      <c r="GE50">
        <v>3.8970244420200899</v>
      </c>
      <c r="GF50">
        <v>3.9312576212287951</v>
      </c>
      <c r="GG50">
        <v>3.0838751939983462</v>
      </c>
      <c r="GH50">
        <v>4.246723435169983</v>
      </c>
      <c r="GI50">
        <v>16.95298344615459</v>
      </c>
      <c r="GJ50"/>
      <c r="GK50"/>
      <c r="GL50"/>
      <c r="GM50"/>
      <c r="GN50" s="208"/>
      <c r="GO50" s="208"/>
      <c r="GP50" s="208"/>
      <c r="GQ50" s="208"/>
      <c r="GR50" s="208"/>
      <c r="GS50" s="208"/>
      <c r="GT50" s="208"/>
      <c r="GU50" s="213">
        <v>45</v>
      </c>
    </row>
    <row r="51" spans="1:203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355.25192610265981</v>
      </c>
      <c r="AO51">
        <v>28.72862296533841</v>
      </c>
      <c r="AP51">
        <v>33.176145983435916</v>
      </c>
      <c r="AQ51">
        <v>205.57679488079864</v>
      </c>
      <c r="AR51">
        <v>28.505822780581695</v>
      </c>
      <c r="AS51">
        <v>437.05553472320435</v>
      </c>
      <c r="AT51">
        <v>17.060368434347655</v>
      </c>
      <c r="AU51">
        <v>22.281606794857069</v>
      </c>
      <c r="AV51"/>
      <c r="AW51"/>
      <c r="FY51" s="213">
        <v>46</v>
      </c>
      <c r="FZ51">
        <v>48.288435510067274</v>
      </c>
      <c r="GA51">
        <v>28.62275118666593</v>
      </c>
      <c r="GB51">
        <v>28.567364061032876</v>
      </c>
      <c r="GC51">
        <v>14.366190431723505</v>
      </c>
      <c r="GD51">
        <v>3.5533594411168106</v>
      </c>
      <c r="GE51">
        <v>4.3698293158929751</v>
      </c>
      <c r="GF51">
        <v>11.713790296198804</v>
      </c>
      <c r="GG51">
        <v>15.171715573096971</v>
      </c>
      <c r="GH51">
        <v>12.31096459516418</v>
      </c>
      <c r="GI51">
        <v>20.241037601056213</v>
      </c>
      <c r="GJ51"/>
      <c r="GK51"/>
      <c r="GL51"/>
      <c r="GM51"/>
      <c r="GN51" s="208"/>
      <c r="GO51" s="208"/>
      <c r="GP51" s="208"/>
      <c r="GQ51" s="208"/>
      <c r="GR51" s="208"/>
      <c r="GS51" s="208"/>
      <c r="GT51" s="208"/>
      <c r="GU51" s="213">
        <v>46</v>
      </c>
    </row>
    <row r="52" spans="1:203" s="7" customFormat="1">
      <c r="A52" s="4"/>
      <c r="B52" s="36"/>
      <c r="C52" s="48" t="s">
        <v>38</v>
      </c>
      <c r="D52" s="49">
        <f>SUM(G52:AK52)</f>
        <v>0</v>
      </c>
      <c r="E52" s="19">
        <f>F374</f>
        <v>0</v>
      </c>
      <c r="F52" s="8"/>
      <c r="G52" s="49">
        <f>$E$52*$E$21*G37</f>
        <v>0</v>
      </c>
      <c r="H52" s="49">
        <f t="shared" ref="H52:AK52" si="27">$E$52*$E$21*H37</f>
        <v>0</v>
      </c>
      <c r="I52" s="49">
        <f t="shared" si="27"/>
        <v>0</v>
      </c>
      <c r="J52" s="49">
        <f t="shared" si="27"/>
        <v>0</v>
      </c>
      <c r="K52" s="49">
        <f t="shared" si="27"/>
        <v>0</v>
      </c>
      <c r="L52" s="49">
        <f t="shared" si="27"/>
        <v>0</v>
      </c>
      <c r="M52" s="49">
        <f t="shared" si="27"/>
        <v>0</v>
      </c>
      <c r="N52" s="49">
        <f t="shared" si="27"/>
        <v>0</v>
      </c>
      <c r="O52" s="49">
        <f t="shared" si="27"/>
        <v>0</v>
      </c>
      <c r="P52" s="49">
        <f t="shared" si="27"/>
        <v>0</v>
      </c>
      <c r="Q52" s="49">
        <f t="shared" si="27"/>
        <v>0</v>
      </c>
      <c r="R52" s="49">
        <f t="shared" si="27"/>
        <v>0</v>
      </c>
      <c r="S52" s="49">
        <f t="shared" si="27"/>
        <v>0</v>
      </c>
      <c r="T52" s="49">
        <f t="shared" si="27"/>
        <v>0</v>
      </c>
      <c r="U52" s="49">
        <f t="shared" si="27"/>
        <v>0</v>
      </c>
      <c r="V52" s="49">
        <f t="shared" si="27"/>
        <v>0</v>
      </c>
      <c r="W52" s="49">
        <f t="shared" si="27"/>
        <v>0</v>
      </c>
      <c r="X52" s="49">
        <f t="shared" si="27"/>
        <v>0</v>
      </c>
      <c r="Y52" s="49">
        <f t="shared" si="27"/>
        <v>0</v>
      </c>
      <c r="Z52" s="49">
        <f t="shared" si="27"/>
        <v>0</v>
      </c>
      <c r="AA52" s="49">
        <f t="shared" si="27"/>
        <v>0</v>
      </c>
      <c r="AB52" s="49">
        <f t="shared" si="27"/>
        <v>0</v>
      </c>
      <c r="AC52" s="49">
        <f t="shared" si="27"/>
        <v>0</v>
      </c>
      <c r="AD52" s="49">
        <f t="shared" si="27"/>
        <v>0</v>
      </c>
      <c r="AE52" s="49">
        <f t="shared" si="27"/>
        <v>0</v>
      </c>
      <c r="AF52" s="49">
        <f t="shared" si="27"/>
        <v>0</v>
      </c>
      <c r="AG52" s="49">
        <f t="shared" si="27"/>
        <v>0</v>
      </c>
      <c r="AH52" s="49">
        <f t="shared" si="27"/>
        <v>0</v>
      </c>
      <c r="AI52" s="49">
        <f t="shared" si="27"/>
        <v>0</v>
      </c>
      <c r="AJ52" s="49">
        <f t="shared" si="27"/>
        <v>0</v>
      </c>
      <c r="AK52" s="49">
        <f t="shared" si="27"/>
        <v>0</v>
      </c>
      <c r="AL52" s="42"/>
      <c r="AM52" s="43">
        <v>36</v>
      </c>
      <c r="AN52">
        <v>249.53056252445975</v>
      </c>
      <c r="AO52">
        <v>20.395805461752254</v>
      </c>
      <c r="AP52">
        <v>23.409323138873429</v>
      </c>
      <c r="AQ52">
        <v>135.58066381077199</v>
      </c>
      <c r="AR52">
        <v>20.313183557874876</v>
      </c>
      <c r="AS52">
        <v>330.73984243041645</v>
      </c>
      <c r="AT52">
        <v>12.137876374903696</v>
      </c>
      <c r="AU52">
        <v>-13.690824504803842</v>
      </c>
      <c r="AV52"/>
      <c r="AW52"/>
      <c r="FY52" s="213">
        <v>47</v>
      </c>
      <c r="FZ52">
        <v>54.597455054158317</v>
      </c>
      <c r="GA52">
        <v>35.094279766007631</v>
      </c>
      <c r="GB52">
        <v>20.984122347561328</v>
      </c>
      <c r="GC52">
        <v>10.301593435692149</v>
      </c>
      <c r="GD52">
        <v>3.0093285177853497</v>
      </c>
      <c r="GE52">
        <v>4.5195801800249802</v>
      </c>
      <c r="GF52">
        <v>2.3936211854007254</v>
      </c>
      <c r="GG52">
        <v>2.2931839473928912</v>
      </c>
      <c r="GH52">
        <v>5.4671261243267359</v>
      </c>
      <c r="GI52">
        <v>16.207270651554744</v>
      </c>
      <c r="GJ52"/>
      <c r="GK52"/>
      <c r="GL52"/>
      <c r="GM52"/>
      <c r="GN52" s="208"/>
      <c r="GO52" s="208"/>
      <c r="GP52" s="208"/>
      <c r="GQ52" s="208"/>
      <c r="GR52" s="208"/>
      <c r="GS52" s="208"/>
      <c r="GT52" s="208"/>
      <c r="GU52" s="213">
        <v>47</v>
      </c>
    </row>
    <row r="53" spans="1:203" s="7" customFormat="1">
      <c r="A53" s="4"/>
      <c r="B53" s="36"/>
      <c r="C53" s="48" t="s">
        <v>39</v>
      </c>
      <c r="D53" s="49">
        <f t="shared" ref="D53:D61" si="28">SUM(G53:AK53)</f>
        <v>0</v>
      </c>
      <c r="E53" s="19">
        <f>F375</f>
        <v>0</v>
      </c>
      <c r="F53" s="8"/>
      <c r="G53" s="49">
        <f>$E$53*$E$22*G38</f>
        <v>0</v>
      </c>
      <c r="H53" s="49">
        <f t="shared" ref="H53:AK53" si="29">$E$53*$E$22*H38</f>
        <v>0</v>
      </c>
      <c r="I53" s="49">
        <f t="shared" si="29"/>
        <v>0</v>
      </c>
      <c r="J53" s="49">
        <f t="shared" si="29"/>
        <v>0</v>
      </c>
      <c r="K53" s="49">
        <f t="shared" si="29"/>
        <v>0</v>
      </c>
      <c r="L53" s="49">
        <f t="shared" si="29"/>
        <v>0</v>
      </c>
      <c r="M53" s="49">
        <f t="shared" si="29"/>
        <v>0</v>
      </c>
      <c r="N53" s="49">
        <f t="shared" si="29"/>
        <v>0</v>
      </c>
      <c r="O53" s="49">
        <f t="shared" si="29"/>
        <v>0</v>
      </c>
      <c r="P53" s="49">
        <f t="shared" si="29"/>
        <v>0</v>
      </c>
      <c r="Q53" s="49">
        <f t="shared" si="29"/>
        <v>0</v>
      </c>
      <c r="R53" s="49">
        <f t="shared" si="29"/>
        <v>0</v>
      </c>
      <c r="S53" s="49">
        <f t="shared" si="29"/>
        <v>0</v>
      </c>
      <c r="T53" s="49">
        <f t="shared" si="29"/>
        <v>0</v>
      </c>
      <c r="U53" s="49">
        <f t="shared" si="29"/>
        <v>0</v>
      </c>
      <c r="V53" s="49">
        <f t="shared" si="29"/>
        <v>0</v>
      </c>
      <c r="W53" s="49">
        <f t="shared" si="29"/>
        <v>0</v>
      </c>
      <c r="X53" s="49">
        <f t="shared" si="29"/>
        <v>0</v>
      </c>
      <c r="Y53" s="49">
        <f t="shared" si="29"/>
        <v>0</v>
      </c>
      <c r="Z53" s="49">
        <f t="shared" si="29"/>
        <v>0</v>
      </c>
      <c r="AA53" s="49">
        <f t="shared" si="29"/>
        <v>0</v>
      </c>
      <c r="AB53" s="49">
        <f t="shared" si="29"/>
        <v>0</v>
      </c>
      <c r="AC53" s="49">
        <f t="shared" si="29"/>
        <v>0</v>
      </c>
      <c r="AD53" s="49">
        <f t="shared" si="29"/>
        <v>0</v>
      </c>
      <c r="AE53" s="49">
        <f t="shared" si="29"/>
        <v>0</v>
      </c>
      <c r="AF53" s="49">
        <f t="shared" si="29"/>
        <v>0</v>
      </c>
      <c r="AG53" s="49">
        <f t="shared" si="29"/>
        <v>0</v>
      </c>
      <c r="AH53" s="49">
        <f t="shared" si="29"/>
        <v>0</v>
      </c>
      <c r="AI53" s="49">
        <f t="shared" si="29"/>
        <v>0</v>
      </c>
      <c r="AJ53" s="49">
        <f t="shared" si="29"/>
        <v>0</v>
      </c>
      <c r="AK53" s="49">
        <f t="shared" si="29"/>
        <v>0</v>
      </c>
      <c r="AL53" s="42"/>
      <c r="AM53" s="43">
        <v>37</v>
      </c>
      <c r="AN53">
        <v>291.33364398205731</v>
      </c>
      <c r="AO53">
        <v>27.345144876802841</v>
      </c>
      <c r="AP53">
        <v>29.780931476798926</v>
      </c>
      <c r="AQ53">
        <v>206.61898170862406</v>
      </c>
      <c r="AR53">
        <v>27.43438793410283</v>
      </c>
      <c r="AS53">
        <v>395.69149753600635</v>
      </c>
      <c r="AT53">
        <v>17.36003767712803</v>
      </c>
      <c r="AU53">
        <v>-27.040735930244558</v>
      </c>
      <c r="AV53"/>
      <c r="AW53"/>
      <c r="FY53" s="213">
        <v>48</v>
      </c>
      <c r="FZ53">
        <v>56.030233975416301</v>
      </c>
      <c r="GA53">
        <v>74.344180350998556</v>
      </c>
      <c r="GB53">
        <v>38.974813417547736</v>
      </c>
      <c r="GC53">
        <v>9.9548361389835218</v>
      </c>
      <c r="GD53">
        <v>3.857217422512246</v>
      </c>
      <c r="GE53">
        <v>7.3404005829871677</v>
      </c>
      <c r="GF53">
        <v>9.7516065408600987</v>
      </c>
      <c r="GG53">
        <v>8.660237615401515</v>
      </c>
      <c r="GH53">
        <v>8.2599158518830347</v>
      </c>
      <c r="GI53">
        <v>23.09555267964107</v>
      </c>
      <c r="GJ53"/>
      <c r="GK53"/>
      <c r="GL53"/>
      <c r="GM53"/>
      <c r="GN53" s="208"/>
      <c r="GO53" s="208"/>
      <c r="GP53" s="208"/>
      <c r="GQ53" s="208"/>
      <c r="GR53" s="208"/>
      <c r="GS53" s="208"/>
      <c r="GT53" s="208"/>
      <c r="GU53" s="213">
        <v>48</v>
      </c>
    </row>
    <row r="54" spans="1:203" s="7" customFormat="1">
      <c r="A54" s="4"/>
      <c r="B54" s="36"/>
      <c r="C54" s="48" t="s">
        <v>40</v>
      </c>
      <c r="D54" s="49">
        <f t="shared" si="28"/>
        <v>0</v>
      </c>
      <c r="E54" s="19">
        <f t="shared" ref="E54:E61" si="30">F376</f>
        <v>0</v>
      </c>
      <c r="F54" s="8"/>
      <c r="G54" s="49">
        <f>$E$54*$E$23*G39</f>
        <v>0</v>
      </c>
      <c r="H54" s="49">
        <f t="shared" ref="H54:AK54" si="31">$E$54*$E$23*H39</f>
        <v>0</v>
      </c>
      <c r="I54" s="49">
        <f t="shared" si="31"/>
        <v>0</v>
      </c>
      <c r="J54" s="49">
        <f t="shared" si="31"/>
        <v>0</v>
      </c>
      <c r="K54" s="49">
        <f t="shared" si="31"/>
        <v>0</v>
      </c>
      <c r="L54" s="49">
        <f t="shared" si="31"/>
        <v>0</v>
      </c>
      <c r="M54" s="49">
        <f t="shared" si="31"/>
        <v>0</v>
      </c>
      <c r="N54" s="49">
        <f t="shared" si="31"/>
        <v>0</v>
      </c>
      <c r="O54" s="49">
        <f t="shared" si="31"/>
        <v>0</v>
      </c>
      <c r="P54" s="49">
        <f t="shared" si="31"/>
        <v>0</v>
      </c>
      <c r="Q54" s="49">
        <f t="shared" si="31"/>
        <v>0</v>
      </c>
      <c r="R54" s="49">
        <f t="shared" si="31"/>
        <v>0</v>
      </c>
      <c r="S54" s="49">
        <f t="shared" si="31"/>
        <v>0</v>
      </c>
      <c r="T54" s="49">
        <f t="shared" si="31"/>
        <v>0</v>
      </c>
      <c r="U54" s="49">
        <f t="shared" si="31"/>
        <v>0</v>
      </c>
      <c r="V54" s="49">
        <f t="shared" si="31"/>
        <v>0</v>
      </c>
      <c r="W54" s="49">
        <f t="shared" si="31"/>
        <v>0</v>
      </c>
      <c r="X54" s="49">
        <f t="shared" si="31"/>
        <v>0</v>
      </c>
      <c r="Y54" s="49">
        <f t="shared" si="31"/>
        <v>0</v>
      </c>
      <c r="Z54" s="49">
        <f t="shared" si="31"/>
        <v>0</v>
      </c>
      <c r="AA54" s="49">
        <f t="shared" si="31"/>
        <v>0</v>
      </c>
      <c r="AB54" s="49">
        <f t="shared" si="31"/>
        <v>0</v>
      </c>
      <c r="AC54" s="49">
        <f t="shared" si="31"/>
        <v>0</v>
      </c>
      <c r="AD54" s="49">
        <f t="shared" si="31"/>
        <v>0</v>
      </c>
      <c r="AE54" s="49">
        <f t="shared" si="31"/>
        <v>0</v>
      </c>
      <c r="AF54" s="49">
        <f t="shared" si="31"/>
        <v>0</v>
      </c>
      <c r="AG54" s="49">
        <f t="shared" si="31"/>
        <v>0</v>
      </c>
      <c r="AH54" s="49">
        <f t="shared" si="31"/>
        <v>0</v>
      </c>
      <c r="AI54" s="49">
        <f t="shared" si="31"/>
        <v>0</v>
      </c>
      <c r="AJ54" s="49">
        <f t="shared" si="31"/>
        <v>0</v>
      </c>
      <c r="AK54" s="49">
        <f t="shared" si="31"/>
        <v>0</v>
      </c>
      <c r="AL54" s="42"/>
      <c r="AM54" s="43">
        <v>38</v>
      </c>
      <c r="AN54">
        <v>244.5622294778731</v>
      </c>
      <c r="AO54">
        <v>26.914489806581475</v>
      </c>
      <c r="AP54">
        <v>38.946630840367028</v>
      </c>
      <c r="AQ54">
        <v>188.71739090300937</v>
      </c>
      <c r="AR54">
        <v>28.347735425753012</v>
      </c>
      <c r="AS54">
        <v>404.95775600075717</v>
      </c>
      <c r="AT54">
        <v>17.010352574178143</v>
      </c>
      <c r="AU54">
        <v>27.644077246046383</v>
      </c>
      <c r="AV54"/>
      <c r="AW54"/>
      <c r="FY54" s="213">
        <v>49</v>
      </c>
      <c r="FZ54">
        <v>53.988212490250007</v>
      </c>
      <c r="GA54">
        <v>56.984901941811216</v>
      </c>
      <c r="GB54">
        <v>32.143088037785752</v>
      </c>
      <c r="GC54">
        <v>12.522479105865138</v>
      </c>
      <c r="GD54">
        <v>5.4501582068368712</v>
      </c>
      <c r="GE54">
        <v>10.008832543864942</v>
      </c>
      <c r="GF54">
        <v>3.6645864971339064</v>
      </c>
      <c r="GG54">
        <v>0.8206030063091353</v>
      </c>
      <c r="GH54">
        <v>5.4775073397578069</v>
      </c>
      <c r="GI54">
        <v>20.460368862875178</v>
      </c>
      <c r="GJ54"/>
      <c r="GK54"/>
      <c r="GL54"/>
      <c r="GM54"/>
      <c r="GN54" s="208"/>
      <c r="GO54" s="208"/>
      <c r="GP54" s="208"/>
      <c r="GQ54" s="208"/>
      <c r="GR54" s="208"/>
      <c r="GS54" s="208"/>
      <c r="GT54" s="208"/>
      <c r="GU54" s="213">
        <v>49</v>
      </c>
    </row>
    <row r="55" spans="1:203" s="7" customFormat="1">
      <c r="A55" s="4"/>
      <c r="B55" s="36"/>
      <c r="C55" s="48" t="s">
        <v>41</v>
      </c>
      <c r="D55" s="49">
        <f t="shared" si="28"/>
        <v>0</v>
      </c>
      <c r="E55" s="19">
        <f t="shared" si="30"/>
        <v>0</v>
      </c>
      <c r="F55" s="8"/>
      <c r="G55" s="49">
        <f>$E$55*$E$24*G40</f>
        <v>0</v>
      </c>
      <c r="H55" s="49">
        <f t="shared" ref="H55:AK55" si="32">$E$55*$E$24*H40</f>
        <v>0</v>
      </c>
      <c r="I55" s="49">
        <f t="shared" si="32"/>
        <v>0</v>
      </c>
      <c r="J55" s="49">
        <f t="shared" si="32"/>
        <v>0</v>
      </c>
      <c r="K55" s="49">
        <f t="shared" si="32"/>
        <v>0</v>
      </c>
      <c r="L55" s="49">
        <f t="shared" si="32"/>
        <v>0</v>
      </c>
      <c r="M55" s="49">
        <f t="shared" si="32"/>
        <v>0</v>
      </c>
      <c r="N55" s="49">
        <f t="shared" si="32"/>
        <v>0</v>
      </c>
      <c r="O55" s="49">
        <f t="shared" si="32"/>
        <v>0</v>
      </c>
      <c r="P55" s="49">
        <f t="shared" si="32"/>
        <v>0</v>
      </c>
      <c r="Q55" s="49">
        <f t="shared" si="32"/>
        <v>0</v>
      </c>
      <c r="R55" s="49">
        <f t="shared" si="32"/>
        <v>0</v>
      </c>
      <c r="S55" s="49">
        <f t="shared" si="32"/>
        <v>0</v>
      </c>
      <c r="T55" s="49">
        <f t="shared" si="32"/>
        <v>0</v>
      </c>
      <c r="U55" s="49">
        <f t="shared" si="32"/>
        <v>0</v>
      </c>
      <c r="V55" s="49">
        <f t="shared" si="32"/>
        <v>0</v>
      </c>
      <c r="W55" s="49">
        <f t="shared" si="32"/>
        <v>0</v>
      </c>
      <c r="X55" s="49">
        <f t="shared" si="32"/>
        <v>0</v>
      </c>
      <c r="Y55" s="49">
        <f t="shared" si="32"/>
        <v>0</v>
      </c>
      <c r="Z55" s="49">
        <f t="shared" si="32"/>
        <v>0</v>
      </c>
      <c r="AA55" s="49">
        <f t="shared" si="32"/>
        <v>0</v>
      </c>
      <c r="AB55" s="49">
        <f t="shared" si="32"/>
        <v>0</v>
      </c>
      <c r="AC55" s="49">
        <f t="shared" si="32"/>
        <v>0</v>
      </c>
      <c r="AD55" s="49">
        <f t="shared" si="32"/>
        <v>0</v>
      </c>
      <c r="AE55" s="49">
        <f t="shared" si="32"/>
        <v>0</v>
      </c>
      <c r="AF55" s="49">
        <f t="shared" si="32"/>
        <v>0</v>
      </c>
      <c r="AG55" s="49">
        <f t="shared" si="32"/>
        <v>0</v>
      </c>
      <c r="AH55" s="49">
        <f t="shared" si="32"/>
        <v>0</v>
      </c>
      <c r="AI55" s="49">
        <f t="shared" si="32"/>
        <v>0</v>
      </c>
      <c r="AJ55" s="49">
        <f t="shared" si="32"/>
        <v>0</v>
      </c>
      <c r="AK55" s="49">
        <f t="shared" si="32"/>
        <v>0</v>
      </c>
      <c r="AL55" s="42"/>
      <c r="AM55" s="43">
        <v>39</v>
      </c>
      <c r="AN55">
        <v>233.24943708084447</v>
      </c>
      <c r="AO55">
        <v>22.819509319627304</v>
      </c>
      <c r="AP55">
        <v>24.890171575746329</v>
      </c>
      <c r="AQ55">
        <v>157.06094410538421</v>
      </c>
      <c r="AR55">
        <v>23.585581098209996</v>
      </c>
      <c r="AS55">
        <v>348.79950290185513</v>
      </c>
      <c r="AT55">
        <v>14.144139339406602</v>
      </c>
      <c r="AU55">
        <v>-2.6636203598173012</v>
      </c>
      <c r="AV55"/>
      <c r="AW55"/>
      <c r="FY55" s="213">
        <v>50</v>
      </c>
      <c r="FZ55">
        <v>35.534258669453465</v>
      </c>
      <c r="GA55">
        <v>43.467612270930005</v>
      </c>
      <c r="GB55">
        <v>36.75491252999965</v>
      </c>
      <c r="GC55">
        <v>14.637110863211383</v>
      </c>
      <c r="GD55">
        <v>3.6199904372156846</v>
      </c>
      <c r="GE55">
        <v>3.7572977589033263</v>
      </c>
      <c r="GF55">
        <v>6.9030280199701419</v>
      </c>
      <c r="GG55">
        <v>6.1490158562935147</v>
      </c>
      <c r="GH55">
        <v>6.7958581736525296</v>
      </c>
      <c r="GI55">
        <v>18.664117133522332</v>
      </c>
      <c r="GJ55"/>
      <c r="GK55"/>
      <c r="GL55"/>
      <c r="GM55"/>
      <c r="GN55" s="208"/>
      <c r="GO55" s="208"/>
      <c r="GP55" s="208"/>
      <c r="GQ55" s="208"/>
      <c r="GR55" s="208"/>
      <c r="GS55" s="208"/>
      <c r="GT55" s="208"/>
      <c r="GU55" s="213">
        <v>50</v>
      </c>
    </row>
    <row r="56" spans="1:203" s="7" customFormat="1">
      <c r="A56" s="4"/>
      <c r="B56" s="36"/>
      <c r="C56" s="48" t="s">
        <v>42</v>
      </c>
      <c r="D56" s="49">
        <f t="shared" si="28"/>
        <v>0</v>
      </c>
      <c r="E56" s="19">
        <f t="shared" si="30"/>
        <v>0</v>
      </c>
      <c r="F56" s="8"/>
      <c r="G56" s="49">
        <f>$E$56*$E$25*G41</f>
        <v>0</v>
      </c>
      <c r="H56" s="49">
        <f t="shared" ref="H56:AK56" si="33">$E$56*$E$25*H41</f>
        <v>0</v>
      </c>
      <c r="I56" s="49">
        <f t="shared" si="33"/>
        <v>0</v>
      </c>
      <c r="J56" s="49">
        <f t="shared" si="33"/>
        <v>0</v>
      </c>
      <c r="K56" s="49">
        <f t="shared" si="33"/>
        <v>0</v>
      </c>
      <c r="L56" s="49">
        <f t="shared" si="33"/>
        <v>0</v>
      </c>
      <c r="M56" s="49">
        <f t="shared" si="33"/>
        <v>0</v>
      </c>
      <c r="N56" s="49">
        <f t="shared" si="33"/>
        <v>0</v>
      </c>
      <c r="O56" s="49">
        <f t="shared" si="33"/>
        <v>0</v>
      </c>
      <c r="P56" s="49">
        <f t="shared" si="33"/>
        <v>0</v>
      </c>
      <c r="Q56" s="49">
        <f t="shared" si="33"/>
        <v>0</v>
      </c>
      <c r="R56" s="49">
        <f t="shared" si="33"/>
        <v>0</v>
      </c>
      <c r="S56" s="49">
        <f t="shared" si="33"/>
        <v>0</v>
      </c>
      <c r="T56" s="49">
        <f t="shared" si="33"/>
        <v>0</v>
      </c>
      <c r="U56" s="49">
        <f t="shared" si="33"/>
        <v>0</v>
      </c>
      <c r="V56" s="49">
        <f t="shared" si="33"/>
        <v>0</v>
      </c>
      <c r="W56" s="49">
        <f t="shared" si="33"/>
        <v>0</v>
      </c>
      <c r="X56" s="49">
        <f t="shared" si="33"/>
        <v>0</v>
      </c>
      <c r="Y56" s="49">
        <f t="shared" si="33"/>
        <v>0</v>
      </c>
      <c r="Z56" s="49">
        <f t="shared" si="33"/>
        <v>0</v>
      </c>
      <c r="AA56" s="49">
        <f t="shared" si="33"/>
        <v>0</v>
      </c>
      <c r="AB56" s="49">
        <f t="shared" si="33"/>
        <v>0</v>
      </c>
      <c r="AC56" s="49">
        <f t="shared" si="33"/>
        <v>0</v>
      </c>
      <c r="AD56" s="49">
        <f t="shared" si="33"/>
        <v>0</v>
      </c>
      <c r="AE56" s="49">
        <f t="shared" si="33"/>
        <v>0</v>
      </c>
      <c r="AF56" s="49">
        <f t="shared" si="33"/>
        <v>0</v>
      </c>
      <c r="AG56" s="49">
        <f t="shared" si="33"/>
        <v>0</v>
      </c>
      <c r="AH56" s="49">
        <f t="shared" si="33"/>
        <v>0</v>
      </c>
      <c r="AI56" s="49">
        <f t="shared" si="33"/>
        <v>0</v>
      </c>
      <c r="AJ56" s="49">
        <f t="shared" si="33"/>
        <v>0</v>
      </c>
      <c r="AK56" s="49">
        <f t="shared" si="33"/>
        <v>0</v>
      </c>
      <c r="AL56" s="42"/>
      <c r="AM56" s="43">
        <v>40</v>
      </c>
      <c r="AN56">
        <v>329.12174106531921</v>
      </c>
      <c r="AO56">
        <v>26.557103723447586</v>
      </c>
      <c r="AP56">
        <v>60.208807147582981</v>
      </c>
      <c r="AQ56">
        <v>180.51833080610123</v>
      </c>
      <c r="AR56">
        <v>26.769613701823463</v>
      </c>
      <c r="AS56">
        <v>436.71851865037456</v>
      </c>
      <c r="AT56">
        <v>16.426441179735249</v>
      </c>
      <c r="AU56">
        <v>15.210327636620406</v>
      </c>
      <c r="AV56"/>
      <c r="AW56"/>
      <c r="FY56" s="213">
        <v>51</v>
      </c>
      <c r="FZ56">
        <v>57.846011540009066</v>
      </c>
      <c r="GA56">
        <v>61.884852266446281</v>
      </c>
      <c r="GB56">
        <v>41.834803283176875</v>
      </c>
      <c r="GC56">
        <v>17.360057497050683</v>
      </c>
      <c r="GD56">
        <v>4.0853264604301494</v>
      </c>
      <c r="GE56">
        <v>4.3931658545281698</v>
      </c>
      <c r="GF56">
        <v>7.3487657878756103</v>
      </c>
      <c r="GG56">
        <v>8.4750343676580133</v>
      </c>
      <c r="GH56">
        <v>4.741060791747354</v>
      </c>
      <c r="GI56">
        <v>23.20981743904786</v>
      </c>
      <c r="GJ56"/>
      <c r="GK56"/>
      <c r="GL56"/>
      <c r="GM56"/>
      <c r="GN56" s="208"/>
      <c r="GO56" s="208"/>
      <c r="GP56" s="208"/>
      <c r="GQ56" s="208"/>
      <c r="GR56" s="208"/>
      <c r="GS56" s="208"/>
      <c r="GT56" s="208"/>
      <c r="GU56" s="213">
        <v>51</v>
      </c>
    </row>
    <row r="57" spans="1:203" s="7" customFormat="1">
      <c r="A57" s="4"/>
      <c r="B57" s="36"/>
      <c r="C57" s="48" t="s">
        <v>118</v>
      </c>
      <c r="D57" s="49">
        <f t="shared" si="28"/>
        <v>17.632939356395326</v>
      </c>
      <c r="E57" s="19">
        <f t="shared" si="30"/>
        <v>2.8891351044327357E-2</v>
      </c>
      <c r="F57" s="8"/>
      <c r="G57" s="49">
        <f>$E$57*$E$26*G42</f>
        <v>0</v>
      </c>
      <c r="H57" s="49">
        <f t="shared" ref="H57:AK57" si="34">$E$57*$E$26*H42</f>
        <v>1.1888623753495606</v>
      </c>
      <c r="I57" s="49">
        <f t="shared" si="34"/>
        <v>11.745466007493356</v>
      </c>
      <c r="J57" s="49">
        <f t="shared" si="34"/>
        <v>4.6986109735524106</v>
      </c>
      <c r="K57" s="49">
        <f t="shared" si="34"/>
        <v>0</v>
      </c>
      <c r="L57" s="49">
        <f t="shared" si="34"/>
        <v>0</v>
      </c>
      <c r="M57" s="49">
        <f t="shared" si="34"/>
        <v>0</v>
      </c>
      <c r="N57" s="49">
        <f t="shared" si="34"/>
        <v>0</v>
      </c>
      <c r="O57" s="49">
        <f t="shared" si="34"/>
        <v>0</v>
      </c>
      <c r="P57" s="49">
        <f t="shared" si="34"/>
        <v>0</v>
      </c>
      <c r="Q57" s="49">
        <f t="shared" si="34"/>
        <v>0</v>
      </c>
      <c r="R57" s="49">
        <f t="shared" si="34"/>
        <v>0</v>
      </c>
      <c r="S57" s="49">
        <f t="shared" si="34"/>
        <v>0</v>
      </c>
      <c r="T57" s="49">
        <f t="shared" si="34"/>
        <v>0</v>
      </c>
      <c r="U57" s="49">
        <f t="shared" si="34"/>
        <v>0</v>
      </c>
      <c r="V57" s="49">
        <f t="shared" si="34"/>
        <v>0</v>
      </c>
      <c r="W57" s="49">
        <f t="shared" si="34"/>
        <v>0</v>
      </c>
      <c r="X57" s="49">
        <f t="shared" si="34"/>
        <v>0</v>
      </c>
      <c r="Y57" s="49">
        <f t="shared" si="34"/>
        <v>0</v>
      </c>
      <c r="Z57" s="49">
        <f t="shared" si="34"/>
        <v>0</v>
      </c>
      <c r="AA57" s="49">
        <f t="shared" si="34"/>
        <v>0</v>
      </c>
      <c r="AB57" s="49">
        <f t="shared" si="34"/>
        <v>0</v>
      </c>
      <c r="AC57" s="49">
        <f t="shared" si="34"/>
        <v>0</v>
      </c>
      <c r="AD57" s="49">
        <f t="shared" si="34"/>
        <v>0</v>
      </c>
      <c r="AE57" s="49">
        <f t="shared" si="34"/>
        <v>0</v>
      </c>
      <c r="AF57" s="49">
        <f t="shared" si="34"/>
        <v>0</v>
      </c>
      <c r="AG57" s="49">
        <f t="shared" si="34"/>
        <v>0</v>
      </c>
      <c r="AH57" s="49">
        <f t="shared" si="34"/>
        <v>0</v>
      </c>
      <c r="AI57" s="49">
        <f t="shared" si="34"/>
        <v>0</v>
      </c>
      <c r="AJ57" s="49">
        <f t="shared" si="34"/>
        <v>0</v>
      </c>
      <c r="AK57" s="49">
        <f t="shared" si="34"/>
        <v>0</v>
      </c>
      <c r="AL57" s="42"/>
      <c r="AM57" s="43">
        <v>41</v>
      </c>
      <c r="AN57">
        <v>255.30128902489113</v>
      </c>
      <c r="AO57">
        <v>24.476527719275232</v>
      </c>
      <c r="AP57">
        <v>36.637283899684576</v>
      </c>
      <c r="AQ57">
        <v>174.99489606293403</v>
      </c>
      <c r="AR57">
        <v>24.022844027302472</v>
      </c>
      <c r="AS57">
        <v>342.64610320313523</v>
      </c>
      <c r="AT57">
        <v>15.263329264001976</v>
      </c>
      <c r="AU57">
        <v>-3.468941126333057</v>
      </c>
      <c r="AV57"/>
      <c r="AW57"/>
      <c r="FY57" s="213">
        <v>52</v>
      </c>
      <c r="FZ57">
        <v>53.696833770252965</v>
      </c>
      <c r="GA57">
        <v>48.444967128239362</v>
      </c>
      <c r="GB57">
        <v>33.558763329470345</v>
      </c>
      <c r="GC57">
        <v>17.373120719249489</v>
      </c>
      <c r="GD57">
        <v>4.3423546047488175</v>
      </c>
      <c r="GE57">
        <v>5.279350937274832</v>
      </c>
      <c r="GF57">
        <v>9.6093175624833655</v>
      </c>
      <c r="GG57">
        <v>6.4765981986939085</v>
      </c>
      <c r="GH57">
        <v>2.640842135357655</v>
      </c>
      <c r="GI57">
        <v>20.798444769348407</v>
      </c>
      <c r="GJ57"/>
      <c r="GK57"/>
      <c r="GL57"/>
      <c r="GM57"/>
      <c r="GN57" s="208"/>
      <c r="GO57" s="208"/>
      <c r="GP57" s="208"/>
      <c r="GQ57" s="208"/>
      <c r="GR57" s="208"/>
      <c r="GS57" s="208"/>
      <c r="GT57" s="208"/>
      <c r="GU57" s="213">
        <v>52</v>
      </c>
    </row>
    <row r="58" spans="1:203" s="7" customFormat="1">
      <c r="A58" s="4"/>
      <c r="B58" s="1"/>
      <c r="C58" s="48" t="s">
        <v>119</v>
      </c>
      <c r="D58" s="49">
        <f t="shared" si="28"/>
        <v>3.5448513378608908</v>
      </c>
      <c r="E58" s="19">
        <f t="shared" si="30"/>
        <v>5.5473905912987766E-3</v>
      </c>
      <c r="F58" s="8"/>
      <c r="G58" s="49">
        <f>$E$58*$E$27*G43</f>
        <v>0</v>
      </c>
      <c r="H58" s="49">
        <f t="shared" ref="H58:AK58" si="35">$E$58*$E$27*H43</f>
        <v>0</v>
      </c>
      <c r="I58" s="49">
        <f t="shared" si="35"/>
        <v>0.16991193648127756</v>
      </c>
      <c r="J58" s="49">
        <f t="shared" si="35"/>
        <v>1.1804898381976525</v>
      </c>
      <c r="K58" s="49">
        <f t="shared" si="35"/>
        <v>2.1944495631819607</v>
      </c>
      <c r="L58" s="49">
        <f t="shared" si="35"/>
        <v>0</v>
      </c>
      <c r="M58" s="49">
        <f t="shared" si="35"/>
        <v>0</v>
      </c>
      <c r="N58" s="49">
        <f t="shared" si="35"/>
        <v>0</v>
      </c>
      <c r="O58" s="49">
        <f t="shared" si="35"/>
        <v>0</v>
      </c>
      <c r="P58" s="49">
        <f t="shared" si="35"/>
        <v>0</v>
      </c>
      <c r="Q58" s="49">
        <f t="shared" si="35"/>
        <v>0</v>
      </c>
      <c r="R58" s="49">
        <f t="shared" si="35"/>
        <v>0</v>
      </c>
      <c r="S58" s="49">
        <f t="shared" si="35"/>
        <v>0</v>
      </c>
      <c r="T58" s="49">
        <f t="shared" si="35"/>
        <v>0</v>
      </c>
      <c r="U58" s="49">
        <f t="shared" si="35"/>
        <v>0</v>
      </c>
      <c r="V58" s="49">
        <f t="shared" si="35"/>
        <v>0</v>
      </c>
      <c r="W58" s="49">
        <f t="shared" si="35"/>
        <v>0</v>
      </c>
      <c r="X58" s="49">
        <f t="shared" si="35"/>
        <v>0</v>
      </c>
      <c r="Y58" s="49">
        <f t="shared" si="35"/>
        <v>0</v>
      </c>
      <c r="Z58" s="49">
        <f t="shared" si="35"/>
        <v>0</v>
      </c>
      <c r="AA58" s="49">
        <f t="shared" si="35"/>
        <v>0</v>
      </c>
      <c r="AB58" s="49">
        <f t="shared" si="35"/>
        <v>0</v>
      </c>
      <c r="AC58" s="49">
        <f t="shared" si="35"/>
        <v>0</v>
      </c>
      <c r="AD58" s="49">
        <f t="shared" si="35"/>
        <v>0</v>
      </c>
      <c r="AE58" s="49">
        <f t="shared" si="35"/>
        <v>0</v>
      </c>
      <c r="AF58" s="49">
        <f t="shared" si="35"/>
        <v>0</v>
      </c>
      <c r="AG58" s="49">
        <f t="shared" si="35"/>
        <v>0</v>
      </c>
      <c r="AH58" s="49">
        <f t="shared" si="35"/>
        <v>0</v>
      </c>
      <c r="AI58" s="49">
        <f t="shared" si="35"/>
        <v>0</v>
      </c>
      <c r="AJ58" s="49">
        <f t="shared" si="35"/>
        <v>0</v>
      </c>
      <c r="AK58" s="49">
        <f t="shared" si="35"/>
        <v>0</v>
      </c>
      <c r="AL58" s="42"/>
      <c r="AM58" s="43">
        <v>42</v>
      </c>
      <c r="AN58">
        <v>164.36553156064576</v>
      </c>
      <c r="AO58">
        <v>20.514036874793003</v>
      </c>
      <c r="AP58">
        <v>27.198066804464574</v>
      </c>
      <c r="AQ58">
        <v>147.36358151719347</v>
      </c>
      <c r="AR58">
        <v>21.727794688906279</v>
      </c>
      <c r="AS58">
        <v>277.75195152226627</v>
      </c>
      <c r="AT58">
        <v>13.198169986476678</v>
      </c>
      <c r="AU58">
        <v>12.03206615648158</v>
      </c>
      <c r="AV58"/>
      <c r="AW58"/>
      <c r="FY58" s="213">
        <v>53</v>
      </c>
      <c r="FZ58">
        <v>54.090832748478398</v>
      </c>
      <c r="GA58">
        <v>57.189905128430944</v>
      </c>
      <c r="GB58">
        <v>31.790396683503822</v>
      </c>
      <c r="GC58">
        <v>10.929314408238886</v>
      </c>
      <c r="GD58">
        <v>2.3138169539817319</v>
      </c>
      <c r="GE58">
        <v>2.0269965600884547</v>
      </c>
      <c r="GF58">
        <v>2.4305283942850897</v>
      </c>
      <c r="GG58">
        <v>3.0539188245070301</v>
      </c>
      <c r="GH58">
        <v>9.9253844036531582</v>
      </c>
      <c r="GI58">
        <v>19.108542548337468</v>
      </c>
      <c r="GJ58"/>
      <c r="GK58"/>
      <c r="GL58"/>
      <c r="GM58"/>
      <c r="GN58" s="208"/>
      <c r="GO58" s="208"/>
      <c r="GP58" s="208"/>
      <c r="GQ58" s="208"/>
      <c r="GR58" s="208"/>
      <c r="GS58" s="208"/>
      <c r="GT58" s="208"/>
      <c r="GU58" s="213">
        <v>53</v>
      </c>
    </row>
    <row r="59" spans="1:203" s="7" customFormat="1">
      <c r="A59" s="4"/>
      <c r="B59" s="1"/>
      <c r="C59" s="48" t="s">
        <v>120</v>
      </c>
      <c r="D59" s="49">
        <f t="shared" si="28"/>
        <v>0</v>
      </c>
      <c r="E59" s="19">
        <f t="shared" si="30"/>
        <v>0</v>
      </c>
      <c r="F59" s="8"/>
      <c r="G59" s="49">
        <f>$E$59*$E$28*G44</f>
        <v>0</v>
      </c>
      <c r="H59" s="49">
        <f t="shared" ref="H59:AK59" si="36">$E$59*$E$28*H44</f>
        <v>0</v>
      </c>
      <c r="I59" s="49">
        <f t="shared" si="36"/>
        <v>0</v>
      </c>
      <c r="J59" s="49">
        <f t="shared" si="36"/>
        <v>0</v>
      </c>
      <c r="K59" s="49">
        <f t="shared" si="36"/>
        <v>0</v>
      </c>
      <c r="L59" s="49">
        <f t="shared" si="36"/>
        <v>0</v>
      </c>
      <c r="M59" s="49">
        <f t="shared" si="36"/>
        <v>0</v>
      </c>
      <c r="N59" s="49">
        <f t="shared" si="36"/>
        <v>0</v>
      </c>
      <c r="O59" s="49">
        <f t="shared" si="36"/>
        <v>0</v>
      </c>
      <c r="P59" s="49">
        <f t="shared" si="36"/>
        <v>0</v>
      </c>
      <c r="Q59" s="49">
        <f t="shared" si="36"/>
        <v>0</v>
      </c>
      <c r="R59" s="49">
        <f t="shared" si="36"/>
        <v>0</v>
      </c>
      <c r="S59" s="49">
        <f t="shared" si="36"/>
        <v>0</v>
      </c>
      <c r="T59" s="49">
        <f t="shared" si="36"/>
        <v>0</v>
      </c>
      <c r="U59" s="49">
        <f t="shared" si="36"/>
        <v>0</v>
      </c>
      <c r="V59" s="49">
        <f t="shared" si="36"/>
        <v>0</v>
      </c>
      <c r="W59" s="49">
        <f t="shared" si="36"/>
        <v>0</v>
      </c>
      <c r="X59" s="49">
        <f t="shared" si="36"/>
        <v>0</v>
      </c>
      <c r="Y59" s="49">
        <f t="shared" si="36"/>
        <v>0</v>
      </c>
      <c r="Z59" s="49">
        <f t="shared" si="36"/>
        <v>0</v>
      </c>
      <c r="AA59" s="49">
        <f t="shared" si="36"/>
        <v>0</v>
      </c>
      <c r="AB59" s="49">
        <f t="shared" si="36"/>
        <v>0</v>
      </c>
      <c r="AC59" s="49">
        <f t="shared" si="36"/>
        <v>0</v>
      </c>
      <c r="AD59" s="49">
        <f t="shared" si="36"/>
        <v>0</v>
      </c>
      <c r="AE59" s="49">
        <f t="shared" si="36"/>
        <v>0</v>
      </c>
      <c r="AF59" s="49">
        <f t="shared" si="36"/>
        <v>0</v>
      </c>
      <c r="AG59" s="49">
        <f t="shared" si="36"/>
        <v>0</v>
      </c>
      <c r="AH59" s="49">
        <f t="shared" si="36"/>
        <v>0</v>
      </c>
      <c r="AI59" s="49">
        <f t="shared" si="36"/>
        <v>0</v>
      </c>
      <c r="AJ59" s="49">
        <f t="shared" si="36"/>
        <v>0</v>
      </c>
      <c r="AK59" s="49">
        <f t="shared" si="36"/>
        <v>0</v>
      </c>
      <c r="AL59" s="42"/>
      <c r="AM59" s="43">
        <v>43</v>
      </c>
      <c r="AN59">
        <v>221.9361672422981</v>
      </c>
      <c r="AO59">
        <v>27.04859403891059</v>
      </c>
      <c r="AP59">
        <v>41.393894827159791</v>
      </c>
      <c r="AQ59">
        <v>205.71173755006677</v>
      </c>
      <c r="AR59">
        <v>28.172592229044646</v>
      </c>
      <c r="AS59">
        <v>343.87329429112782</v>
      </c>
      <c r="AT59">
        <v>18.112176122334898</v>
      </c>
      <c r="AU59">
        <v>-31.987437293623159</v>
      </c>
      <c r="AV59"/>
      <c r="AW59"/>
      <c r="FY59" s="213">
        <v>54</v>
      </c>
      <c r="FZ59">
        <v>48.118346290484659</v>
      </c>
      <c r="GA59">
        <v>43.534793460941522</v>
      </c>
      <c r="GB59">
        <v>23.32582418278098</v>
      </c>
      <c r="GC59">
        <v>10.66430563864477</v>
      </c>
      <c r="GD59">
        <v>2.7924880295699985</v>
      </c>
      <c r="GE59">
        <v>4.4886133917698228</v>
      </c>
      <c r="GF59">
        <v>8.4308981164308445</v>
      </c>
      <c r="GG59">
        <v>6.4319915209675731</v>
      </c>
      <c r="GH59">
        <v>4.5307298235140783</v>
      </c>
      <c r="GI59">
        <v>16.645064934575839</v>
      </c>
      <c r="GJ59"/>
      <c r="GK59"/>
      <c r="GL59"/>
      <c r="GM59"/>
      <c r="GN59" s="208"/>
      <c r="GO59" s="208"/>
      <c r="GP59" s="208"/>
      <c r="GQ59" s="208"/>
      <c r="GR59" s="208"/>
      <c r="GS59" s="208"/>
      <c r="GT59" s="208"/>
      <c r="GU59" s="213">
        <v>54</v>
      </c>
    </row>
    <row r="60" spans="1:203" s="7" customFormat="1">
      <c r="A60" s="4"/>
      <c r="B60" s="1"/>
      <c r="C60" s="48" t="s">
        <v>121</v>
      </c>
      <c r="D60" s="49">
        <f t="shared" si="28"/>
        <v>15.207725923726914</v>
      </c>
      <c r="E60" s="19">
        <f t="shared" si="30"/>
        <v>4.4980970019904906E-2</v>
      </c>
      <c r="F60" s="8"/>
      <c r="G60" s="49">
        <f>$E$60*$E$29*G45</f>
        <v>0</v>
      </c>
      <c r="H60" s="49">
        <f t="shared" ref="H60:AK60" si="37">$E$60*$E$29*H45</f>
        <v>0.1565008495307503</v>
      </c>
      <c r="I60" s="49">
        <f t="shared" si="37"/>
        <v>5.0498621597103606</v>
      </c>
      <c r="J60" s="49">
        <f t="shared" si="37"/>
        <v>4.4572188928368153</v>
      </c>
      <c r="K60" s="49">
        <f t="shared" si="37"/>
        <v>2.1465386743329584</v>
      </c>
      <c r="L60" s="49">
        <f t="shared" si="37"/>
        <v>0.97828089290955311</v>
      </c>
      <c r="M60" s="49">
        <f t="shared" si="37"/>
        <v>0</v>
      </c>
      <c r="N60" s="49">
        <f t="shared" si="37"/>
        <v>2.4193244544064769</v>
      </c>
      <c r="O60" s="49">
        <f t="shared" si="37"/>
        <v>0</v>
      </c>
      <c r="P60" s="49">
        <f t="shared" si="37"/>
        <v>0</v>
      </c>
      <c r="Q60" s="49">
        <f t="shared" si="37"/>
        <v>0</v>
      </c>
      <c r="R60" s="49">
        <f t="shared" si="37"/>
        <v>0</v>
      </c>
      <c r="S60" s="49">
        <f t="shared" si="37"/>
        <v>0</v>
      </c>
      <c r="T60" s="49">
        <f t="shared" si="37"/>
        <v>0</v>
      </c>
      <c r="U60" s="49">
        <f t="shared" si="37"/>
        <v>0</v>
      </c>
      <c r="V60" s="49">
        <f t="shared" si="37"/>
        <v>0</v>
      </c>
      <c r="W60" s="49">
        <f t="shared" si="37"/>
        <v>0</v>
      </c>
      <c r="X60" s="49">
        <f t="shared" si="37"/>
        <v>0</v>
      </c>
      <c r="Y60" s="49">
        <f t="shared" si="37"/>
        <v>0</v>
      </c>
      <c r="Z60" s="49">
        <f t="shared" si="37"/>
        <v>0</v>
      </c>
      <c r="AA60" s="49">
        <f t="shared" si="37"/>
        <v>0</v>
      </c>
      <c r="AB60" s="49">
        <f t="shared" si="37"/>
        <v>0</v>
      </c>
      <c r="AC60" s="49">
        <f t="shared" si="37"/>
        <v>0</v>
      </c>
      <c r="AD60" s="49">
        <f t="shared" si="37"/>
        <v>0</v>
      </c>
      <c r="AE60" s="49">
        <f t="shared" si="37"/>
        <v>0</v>
      </c>
      <c r="AF60" s="49">
        <f t="shared" si="37"/>
        <v>0</v>
      </c>
      <c r="AG60" s="49">
        <f t="shared" si="37"/>
        <v>0</v>
      </c>
      <c r="AH60" s="49">
        <f t="shared" si="37"/>
        <v>0</v>
      </c>
      <c r="AI60" s="49">
        <f t="shared" si="37"/>
        <v>0</v>
      </c>
      <c r="AJ60" s="49">
        <f t="shared" si="37"/>
        <v>0</v>
      </c>
      <c r="AK60" s="49">
        <f t="shared" si="37"/>
        <v>0</v>
      </c>
      <c r="AL60" s="42"/>
      <c r="AM60" s="43">
        <v>44</v>
      </c>
      <c r="AN60">
        <v>277.05475991957974</v>
      </c>
      <c r="AO60">
        <v>26.845098060285597</v>
      </c>
      <c r="AP60">
        <v>23.932154581278745</v>
      </c>
      <c r="AQ60">
        <v>200.61627995292039</v>
      </c>
      <c r="AR60">
        <v>27.460767184489217</v>
      </c>
      <c r="AS60">
        <v>371.44775607432319</v>
      </c>
      <c r="AT60">
        <v>17.178472979575613</v>
      </c>
      <c r="AU60">
        <v>-6.0767403673867122</v>
      </c>
      <c r="AV60"/>
      <c r="AW60"/>
      <c r="FY60" s="213">
        <v>55</v>
      </c>
      <c r="FZ60">
        <v>70.056898117307313</v>
      </c>
      <c r="GA60">
        <v>49.024264560585017</v>
      </c>
      <c r="GB60">
        <v>29.643690659560619</v>
      </c>
      <c r="GC60">
        <v>14.208201308942023</v>
      </c>
      <c r="GD60">
        <v>2.6486688139894317</v>
      </c>
      <c r="GE60">
        <v>4.4186967594312083</v>
      </c>
      <c r="GF60">
        <v>11.421001807587386</v>
      </c>
      <c r="GG60">
        <v>13.488955834736412</v>
      </c>
      <c r="GH60">
        <v>8.5401245009582833</v>
      </c>
      <c r="GI60">
        <v>22.539529602709571</v>
      </c>
      <c r="GJ60"/>
      <c r="GK60"/>
      <c r="GL60"/>
      <c r="GM60"/>
      <c r="GN60" s="208"/>
      <c r="GO60" s="208"/>
      <c r="GP60" s="208"/>
      <c r="GQ60" s="208"/>
      <c r="GR60" s="208"/>
      <c r="GS60" s="208"/>
      <c r="GT60" s="208"/>
      <c r="GU60" s="213">
        <v>55</v>
      </c>
    </row>
    <row r="61" spans="1:203" s="7" customFormat="1">
      <c r="A61" s="4"/>
      <c r="B61" s="1"/>
      <c r="C61" s="48" t="s">
        <v>122</v>
      </c>
      <c r="D61" s="49">
        <f t="shared" si="28"/>
        <v>0</v>
      </c>
      <c r="E61" s="19">
        <f t="shared" si="30"/>
        <v>0</v>
      </c>
      <c r="F61" s="8"/>
      <c r="G61" s="49">
        <f>$E$61*$E$30*G46</f>
        <v>0</v>
      </c>
      <c r="H61" s="49">
        <f t="shared" ref="H61:AK61" si="38">$E$61*$E$30*H46</f>
        <v>0</v>
      </c>
      <c r="I61" s="49">
        <f t="shared" si="38"/>
        <v>0</v>
      </c>
      <c r="J61" s="49">
        <f t="shared" si="38"/>
        <v>0</v>
      </c>
      <c r="K61" s="49">
        <f t="shared" si="38"/>
        <v>0</v>
      </c>
      <c r="L61" s="49">
        <f t="shared" si="38"/>
        <v>0</v>
      </c>
      <c r="M61" s="49">
        <f t="shared" si="38"/>
        <v>0</v>
      </c>
      <c r="N61" s="49">
        <f t="shared" si="38"/>
        <v>0</v>
      </c>
      <c r="O61" s="49">
        <f t="shared" si="38"/>
        <v>0</v>
      </c>
      <c r="P61" s="49">
        <f t="shared" si="38"/>
        <v>0</v>
      </c>
      <c r="Q61" s="49">
        <f t="shared" si="38"/>
        <v>0</v>
      </c>
      <c r="R61" s="49">
        <f t="shared" si="38"/>
        <v>0</v>
      </c>
      <c r="S61" s="49">
        <f t="shared" si="38"/>
        <v>0</v>
      </c>
      <c r="T61" s="49">
        <f t="shared" si="38"/>
        <v>0</v>
      </c>
      <c r="U61" s="49">
        <f t="shared" si="38"/>
        <v>0</v>
      </c>
      <c r="V61" s="49">
        <f t="shared" si="38"/>
        <v>0</v>
      </c>
      <c r="W61" s="49">
        <f t="shared" si="38"/>
        <v>0</v>
      </c>
      <c r="X61" s="49">
        <f t="shared" si="38"/>
        <v>0</v>
      </c>
      <c r="Y61" s="49">
        <f t="shared" si="38"/>
        <v>0</v>
      </c>
      <c r="Z61" s="49">
        <f t="shared" si="38"/>
        <v>0</v>
      </c>
      <c r="AA61" s="49">
        <f t="shared" si="38"/>
        <v>0</v>
      </c>
      <c r="AB61" s="49">
        <f t="shared" si="38"/>
        <v>0</v>
      </c>
      <c r="AC61" s="49">
        <f t="shared" si="38"/>
        <v>0</v>
      </c>
      <c r="AD61" s="49">
        <f t="shared" si="38"/>
        <v>0</v>
      </c>
      <c r="AE61" s="49">
        <f t="shared" si="38"/>
        <v>0</v>
      </c>
      <c r="AF61" s="49">
        <f t="shared" si="38"/>
        <v>0</v>
      </c>
      <c r="AG61" s="49">
        <f t="shared" si="38"/>
        <v>0</v>
      </c>
      <c r="AH61" s="49">
        <f t="shared" si="38"/>
        <v>0</v>
      </c>
      <c r="AI61" s="49">
        <f t="shared" si="38"/>
        <v>0</v>
      </c>
      <c r="AJ61" s="49">
        <f t="shared" si="38"/>
        <v>0</v>
      </c>
      <c r="AK61" s="49">
        <f t="shared" si="38"/>
        <v>0</v>
      </c>
      <c r="AL61" s="42"/>
      <c r="AM61" s="43">
        <v>45</v>
      </c>
      <c r="AN61">
        <v>248.18301834022722</v>
      </c>
      <c r="AO61">
        <v>23.155126678356336</v>
      </c>
      <c r="AP61">
        <v>6.3947772609559976</v>
      </c>
      <c r="AQ61">
        <v>165.48266627852837</v>
      </c>
      <c r="AR61">
        <v>23.146701770041833</v>
      </c>
      <c r="AS61">
        <v>379.73109440459626</v>
      </c>
      <c r="AT61">
        <v>13.930040146343003</v>
      </c>
      <c r="AU61">
        <v>-9.7152944329914313</v>
      </c>
      <c r="AV61"/>
      <c r="AW61"/>
      <c r="FY61" s="213">
        <v>56</v>
      </c>
      <c r="FZ61">
        <v>39.670134477217708</v>
      </c>
      <c r="GA61">
        <v>14.913879683761019</v>
      </c>
      <c r="GB61">
        <v>21.768305733111841</v>
      </c>
      <c r="GC61">
        <v>13.222301980517045</v>
      </c>
      <c r="GD61">
        <v>3.4995030331256061</v>
      </c>
      <c r="GE61">
        <v>4.6980988423305794</v>
      </c>
      <c r="GF61">
        <v>1.7982871002340557</v>
      </c>
      <c r="GG61">
        <v>4.9573856208463436</v>
      </c>
      <c r="GH61">
        <v>9.6835666234943503</v>
      </c>
      <c r="GI61">
        <v>15.050859469389044</v>
      </c>
      <c r="GJ61"/>
      <c r="GK61"/>
      <c r="GL61"/>
      <c r="GM61"/>
      <c r="GN61" s="208"/>
      <c r="GO61" s="208"/>
      <c r="GP61" s="208"/>
      <c r="GQ61" s="208"/>
      <c r="GR61" s="208"/>
      <c r="GS61" s="208"/>
      <c r="GT61" s="208"/>
      <c r="GU61" s="213">
        <v>56</v>
      </c>
    </row>
    <row r="62" spans="1:203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268.24114948836268</v>
      </c>
      <c r="AO62">
        <v>26.483484966253094</v>
      </c>
      <c r="AP62">
        <v>68.865943949074961</v>
      </c>
      <c r="AQ62">
        <v>187.20543801201555</v>
      </c>
      <c r="AR62">
        <v>27.825190593421297</v>
      </c>
      <c r="AS62">
        <v>450.56985026011046</v>
      </c>
      <c r="AT62">
        <v>17.104353469822993</v>
      </c>
      <c r="AU62">
        <v>26.696667819254877</v>
      </c>
      <c r="AV62"/>
      <c r="AW62"/>
      <c r="FY62" s="213">
        <v>57</v>
      </c>
      <c r="FZ62">
        <v>50.242987175155228</v>
      </c>
      <c r="GA62">
        <v>46.100349226133069</v>
      </c>
      <c r="GB62">
        <v>29.234535292187022</v>
      </c>
      <c r="GC62">
        <v>12.79409893032941</v>
      </c>
      <c r="GD62">
        <v>2.6559197238480845</v>
      </c>
      <c r="GE62">
        <v>4.9481665509630375</v>
      </c>
      <c r="GF62">
        <v>6.4120666685700289</v>
      </c>
      <c r="GG62">
        <v>6.104990153202392</v>
      </c>
      <c r="GH62">
        <v>5.204344317511687</v>
      </c>
      <c r="GI62">
        <v>18.069808219923743</v>
      </c>
      <c r="GJ62"/>
      <c r="GK62"/>
      <c r="GL62"/>
      <c r="GM62"/>
      <c r="GN62" s="208"/>
      <c r="GO62" s="208"/>
      <c r="GP62" s="208"/>
      <c r="GQ62" s="208"/>
      <c r="GR62" s="208"/>
      <c r="GS62" s="208"/>
      <c r="GT62" s="208"/>
      <c r="GU62" s="213">
        <v>57</v>
      </c>
    </row>
    <row r="63" spans="1:203" s="7" customFormat="1">
      <c r="A63" s="4"/>
      <c r="B63" s="1"/>
      <c r="C63" s="52" t="s">
        <v>53</v>
      </c>
      <c r="D63" s="53">
        <f>SUM(D52:D62)</f>
        <v>36.385516617983129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224.34231236641682</v>
      </c>
      <c r="AO63">
        <v>20.776192560138664</v>
      </c>
      <c r="AP63">
        <v>20.030508723197656</v>
      </c>
      <c r="AQ63">
        <v>154.86756120990486</v>
      </c>
      <c r="AR63">
        <v>22.398043955596201</v>
      </c>
      <c r="AS63">
        <v>287.03464279471262</v>
      </c>
      <c r="AT63">
        <v>12.644726541043832</v>
      </c>
      <c r="AU63">
        <v>8.6819037734778135</v>
      </c>
      <c r="AV63"/>
      <c r="AW63"/>
      <c r="FY63" s="213">
        <v>58</v>
      </c>
      <c r="FZ63">
        <v>41.627149166764845</v>
      </c>
      <c r="GA63">
        <v>45.726274875814752</v>
      </c>
      <c r="GB63">
        <v>31.982556722602499</v>
      </c>
      <c r="GC63">
        <v>13.856995483216094</v>
      </c>
      <c r="GD63">
        <v>2.8231000210545734</v>
      </c>
      <c r="GE63">
        <v>4.7559339197017954</v>
      </c>
      <c r="GF63">
        <v>9.1460293831091963</v>
      </c>
      <c r="GG63">
        <v>8.9634627090134504</v>
      </c>
      <c r="GH63">
        <v>11.426625627497231</v>
      </c>
      <c r="GI63">
        <v>19.073630094341475</v>
      </c>
      <c r="GJ63"/>
      <c r="GK63"/>
      <c r="GL63"/>
      <c r="GM63"/>
      <c r="GN63" s="208"/>
      <c r="GO63" s="208"/>
      <c r="GP63" s="208"/>
      <c r="GQ63" s="208"/>
      <c r="GR63" s="208"/>
      <c r="GS63" s="208"/>
      <c r="GT63" s="208"/>
      <c r="GU63" s="213">
        <v>58</v>
      </c>
    </row>
    <row r="64" spans="1:203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382.62265767372412</v>
      </c>
      <c r="AO64">
        <v>30.930154920872592</v>
      </c>
      <c r="AP64">
        <v>22.615731683071949</v>
      </c>
      <c r="AQ64">
        <v>240.26899457623125</v>
      </c>
      <c r="AR64">
        <v>31.605206624634505</v>
      </c>
      <c r="AS64">
        <v>482.63810692240509</v>
      </c>
      <c r="AT64">
        <v>19.14688013840215</v>
      </c>
      <c r="AU64">
        <v>-51.282149887994294</v>
      </c>
      <c r="AV64"/>
      <c r="AW64"/>
      <c r="FY64" s="213">
        <v>59</v>
      </c>
      <c r="FZ64">
        <v>59.61635987323821</v>
      </c>
      <c r="GA64">
        <v>70.553296063062803</v>
      </c>
      <c r="GB64">
        <v>36.684279488944782</v>
      </c>
      <c r="GC64">
        <v>13.082984741224843</v>
      </c>
      <c r="GD64">
        <v>2.641686227408095</v>
      </c>
      <c r="GE64">
        <v>5.3158124169601306</v>
      </c>
      <c r="GF64">
        <v>3.5168238308518722</v>
      </c>
      <c r="GG64">
        <v>1.0611123166326741</v>
      </c>
      <c r="GH64">
        <v>1.1363057801126122</v>
      </c>
      <c r="GI64">
        <v>20.116855632026404</v>
      </c>
      <c r="GJ64"/>
      <c r="GK64"/>
      <c r="GL64"/>
      <c r="GM64"/>
      <c r="GN64" s="208"/>
      <c r="GO64" s="208"/>
      <c r="GP64" s="208"/>
      <c r="GQ64" s="208"/>
      <c r="GR64" s="208"/>
      <c r="GS64" s="208"/>
      <c r="GT64" s="208"/>
      <c r="GU64" s="213">
        <v>59</v>
      </c>
    </row>
    <row r="65" spans="1:203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303.8363051994055</v>
      </c>
      <c r="AO65">
        <v>27.743698837005002</v>
      </c>
      <c r="AP65">
        <v>50.022168074370256</v>
      </c>
      <c r="AQ65">
        <v>201.52073803248996</v>
      </c>
      <c r="AR65">
        <v>28.264473351912567</v>
      </c>
      <c r="AS65">
        <v>378.79359855743422</v>
      </c>
      <c r="AT65">
        <v>16.768788781693246</v>
      </c>
      <c r="AU65">
        <v>-27.787013428108871</v>
      </c>
      <c r="AV65"/>
      <c r="AW65"/>
      <c r="FY65" s="213">
        <v>60</v>
      </c>
      <c r="FZ65">
        <v>34.643229124414034</v>
      </c>
      <c r="GA65">
        <v>35.969819485776931</v>
      </c>
      <c r="GB65">
        <v>29.715097206424815</v>
      </c>
      <c r="GC65">
        <v>11.258759331780242</v>
      </c>
      <c r="GD65">
        <v>2.6080915270331522</v>
      </c>
      <c r="GE65">
        <v>3.9387167770838101</v>
      </c>
      <c r="GF65">
        <v>5.7917962553300626</v>
      </c>
      <c r="GG65">
        <v>4.2438864535583738</v>
      </c>
      <c r="GH65">
        <v>7.9363757093564091</v>
      </c>
      <c r="GI65">
        <v>16.213646600969827</v>
      </c>
      <c r="GJ65"/>
      <c r="GK65"/>
      <c r="GL65"/>
      <c r="GM65"/>
      <c r="GN65" s="208"/>
      <c r="GO65" s="208"/>
      <c r="GP65" s="208"/>
      <c r="GQ65" s="208"/>
      <c r="GR65" s="208"/>
      <c r="GS65" s="208"/>
      <c r="GT65" s="208"/>
      <c r="GU65" s="213">
        <v>60</v>
      </c>
    </row>
    <row r="66" spans="1:203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294.35608337200904</v>
      </c>
      <c r="AO66">
        <v>24.956785633603662</v>
      </c>
      <c r="AP66">
        <v>15.278318149560416</v>
      </c>
      <c r="AQ66">
        <v>176.28320171315201</v>
      </c>
      <c r="AR66">
        <v>25.475946314188597</v>
      </c>
      <c r="AS66">
        <v>349.78166448164149</v>
      </c>
      <c r="AT66">
        <v>15.501183238284005</v>
      </c>
      <c r="AU66">
        <v>-2.0911904639016683</v>
      </c>
      <c r="AV66"/>
      <c r="AW66"/>
      <c r="FY66" s="213">
        <v>61</v>
      </c>
      <c r="FZ66">
        <v>49.321842257202412</v>
      </c>
      <c r="GA66">
        <v>50.135385168803928</v>
      </c>
      <c r="GB66">
        <v>38.604179974591929</v>
      </c>
      <c r="GC66">
        <v>15.915061490516688</v>
      </c>
      <c r="GD66">
        <v>3.0201719308107049</v>
      </c>
      <c r="GE66">
        <v>3.994003532934753</v>
      </c>
      <c r="GF66">
        <v>5.2784634190918833</v>
      </c>
      <c r="GG66">
        <v>6.8628773762231301</v>
      </c>
      <c r="GH66">
        <v>9.2082424288167601</v>
      </c>
      <c r="GI66">
        <v>20.89646174697852</v>
      </c>
      <c r="GJ66"/>
      <c r="GK66"/>
      <c r="GL66"/>
      <c r="GM66"/>
      <c r="GN66" s="208"/>
      <c r="GO66" s="208"/>
      <c r="GP66" s="208"/>
      <c r="GQ66" s="208"/>
      <c r="GR66" s="208"/>
      <c r="GS66" s="208"/>
      <c r="GT66" s="208"/>
      <c r="GU66" s="213">
        <v>61</v>
      </c>
    </row>
    <row r="67" spans="1:203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303.44047174126086</v>
      </c>
      <c r="AO67">
        <v>31.727343429744774</v>
      </c>
      <c r="AP67">
        <v>25.567636753884724</v>
      </c>
      <c r="AQ67">
        <v>231.17889528797008</v>
      </c>
      <c r="AR67">
        <v>31.875173870447963</v>
      </c>
      <c r="AS67">
        <v>437.0351029735059</v>
      </c>
      <c r="AT67">
        <v>19.706303135904879</v>
      </c>
      <c r="AU67">
        <v>-40.625398778267325</v>
      </c>
      <c r="AV67"/>
      <c r="AW67"/>
      <c r="FY67" s="213">
        <v>62</v>
      </c>
      <c r="FZ67">
        <v>42.676979045323264</v>
      </c>
      <c r="GA67">
        <v>38.596489363241254</v>
      </c>
      <c r="GB67">
        <v>32.278329860572448</v>
      </c>
      <c r="GC67">
        <v>13.286010898839447</v>
      </c>
      <c r="GD67">
        <v>4.3032856490910358</v>
      </c>
      <c r="GE67">
        <v>6.1242266347563348</v>
      </c>
      <c r="GF67">
        <v>2.2827657280030555</v>
      </c>
      <c r="GG67">
        <v>3.7722249578288225</v>
      </c>
      <c r="GH67">
        <v>7.8248087633314647</v>
      </c>
      <c r="GI67">
        <v>18.31896308771675</v>
      </c>
      <c r="GJ67"/>
      <c r="GK67"/>
      <c r="GL67"/>
      <c r="GM67"/>
      <c r="GN67" s="208"/>
      <c r="GO67" s="208"/>
      <c r="GP67" s="208"/>
      <c r="GQ67" s="208"/>
      <c r="GR67" s="208"/>
      <c r="GS67" s="208"/>
      <c r="GT67" s="208"/>
      <c r="GU67" s="213">
        <v>62</v>
      </c>
    </row>
    <row r="68" spans="1:203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276.62799078991713</v>
      </c>
      <c r="AO68">
        <v>28.480611188025286</v>
      </c>
      <c r="AP68">
        <v>19.630888080385581</v>
      </c>
      <c r="AQ68">
        <v>202.22059315511916</v>
      </c>
      <c r="AR68">
        <v>28.561838688016739</v>
      </c>
      <c r="AS68">
        <v>414.25340051077882</v>
      </c>
      <c r="AT68">
        <v>17.553043548872228</v>
      </c>
      <c r="AU68">
        <v>-21.770651211036693</v>
      </c>
      <c r="AV68"/>
      <c r="AW68"/>
      <c r="FY68" s="213">
        <v>63</v>
      </c>
      <c r="FZ68">
        <v>42.958981483431131</v>
      </c>
      <c r="GA68">
        <v>30.042965401341949</v>
      </c>
      <c r="GB68">
        <v>27.870767779280509</v>
      </c>
      <c r="GC68">
        <v>13.28406312998252</v>
      </c>
      <c r="GD68">
        <v>2.8468317787112172</v>
      </c>
      <c r="GE68">
        <v>4.7349260737314207</v>
      </c>
      <c r="GF68">
        <v>2.7998444439196977</v>
      </c>
      <c r="GG68">
        <v>1.6190781171783739</v>
      </c>
      <c r="GH68">
        <v>5.8202639632867648</v>
      </c>
      <c r="GI68">
        <v>16.231703770841804</v>
      </c>
      <c r="GJ68"/>
      <c r="GK68"/>
      <c r="GL68"/>
      <c r="GM68"/>
      <c r="GN68" s="208"/>
      <c r="GO68" s="208"/>
      <c r="GP68" s="208"/>
      <c r="GQ68" s="208"/>
      <c r="GR68" s="208"/>
      <c r="GS68" s="208"/>
      <c r="GT68" s="208"/>
      <c r="GU68" s="213">
        <v>63</v>
      </c>
    </row>
    <row r="69" spans="1:203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251.32219024125638</v>
      </c>
      <c r="AO69">
        <v>24.763660727280573</v>
      </c>
      <c r="AP69">
        <v>51.8681553579016</v>
      </c>
      <c r="AQ69">
        <v>192.85963665350499</v>
      </c>
      <c r="AR69">
        <v>26.255467724557096</v>
      </c>
      <c r="AS69">
        <v>380.29471489898964</v>
      </c>
      <c r="AT69">
        <v>16.493130463368562</v>
      </c>
      <c r="AU69">
        <v>-37.520249711235209</v>
      </c>
      <c r="AV69"/>
      <c r="AW69"/>
      <c r="FY69" s="213">
        <v>64</v>
      </c>
      <c r="FZ69">
        <v>51.181482437784133</v>
      </c>
      <c r="GA69">
        <v>48.393574656527377</v>
      </c>
      <c r="GB69">
        <v>36.457644772700895</v>
      </c>
      <c r="GC69">
        <v>13.253224112074442</v>
      </c>
      <c r="GD69">
        <v>2.9369089327048594</v>
      </c>
      <c r="GE69">
        <v>4.213589700856156</v>
      </c>
      <c r="GF69">
        <v>15.105468173222373</v>
      </c>
      <c r="GG69">
        <v>17.941026666921005</v>
      </c>
      <c r="GH69">
        <v>13.318112166842853</v>
      </c>
      <c r="GI69">
        <v>23.052244118367355</v>
      </c>
      <c r="GJ69"/>
      <c r="GK69"/>
      <c r="GL69"/>
      <c r="GM69"/>
      <c r="GN69" s="208"/>
      <c r="GO69" s="208"/>
      <c r="GP69" s="208"/>
      <c r="GQ69" s="208"/>
      <c r="GR69" s="208"/>
      <c r="GS69" s="208"/>
      <c r="GT69" s="208"/>
      <c r="GU69" s="213">
        <v>64</v>
      </c>
    </row>
    <row r="70" spans="1:203" s="7" customFormat="1">
      <c r="A70" s="4"/>
      <c r="B70" s="66"/>
      <c r="C70" s="71">
        <f t="shared" ref="C70:C79" si="39">C4</f>
        <v>39646</v>
      </c>
      <c r="D70" s="72">
        <f t="shared" ref="D70:D75" si="40">SUM(G70:AK70)</f>
        <v>180.20833333333334</v>
      </c>
      <c r="E70" s="64"/>
      <c r="F70" s="64"/>
      <c r="G70" s="18">
        <f>AVERAGE(E228:E237)</f>
        <v>0</v>
      </c>
      <c r="H70" s="18">
        <f t="shared" ref="H70:AK70" si="41">AVERAGE(F228:F237)</f>
        <v>2.083333333333333</v>
      </c>
      <c r="I70" s="18">
        <f t="shared" si="41"/>
        <v>65.625000000000014</v>
      </c>
      <c r="J70" s="18">
        <f t="shared" si="41"/>
        <v>34.374999999999993</v>
      </c>
      <c r="K70" s="18">
        <f t="shared" si="41"/>
        <v>33.333333333333336</v>
      </c>
      <c r="L70" s="18">
        <f t="shared" si="41"/>
        <v>28.125</v>
      </c>
      <c r="M70" s="18">
        <f t="shared" si="41"/>
        <v>12.5</v>
      </c>
      <c r="N70" s="18">
        <f t="shared" si="41"/>
        <v>4.1666666666666661</v>
      </c>
      <c r="O70" s="18">
        <f t="shared" si="41"/>
        <v>0</v>
      </c>
      <c r="P70" s="18">
        <f t="shared" si="41"/>
        <v>0</v>
      </c>
      <c r="Q70" s="18">
        <f t="shared" si="41"/>
        <v>0</v>
      </c>
      <c r="R70" s="18">
        <f t="shared" si="41"/>
        <v>0</v>
      </c>
      <c r="S70" s="18">
        <f t="shared" si="41"/>
        <v>0</v>
      </c>
      <c r="T70" s="18">
        <f t="shared" si="41"/>
        <v>0</v>
      </c>
      <c r="U70" s="18">
        <f t="shared" si="41"/>
        <v>0</v>
      </c>
      <c r="V70" s="18">
        <f t="shared" si="41"/>
        <v>0</v>
      </c>
      <c r="W70" s="18">
        <f t="shared" si="41"/>
        <v>0</v>
      </c>
      <c r="X70" s="18">
        <f t="shared" si="41"/>
        <v>0</v>
      </c>
      <c r="Y70" s="18">
        <f t="shared" si="41"/>
        <v>0</v>
      </c>
      <c r="Z70" s="18">
        <f t="shared" si="41"/>
        <v>0</v>
      </c>
      <c r="AA70" s="18">
        <f t="shared" si="41"/>
        <v>0</v>
      </c>
      <c r="AB70" s="18">
        <f t="shared" si="41"/>
        <v>0</v>
      </c>
      <c r="AC70" s="18">
        <f t="shared" si="41"/>
        <v>0</v>
      </c>
      <c r="AD70" s="18">
        <f t="shared" si="41"/>
        <v>0</v>
      </c>
      <c r="AE70" s="18">
        <f t="shared" si="41"/>
        <v>0</v>
      </c>
      <c r="AF70" s="18">
        <f t="shared" si="41"/>
        <v>0</v>
      </c>
      <c r="AG70" s="18">
        <f t="shared" si="41"/>
        <v>0</v>
      </c>
      <c r="AH70" s="18">
        <f t="shared" si="41"/>
        <v>0</v>
      </c>
      <c r="AI70" s="18">
        <f t="shared" si="41"/>
        <v>0</v>
      </c>
      <c r="AJ70" s="18">
        <f t="shared" si="41"/>
        <v>0</v>
      </c>
      <c r="AK70" s="18">
        <f t="shared" si="41"/>
        <v>0</v>
      </c>
      <c r="AL70" s="2"/>
      <c r="AM70" s="43">
        <v>54</v>
      </c>
      <c r="AN70">
        <v>249.07126369046014</v>
      </c>
      <c r="AO70">
        <v>22.541235525320275</v>
      </c>
      <c r="AP70">
        <v>8.2022290506650233</v>
      </c>
      <c r="AQ70">
        <v>168.96305538968008</v>
      </c>
      <c r="AR70">
        <v>22.93680207572833</v>
      </c>
      <c r="AS70">
        <v>326.7662351125054</v>
      </c>
      <c r="AT70">
        <v>13.06185399648148</v>
      </c>
      <c r="AU70">
        <v>-3.7676112944257198</v>
      </c>
      <c r="AV70"/>
      <c r="AW70"/>
      <c r="FY70" s="213">
        <v>65</v>
      </c>
      <c r="FZ70">
        <v>54.391997239782022</v>
      </c>
      <c r="GA70">
        <v>75.011875324664103</v>
      </c>
      <c r="GB70">
        <v>50.499935090393443</v>
      </c>
      <c r="GC70">
        <v>15.175058087552346</v>
      </c>
      <c r="GD70">
        <v>2.5686413834490769</v>
      </c>
      <c r="GE70">
        <v>3.5606603817981926</v>
      </c>
      <c r="GF70">
        <v>9.023755054535183</v>
      </c>
      <c r="GG70">
        <v>11.069354820470934</v>
      </c>
      <c r="GH70">
        <v>7.2864758822362781</v>
      </c>
      <c r="GI70">
        <v>24.678623387192868</v>
      </c>
      <c r="GJ70"/>
      <c r="GK70"/>
      <c r="GL70"/>
      <c r="GM70"/>
      <c r="GN70" s="208"/>
      <c r="GO70" s="208"/>
      <c r="GP70" s="208"/>
      <c r="GQ70" s="208"/>
      <c r="GR70" s="208"/>
      <c r="GS70" s="208"/>
      <c r="GT70" s="208"/>
      <c r="GU70" s="213">
        <v>65</v>
      </c>
    </row>
    <row r="71" spans="1:203" s="7" customFormat="1">
      <c r="A71" s="4"/>
      <c r="B71" s="66"/>
      <c r="C71" s="71">
        <f t="shared" si="39"/>
        <v>39673</v>
      </c>
      <c r="D71" s="72">
        <f t="shared" si="40"/>
        <v>168.80047852474323</v>
      </c>
      <c r="E71" s="64"/>
      <c r="F71" s="64"/>
      <c r="G71" s="18">
        <f>AVERAGE(E238:E247)</f>
        <v>0</v>
      </c>
      <c r="H71" s="18">
        <f t="shared" ref="H71:AK71" si="42">AVERAGE(F238:F247)</f>
        <v>9.375</v>
      </c>
      <c r="I71" s="18">
        <f t="shared" si="42"/>
        <v>84.842145191409898</v>
      </c>
      <c r="J71" s="18">
        <f t="shared" si="42"/>
        <v>23.958333333333336</v>
      </c>
      <c r="K71" s="18">
        <f t="shared" si="42"/>
        <v>13.541666666666666</v>
      </c>
      <c r="L71" s="18">
        <f t="shared" si="42"/>
        <v>15.416666666666666</v>
      </c>
      <c r="M71" s="18">
        <f t="shared" si="42"/>
        <v>16.458333333333336</v>
      </c>
      <c r="N71" s="18">
        <f t="shared" si="42"/>
        <v>3.125</v>
      </c>
      <c r="O71" s="18">
        <f t="shared" si="42"/>
        <v>2.083333333333333</v>
      </c>
      <c r="P71" s="18">
        <f t="shared" si="42"/>
        <v>0</v>
      </c>
      <c r="Q71" s="18">
        <f t="shared" si="42"/>
        <v>0</v>
      </c>
      <c r="R71" s="18">
        <f t="shared" si="42"/>
        <v>0</v>
      </c>
      <c r="S71" s="18">
        <f t="shared" si="42"/>
        <v>0</v>
      </c>
      <c r="T71" s="18">
        <f t="shared" si="42"/>
        <v>0</v>
      </c>
      <c r="U71" s="18">
        <f t="shared" si="42"/>
        <v>0</v>
      </c>
      <c r="V71" s="18">
        <f t="shared" si="42"/>
        <v>0</v>
      </c>
      <c r="W71" s="18">
        <f t="shared" si="42"/>
        <v>0</v>
      </c>
      <c r="X71" s="18">
        <f t="shared" si="42"/>
        <v>0</v>
      </c>
      <c r="Y71" s="18">
        <f t="shared" si="42"/>
        <v>0</v>
      </c>
      <c r="Z71" s="18">
        <f t="shared" si="42"/>
        <v>0</v>
      </c>
      <c r="AA71" s="18">
        <f t="shared" si="42"/>
        <v>0</v>
      </c>
      <c r="AB71" s="18">
        <f t="shared" si="42"/>
        <v>0</v>
      </c>
      <c r="AC71" s="18">
        <f t="shared" si="42"/>
        <v>0</v>
      </c>
      <c r="AD71" s="18">
        <f t="shared" si="42"/>
        <v>0</v>
      </c>
      <c r="AE71" s="18">
        <f t="shared" si="42"/>
        <v>0</v>
      </c>
      <c r="AF71" s="18">
        <f t="shared" si="42"/>
        <v>0</v>
      </c>
      <c r="AG71" s="18">
        <f t="shared" si="42"/>
        <v>0</v>
      </c>
      <c r="AH71" s="18">
        <f t="shared" si="42"/>
        <v>0</v>
      </c>
      <c r="AI71" s="18">
        <f t="shared" si="42"/>
        <v>0</v>
      </c>
      <c r="AJ71" s="18">
        <f t="shared" si="42"/>
        <v>0</v>
      </c>
      <c r="AK71" s="18">
        <f t="shared" si="42"/>
        <v>0</v>
      </c>
      <c r="AL71" s="2"/>
      <c r="AM71" s="43">
        <v>55</v>
      </c>
      <c r="AN71">
        <v>291.59987421601494</v>
      </c>
      <c r="AO71">
        <v>29.888363866084269</v>
      </c>
      <c r="AP71">
        <v>35.774018910920176</v>
      </c>
      <c r="AQ71">
        <v>225.99003196580725</v>
      </c>
      <c r="AR71">
        <v>31.032962435834484</v>
      </c>
      <c r="AS71">
        <v>422.6433233907353</v>
      </c>
      <c r="AT71">
        <v>18.799862014807491</v>
      </c>
      <c r="AU71">
        <v>12.293431037866412</v>
      </c>
      <c r="AV71"/>
      <c r="AW71"/>
      <c r="FY71" s="213">
        <v>66</v>
      </c>
      <c r="FZ71">
        <v>51.022442821825159</v>
      </c>
      <c r="GA71">
        <v>48.870042760082491</v>
      </c>
      <c r="GB71">
        <v>32.184839733836739</v>
      </c>
      <c r="GC71">
        <v>14.085262779188325</v>
      </c>
      <c r="GD71">
        <v>4.3442009609365968</v>
      </c>
      <c r="GE71">
        <v>6.4012305017579623</v>
      </c>
      <c r="GF71">
        <v>3.1496978533863116</v>
      </c>
      <c r="GG71">
        <v>6.1172200057657573</v>
      </c>
      <c r="GH71">
        <v>13.973300980108805</v>
      </c>
      <c r="GI71">
        <v>20.683446990965614</v>
      </c>
      <c r="GJ71"/>
      <c r="GK71"/>
      <c r="GL71"/>
      <c r="GM71"/>
      <c r="GN71" s="208"/>
      <c r="GO71" s="208"/>
      <c r="GP71" s="208"/>
      <c r="GQ71" s="208"/>
      <c r="GR71" s="208"/>
      <c r="GS71" s="208"/>
      <c r="GT71" s="208"/>
      <c r="GU71" s="213">
        <v>66</v>
      </c>
    </row>
    <row r="72" spans="1:203" s="7" customFormat="1">
      <c r="A72" s="4"/>
      <c r="B72" s="66"/>
      <c r="C72" s="71">
        <f t="shared" si="39"/>
        <v>39714</v>
      </c>
      <c r="D72" s="72">
        <f t="shared" si="40"/>
        <v>44.791666666666664</v>
      </c>
      <c r="E72" s="64"/>
      <c r="F72" s="64"/>
      <c r="G72" s="18">
        <f>AVERAGE(E248:E257)</f>
        <v>0</v>
      </c>
      <c r="H72" s="18">
        <f t="shared" ref="H72:AK72" si="43">AVERAGE(F248:F257)</f>
        <v>2.083333333333333</v>
      </c>
      <c r="I72" s="18">
        <f t="shared" si="43"/>
        <v>15.625</v>
      </c>
      <c r="J72" s="18">
        <f t="shared" si="43"/>
        <v>23.958333333333332</v>
      </c>
      <c r="K72" s="18">
        <f t="shared" si="43"/>
        <v>3.125</v>
      </c>
      <c r="L72" s="18">
        <f t="shared" si="43"/>
        <v>0</v>
      </c>
      <c r="M72" s="18">
        <f t="shared" si="43"/>
        <v>0</v>
      </c>
      <c r="N72" s="18">
        <f t="shared" si="43"/>
        <v>0</v>
      </c>
      <c r="O72" s="18">
        <f t="shared" si="43"/>
        <v>0</v>
      </c>
      <c r="P72" s="18">
        <f t="shared" si="43"/>
        <v>0</v>
      </c>
      <c r="Q72" s="18">
        <f t="shared" si="43"/>
        <v>0</v>
      </c>
      <c r="R72" s="18">
        <f t="shared" si="43"/>
        <v>0</v>
      </c>
      <c r="S72" s="18">
        <f t="shared" si="43"/>
        <v>0</v>
      </c>
      <c r="T72" s="18">
        <f t="shared" si="43"/>
        <v>0</v>
      </c>
      <c r="U72" s="18">
        <f t="shared" si="43"/>
        <v>0</v>
      </c>
      <c r="V72" s="18">
        <f t="shared" si="43"/>
        <v>0</v>
      </c>
      <c r="W72" s="18">
        <f t="shared" si="43"/>
        <v>0</v>
      </c>
      <c r="X72" s="18">
        <f t="shared" si="43"/>
        <v>0</v>
      </c>
      <c r="Y72" s="18">
        <f t="shared" si="43"/>
        <v>0</v>
      </c>
      <c r="Z72" s="18">
        <f t="shared" si="43"/>
        <v>0</v>
      </c>
      <c r="AA72" s="18">
        <f t="shared" si="43"/>
        <v>0</v>
      </c>
      <c r="AB72" s="18">
        <f t="shared" si="43"/>
        <v>0</v>
      </c>
      <c r="AC72" s="18">
        <f t="shared" si="43"/>
        <v>0</v>
      </c>
      <c r="AD72" s="18">
        <f t="shared" si="43"/>
        <v>0</v>
      </c>
      <c r="AE72" s="18">
        <f t="shared" si="43"/>
        <v>0</v>
      </c>
      <c r="AF72" s="18">
        <f t="shared" si="43"/>
        <v>0</v>
      </c>
      <c r="AG72" s="18">
        <f t="shared" si="43"/>
        <v>0</v>
      </c>
      <c r="AH72" s="18">
        <f t="shared" si="43"/>
        <v>0</v>
      </c>
      <c r="AI72" s="18">
        <f t="shared" si="43"/>
        <v>0</v>
      </c>
      <c r="AJ72" s="18">
        <f t="shared" si="43"/>
        <v>0</v>
      </c>
      <c r="AK72" s="18">
        <f t="shared" si="43"/>
        <v>0</v>
      </c>
      <c r="AL72" s="2"/>
      <c r="AM72" s="43">
        <v>56</v>
      </c>
      <c r="AN72">
        <v>221.57150366866011</v>
      </c>
      <c r="AO72">
        <v>19.249264966852067</v>
      </c>
      <c r="AP72">
        <v>33.223959633037012</v>
      </c>
      <c r="AQ72">
        <v>129.26232256402758</v>
      </c>
      <c r="AR72">
        <v>20.683794073621034</v>
      </c>
      <c r="AS72">
        <v>324.24924858672085</v>
      </c>
      <c r="AT72">
        <v>12.95370238048767</v>
      </c>
      <c r="AU72">
        <v>49.505666386324606</v>
      </c>
      <c r="AV72"/>
      <c r="AW72"/>
      <c r="FY72" s="213">
        <v>67</v>
      </c>
      <c r="FZ72">
        <v>33.11844291841026</v>
      </c>
      <c r="GA72">
        <v>46.070261736820143</v>
      </c>
      <c r="GB72">
        <v>33.565326339691495</v>
      </c>
      <c r="GC72">
        <v>13.723498096691163</v>
      </c>
      <c r="GD72">
        <v>3.1017185618674503</v>
      </c>
      <c r="GE72">
        <v>3.8999505350602353</v>
      </c>
      <c r="GF72">
        <v>1.2682284677805309</v>
      </c>
      <c r="GG72">
        <v>2.7055652004522064</v>
      </c>
      <c r="GH72">
        <v>4.4019305127029016</v>
      </c>
      <c r="GI72">
        <v>15.816160020687796</v>
      </c>
      <c r="GJ72"/>
      <c r="GK72"/>
      <c r="GL72"/>
      <c r="GM72"/>
      <c r="GN72" s="208"/>
      <c r="GO72" s="208"/>
      <c r="GP72" s="208"/>
      <c r="GQ72" s="208"/>
      <c r="GR72" s="208"/>
      <c r="GS72" s="208"/>
      <c r="GT72" s="208"/>
      <c r="GU72" s="213">
        <v>67</v>
      </c>
    </row>
    <row r="73" spans="1:203" s="7" customFormat="1">
      <c r="A73" s="4"/>
      <c r="B73" s="66"/>
      <c r="C73" s="71">
        <f t="shared" si="39"/>
        <v>39747</v>
      </c>
      <c r="D73" s="72">
        <f t="shared" si="40"/>
        <v>937.34884089896173</v>
      </c>
      <c r="E73" s="64"/>
      <c r="F73" s="64"/>
      <c r="G73" s="18">
        <f>AVERAGE(E258:E267)</f>
        <v>0</v>
      </c>
      <c r="H73" s="18">
        <f t="shared" ref="H73:AK73" si="44">AVERAGE(F258:F267)</f>
        <v>138.74683373408666</v>
      </c>
      <c r="I73" s="18">
        <f t="shared" si="44"/>
        <v>431.37316467057843</v>
      </c>
      <c r="J73" s="18">
        <f t="shared" si="44"/>
        <v>320.55112784783194</v>
      </c>
      <c r="K73" s="18">
        <f t="shared" si="44"/>
        <v>43.836805555555557</v>
      </c>
      <c r="L73" s="18">
        <f t="shared" si="44"/>
        <v>2.8409090909090908</v>
      </c>
      <c r="M73" s="18">
        <f t="shared" si="44"/>
        <v>0</v>
      </c>
      <c r="N73" s="18">
        <f t="shared" si="44"/>
        <v>0</v>
      </c>
      <c r="O73" s="18">
        <f t="shared" si="44"/>
        <v>0</v>
      </c>
      <c r="P73" s="18">
        <f t="shared" si="44"/>
        <v>0</v>
      </c>
      <c r="Q73" s="18">
        <f t="shared" si="44"/>
        <v>0</v>
      </c>
      <c r="R73" s="18">
        <f t="shared" si="44"/>
        <v>0</v>
      </c>
      <c r="S73" s="18">
        <f t="shared" si="44"/>
        <v>0</v>
      </c>
      <c r="T73" s="18">
        <f t="shared" si="44"/>
        <v>0</v>
      </c>
      <c r="U73" s="18">
        <f t="shared" si="44"/>
        <v>0</v>
      </c>
      <c r="V73" s="18">
        <f t="shared" si="44"/>
        <v>0</v>
      </c>
      <c r="W73" s="18">
        <f t="shared" si="44"/>
        <v>0</v>
      </c>
      <c r="X73" s="18">
        <f t="shared" si="44"/>
        <v>0</v>
      </c>
      <c r="Y73" s="18">
        <f t="shared" si="44"/>
        <v>0</v>
      </c>
      <c r="Z73" s="18">
        <f t="shared" si="44"/>
        <v>0</v>
      </c>
      <c r="AA73" s="18">
        <f t="shared" si="44"/>
        <v>0</v>
      </c>
      <c r="AB73" s="18">
        <f t="shared" si="44"/>
        <v>0</v>
      </c>
      <c r="AC73" s="18">
        <f t="shared" si="44"/>
        <v>0</v>
      </c>
      <c r="AD73" s="18">
        <f t="shared" si="44"/>
        <v>0</v>
      </c>
      <c r="AE73" s="18">
        <f t="shared" si="44"/>
        <v>0</v>
      </c>
      <c r="AF73" s="18">
        <f t="shared" si="44"/>
        <v>0</v>
      </c>
      <c r="AG73" s="18">
        <f t="shared" si="44"/>
        <v>0</v>
      </c>
      <c r="AH73" s="18">
        <f t="shared" si="44"/>
        <v>0</v>
      </c>
      <c r="AI73" s="18">
        <f t="shared" si="44"/>
        <v>0</v>
      </c>
      <c r="AJ73" s="18">
        <f t="shared" si="44"/>
        <v>0</v>
      </c>
      <c r="AK73" s="18">
        <f t="shared" si="44"/>
        <v>0</v>
      </c>
      <c r="AL73" s="2"/>
      <c r="AM73" s="43">
        <v>57</v>
      </c>
      <c r="AN73">
        <v>245.60502726441337</v>
      </c>
      <c r="AO73">
        <v>24.598032636855788</v>
      </c>
      <c r="AP73">
        <v>12.233165705138212</v>
      </c>
      <c r="AQ73">
        <v>181.76726625782368</v>
      </c>
      <c r="AR73">
        <v>24.893589440428915</v>
      </c>
      <c r="AS73">
        <v>401.91838141015893</v>
      </c>
      <c r="AT73">
        <v>14.83108640070971</v>
      </c>
      <c r="AU73">
        <v>-19.058736332061073</v>
      </c>
      <c r="AV73"/>
      <c r="AW73"/>
      <c r="FY73" s="213">
        <v>68</v>
      </c>
      <c r="FZ73">
        <v>63.506504283697296</v>
      </c>
      <c r="GA73">
        <v>65.490772473462386</v>
      </c>
      <c r="GB73">
        <v>34.355784051034163</v>
      </c>
      <c r="GC73">
        <v>11.454497108246262</v>
      </c>
      <c r="GD73">
        <v>4.292003551906781</v>
      </c>
      <c r="GE73">
        <v>4.9559226711769222</v>
      </c>
      <c r="GF73">
        <v>1.0292305157115875</v>
      </c>
      <c r="GG73">
        <v>2.7517005290446486</v>
      </c>
      <c r="GH73">
        <v>7.193945246090383</v>
      </c>
      <c r="GI73">
        <v>21.552546897917708</v>
      </c>
      <c r="GJ73"/>
      <c r="GK73"/>
      <c r="GL73"/>
      <c r="GM73"/>
      <c r="GN73" s="208"/>
      <c r="GO73" s="208"/>
      <c r="GP73" s="208"/>
      <c r="GQ73" s="208"/>
      <c r="GR73" s="208"/>
      <c r="GS73" s="208"/>
      <c r="GT73" s="208"/>
      <c r="GU73" s="213">
        <v>68</v>
      </c>
    </row>
    <row r="74" spans="1:203" s="7" customFormat="1">
      <c r="A74" s="4"/>
      <c r="B74" s="66"/>
      <c r="C74" s="71">
        <f t="shared" si="39"/>
        <v>39775</v>
      </c>
      <c r="D74" s="72">
        <f t="shared" si="40"/>
        <v>118.0904512154512</v>
      </c>
      <c r="E74" s="64"/>
      <c r="F74" s="64"/>
      <c r="G74" s="18">
        <f>AVERAGE(E268:E277)</f>
        <v>1.0416666666666665</v>
      </c>
      <c r="H74" s="18">
        <f t="shared" ref="H74:AK74" si="45">AVERAGE(F268:F277)</f>
        <v>43.877164502164497</v>
      </c>
      <c r="I74" s="18">
        <f t="shared" si="45"/>
        <v>59.848484848484837</v>
      </c>
      <c r="J74" s="18">
        <f t="shared" si="45"/>
        <v>10.118006993006993</v>
      </c>
      <c r="K74" s="18">
        <f t="shared" si="45"/>
        <v>3.2051282051282053</v>
      </c>
      <c r="L74" s="18">
        <f t="shared" si="45"/>
        <v>0</v>
      </c>
      <c r="M74" s="18">
        <f t="shared" si="45"/>
        <v>0</v>
      </c>
      <c r="N74" s="18">
        <f t="shared" si="45"/>
        <v>0</v>
      </c>
      <c r="O74" s="18">
        <f t="shared" si="45"/>
        <v>0</v>
      </c>
      <c r="P74" s="18">
        <f t="shared" si="45"/>
        <v>0</v>
      </c>
      <c r="Q74" s="18">
        <f t="shared" si="45"/>
        <v>0</v>
      </c>
      <c r="R74" s="18">
        <f t="shared" si="45"/>
        <v>0</v>
      </c>
      <c r="S74" s="18">
        <f t="shared" si="45"/>
        <v>0</v>
      </c>
      <c r="T74" s="18">
        <f t="shared" si="45"/>
        <v>0</v>
      </c>
      <c r="U74" s="18">
        <f t="shared" si="45"/>
        <v>0</v>
      </c>
      <c r="V74" s="18">
        <f t="shared" si="45"/>
        <v>0</v>
      </c>
      <c r="W74" s="18">
        <f t="shared" si="45"/>
        <v>0</v>
      </c>
      <c r="X74" s="18">
        <f t="shared" si="45"/>
        <v>0</v>
      </c>
      <c r="Y74" s="18">
        <f t="shared" si="45"/>
        <v>0</v>
      </c>
      <c r="Z74" s="18">
        <f t="shared" si="45"/>
        <v>0</v>
      </c>
      <c r="AA74" s="18">
        <f t="shared" si="45"/>
        <v>0</v>
      </c>
      <c r="AB74" s="18">
        <f t="shared" si="45"/>
        <v>0</v>
      </c>
      <c r="AC74" s="18">
        <f t="shared" si="45"/>
        <v>0</v>
      </c>
      <c r="AD74" s="18">
        <f t="shared" si="45"/>
        <v>0</v>
      </c>
      <c r="AE74" s="18">
        <f t="shared" si="45"/>
        <v>0</v>
      </c>
      <c r="AF74" s="18">
        <f t="shared" si="45"/>
        <v>0</v>
      </c>
      <c r="AG74" s="18">
        <f t="shared" si="45"/>
        <v>0</v>
      </c>
      <c r="AH74" s="18">
        <f t="shared" si="45"/>
        <v>0</v>
      </c>
      <c r="AI74" s="18">
        <f t="shared" si="45"/>
        <v>0</v>
      </c>
      <c r="AJ74" s="18">
        <f t="shared" si="45"/>
        <v>0</v>
      </c>
      <c r="AK74" s="18">
        <f t="shared" si="45"/>
        <v>0</v>
      </c>
      <c r="AL74" s="2"/>
      <c r="AM74" s="43">
        <v>58</v>
      </c>
      <c r="AN74">
        <v>292.19632566399952</v>
      </c>
      <c r="AO74">
        <v>25.907133962285609</v>
      </c>
      <c r="AP74">
        <v>39.744737583604532</v>
      </c>
      <c r="AQ74">
        <v>189.38175800311592</v>
      </c>
      <c r="AR74">
        <v>26.063742284091653</v>
      </c>
      <c r="AS74">
        <v>367.78804940089708</v>
      </c>
      <c r="AT74">
        <v>15.935151121870177</v>
      </c>
      <c r="AU74">
        <v>-8.3375660838418639</v>
      </c>
      <c r="AV74"/>
      <c r="AW74"/>
      <c r="FY74" s="213">
        <v>69</v>
      </c>
      <c r="FZ74">
        <v>64.787299174100667</v>
      </c>
      <c r="GA74">
        <v>60.888839226956328</v>
      </c>
      <c r="GB74">
        <v>35.775332599146857</v>
      </c>
      <c r="GC74">
        <v>14.005716766218031</v>
      </c>
      <c r="GD74">
        <v>3.7375944153676741</v>
      </c>
      <c r="GE74">
        <v>6.8372107982697354</v>
      </c>
      <c r="GF74">
        <v>4.2136362743896836</v>
      </c>
      <c r="GG74">
        <v>3.077664716555117</v>
      </c>
      <c r="GH74">
        <v>6.4467528150867963</v>
      </c>
      <c r="GI74">
        <v>22.225986228770083</v>
      </c>
      <c r="GJ74"/>
      <c r="GK74"/>
      <c r="GL74"/>
      <c r="GM74"/>
      <c r="GN74" s="208"/>
      <c r="GO74" s="208"/>
      <c r="GP74" s="208"/>
      <c r="GQ74" s="208"/>
      <c r="GR74" s="208"/>
      <c r="GS74" s="208"/>
      <c r="GT74" s="208"/>
      <c r="GU74" s="213">
        <v>69</v>
      </c>
    </row>
    <row r="75" spans="1:203" s="7" customFormat="1">
      <c r="A75" s="4"/>
      <c r="B75" s="66"/>
      <c r="C75" s="71">
        <f t="shared" si="39"/>
        <v>39799</v>
      </c>
      <c r="D75" s="72">
        <f t="shared" si="40"/>
        <v>621.13806807078026</v>
      </c>
      <c r="E75" s="64"/>
      <c r="F75" s="64"/>
      <c r="G75" s="18">
        <f>AVERAGE(E278:E287)</f>
        <v>0</v>
      </c>
      <c r="H75" s="18">
        <f t="shared" ref="H75:AK75" si="46">AVERAGE(F278:F287)</f>
        <v>237.22386681945505</v>
      </c>
      <c r="I75" s="18">
        <f t="shared" si="46"/>
        <v>362.93205839418226</v>
      </c>
      <c r="J75" s="18">
        <f t="shared" si="46"/>
        <v>20.982142857142858</v>
      </c>
      <c r="K75" s="18">
        <f t="shared" si="46"/>
        <v>0</v>
      </c>
      <c r="L75" s="18">
        <f t="shared" si="46"/>
        <v>0</v>
      </c>
      <c r="M75" s="18">
        <f t="shared" si="46"/>
        <v>0</v>
      </c>
      <c r="N75" s="18">
        <f t="shared" si="46"/>
        <v>0</v>
      </c>
      <c r="O75" s="18">
        <f t="shared" si="46"/>
        <v>0</v>
      </c>
      <c r="P75" s="18">
        <f t="shared" si="46"/>
        <v>0</v>
      </c>
      <c r="Q75" s="18">
        <f t="shared" si="46"/>
        <v>0</v>
      </c>
      <c r="R75" s="18">
        <f t="shared" si="46"/>
        <v>0</v>
      </c>
      <c r="S75" s="18">
        <f t="shared" si="46"/>
        <v>0</v>
      </c>
      <c r="T75" s="18">
        <f t="shared" si="46"/>
        <v>0</v>
      </c>
      <c r="U75" s="18">
        <f t="shared" si="46"/>
        <v>0</v>
      </c>
      <c r="V75" s="18">
        <f t="shared" si="46"/>
        <v>0</v>
      </c>
      <c r="W75" s="18">
        <f t="shared" si="46"/>
        <v>0</v>
      </c>
      <c r="X75" s="18">
        <f t="shared" si="46"/>
        <v>0</v>
      </c>
      <c r="Y75" s="18">
        <f t="shared" si="46"/>
        <v>0</v>
      </c>
      <c r="Z75" s="18">
        <f t="shared" si="46"/>
        <v>0</v>
      </c>
      <c r="AA75" s="18">
        <f t="shared" si="46"/>
        <v>0</v>
      </c>
      <c r="AB75" s="18">
        <f t="shared" si="46"/>
        <v>0</v>
      </c>
      <c r="AC75" s="18">
        <f t="shared" si="46"/>
        <v>0</v>
      </c>
      <c r="AD75" s="18">
        <f t="shared" si="46"/>
        <v>0</v>
      </c>
      <c r="AE75" s="18">
        <f t="shared" si="46"/>
        <v>0</v>
      </c>
      <c r="AF75" s="18">
        <f t="shared" si="46"/>
        <v>0</v>
      </c>
      <c r="AG75" s="18">
        <f t="shared" si="46"/>
        <v>0</v>
      </c>
      <c r="AH75" s="18">
        <f t="shared" si="46"/>
        <v>0</v>
      </c>
      <c r="AI75" s="18">
        <f t="shared" si="46"/>
        <v>0</v>
      </c>
      <c r="AJ75" s="18">
        <f t="shared" si="46"/>
        <v>0</v>
      </c>
      <c r="AK75" s="18">
        <f t="shared" si="46"/>
        <v>0</v>
      </c>
      <c r="AL75" s="2"/>
      <c r="AM75" s="43">
        <v>59</v>
      </c>
      <c r="AN75">
        <v>292.95558842546268</v>
      </c>
      <c r="AO75">
        <v>27.689267827193067</v>
      </c>
      <c r="AP75">
        <v>6.4054249748297636</v>
      </c>
      <c r="AQ75">
        <v>213.72551637046246</v>
      </c>
      <c r="AR75">
        <v>27.550412911444614</v>
      </c>
      <c r="AS75">
        <v>378.20823152144345</v>
      </c>
      <c r="AT75">
        <v>17.017503294441898</v>
      </c>
      <c r="AU75">
        <v>-40.400123902503729</v>
      </c>
      <c r="AV75"/>
      <c r="AW75"/>
      <c r="FY75" s="213">
        <v>70</v>
      </c>
      <c r="FZ75">
        <v>64.431101316546091</v>
      </c>
      <c r="GA75">
        <v>61.741644872870502</v>
      </c>
      <c r="GB75">
        <v>39.84388795234522</v>
      </c>
      <c r="GC75">
        <v>15.753116721649345</v>
      </c>
      <c r="GD75">
        <v>2.9641562615435331</v>
      </c>
      <c r="GE75">
        <v>3.5135463042339659</v>
      </c>
      <c r="GF75">
        <v>5.206862774190391</v>
      </c>
      <c r="GG75">
        <v>5.8418167408731154</v>
      </c>
      <c r="GH75">
        <v>7.7310775042394795</v>
      </c>
      <c r="GI75">
        <v>23.123010439942753</v>
      </c>
      <c r="GJ75"/>
      <c r="GK75"/>
      <c r="GL75"/>
      <c r="GM75"/>
      <c r="GN75" s="208"/>
      <c r="GO75" s="208"/>
      <c r="GP75" s="208"/>
      <c r="GQ75" s="208"/>
      <c r="GR75" s="208"/>
      <c r="GS75" s="208"/>
      <c r="GT75" s="208"/>
      <c r="GU75" s="213">
        <v>70</v>
      </c>
    </row>
    <row r="76" spans="1:203" s="7" customFormat="1">
      <c r="A76" s="4"/>
      <c r="B76" s="66"/>
      <c r="C76" s="71">
        <f t="shared" si="39"/>
        <v>39847</v>
      </c>
      <c r="D76" s="72">
        <f>SUM(G76:AK76)</f>
        <v>27.777777777777779</v>
      </c>
      <c r="E76" s="64"/>
      <c r="F76" s="64"/>
      <c r="G76" s="18">
        <f>AVERAGE(E288:E297)</f>
        <v>0</v>
      </c>
      <c r="H76" s="18">
        <f t="shared" ref="H76:AK76" si="47">AVERAGE(F288:F297)</f>
        <v>0</v>
      </c>
      <c r="I76" s="18">
        <f t="shared" si="47"/>
        <v>0</v>
      </c>
      <c r="J76" s="18">
        <f t="shared" si="47"/>
        <v>27.777777777777779</v>
      </c>
      <c r="K76" s="18">
        <f t="shared" si="47"/>
        <v>0</v>
      </c>
      <c r="L76" s="18">
        <f t="shared" si="47"/>
        <v>0</v>
      </c>
      <c r="M76" s="18">
        <f t="shared" si="47"/>
        <v>0</v>
      </c>
      <c r="N76" s="18">
        <f t="shared" si="47"/>
        <v>0</v>
      </c>
      <c r="O76" s="18">
        <f t="shared" si="47"/>
        <v>0</v>
      </c>
      <c r="P76" s="18">
        <f t="shared" si="47"/>
        <v>0</v>
      </c>
      <c r="Q76" s="18">
        <f t="shared" si="47"/>
        <v>0</v>
      </c>
      <c r="R76" s="18">
        <f t="shared" si="47"/>
        <v>0</v>
      </c>
      <c r="S76" s="18">
        <f t="shared" si="47"/>
        <v>0</v>
      </c>
      <c r="T76" s="18">
        <f t="shared" si="47"/>
        <v>0</v>
      </c>
      <c r="U76" s="18">
        <f t="shared" si="47"/>
        <v>0</v>
      </c>
      <c r="V76" s="18">
        <f t="shared" si="47"/>
        <v>0</v>
      </c>
      <c r="W76" s="18">
        <f t="shared" si="47"/>
        <v>0</v>
      </c>
      <c r="X76" s="18">
        <f t="shared" si="47"/>
        <v>0</v>
      </c>
      <c r="Y76" s="18">
        <f t="shared" si="47"/>
        <v>0</v>
      </c>
      <c r="Z76" s="18">
        <f t="shared" si="47"/>
        <v>0</v>
      </c>
      <c r="AA76" s="18">
        <f t="shared" si="47"/>
        <v>0</v>
      </c>
      <c r="AB76" s="18">
        <f t="shared" si="47"/>
        <v>0</v>
      </c>
      <c r="AC76" s="18">
        <f t="shared" si="47"/>
        <v>0</v>
      </c>
      <c r="AD76" s="18">
        <f t="shared" si="47"/>
        <v>0</v>
      </c>
      <c r="AE76" s="18">
        <f t="shared" si="47"/>
        <v>0</v>
      </c>
      <c r="AF76" s="18">
        <f t="shared" si="47"/>
        <v>0</v>
      </c>
      <c r="AG76" s="18">
        <f t="shared" si="47"/>
        <v>0</v>
      </c>
      <c r="AH76" s="18">
        <f t="shared" si="47"/>
        <v>0</v>
      </c>
      <c r="AI76" s="18">
        <f t="shared" si="47"/>
        <v>0</v>
      </c>
      <c r="AJ76" s="18">
        <f t="shared" si="47"/>
        <v>0</v>
      </c>
      <c r="AK76" s="18">
        <f t="shared" si="47"/>
        <v>0</v>
      </c>
      <c r="AL76" s="2"/>
      <c r="AM76" s="43">
        <v>60</v>
      </c>
      <c r="AN76">
        <v>232.95182658906114</v>
      </c>
      <c r="AO76">
        <v>21.083997094267517</v>
      </c>
      <c r="AP76">
        <v>29.465392079342362</v>
      </c>
      <c r="AQ76">
        <v>152.31941847172766</v>
      </c>
      <c r="AR76">
        <v>22.157648257541432</v>
      </c>
      <c r="AS76">
        <v>343.53043189035338</v>
      </c>
      <c r="AT76">
        <v>13.585338654839262</v>
      </c>
      <c r="AU76">
        <v>-2.1352151962936219</v>
      </c>
      <c r="AV76"/>
      <c r="AW76"/>
      <c r="FY76" s="213">
        <v>71</v>
      </c>
      <c r="FZ76">
        <v>48.397522500493558</v>
      </c>
      <c r="GA76">
        <v>58.167671187623661</v>
      </c>
      <c r="GB76">
        <v>29.479288341886768</v>
      </c>
      <c r="GC76">
        <v>9.2125637008150516</v>
      </c>
      <c r="GD76">
        <v>4.1153204904017269</v>
      </c>
      <c r="GE76">
        <v>5.0469912058622208</v>
      </c>
      <c r="GF76">
        <v>1.9069524854626778</v>
      </c>
      <c r="GG76">
        <v>1.0069326538826235</v>
      </c>
      <c r="GH76">
        <v>4.0010729453018534</v>
      </c>
      <c r="GI76">
        <v>17.684531785678178</v>
      </c>
      <c r="GJ76"/>
      <c r="GK76"/>
      <c r="GL76"/>
      <c r="GM76"/>
      <c r="GN76" s="208"/>
      <c r="GO76" s="208"/>
      <c r="GP76" s="208"/>
      <c r="GQ76" s="208"/>
      <c r="GR76" s="208"/>
      <c r="GS76" s="208"/>
      <c r="GT76" s="208"/>
      <c r="GU76" s="213">
        <v>71</v>
      </c>
    </row>
    <row r="77" spans="1:203" s="7" customFormat="1">
      <c r="A77" s="4"/>
      <c r="B77" s="66"/>
      <c r="C77" s="71">
        <f t="shared" si="39"/>
        <v>39910</v>
      </c>
      <c r="D77" s="72">
        <f>SUM(G77:AK77)</f>
        <v>83.333333333333343</v>
      </c>
      <c r="E77" s="64"/>
      <c r="F77" s="64"/>
      <c r="G77" s="18">
        <f>AVERAGE(E298:E307)</f>
        <v>0</v>
      </c>
      <c r="H77" s="18">
        <f t="shared" ref="H77:AK77" si="48">AVERAGE(F298:F307)</f>
        <v>0</v>
      </c>
      <c r="I77" s="18">
        <f t="shared" si="48"/>
        <v>20.833333333333336</v>
      </c>
      <c r="J77" s="18">
        <f t="shared" si="48"/>
        <v>20.833333333333336</v>
      </c>
      <c r="K77" s="18">
        <f t="shared" si="48"/>
        <v>41.666666666666671</v>
      </c>
      <c r="L77" s="18">
        <f t="shared" si="48"/>
        <v>0</v>
      </c>
      <c r="M77" s="18">
        <f t="shared" si="48"/>
        <v>0</v>
      </c>
      <c r="N77" s="18">
        <f t="shared" si="48"/>
        <v>0</v>
      </c>
      <c r="O77" s="18">
        <f t="shared" si="48"/>
        <v>0</v>
      </c>
      <c r="P77" s="18">
        <f t="shared" si="48"/>
        <v>0</v>
      </c>
      <c r="Q77" s="18">
        <f t="shared" si="48"/>
        <v>0</v>
      </c>
      <c r="R77" s="18">
        <f t="shared" si="48"/>
        <v>0</v>
      </c>
      <c r="S77" s="18">
        <f t="shared" si="48"/>
        <v>0</v>
      </c>
      <c r="T77" s="18">
        <f t="shared" si="48"/>
        <v>0</v>
      </c>
      <c r="U77" s="18">
        <f t="shared" si="48"/>
        <v>0</v>
      </c>
      <c r="V77" s="18">
        <f t="shared" si="48"/>
        <v>0</v>
      </c>
      <c r="W77" s="18">
        <f t="shared" si="48"/>
        <v>0</v>
      </c>
      <c r="X77" s="18">
        <f t="shared" si="48"/>
        <v>0</v>
      </c>
      <c r="Y77" s="18">
        <f t="shared" si="48"/>
        <v>0</v>
      </c>
      <c r="Z77" s="18">
        <f t="shared" si="48"/>
        <v>0</v>
      </c>
      <c r="AA77" s="18">
        <f t="shared" si="48"/>
        <v>0</v>
      </c>
      <c r="AB77" s="18">
        <f t="shared" si="48"/>
        <v>0</v>
      </c>
      <c r="AC77" s="18">
        <f t="shared" si="48"/>
        <v>0</v>
      </c>
      <c r="AD77" s="18">
        <f t="shared" si="48"/>
        <v>0</v>
      </c>
      <c r="AE77" s="18">
        <f t="shared" si="48"/>
        <v>0</v>
      </c>
      <c r="AF77" s="18">
        <f t="shared" si="48"/>
        <v>0</v>
      </c>
      <c r="AG77" s="18">
        <f t="shared" si="48"/>
        <v>0</v>
      </c>
      <c r="AH77" s="18">
        <f t="shared" si="48"/>
        <v>0</v>
      </c>
      <c r="AI77" s="18">
        <f t="shared" si="48"/>
        <v>0</v>
      </c>
      <c r="AJ77" s="18">
        <f t="shared" si="48"/>
        <v>0</v>
      </c>
      <c r="AK77" s="18">
        <f t="shared" si="48"/>
        <v>0</v>
      </c>
      <c r="AL77" s="2"/>
      <c r="AM77" s="43">
        <v>61</v>
      </c>
      <c r="AN77">
        <v>283.09839034750536</v>
      </c>
      <c r="AO77">
        <v>28.002527493365459</v>
      </c>
      <c r="AP77">
        <v>20.750552654300293</v>
      </c>
      <c r="AQ77">
        <v>203.23668932597073</v>
      </c>
      <c r="AR77">
        <v>28.632639120460279</v>
      </c>
      <c r="AS77">
        <v>388.98068964760654</v>
      </c>
      <c r="AT77">
        <v>17.276953841198385</v>
      </c>
      <c r="AU77">
        <v>-15.694231404831733</v>
      </c>
      <c r="AV77"/>
      <c r="AW77"/>
      <c r="FY77" s="213">
        <v>72</v>
      </c>
      <c r="FZ77">
        <v>59.476108488176756</v>
      </c>
      <c r="GA77">
        <v>68.928910084328749</v>
      </c>
      <c r="GB77">
        <v>40.73114538392187</v>
      </c>
      <c r="GC77">
        <v>12.598647569248786</v>
      </c>
      <c r="GD77">
        <v>2.0191823332135104</v>
      </c>
      <c r="GE77">
        <v>2.3026744373260892</v>
      </c>
      <c r="GF77">
        <v>7.9690362011155749</v>
      </c>
      <c r="GG77">
        <v>6.8882860329487805</v>
      </c>
      <c r="GH77">
        <v>3.5214055172783683</v>
      </c>
      <c r="GI77">
        <v>21.931036616728473</v>
      </c>
      <c r="GJ77"/>
      <c r="GK77"/>
      <c r="GL77"/>
      <c r="GM77"/>
      <c r="GN77" s="208"/>
      <c r="GO77" s="208"/>
      <c r="GP77" s="208"/>
      <c r="GQ77" s="208"/>
      <c r="GR77" s="208"/>
      <c r="GS77" s="208"/>
      <c r="GT77" s="208"/>
      <c r="GU77" s="213">
        <v>72</v>
      </c>
    </row>
    <row r="78" spans="1:203" s="7" customFormat="1">
      <c r="A78" s="4"/>
      <c r="B78" s="66"/>
      <c r="C78" s="71">
        <f t="shared" si="39"/>
        <v>39949</v>
      </c>
      <c r="D78" s="72">
        <f>SUM(G78:AK78)</f>
        <v>186.61875431711627</v>
      </c>
      <c r="E78" s="64"/>
      <c r="F78" s="64"/>
      <c r="G78" s="18">
        <f>AVERAGE(E308:E317)</f>
        <v>0</v>
      </c>
      <c r="H78" s="18">
        <f t="shared" ref="H78:AK78" si="49">AVERAGE(F308:F317)</f>
        <v>25.336123795027902</v>
      </c>
      <c r="I78" s="18">
        <f t="shared" si="49"/>
        <v>119.58807452030344</v>
      </c>
      <c r="J78" s="18">
        <f t="shared" si="49"/>
        <v>37.527889335118253</v>
      </c>
      <c r="K78" s="18">
        <f t="shared" si="49"/>
        <v>4.1666666666666661</v>
      </c>
      <c r="L78" s="18">
        <f t="shared" si="49"/>
        <v>0</v>
      </c>
      <c r="M78" s="18">
        <f t="shared" si="49"/>
        <v>0</v>
      </c>
      <c r="N78" s="18">
        <f t="shared" si="49"/>
        <v>0</v>
      </c>
      <c r="O78" s="18">
        <f t="shared" si="49"/>
        <v>0</v>
      </c>
      <c r="P78" s="18">
        <f t="shared" si="49"/>
        <v>0</v>
      </c>
      <c r="Q78" s="18">
        <f t="shared" si="49"/>
        <v>0</v>
      </c>
      <c r="R78" s="18">
        <f t="shared" si="49"/>
        <v>0</v>
      </c>
      <c r="S78" s="18">
        <f t="shared" si="49"/>
        <v>0</v>
      </c>
      <c r="T78" s="18">
        <f t="shared" si="49"/>
        <v>0</v>
      </c>
      <c r="U78" s="18">
        <f t="shared" si="49"/>
        <v>0</v>
      </c>
      <c r="V78" s="18">
        <f t="shared" si="49"/>
        <v>0</v>
      </c>
      <c r="W78" s="18">
        <f t="shared" si="49"/>
        <v>0</v>
      </c>
      <c r="X78" s="18">
        <f t="shared" si="49"/>
        <v>0</v>
      </c>
      <c r="Y78" s="18">
        <f t="shared" si="49"/>
        <v>0</v>
      </c>
      <c r="Z78" s="18">
        <f t="shared" si="49"/>
        <v>0</v>
      </c>
      <c r="AA78" s="18">
        <f t="shared" si="49"/>
        <v>0</v>
      </c>
      <c r="AB78" s="18">
        <f t="shared" si="49"/>
        <v>0</v>
      </c>
      <c r="AC78" s="18">
        <f t="shared" si="49"/>
        <v>0</v>
      </c>
      <c r="AD78" s="18">
        <f t="shared" si="49"/>
        <v>0</v>
      </c>
      <c r="AE78" s="18">
        <f t="shared" si="49"/>
        <v>0</v>
      </c>
      <c r="AF78" s="18">
        <f t="shared" si="49"/>
        <v>0</v>
      </c>
      <c r="AG78" s="18">
        <f t="shared" si="49"/>
        <v>0</v>
      </c>
      <c r="AH78" s="18">
        <f t="shared" si="49"/>
        <v>0</v>
      </c>
      <c r="AI78" s="18">
        <f t="shared" si="49"/>
        <v>0</v>
      </c>
      <c r="AJ78" s="18">
        <f t="shared" si="49"/>
        <v>0</v>
      </c>
      <c r="AK78" s="18">
        <f t="shared" si="49"/>
        <v>0</v>
      </c>
      <c r="AL78" s="2"/>
      <c r="AM78" s="43">
        <v>62</v>
      </c>
      <c r="AN78">
        <v>263.71449817506789</v>
      </c>
      <c r="AO78">
        <v>24.065399834856134</v>
      </c>
      <c r="AP78">
        <v>22.194256259264819</v>
      </c>
      <c r="AQ78">
        <v>169.46408398870389</v>
      </c>
      <c r="AR78">
        <v>25.099792646553503</v>
      </c>
      <c r="AS78">
        <v>373.1756200373444</v>
      </c>
      <c r="AT78">
        <v>15.635489669460242</v>
      </c>
      <c r="AU78">
        <v>9.0836385295799715</v>
      </c>
      <c r="AV78"/>
      <c r="AW78"/>
      <c r="FY78" s="213">
        <v>73</v>
      </c>
      <c r="FZ78">
        <v>46.172623946405437</v>
      </c>
      <c r="GA78">
        <v>37.776583313800394</v>
      </c>
      <c r="GB78">
        <v>31.612318719751503</v>
      </c>
      <c r="GC78">
        <v>16.789700942822776</v>
      </c>
      <c r="GD78">
        <v>3.1178015165789068</v>
      </c>
      <c r="GE78">
        <v>6.960404124673099</v>
      </c>
      <c r="GF78">
        <v>3.5429411953684014</v>
      </c>
      <c r="GG78">
        <v>7.5122510492375144E-2</v>
      </c>
      <c r="GH78">
        <v>3.0703398968622757</v>
      </c>
      <c r="GI78">
        <v>17.465606090120033</v>
      </c>
      <c r="GJ78"/>
      <c r="GK78"/>
      <c r="GL78"/>
      <c r="GM78"/>
      <c r="GN78" s="208"/>
      <c r="GO78" s="208"/>
      <c r="GP78" s="208"/>
      <c r="GQ78" s="208"/>
      <c r="GR78" s="208"/>
      <c r="GS78" s="208"/>
      <c r="GT78" s="208"/>
      <c r="GU78" s="213">
        <v>73</v>
      </c>
    </row>
    <row r="79" spans="1:203" s="7" customFormat="1">
      <c r="A79" s="4"/>
      <c r="B79" s="66"/>
      <c r="C79" s="71">
        <f t="shared" si="39"/>
        <v>39987</v>
      </c>
      <c r="D79" s="72">
        <f>SUM(G79:AK79)</f>
        <v>15.344551282051281</v>
      </c>
      <c r="E79" s="64"/>
      <c r="F79" s="64"/>
      <c r="G79" s="18">
        <f>AVERAGE(E318:E327)</f>
        <v>0</v>
      </c>
      <c r="H79" s="18">
        <f t="shared" ref="H79:AK79" si="50">AVERAGE(F318:F327)</f>
        <v>0</v>
      </c>
      <c r="I79" s="18">
        <f t="shared" si="50"/>
        <v>7.0112179487179489</v>
      </c>
      <c r="J79" s="18">
        <f t="shared" si="50"/>
        <v>0</v>
      </c>
      <c r="K79" s="18">
        <f t="shared" si="50"/>
        <v>4.1666666666666661</v>
      </c>
      <c r="L79" s="18">
        <f t="shared" si="50"/>
        <v>2.083333333333333</v>
      </c>
      <c r="M79" s="18">
        <f t="shared" si="50"/>
        <v>0</v>
      </c>
      <c r="N79" s="18">
        <f t="shared" si="50"/>
        <v>2.083333333333333</v>
      </c>
      <c r="O79" s="18">
        <f t="shared" si="50"/>
        <v>0</v>
      </c>
      <c r="P79" s="18">
        <f t="shared" si="50"/>
        <v>0</v>
      </c>
      <c r="Q79" s="18">
        <f t="shared" si="50"/>
        <v>0</v>
      </c>
      <c r="R79" s="18">
        <f t="shared" si="50"/>
        <v>0</v>
      </c>
      <c r="S79" s="18">
        <f t="shared" si="50"/>
        <v>0</v>
      </c>
      <c r="T79" s="18">
        <f t="shared" si="50"/>
        <v>0</v>
      </c>
      <c r="U79" s="18">
        <f t="shared" si="50"/>
        <v>0</v>
      </c>
      <c r="V79" s="18">
        <f t="shared" si="50"/>
        <v>0</v>
      </c>
      <c r="W79" s="18">
        <f t="shared" si="50"/>
        <v>0</v>
      </c>
      <c r="X79" s="18">
        <f t="shared" si="50"/>
        <v>0</v>
      </c>
      <c r="Y79" s="18">
        <f t="shared" si="50"/>
        <v>0</v>
      </c>
      <c r="Z79" s="18">
        <f t="shared" si="50"/>
        <v>0</v>
      </c>
      <c r="AA79" s="18">
        <f t="shared" si="50"/>
        <v>0</v>
      </c>
      <c r="AB79" s="18">
        <f t="shared" si="50"/>
        <v>0</v>
      </c>
      <c r="AC79" s="18">
        <f t="shared" si="50"/>
        <v>0</v>
      </c>
      <c r="AD79" s="18">
        <f t="shared" si="50"/>
        <v>0</v>
      </c>
      <c r="AE79" s="18">
        <f t="shared" si="50"/>
        <v>0</v>
      </c>
      <c r="AF79" s="18">
        <f t="shared" si="50"/>
        <v>0</v>
      </c>
      <c r="AG79" s="18">
        <f t="shared" si="50"/>
        <v>0</v>
      </c>
      <c r="AH79" s="18">
        <f t="shared" si="50"/>
        <v>0</v>
      </c>
      <c r="AI79" s="18">
        <f t="shared" si="50"/>
        <v>0</v>
      </c>
      <c r="AJ79" s="18">
        <f t="shared" si="50"/>
        <v>0</v>
      </c>
      <c r="AK79" s="18">
        <f t="shared" si="50"/>
        <v>0</v>
      </c>
      <c r="AL79" s="2"/>
      <c r="AM79" s="43">
        <v>63</v>
      </c>
      <c r="AN79">
        <v>240.80696786116354</v>
      </c>
      <c r="AO79">
        <v>21.050267732112388</v>
      </c>
      <c r="AP79">
        <v>25.928618752784608</v>
      </c>
      <c r="AQ79">
        <v>148.20942594170538</v>
      </c>
      <c r="AR79">
        <v>22.273097176367092</v>
      </c>
      <c r="AS79">
        <v>342.77849889302576</v>
      </c>
      <c r="AT79">
        <v>13.483027741849334</v>
      </c>
      <c r="AU79">
        <v>0.69347100139250983</v>
      </c>
      <c r="AV79"/>
      <c r="AW79"/>
      <c r="FY79" s="213">
        <v>74</v>
      </c>
      <c r="FZ79">
        <v>52.515902867050222</v>
      </c>
      <c r="GA79">
        <v>54.716191789957158</v>
      </c>
      <c r="GB79">
        <v>38.302624207732912</v>
      </c>
      <c r="GC79">
        <v>13.60695597453174</v>
      </c>
      <c r="GD79">
        <v>2.5337544803038701</v>
      </c>
      <c r="GE79">
        <v>4.1798291006922481</v>
      </c>
      <c r="GF79">
        <v>7.1550058885759675</v>
      </c>
      <c r="GG79">
        <v>8.9070605025417731</v>
      </c>
      <c r="GH79">
        <v>12.16105190848377</v>
      </c>
      <c r="GI79">
        <v>21.803807722473081</v>
      </c>
      <c r="GJ79"/>
      <c r="GK79"/>
      <c r="GL79"/>
      <c r="GM79"/>
      <c r="GN79" s="208"/>
      <c r="GO79" s="208"/>
      <c r="GP79" s="208"/>
      <c r="GQ79" s="208"/>
      <c r="GR79" s="208"/>
      <c r="GS79" s="208"/>
      <c r="GT79" s="208"/>
      <c r="GU79" s="213">
        <v>74</v>
      </c>
    </row>
    <row r="80" spans="1:203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295.09605510998352</v>
      </c>
      <c r="AO80">
        <v>30.406734295959204</v>
      </c>
      <c r="AP80">
        <v>44.29084572596215</v>
      </c>
      <c r="AQ80">
        <v>225.85327573800143</v>
      </c>
      <c r="AR80">
        <v>31.569229389675332</v>
      </c>
      <c r="AS80">
        <v>440.32211023786942</v>
      </c>
      <c r="AT80">
        <v>19.677574960513986</v>
      </c>
      <c r="AU80">
        <v>15.869754335731123</v>
      </c>
      <c r="AV80"/>
      <c r="AW80"/>
      <c r="FY80" s="213">
        <v>75</v>
      </c>
      <c r="FZ80">
        <v>42.283126642185721</v>
      </c>
      <c r="GA80">
        <v>40.705265979185398</v>
      </c>
      <c r="GB80">
        <v>33.183195981694716</v>
      </c>
      <c r="GC80">
        <v>12.824493005281539</v>
      </c>
      <c r="GD80">
        <v>2.2008049052016205</v>
      </c>
      <c r="GE80">
        <v>2.7783685289714048</v>
      </c>
      <c r="GF80">
        <v>7.4519574851989319</v>
      </c>
      <c r="GG80">
        <v>10.506766156985041</v>
      </c>
      <c r="GH80">
        <v>8.6163801930856572</v>
      </c>
      <c r="GI80">
        <v>18.350134377846061</v>
      </c>
      <c r="GJ80"/>
      <c r="GK80"/>
      <c r="GL80"/>
      <c r="GM80"/>
      <c r="GN80" s="208"/>
      <c r="GO80" s="208"/>
      <c r="GP80" s="208"/>
      <c r="GQ80" s="208"/>
      <c r="GR80" s="208"/>
      <c r="GS80" s="208"/>
      <c r="GT80" s="208"/>
      <c r="GU80" s="213">
        <v>75</v>
      </c>
    </row>
    <row r="81" spans="1:203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317.01049348168897</v>
      </c>
      <c r="AO81">
        <v>33.527334097011476</v>
      </c>
      <c r="AP81">
        <v>25.572113590609877</v>
      </c>
      <c r="AQ81">
        <v>253.26637665207446</v>
      </c>
      <c r="AR81">
        <v>33.803799809683348</v>
      </c>
      <c r="AS81">
        <v>430.3817949961836</v>
      </c>
      <c r="AT81">
        <v>21.223938374033629</v>
      </c>
      <c r="AU81">
        <v>-29.328163357511521</v>
      </c>
      <c r="AV81"/>
      <c r="AW81"/>
      <c r="FY81" s="213">
        <v>76</v>
      </c>
      <c r="FZ81">
        <v>51.055724701479122</v>
      </c>
      <c r="GA81">
        <v>45.327161458947224</v>
      </c>
      <c r="GB81">
        <v>31.607519580401444</v>
      </c>
      <c r="GC81">
        <v>13.285511365210137</v>
      </c>
      <c r="GD81">
        <v>3.5230107685503822</v>
      </c>
      <c r="GE81">
        <v>4.9529768716239069</v>
      </c>
      <c r="GF81">
        <v>4.7109600373939244</v>
      </c>
      <c r="GG81">
        <v>3.8405775276032461</v>
      </c>
      <c r="GH81">
        <v>5.446863753677909</v>
      </c>
      <c r="GI81">
        <v>19.020956557827443</v>
      </c>
      <c r="GJ81"/>
      <c r="GK81"/>
      <c r="GL81"/>
      <c r="GM81"/>
      <c r="GN81" s="208"/>
      <c r="GO81" s="208"/>
      <c r="GP81" s="208"/>
      <c r="GQ81" s="208"/>
      <c r="GR81" s="208"/>
      <c r="GS81" s="208"/>
      <c r="GT81" s="208"/>
      <c r="GU81" s="213">
        <v>76</v>
      </c>
    </row>
    <row r="82" spans="1:203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290.67008149225131</v>
      </c>
      <c r="AO82">
        <v>27.583375945023903</v>
      </c>
      <c r="AP82">
        <v>140.06147591414074</v>
      </c>
      <c r="AQ82">
        <v>200.83168538785375</v>
      </c>
      <c r="AR82">
        <v>28.379565727875153</v>
      </c>
      <c r="AS82">
        <v>413.52432238194638</v>
      </c>
      <c r="AT82" t="e">
        <v>#DIV/0!</v>
      </c>
      <c r="AU82" t="e">
        <v>#DIV/0!</v>
      </c>
      <c r="AV82"/>
      <c r="AW82"/>
      <c r="FY82" s="213">
        <v>77</v>
      </c>
      <c r="FZ82">
        <v>30.674460516429161</v>
      </c>
      <c r="GA82">
        <v>36.499747641789696</v>
      </c>
      <c r="GB82">
        <v>31.690869736654125</v>
      </c>
      <c r="GC82">
        <v>13.068372974415366</v>
      </c>
      <c r="GD82">
        <v>4.6360942112063119</v>
      </c>
      <c r="GE82">
        <v>8.680619808124856</v>
      </c>
      <c r="GF82">
        <v>8.9005487074091398</v>
      </c>
      <c r="GG82">
        <v>6.4828086761371386</v>
      </c>
      <c r="GH82">
        <v>3.1325818367655458</v>
      </c>
      <c r="GI82">
        <v>17.064506177225809</v>
      </c>
      <c r="GJ82"/>
      <c r="GK82"/>
      <c r="GL82"/>
      <c r="GM82"/>
      <c r="GN82" s="208"/>
      <c r="GO82" s="208"/>
      <c r="GP82" s="208"/>
      <c r="GQ82" s="208"/>
      <c r="GR82" s="208"/>
      <c r="GS82" s="208"/>
      <c r="GT82" s="208"/>
      <c r="GU82" s="213">
        <v>77</v>
      </c>
    </row>
    <row r="83" spans="1:203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275.80750511459178</v>
      </c>
      <c r="AO83">
        <v>22.090639949497877</v>
      </c>
      <c r="AP83">
        <v>19.484786718222608</v>
      </c>
      <c r="AQ83">
        <v>157.67108239016417</v>
      </c>
      <c r="AR83">
        <v>21.530205414457736</v>
      </c>
      <c r="AS83">
        <v>354.0305895651133</v>
      </c>
      <c r="AT83">
        <v>13.400562707055414</v>
      </c>
      <c r="AU83">
        <v>1.898475172164737</v>
      </c>
      <c r="AV83"/>
      <c r="AW83"/>
      <c r="FY83" s="213">
        <v>78</v>
      </c>
      <c r="FZ83">
        <v>50.479811954201288</v>
      </c>
      <c r="GA83">
        <v>39.789425951672143</v>
      </c>
      <c r="GB83">
        <v>19.843031371153018</v>
      </c>
      <c r="GC83">
        <v>8.421905549811429</v>
      </c>
      <c r="GD83">
        <v>2.4981872419758666</v>
      </c>
      <c r="GE83">
        <v>4.9645862171140109</v>
      </c>
      <c r="GF83">
        <v>2.7841276834301656</v>
      </c>
      <c r="GG83">
        <v>2.7014057006427108</v>
      </c>
      <c r="GH83">
        <v>8.4415820569674338</v>
      </c>
      <c r="GI83">
        <v>15.585274614742829</v>
      </c>
      <c r="GJ83"/>
      <c r="GK83"/>
      <c r="GL83"/>
      <c r="GM83"/>
      <c r="GN83" s="208"/>
      <c r="GO83" s="208"/>
      <c r="GP83" s="208"/>
      <c r="GQ83" s="208"/>
      <c r="GR83" s="208"/>
      <c r="GS83" s="208"/>
      <c r="GT83" s="208"/>
      <c r="GU83" s="213">
        <v>78</v>
      </c>
    </row>
    <row r="84" spans="1:203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258.83478528322905</v>
      </c>
      <c r="AO84">
        <v>28.206223173815808</v>
      </c>
      <c r="AP84">
        <v>27.096182103427548</v>
      </c>
      <c r="AQ84">
        <v>216.58290732828817</v>
      </c>
      <c r="AR84">
        <v>29.691273370360733</v>
      </c>
      <c r="AS84">
        <v>445.74483441668798</v>
      </c>
      <c r="AT84">
        <v>18.739913216003647</v>
      </c>
      <c r="AU84">
        <v>-3.3713604860125344</v>
      </c>
      <c r="AV84"/>
      <c r="AW84"/>
      <c r="AX84" s="157" t="s">
        <v>111</v>
      </c>
      <c r="CJ84" s="157" t="s">
        <v>112</v>
      </c>
      <c r="FY84" s="213">
        <v>79</v>
      </c>
      <c r="FZ84">
        <v>47.068285991583302</v>
      </c>
      <c r="GA84">
        <v>54.584689605923707</v>
      </c>
      <c r="GB84">
        <v>41.689825907591725</v>
      </c>
      <c r="GC84">
        <v>15.868839534054267</v>
      </c>
      <c r="GD84">
        <v>4.7885735797422591</v>
      </c>
      <c r="GE84">
        <v>8.2492030036562625</v>
      </c>
      <c r="GF84">
        <v>7.9408254887295584</v>
      </c>
      <c r="GG84">
        <v>8.2699842577820952</v>
      </c>
      <c r="GH84">
        <v>8.1057301319500041</v>
      </c>
      <c r="GI84">
        <v>22.630331001797689</v>
      </c>
      <c r="GJ84"/>
      <c r="GK84"/>
      <c r="GL84"/>
      <c r="GM84"/>
      <c r="GN84" s="208"/>
      <c r="GO84" s="208"/>
      <c r="GP84" s="208"/>
      <c r="GQ84" s="208"/>
      <c r="GR84" s="208"/>
      <c r="GS84" s="208"/>
      <c r="GT84" s="208"/>
      <c r="GU84" s="213">
        <v>79</v>
      </c>
    </row>
    <row r="85" spans="1:203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343.11176397617811</v>
      </c>
      <c r="AO85">
        <v>29.622473156406862</v>
      </c>
      <c r="AP85">
        <v>44.377848877772003</v>
      </c>
      <c r="AQ85">
        <v>221.99603301486093</v>
      </c>
      <c r="AR85">
        <v>30.642449681009417</v>
      </c>
      <c r="AS85">
        <v>464.63235058132972</v>
      </c>
      <c r="AT85">
        <v>18.461225581103822</v>
      </c>
      <c r="AU85">
        <v>-43.819800759923261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3">
        <v>80</v>
      </c>
      <c r="FZ85">
        <v>46.825473965976563</v>
      </c>
      <c r="GA85">
        <v>48.676092548071047</v>
      </c>
      <c r="GB85">
        <v>40.75978672210325</v>
      </c>
      <c r="GC85">
        <v>15.530019924131299</v>
      </c>
      <c r="GD85">
        <v>3.0222344574714723</v>
      </c>
      <c r="GE85">
        <v>5.6770994993584143</v>
      </c>
      <c r="GF85">
        <v>6.4397398405959727</v>
      </c>
      <c r="GG85">
        <v>5.9022960685267467</v>
      </c>
      <c r="GH85">
        <v>9.5021519677818809</v>
      </c>
      <c r="GI85">
        <v>21.318393866792341</v>
      </c>
      <c r="GJ85"/>
      <c r="GK85"/>
      <c r="GL85"/>
      <c r="GM85"/>
      <c r="GN85" s="208"/>
      <c r="GO85" s="208"/>
      <c r="GP85" s="208"/>
      <c r="GQ85" s="208"/>
      <c r="GR85" s="208"/>
      <c r="GS85" s="208"/>
      <c r="GT85" s="208"/>
      <c r="GU85" s="213">
        <v>80</v>
      </c>
    </row>
    <row r="86" spans="1:203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280.46108669042979</v>
      </c>
      <c r="AO86">
        <v>30.690290292557858</v>
      </c>
      <c r="AP86">
        <v>22.062118305597565</v>
      </c>
      <c r="AQ86">
        <v>230.1502208884344</v>
      </c>
      <c r="AR86">
        <v>31.881119706058641</v>
      </c>
      <c r="AS86">
        <v>429.02171438764623</v>
      </c>
      <c r="AT86">
        <v>19.129530981543059</v>
      </c>
      <c r="AU86">
        <v>-11.89138509459783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6" t="s">
        <v>123</v>
      </c>
      <c r="CX86" s="226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3">
        <v>81</v>
      </c>
      <c r="FZ86">
        <v>48.803262490323625</v>
      </c>
      <c r="GA86">
        <v>22.861004096916645</v>
      </c>
      <c r="GB86">
        <v>23.769597057318972</v>
      </c>
      <c r="GC86">
        <v>13.160349848004278</v>
      </c>
      <c r="GD86">
        <v>4.5159780002901373</v>
      </c>
      <c r="GE86">
        <v>6.2954106535290393</v>
      </c>
      <c r="GF86">
        <v>5.4105093248843854</v>
      </c>
      <c r="GG86">
        <v>3.8237355318028325</v>
      </c>
      <c r="GH86">
        <v>4.2612596957832629</v>
      </c>
      <c r="GI86">
        <v>17.251737013411162</v>
      </c>
      <c r="GJ86"/>
      <c r="GK86"/>
      <c r="GL86"/>
      <c r="GM86"/>
      <c r="GN86" s="208"/>
      <c r="GO86" s="208"/>
      <c r="GP86" s="208"/>
      <c r="GQ86" s="208"/>
      <c r="GR86" s="208"/>
      <c r="GS86" s="208"/>
      <c r="GT86" s="208"/>
      <c r="GU86" s="213">
        <v>81</v>
      </c>
    </row>
    <row r="87" spans="1:203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270.18091989381577</v>
      </c>
      <c r="AO87">
        <v>23.507382543641203</v>
      </c>
      <c r="AP87">
        <v>25.908869862431768</v>
      </c>
      <c r="AQ87">
        <v>179.01884729740831</v>
      </c>
      <c r="AR87">
        <v>24.352828439579223</v>
      </c>
      <c r="AS87">
        <v>398.81511183626344</v>
      </c>
      <c r="AT87">
        <v>14.844128233079422</v>
      </c>
      <c r="AU87">
        <v>-6.4126708892748638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3">
        <v>82</v>
      </c>
      <c r="FZ87">
        <v>54.360667774138939</v>
      </c>
      <c r="GA87">
        <v>41.641909291741726</v>
      </c>
      <c r="GB87">
        <v>23.955237650354736</v>
      </c>
      <c r="GC87">
        <v>11.393525418302438</v>
      </c>
      <c r="GD87">
        <v>2.1472980590847697</v>
      </c>
      <c r="GE87">
        <v>2.0962982925449216</v>
      </c>
      <c r="GF87">
        <v>3.3571047530334255</v>
      </c>
      <c r="GG87">
        <v>3.3470486063276237</v>
      </c>
      <c r="GH87">
        <v>5.9088591237912391</v>
      </c>
      <c r="GI87">
        <v>16.656639575229178</v>
      </c>
      <c r="GJ87"/>
      <c r="GK87"/>
      <c r="GL87"/>
      <c r="GM87"/>
      <c r="GN87" s="208"/>
      <c r="GO87" s="208"/>
      <c r="GP87" s="208"/>
      <c r="GQ87" s="208"/>
      <c r="GR87" s="208"/>
      <c r="GS87" s="208"/>
      <c r="GT87" s="208"/>
      <c r="GU87" s="213">
        <v>82</v>
      </c>
    </row>
    <row r="88" spans="1:203" s="7" customFormat="1">
      <c r="A88" s="128"/>
      <c r="B88" s="76">
        <f ca="1">IF(C88="", "", RAND())</f>
        <v>4.5802348296075657E-3</v>
      </c>
      <c r="C88">
        <v>6</v>
      </c>
      <c r="D88">
        <v>39646</v>
      </c>
      <c r="E88">
        <v>0</v>
      </c>
      <c r="F88">
        <v>0</v>
      </c>
      <c r="G88">
        <v>41.666666666666664</v>
      </c>
      <c r="H88">
        <v>31.25</v>
      </c>
      <c r="I88">
        <v>125</v>
      </c>
      <c r="J88">
        <v>20.833333333333332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264.86590501923081</v>
      </c>
      <c r="AO88">
        <v>29.202804076882796</v>
      </c>
      <c r="AP88">
        <v>19.636217202018898</v>
      </c>
      <c r="AQ88">
        <v>226.36643266428695</v>
      </c>
      <c r="AR88">
        <v>30.134026550924965</v>
      </c>
      <c r="AS88">
        <v>413.53946979861979</v>
      </c>
      <c r="AT88">
        <v>17.811682664589288</v>
      </c>
      <c r="AU88">
        <v>-23.332069695624533</v>
      </c>
      <c r="AV88"/>
      <c r="AW88"/>
      <c r="AX88" s="128"/>
      <c r="AY88" s="76">
        <f ca="1">IF(AZ88="", "", RAND())</f>
        <v>0.4888940613483137</v>
      </c>
      <c r="AZ88">
        <v>1</v>
      </c>
      <c r="BA88" s="129">
        <f>IF(AZ88="", "",$C$4)</f>
        <v>39646</v>
      </c>
      <c r="BB88" s="207">
        <v>0</v>
      </c>
      <c r="BC88" s="207">
        <v>0</v>
      </c>
      <c r="BD88" s="207">
        <v>0</v>
      </c>
      <c r="BE88" s="207">
        <v>3</v>
      </c>
      <c r="BF88" s="207">
        <v>9</v>
      </c>
      <c r="BG88" s="207">
        <v>6</v>
      </c>
      <c r="BH88" s="207">
        <v>2</v>
      </c>
      <c r="BI88" s="207">
        <v>0</v>
      </c>
      <c r="BJ88" s="207">
        <v>0</v>
      </c>
      <c r="BK88" s="207">
        <v>0</v>
      </c>
      <c r="BL88" s="207">
        <v>0</v>
      </c>
      <c r="BM88" s="207">
        <v>0</v>
      </c>
      <c r="BN88" s="207">
        <v>0</v>
      </c>
      <c r="BO88" s="207">
        <v>0</v>
      </c>
      <c r="BP88" s="207">
        <v>0</v>
      </c>
      <c r="BQ88" s="207">
        <v>0</v>
      </c>
      <c r="BR88" s="207">
        <v>0</v>
      </c>
      <c r="BS88" s="207">
        <v>0</v>
      </c>
      <c r="BT88" s="207">
        <v>0</v>
      </c>
      <c r="BU88" s="207">
        <v>0</v>
      </c>
      <c r="BV88" s="207">
        <v>0</v>
      </c>
      <c r="BW88" s="207">
        <v>0</v>
      </c>
      <c r="BX88" s="207">
        <v>0</v>
      </c>
      <c r="BY88" s="207">
        <v>0</v>
      </c>
      <c r="BZ88" s="207">
        <v>0</v>
      </c>
      <c r="CA88" s="207">
        <v>0</v>
      </c>
      <c r="CB88" s="207">
        <v>0</v>
      </c>
      <c r="CC88" s="207">
        <v>0</v>
      </c>
      <c r="CD88" s="207">
        <v>0</v>
      </c>
      <c r="CE88" s="207">
        <v>0</v>
      </c>
      <c r="CF88" s="207">
        <v>0</v>
      </c>
      <c r="CG88" s="147"/>
      <c r="CH88" s="176"/>
      <c r="CJ88" s="128"/>
      <c r="CK88" s="76">
        <f ca="1">IF(AZ88="", "", RAND())</f>
        <v>0.5389893423343981</v>
      </c>
      <c r="CL88" s="179">
        <f>IF(AZ88="", "", AZ88)</f>
        <v>1</v>
      </c>
      <c r="CM88" s="180">
        <f>IF(AZ88="", "", BA88)</f>
        <v>39646</v>
      </c>
      <c r="CN88" s="208">
        <v>0</v>
      </c>
      <c r="CO88" s="208">
        <v>0</v>
      </c>
      <c r="CP88" s="208">
        <v>1</v>
      </c>
      <c r="CQ88" s="208">
        <v>0</v>
      </c>
      <c r="CR88" s="208">
        <v>0</v>
      </c>
      <c r="CS88" s="208">
        <v>0</v>
      </c>
      <c r="CT88" s="208">
        <v>0</v>
      </c>
      <c r="CU88" s="20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51">IF(DD88="", "", RAND())</f>
        <v>0.10402239163494276</v>
      </c>
      <c r="DD88">
        <f>IF(AZ88="", "", AZ88)</f>
        <v>1</v>
      </c>
      <c r="DE88" s="129">
        <f t="shared" ref="DE88:DE97" si="52">IF(DD88="", "", $C$4)</f>
        <v>39646</v>
      </c>
      <c r="DF88" s="161">
        <f t="shared" ref="DF88:DM88" si="53">IF($AZ88="", "", ((BB88*$CW88)+(CN88*$CX88))/$CZ88)</f>
        <v>0</v>
      </c>
      <c r="DG88" s="161">
        <f t="shared" si="53"/>
        <v>0</v>
      </c>
      <c r="DH88" s="161">
        <f t="shared" si="53"/>
        <v>20.833333333333332</v>
      </c>
      <c r="DI88" s="161">
        <f t="shared" si="53"/>
        <v>31.25</v>
      </c>
      <c r="DJ88" s="161">
        <f t="shared" si="53"/>
        <v>93.75</v>
      </c>
      <c r="DK88" s="161">
        <f t="shared" si="53"/>
        <v>62.5</v>
      </c>
      <c r="DL88" s="161">
        <f t="shared" si="53"/>
        <v>20.833333333333332</v>
      </c>
      <c r="DM88" s="161">
        <f t="shared" si="53"/>
        <v>0</v>
      </c>
      <c r="DN88" s="161">
        <f t="shared" ref="DN88:EJ88" si="54">IF($AZ88="", "", (BJ88*$CW88)/$CZ88)</f>
        <v>0</v>
      </c>
      <c r="DO88" s="161">
        <f t="shared" si="54"/>
        <v>0</v>
      </c>
      <c r="DP88" s="161">
        <f t="shared" si="54"/>
        <v>0</v>
      </c>
      <c r="DQ88" s="161">
        <f t="shared" si="54"/>
        <v>0</v>
      </c>
      <c r="DR88" s="161">
        <f t="shared" si="54"/>
        <v>0</v>
      </c>
      <c r="DS88" s="161">
        <f t="shared" si="54"/>
        <v>0</v>
      </c>
      <c r="DT88" s="161">
        <f t="shared" si="54"/>
        <v>0</v>
      </c>
      <c r="DU88" s="161">
        <f t="shared" si="54"/>
        <v>0</v>
      </c>
      <c r="DV88" s="161">
        <f t="shared" si="54"/>
        <v>0</v>
      </c>
      <c r="DW88" s="161">
        <f t="shared" si="54"/>
        <v>0</v>
      </c>
      <c r="DX88" s="161">
        <f t="shared" si="54"/>
        <v>0</v>
      </c>
      <c r="DY88" s="161">
        <f t="shared" si="54"/>
        <v>0</v>
      </c>
      <c r="DZ88" s="161">
        <f t="shared" si="54"/>
        <v>0</v>
      </c>
      <c r="EA88" s="161">
        <f t="shared" si="54"/>
        <v>0</v>
      </c>
      <c r="EB88" s="161">
        <f t="shared" si="54"/>
        <v>0</v>
      </c>
      <c r="EC88" s="161">
        <f t="shared" si="54"/>
        <v>0</v>
      </c>
      <c r="ED88" s="161">
        <f t="shared" si="54"/>
        <v>0</v>
      </c>
      <c r="EE88" s="161">
        <f t="shared" si="54"/>
        <v>0</v>
      </c>
      <c r="EF88" s="161">
        <f t="shared" si="54"/>
        <v>0</v>
      </c>
      <c r="EG88" s="161">
        <f t="shared" si="54"/>
        <v>0</v>
      </c>
      <c r="EH88" s="161">
        <f t="shared" si="54"/>
        <v>0</v>
      </c>
      <c r="EI88" s="161">
        <f t="shared" si="54"/>
        <v>0</v>
      </c>
      <c r="EJ88" s="161">
        <f t="shared" si="54"/>
        <v>0</v>
      </c>
      <c r="EK88" s="147">
        <f t="shared" ref="EK88:EK119" si="55">IF(DF88="", "", SUM(DF88:EJ88))</f>
        <v>229.16666666666666</v>
      </c>
      <c r="EL88" s="149"/>
      <c r="EN88" s="146"/>
      <c r="EO88" s="146"/>
      <c r="EP88" s="139">
        <f t="shared" ref="EP88:EP119" si="56">IF(DF88="", "", DF88*G$36)</f>
        <v>0</v>
      </c>
      <c r="EQ88" s="139">
        <f t="shared" ref="EQ88:EQ119" si="57">IF(DG88="", "", DG88*H$36)</f>
        <v>0</v>
      </c>
      <c r="ER88" s="139">
        <f t="shared" ref="ER88:ER119" si="58">IF(DH88="", "", DH88*I$36)</f>
        <v>0.9723544143484395</v>
      </c>
      <c r="ES88" s="139">
        <f t="shared" ref="ES88:ES119" si="59">IF(DI88="", "", DI88*J$36)</f>
        <v>4.3428759800618391</v>
      </c>
      <c r="ET88" s="139">
        <f t="shared" ref="ET88:ET119" si="60">IF(DJ88="", "", DJ88*K$36)</f>
        <v>28.255879010214414</v>
      </c>
      <c r="EU88" s="139">
        <f t="shared" ref="EU88:EU119" si="61">IF(DK88="", "", DK88*L$36)</f>
        <v>34.3401674253045</v>
      </c>
      <c r="EV88" s="139">
        <f t="shared" ref="EV88:EV119" si="62">IF(DL88="", "", DL88*M$36)</f>
        <v>18.696395506916534</v>
      </c>
      <c r="EW88" s="139">
        <f t="shared" ref="EW88:EW119" si="63">IF(DM88="", "", DM88*N$36)</f>
        <v>0</v>
      </c>
      <c r="EX88" s="139">
        <f t="shared" ref="EX88:EX119" si="64">IF(DN88="", "", DN88*O$36)</f>
        <v>0</v>
      </c>
      <c r="EY88" s="139">
        <f t="shared" ref="EY88:EY119" si="65">IF(DO88="", "", DO88*P$36)</f>
        <v>0</v>
      </c>
      <c r="EZ88" s="139">
        <f t="shared" ref="EZ88:EZ119" si="66">IF(DP88="", "", DP88*Q$36)</f>
        <v>0</v>
      </c>
      <c r="FA88" s="139">
        <f t="shared" ref="FA88:FA119" si="67">IF(DQ88="", "", DQ88*R$36)</f>
        <v>0</v>
      </c>
      <c r="FB88" s="139">
        <f t="shared" ref="FB88:FB119" si="68">IF(DR88="", "", DR88*S$36)</f>
        <v>0</v>
      </c>
      <c r="FC88" s="139">
        <f t="shared" ref="FC88:FC119" si="69">IF(DS88="", "", DS88*T$36)</f>
        <v>0</v>
      </c>
      <c r="FD88" s="139">
        <f t="shared" ref="FD88:FD119" si="70">IF(DT88="", "", DT88*U$36)</f>
        <v>0</v>
      </c>
      <c r="FE88" s="139">
        <f t="shared" ref="FE88:FE119" si="71">IF(DU88="", "", DU88*V$36)</f>
        <v>0</v>
      </c>
      <c r="FF88" s="139">
        <f t="shared" ref="FF88:FF119" si="72">IF(DV88="", "", DV88*W$36)</f>
        <v>0</v>
      </c>
      <c r="FG88" s="139">
        <f t="shared" ref="FG88:FG119" si="73">IF(DW88="", "", DW88*X$36)</f>
        <v>0</v>
      </c>
      <c r="FH88" s="139">
        <f t="shared" ref="FH88:FH119" si="74">IF(DX88="", "", DX88*Y$36)</f>
        <v>0</v>
      </c>
      <c r="FI88" s="139">
        <f t="shared" ref="FI88:FI119" si="75">IF(DY88="", "", DY88*Z$36)</f>
        <v>0</v>
      </c>
      <c r="FJ88" s="139">
        <f t="shared" ref="FJ88:FJ119" si="76">IF(DZ88="", "", DZ88*AA$36)</f>
        <v>0</v>
      </c>
      <c r="FK88" s="139">
        <f t="shared" ref="FK88:FK119" si="77">IF(EA88="", "", EA88*AB$36)</f>
        <v>0</v>
      </c>
      <c r="FL88" s="139">
        <f t="shared" ref="FL88:FL119" si="78">IF(EB88="", "", EB88*AC$36)</f>
        <v>0</v>
      </c>
      <c r="FM88" s="139">
        <f t="shared" ref="FM88:FM119" si="79">IF(EC88="", "", EC88*AD$36)</f>
        <v>0</v>
      </c>
      <c r="FN88" s="139">
        <f t="shared" ref="FN88:FN119" si="80">IF(ED88="", "", ED88*AE$36)</f>
        <v>0</v>
      </c>
      <c r="FO88" s="139">
        <f t="shared" ref="FO88:FO119" si="81">IF(EE88="", "", EE88*AF$36)</f>
        <v>0</v>
      </c>
      <c r="FP88" s="139">
        <f t="shared" ref="FP88:FP119" si="82">IF(EF88="", "", EF88*AG$36)</f>
        <v>0</v>
      </c>
      <c r="FQ88" s="139">
        <f t="shared" ref="FQ88:FQ119" si="83">IF(EG88="", "", EG88*AH$36)</f>
        <v>0</v>
      </c>
      <c r="FR88" s="139">
        <f t="shared" ref="FR88:FR119" si="84">IF(EH88="", "", EH88*AI$36)</f>
        <v>0</v>
      </c>
      <c r="FS88" s="139">
        <f t="shared" ref="FS88:FS119" si="85">IF(EI88="", "", EI88*AJ$36)</f>
        <v>0</v>
      </c>
      <c r="FT88" s="139">
        <f t="shared" ref="FT88:FT119" si="86">IF(EJ88="", "", EJ88*AK$36)</f>
        <v>0</v>
      </c>
      <c r="FU88" s="148">
        <f t="shared" ref="FU88:FU119" si="87">IF(EP88="","",SUM(EP88:FT88))</f>
        <v>86.607672336845724</v>
      </c>
      <c r="FV88" s="149"/>
      <c r="FY88" s="213">
        <v>83</v>
      </c>
      <c r="FZ88">
        <v>56.31667043455483</v>
      </c>
      <c r="GA88">
        <v>67.376475581797379</v>
      </c>
      <c r="GB88">
        <v>39.746830694581391</v>
      </c>
      <c r="GC88">
        <v>14.015543504540622</v>
      </c>
      <c r="GD88">
        <v>2.5346067426047685</v>
      </c>
      <c r="GE88">
        <v>3.6658993164568408</v>
      </c>
      <c r="GF88">
        <v>7.5969833075283164</v>
      </c>
      <c r="GG88">
        <v>10.420967518347844</v>
      </c>
      <c r="GH88">
        <v>11.286369817943395</v>
      </c>
      <c r="GI88">
        <v>22.677619569871798</v>
      </c>
      <c r="GJ88"/>
      <c r="GK88"/>
      <c r="GL88"/>
      <c r="GM88"/>
      <c r="GN88" s="208"/>
      <c r="GO88" s="208"/>
      <c r="GP88" s="208"/>
      <c r="GQ88" s="208"/>
      <c r="GR88" s="208"/>
      <c r="GS88" s="208"/>
      <c r="GT88" s="208"/>
      <c r="GU88" s="213">
        <v>83</v>
      </c>
    </row>
    <row r="89" spans="1:203" s="7" customFormat="1">
      <c r="A89" s="115"/>
      <c r="B89" s="76">
        <f ca="1">IF(C89="", "", RAND())</f>
        <v>0.89106445707269022</v>
      </c>
      <c r="C89">
        <v>8</v>
      </c>
      <c r="D89">
        <v>39646</v>
      </c>
      <c r="E89">
        <v>0</v>
      </c>
      <c r="F89">
        <v>0</v>
      </c>
      <c r="G89">
        <v>83.333333333333329</v>
      </c>
      <c r="H89">
        <v>0</v>
      </c>
      <c r="I89">
        <v>31.25</v>
      </c>
      <c r="J89">
        <v>31.25</v>
      </c>
      <c r="K89">
        <v>10.416666666666666</v>
      </c>
      <c r="L89">
        <v>10.416666666666666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250.31624987213618</v>
      </c>
      <c r="AO89">
        <v>24.105872863239959</v>
      </c>
      <c r="AP89">
        <v>25.880561114074556</v>
      </c>
      <c r="AQ89">
        <v>166.58344225687517</v>
      </c>
      <c r="AR89">
        <v>24.024492449367514</v>
      </c>
      <c r="AS89">
        <v>319.47976853924825</v>
      </c>
      <c r="AT89" t="e">
        <v>#DIV/0!</v>
      </c>
      <c r="AU89" t="e">
        <v>#DIV/0!</v>
      </c>
      <c r="AV89"/>
      <c r="AW89"/>
      <c r="AX89" s="150"/>
      <c r="AY89" s="76">
        <f t="shared" ref="AY89:AY151" ca="1" si="88">IF(AZ89="", "", RAND())</f>
        <v>0.48710952674063801</v>
      </c>
      <c r="AZ89">
        <v>2</v>
      </c>
      <c r="BA89" s="129">
        <f t="shared" ref="BA89:BA97" si="89">IF(AZ89="", "",$C$4)</f>
        <v>39646</v>
      </c>
      <c r="BB89" s="207">
        <v>0</v>
      </c>
      <c r="BC89" s="207">
        <v>0</v>
      </c>
      <c r="BD89" s="207">
        <v>0</v>
      </c>
      <c r="BE89" s="207">
        <v>2</v>
      </c>
      <c r="BF89" s="207">
        <v>4</v>
      </c>
      <c r="BG89" s="207">
        <v>7</v>
      </c>
      <c r="BH89" s="207">
        <v>3</v>
      </c>
      <c r="BI89" s="207">
        <v>1</v>
      </c>
      <c r="BJ89" s="207">
        <v>0</v>
      </c>
      <c r="BK89" s="207">
        <v>0</v>
      </c>
      <c r="BL89" s="207">
        <v>0</v>
      </c>
      <c r="BM89" s="207">
        <v>0</v>
      </c>
      <c r="BN89" s="207">
        <v>0</v>
      </c>
      <c r="BO89" s="207">
        <v>0</v>
      </c>
      <c r="BP89" s="207">
        <v>0</v>
      </c>
      <c r="BQ89" s="207">
        <v>0</v>
      </c>
      <c r="BR89" s="207">
        <v>0</v>
      </c>
      <c r="BS89" s="207">
        <v>0</v>
      </c>
      <c r="BT89" s="207">
        <v>0</v>
      </c>
      <c r="BU89" s="207">
        <v>0</v>
      </c>
      <c r="BV89" s="207">
        <v>0</v>
      </c>
      <c r="BW89" s="207">
        <v>0</v>
      </c>
      <c r="BX89" s="207">
        <v>0</v>
      </c>
      <c r="BY89" s="207">
        <v>0</v>
      </c>
      <c r="BZ89" s="207">
        <v>0</v>
      </c>
      <c r="CA89" s="207">
        <v>0</v>
      </c>
      <c r="CB89" s="207">
        <v>0</v>
      </c>
      <c r="CC89" s="207">
        <v>0</v>
      </c>
      <c r="CD89" s="207">
        <v>0</v>
      </c>
      <c r="CE89" s="207">
        <v>0</v>
      </c>
      <c r="CF89" s="207">
        <v>0</v>
      </c>
      <c r="CG89" s="147"/>
      <c r="CH89" s="176"/>
      <c r="CJ89" s="150"/>
      <c r="CK89" s="76">
        <f t="shared" ref="CK89:CK152" ca="1" si="90">IF(AZ89="", "", RAND())</f>
        <v>0.64331085223599094</v>
      </c>
      <c r="CL89" s="179">
        <f t="shared" ref="CL89:CL152" si="91">IF(AZ89="", "", AZ89)</f>
        <v>2</v>
      </c>
      <c r="CM89" s="180">
        <f t="shared" ref="CM89:CM152" si="92">IF(AZ89="", "", BA89)</f>
        <v>39646</v>
      </c>
      <c r="CN89" s="208">
        <v>0</v>
      </c>
      <c r="CO89" s="208">
        <v>1</v>
      </c>
      <c r="CP89" s="208">
        <v>7</v>
      </c>
      <c r="CQ89" s="208">
        <v>3</v>
      </c>
      <c r="CR89" s="208">
        <v>0</v>
      </c>
      <c r="CS89" s="208">
        <v>0</v>
      </c>
      <c r="CT89" s="208">
        <v>0</v>
      </c>
      <c r="CU89" s="208">
        <v>0</v>
      </c>
      <c r="CW89">
        <v>1</v>
      </c>
      <c r="CX89">
        <f>2/1</f>
        <v>2</v>
      </c>
      <c r="CY89" s="158"/>
      <c r="CZ89" s="177">
        <f t="shared" ref="CZ89:CZ152" si="93">IF(AZ89="", "", $G$15)</f>
        <v>9.6000000000000002E-2</v>
      </c>
      <c r="DB89" s="150"/>
      <c r="DC89" s="76">
        <f t="shared" ca="1" si="51"/>
        <v>0.66035564583371942</v>
      </c>
      <c r="DD89">
        <f t="shared" ref="DD89:DD152" si="94">IF(AZ89="", "", AZ89)</f>
        <v>2</v>
      </c>
      <c r="DE89" s="129">
        <f t="shared" si="52"/>
        <v>39646</v>
      </c>
      <c r="DF89" s="161">
        <f t="shared" ref="DF89:DF152" si="95">IF($AZ89="", "", ((BB89*$CW89)+(CN89*$CX89))/$CZ89)</f>
        <v>0</v>
      </c>
      <c r="DG89" s="161">
        <f t="shared" ref="DG89:DG152" si="96">IF($AZ89="", "", ((BC89*$CW89)+(CO89*$CX89))/$CZ89)</f>
        <v>20.833333333333332</v>
      </c>
      <c r="DH89" s="161">
        <f t="shared" ref="DH89:DH152" si="97">IF($AZ89="", "", ((BD89*$CW89)+(CP89*$CX89))/$CZ89)</f>
        <v>145.83333333333334</v>
      </c>
      <c r="DI89" s="161">
        <f t="shared" ref="DI89:DI152" si="98">IF($AZ89="", "", ((BE89*$CW89)+(CQ89*$CX89))/$CZ89)</f>
        <v>83.333333333333329</v>
      </c>
      <c r="DJ89" s="161">
        <f t="shared" ref="DJ89:DJ152" si="99">IF($AZ89="", "", ((BF89*$CW89)+(CR89*$CX89))/$CZ89)</f>
        <v>41.666666666666664</v>
      </c>
      <c r="DK89" s="161">
        <f t="shared" ref="DK89:DK152" si="100">IF($AZ89="", "", ((BG89*$CW89)+(CS89*$CX89))/$CZ89)</f>
        <v>72.916666666666671</v>
      </c>
      <c r="DL89" s="161">
        <f t="shared" ref="DL89:DL152" si="101">IF($AZ89="", "", ((BH89*$CW89)+(CT89*$CX89))/$CZ89)</f>
        <v>31.25</v>
      </c>
      <c r="DM89" s="161">
        <f t="shared" ref="DM89:DM152" si="102">IF($AZ89="", "", ((BI89*$CW89)+(CU89*$CX89))/$CZ89)</f>
        <v>10.416666666666666</v>
      </c>
      <c r="DN89" s="161">
        <f t="shared" ref="DN89:DN152" si="103">IF($AZ89="", "", (BJ89*$CW89)/$CZ89)</f>
        <v>0</v>
      </c>
      <c r="DO89" s="161">
        <f t="shared" ref="DO89:DO152" si="104">IF($AZ89="", "", (BK89*$CW89)/$CZ89)</f>
        <v>0</v>
      </c>
      <c r="DP89" s="161">
        <f t="shared" ref="DP89:DP152" si="105">IF($AZ89="", "", (BL89*$CW89)/$CZ89)</f>
        <v>0</v>
      </c>
      <c r="DQ89" s="161">
        <f t="shared" ref="DQ89:DQ152" si="106">IF($AZ89="", "", (BM89*$CW89)/$CZ89)</f>
        <v>0</v>
      </c>
      <c r="DR89" s="161">
        <f t="shared" ref="DR89:DR152" si="107">IF($AZ89="", "", (BN89*$CW89)/$CZ89)</f>
        <v>0</v>
      </c>
      <c r="DS89" s="161">
        <f t="shared" ref="DS89:DS152" si="108">IF($AZ89="", "", (BO89*$CW89)/$CZ89)</f>
        <v>0</v>
      </c>
      <c r="DT89" s="161">
        <f t="shared" ref="DT89:DT152" si="109">IF($AZ89="", "", (BP89*$CW89)/$CZ89)</f>
        <v>0</v>
      </c>
      <c r="DU89" s="161">
        <f t="shared" ref="DU89:DU152" si="110">IF($AZ89="", "", (BQ89*$CW89)/$CZ89)</f>
        <v>0</v>
      </c>
      <c r="DV89" s="161">
        <f t="shared" ref="DV89:DV152" si="111">IF($AZ89="", "", (BR89*$CW89)/$CZ89)</f>
        <v>0</v>
      </c>
      <c r="DW89" s="161">
        <f t="shared" ref="DW89:DW152" si="112">IF($AZ89="", "", (BS89*$CW89)/$CZ89)</f>
        <v>0</v>
      </c>
      <c r="DX89" s="161">
        <f t="shared" ref="DX89:DX152" si="113">IF($AZ89="", "", (BT89*$CW89)/$CZ89)</f>
        <v>0</v>
      </c>
      <c r="DY89" s="161">
        <f t="shared" ref="DY89:DY152" si="114">IF($AZ89="", "", (BU89*$CW89)/$CZ89)</f>
        <v>0</v>
      </c>
      <c r="DZ89" s="161">
        <f t="shared" ref="DZ89:DZ152" si="115">IF($AZ89="", "", (BV89*$CW89)/$CZ89)</f>
        <v>0</v>
      </c>
      <c r="EA89" s="161">
        <f t="shared" ref="EA89:EA152" si="116">IF($AZ89="", "", (BW89*$CW89)/$CZ89)</f>
        <v>0</v>
      </c>
      <c r="EB89" s="161">
        <f t="shared" ref="EB89:EB152" si="117">IF($AZ89="", "", (BX89*$CW89)/$CZ89)</f>
        <v>0</v>
      </c>
      <c r="EC89" s="161">
        <f t="shared" ref="EC89:EC152" si="118">IF($AZ89="", "", (BY89*$CW89)/$CZ89)</f>
        <v>0</v>
      </c>
      <c r="ED89" s="161">
        <f t="shared" ref="ED89:ED152" si="119">IF($AZ89="", "", (BZ89*$CW89)/$CZ89)</f>
        <v>0</v>
      </c>
      <c r="EE89" s="161">
        <f t="shared" ref="EE89:EE152" si="120">IF($AZ89="", "", (CA89*$CW89)/$CZ89)</f>
        <v>0</v>
      </c>
      <c r="EF89" s="161">
        <f t="shared" ref="EF89:EF152" si="121">IF($AZ89="", "", (CB89*$CW89)/$CZ89)</f>
        <v>0</v>
      </c>
      <c r="EG89" s="161">
        <f t="shared" ref="EG89:EG152" si="122">IF($AZ89="", "", (CC89*$CW89)/$CZ89)</f>
        <v>0</v>
      </c>
      <c r="EH89" s="161">
        <f t="shared" ref="EH89:EH152" si="123">IF($AZ89="", "", (CD89*$CW89)/$CZ89)</f>
        <v>0</v>
      </c>
      <c r="EI89" s="161">
        <f t="shared" ref="EI89:EI152" si="124">IF($AZ89="", "", (CE89*$CW89)/$CZ89)</f>
        <v>0</v>
      </c>
      <c r="EJ89" s="161">
        <f t="shared" ref="EJ89:EJ152" si="125">IF($AZ89="", "", (CF89*$CW89)/$CZ89)</f>
        <v>0</v>
      </c>
      <c r="EK89" s="147">
        <f t="shared" si="55"/>
        <v>406.25000000000006</v>
      </c>
      <c r="EL89" s="149"/>
      <c r="EN89" s="150"/>
      <c r="EO89" s="150"/>
      <c r="EP89" s="139">
        <f t="shared" si="56"/>
        <v>0</v>
      </c>
      <c r="EQ89" s="139">
        <f t="shared" si="57"/>
        <v>0.15057499999999999</v>
      </c>
      <c r="ER89" s="139">
        <f t="shared" si="58"/>
        <v>6.8064809004390776</v>
      </c>
      <c r="ES89" s="139">
        <f t="shared" si="59"/>
        <v>11.581002613498237</v>
      </c>
      <c r="ET89" s="139">
        <f t="shared" si="60"/>
        <v>12.558168448984183</v>
      </c>
      <c r="EU89" s="139">
        <f t="shared" si="61"/>
        <v>40.063528662855248</v>
      </c>
      <c r="EV89" s="139">
        <f t="shared" si="62"/>
        <v>28.0445932603748</v>
      </c>
      <c r="EW89" s="139">
        <f t="shared" si="63"/>
        <v>14.154081822273552</v>
      </c>
      <c r="EX89" s="139">
        <f t="shared" si="64"/>
        <v>0</v>
      </c>
      <c r="EY89" s="139">
        <f t="shared" si="65"/>
        <v>0</v>
      </c>
      <c r="EZ89" s="139">
        <f t="shared" si="66"/>
        <v>0</v>
      </c>
      <c r="FA89" s="139">
        <f t="shared" si="67"/>
        <v>0</v>
      </c>
      <c r="FB89" s="139">
        <f t="shared" si="68"/>
        <v>0</v>
      </c>
      <c r="FC89" s="139">
        <f t="shared" si="69"/>
        <v>0</v>
      </c>
      <c r="FD89" s="139">
        <f t="shared" si="70"/>
        <v>0</v>
      </c>
      <c r="FE89" s="139">
        <f t="shared" si="71"/>
        <v>0</v>
      </c>
      <c r="FF89" s="139">
        <f t="shared" si="72"/>
        <v>0</v>
      </c>
      <c r="FG89" s="139">
        <f t="shared" si="73"/>
        <v>0</v>
      </c>
      <c r="FH89" s="139">
        <f t="shared" si="74"/>
        <v>0</v>
      </c>
      <c r="FI89" s="139">
        <f t="shared" si="75"/>
        <v>0</v>
      </c>
      <c r="FJ89" s="139">
        <f t="shared" si="76"/>
        <v>0</v>
      </c>
      <c r="FK89" s="139">
        <f t="shared" si="77"/>
        <v>0</v>
      </c>
      <c r="FL89" s="139">
        <f t="shared" si="78"/>
        <v>0</v>
      </c>
      <c r="FM89" s="139">
        <f t="shared" si="79"/>
        <v>0</v>
      </c>
      <c r="FN89" s="139">
        <f t="shared" si="80"/>
        <v>0</v>
      </c>
      <c r="FO89" s="139">
        <f t="shared" si="81"/>
        <v>0</v>
      </c>
      <c r="FP89" s="139">
        <f t="shared" si="82"/>
        <v>0</v>
      </c>
      <c r="FQ89" s="139">
        <f t="shared" si="83"/>
        <v>0</v>
      </c>
      <c r="FR89" s="139">
        <f t="shared" si="84"/>
        <v>0</v>
      </c>
      <c r="FS89" s="139">
        <f t="shared" si="85"/>
        <v>0</v>
      </c>
      <c r="FT89" s="139">
        <f t="shared" si="86"/>
        <v>0</v>
      </c>
      <c r="FU89" s="148">
        <f t="shared" si="87"/>
        <v>113.35843070842509</v>
      </c>
      <c r="FV89" s="149"/>
      <c r="FY89" s="213">
        <v>84</v>
      </c>
      <c r="FZ89">
        <v>55.029414135811002</v>
      </c>
      <c r="GA89">
        <v>74.406572486529001</v>
      </c>
      <c r="GB89">
        <v>35.907078154223214</v>
      </c>
      <c r="GC89">
        <v>11.230834473814946</v>
      </c>
      <c r="GD89">
        <v>2.5126953063954351</v>
      </c>
      <c r="GE89">
        <v>2.6004422021928666</v>
      </c>
      <c r="GF89">
        <v>5.5859451631923642</v>
      </c>
      <c r="GG89">
        <v>4.1489616907212188</v>
      </c>
      <c r="GH89">
        <v>4.9644062971779457</v>
      </c>
      <c r="GI89">
        <v>20.15845467510648</v>
      </c>
      <c r="GJ89"/>
      <c r="GK89"/>
      <c r="GL89"/>
      <c r="GM89"/>
      <c r="GN89" s="208"/>
      <c r="GO89" s="208"/>
      <c r="GP89" s="208"/>
      <c r="GQ89" s="208"/>
      <c r="GR89" s="208"/>
      <c r="GS89" s="208"/>
      <c r="GT89" s="208"/>
      <c r="GU89" s="213">
        <v>84</v>
      </c>
    </row>
    <row r="90" spans="1:203" s="7" customFormat="1">
      <c r="A90" s="115"/>
      <c r="B90" s="76">
        <f ca="1">IF(C90="", "", RAND())</f>
        <v>0.23161909251325596</v>
      </c>
      <c r="C90">
        <v>1</v>
      </c>
      <c r="D90">
        <v>39646</v>
      </c>
      <c r="E90">
        <v>0</v>
      </c>
      <c r="F90">
        <v>0</v>
      </c>
      <c r="G90">
        <v>20.833333333333332</v>
      </c>
      <c r="H90">
        <v>31.25</v>
      </c>
      <c r="I90">
        <v>93.75</v>
      </c>
      <c r="J90">
        <v>62.5</v>
      </c>
      <c r="K90">
        <v>20.833333333333332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289.84512610578633</v>
      </c>
      <c r="AO90">
        <v>28.809512016379159</v>
      </c>
      <c r="AP90">
        <v>51.166224094589019</v>
      </c>
      <c r="AQ90">
        <v>215.88218444234275</v>
      </c>
      <c r="AR90">
        <v>29.939537416754622</v>
      </c>
      <c r="AS90">
        <v>441.2997243776436</v>
      </c>
      <c r="AT90">
        <v>18.767466330160634</v>
      </c>
      <c r="AU90">
        <v>-18.929914613981794</v>
      </c>
      <c r="AV90"/>
      <c r="AW90"/>
      <c r="AX90" s="150"/>
      <c r="AY90" s="76">
        <f t="shared" ca="1" si="88"/>
        <v>0.4887269357456212</v>
      </c>
      <c r="AZ90">
        <v>3</v>
      </c>
      <c r="BA90" s="129">
        <f t="shared" si="89"/>
        <v>39646</v>
      </c>
      <c r="BB90" s="207">
        <v>0</v>
      </c>
      <c r="BC90" s="207">
        <v>0</v>
      </c>
      <c r="BD90" s="207">
        <v>0</v>
      </c>
      <c r="BE90" s="207">
        <v>0</v>
      </c>
      <c r="BF90" s="207">
        <v>4</v>
      </c>
      <c r="BG90" s="207">
        <v>0</v>
      </c>
      <c r="BH90" s="207">
        <v>1</v>
      </c>
      <c r="BI90" s="207">
        <v>1</v>
      </c>
      <c r="BJ90" s="207">
        <v>0</v>
      </c>
      <c r="BK90" s="207">
        <v>0</v>
      </c>
      <c r="BL90" s="207">
        <v>0</v>
      </c>
      <c r="BM90" s="207">
        <v>0</v>
      </c>
      <c r="BN90" s="207">
        <v>0</v>
      </c>
      <c r="BO90" s="207">
        <v>0</v>
      </c>
      <c r="BP90" s="207">
        <v>0</v>
      </c>
      <c r="BQ90" s="207">
        <v>0</v>
      </c>
      <c r="BR90" s="207">
        <v>0</v>
      </c>
      <c r="BS90" s="207">
        <v>0</v>
      </c>
      <c r="BT90" s="207">
        <v>0</v>
      </c>
      <c r="BU90" s="207">
        <v>0</v>
      </c>
      <c r="BV90" s="207">
        <v>0</v>
      </c>
      <c r="BW90" s="207">
        <v>0</v>
      </c>
      <c r="BX90" s="207">
        <v>0</v>
      </c>
      <c r="BY90" s="207">
        <v>0</v>
      </c>
      <c r="BZ90" s="207">
        <v>0</v>
      </c>
      <c r="CA90" s="207">
        <v>0</v>
      </c>
      <c r="CB90" s="207">
        <v>0</v>
      </c>
      <c r="CC90" s="207">
        <v>0</v>
      </c>
      <c r="CD90" s="207">
        <v>0</v>
      </c>
      <c r="CE90" s="207">
        <v>0</v>
      </c>
      <c r="CF90" s="207">
        <v>0</v>
      </c>
      <c r="CG90" s="147"/>
      <c r="CH90" s="176"/>
      <c r="CJ90" s="150"/>
      <c r="CK90" s="76">
        <f t="shared" ca="1" si="90"/>
        <v>0.87486124516663955</v>
      </c>
      <c r="CL90" s="179">
        <f t="shared" si="91"/>
        <v>3</v>
      </c>
      <c r="CM90" s="180">
        <f t="shared" si="92"/>
        <v>39646</v>
      </c>
      <c r="CN90" s="208">
        <v>0</v>
      </c>
      <c r="CO90" s="208">
        <v>0</v>
      </c>
      <c r="CP90" s="208">
        <v>3</v>
      </c>
      <c r="CQ90" s="208">
        <v>2</v>
      </c>
      <c r="CR90" s="208">
        <v>1</v>
      </c>
      <c r="CS90" s="208">
        <v>0</v>
      </c>
      <c r="CT90" s="208">
        <v>0</v>
      </c>
      <c r="CU90" s="208">
        <v>0</v>
      </c>
      <c r="CW90">
        <v>1</v>
      </c>
      <c r="CX90">
        <v>1</v>
      </c>
      <c r="CY90" s="158"/>
      <c r="CZ90" s="177">
        <f t="shared" si="93"/>
        <v>9.6000000000000002E-2</v>
      </c>
      <c r="DB90" s="150"/>
      <c r="DC90" s="76">
        <f t="shared" ca="1" si="51"/>
        <v>0.18025961769460186</v>
      </c>
      <c r="DD90">
        <f t="shared" si="94"/>
        <v>3</v>
      </c>
      <c r="DE90" s="129">
        <f t="shared" si="52"/>
        <v>39646</v>
      </c>
      <c r="DF90" s="161">
        <f t="shared" si="95"/>
        <v>0</v>
      </c>
      <c r="DG90" s="161">
        <f t="shared" si="96"/>
        <v>0</v>
      </c>
      <c r="DH90" s="161">
        <f t="shared" si="97"/>
        <v>31.25</v>
      </c>
      <c r="DI90" s="161">
        <f t="shared" si="98"/>
        <v>20.833333333333332</v>
      </c>
      <c r="DJ90" s="161">
        <f t="shared" si="99"/>
        <v>52.083333333333336</v>
      </c>
      <c r="DK90" s="161">
        <f t="shared" si="100"/>
        <v>0</v>
      </c>
      <c r="DL90" s="161">
        <f t="shared" si="101"/>
        <v>10.416666666666666</v>
      </c>
      <c r="DM90" s="161">
        <f t="shared" si="102"/>
        <v>10.416666666666666</v>
      </c>
      <c r="DN90" s="161">
        <f t="shared" si="103"/>
        <v>0</v>
      </c>
      <c r="DO90" s="161">
        <f t="shared" si="104"/>
        <v>0</v>
      </c>
      <c r="DP90" s="161">
        <f t="shared" si="105"/>
        <v>0</v>
      </c>
      <c r="DQ90" s="161">
        <f t="shared" si="106"/>
        <v>0</v>
      </c>
      <c r="DR90" s="161">
        <f t="shared" si="107"/>
        <v>0</v>
      </c>
      <c r="DS90" s="161">
        <f t="shared" si="108"/>
        <v>0</v>
      </c>
      <c r="DT90" s="161">
        <f t="shared" si="109"/>
        <v>0</v>
      </c>
      <c r="DU90" s="161">
        <f t="shared" si="110"/>
        <v>0</v>
      </c>
      <c r="DV90" s="161">
        <f t="shared" si="111"/>
        <v>0</v>
      </c>
      <c r="DW90" s="161">
        <f t="shared" si="112"/>
        <v>0</v>
      </c>
      <c r="DX90" s="161">
        <f t="shared" si="113"/>
        <v>0</v>
      </c>
      <c r="DY90" s="161">
        <f t="shared" si="114"/>
        <v>0</v>
      </c>
      <c r="DZ90" s="161">
        <f t="shared" si="115"/>
        <v>0</v>
      </c>
      <c r="EA90" s="161">
        <f t="shared" si="116"/>
        <v>0</v>
      </c>
      <c r="EB90" s="161">
        <f t="shared" si="117"/>
        <v>0</v>
      </c>
      <c r="EC90" s="161">
        <f t="shared" si="118"/>
        <v>0</v>
      </c>
      <c r="ED90" s="161">
        <f t="shared" si="119"/>
        <v>0</v>
      </c>
      <c r="EE90" s="161">
        <f t="shared" si="120"/>
        <v>0</v>
      </c>
      <c r="EF90" s="161">
        <f t="shared" si="121"/>
        <v>0</v>
      </c>
      <c r="EG90" s="161">
        <f t="shared" si="122"/>
        <v>0</v>
      </c>
      <c r="EH90" s="161">
        <f t="shared" si="123"/>
        <v>0</v>
      </c>
      <c r="EI90" s="161">
        <f t="shared" si="124"/>
        <v>0</v>
      </c>
      <c r="EJ90" s="161">
        <f t="shared" si="125"/>
        <v>0</v>
      </c>
      <c r="EK90" s="147">
        <f t="shared" si="55"/>
        <v>125</v>
      </c>
      <c r="EL90" s="149"/>
      <c r="EN90" s="150"/>
      <c r="EO90" s="150"/>
      <c r="EP90" s="139">
        <f t="shared" si="56"/>
        <v>0</v>
      </c>
      <c r="EQ90" s="139">
        <f t="shared" si="57"/>
        <v>0</v>
      </c>
      <c r="ER90" s="139">
        <f t="shared" si="58"/>
        <v>1.4585316215226594</v>
      </c>
      <c r="ES90" s="139">
        <f t="shared" si="59"/>
        <v>2.8952506533745592</v>
      </c>
      <c r="ET90" s="139">
        <f t="shared" si="60"/>
        <v>15.697710561230231</v>
      </c>
      <c r="EU90" s="139">
        <f t="shared" si="61"/>
        <v>0</v>
      </c>
      <c r="EV90" s="139">
        <f t="shared" si="62"/>
        <v>9.3481977534582672</v>
      </c>
      <c r="EW90" s="139">
        <f t="shared" si="63"/>
        <v>14.154081822273552</v>
      </c>
      <c r="EX90" s="139">
        <f t="shared" si="64"/>
        <v>0</v>
      </c>
      <c r="EY90" s="139">
        <f t="shared" si="65"/>
        <v>0</v>
      </c>
      <c r="EZ90" s="139">
        <f t="shared" si="66"/>
        <v>0</v>
      </c>
      <c r="FA90" s="139">
        <f t="shared" si="67"/>
        <v>0</v>
      </c>
      <c r="FB90" s="139">
        <f t="shared" si="68"/>
        <v>0</v>
      </c>
      <c r="FC90" s="139">
        <f t="shared" si="69"/>
        <v>0</v>
      </c>
      <c r="FD90" s="139">
        <f t="shared" si="70"/>
        <v>0</v>
      </c>
      <c r="FE90" s="139">
        <f t="shared" si="71"/>
        <v>0</v>
      </c>
      <c r="FF90" s="139">
        <f t="shared" si="72"/>
        <v>0</v>
      </c>
      <c r="FG90" s="139">
        <f t="shared" si="73"/>
        <v>0</v>
      </c>
      <c r="FH90" s="139">
        <f t="shared" si="74"/>
        <v>0</v>
      </c>
      <c r="FI90" s="139">
        <f t="shared" si="75"/>
        <v>0</v>
      </c>
      <c r="FJ90" s="139">
        <f t="shared" si="76"/>
        <v>0</v>
      </c>
      <c r="FK90" s="139">
        <f t="shared" si="77"/>
        <v>0</v>
      </c>
      <c r="FL90" s="139">
        <f t="shared" si="78"/>
        <v>0</v>
      </c>
      <c r="FM90" s="139">
        <f t="shared" si="79"/>
        <v>0</v>
      </c>
      <c r="FN90" s="139">
        <f t="shared" si="80"/>
        <v>0</v>
      </c>
      <c r="FO90" s="139">
        <f t="shared" si="81"/>
        <v>0</v>
      </c>
      <c r="FP90" s="139">
        <f t="shared" si="82"/>
        <v>0</v>
      </c>
      <c r="FQ90" s="139">
        <f t="shared" si="83"/>
        <v>0</v>
      </c>
      <c r="FR90" s="139">
        <f t="shared" si="84"/>
        <v>0</v>
      </c>
      <c r="FS90" s="139">
        <f t="shared" si="85"/>
        <v>0</v>
      </c>
      <c r="FT90" s="139">
        <f t="shared" si="86"/>
        <v>0</v>
      </c>
      <c r="FU90" s="148">
        <f t="shared" si="87"/>
        <v>43.553772411859271</v>
      </c>
      <c r="FV90" s="149"/>
      <c r="FY90" s="213">
        <v>85</v>
      </c>
      <c r="FZ90">
        <v>58.593270687127912</v>
      </c>
      <c r="GA90">
        <v>62.486114048961277</v>
      </c>
      <c r="GB90">
        <v>43.611239074073737</v>
      </c>
      <c r="GC90">
        <v>18.646553341039162</v>
      </c>
      <c r="GD90">
        <v>5.0699110072339826</v>
      </c>
      <c r="GE90">
        <v>3.9175451259053071</v>
      </c>
      <c r="GF90">
        <v>11.287932396794414</v>
      </c>
      <c r="GG90">
        <v>11.470181206861687</v>
      </c>
      <c r="GH90">
        <v>6.4966395609288812</v>
      </c>
      <c r="GI90">
        <v>25.318213677729052</v>
      </c>
      <c r="GJ90"/>
      <c r="GK90"/>
      <c r="GL90"/>
      <c r="GM90"/>
      <c r="GN90" s="208"/>
      <c r="GO90" s="208"/>
      <c r="GP90" s="208"/>
      <c r="GQ90" s="208"/>
      <c r="GR90" s="208"/>
      <c r="GS90" s="208"/>
      <c r="GT90" s="208"/>
      <c r="GU90" s="213">
        <v>85</v>
      </c>
    </row>
    <row r="91" spans="1:203" s="7" customFormat="1">
      <c r="A91" s="77"/>
      <c r="B91" s="76">
        <f ca="1">IF(C91="", "", RAND())</f>
        <v>0.59315908904463566</v>
      </c>
      <c r="C91">
        <v>5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260.14946345351143</v>
      </c>
      <c r="AO91">
        <v>24.509851695708026</v>
      </c>
      <c r="AP91">
        <v>24.664140239812983</v>
      </c>
      <c r="AQ91">
        <v>178.90049325563609</v>
      </c>
      <c r="AR91">
        <v>25.1935088227184</v>
      </c>
      <c r="AS91">
        <v>379.76160553865685</v>
      </c>
      <c r="AT91">
        <v>15.404425422918287</v>
      </c>
      <c r="AU91">
        <v>-10.803082463033476</v>
      </c>
      <c r="AV91"/>
      <c r="AW91"/>
      <c r="AX91" s="151"/>
      <c r="AY91" s="76">
        <f t="shared" ca="1" si="88"/>
        <v>0.75596891912806541</v>
      </c>
      <c r="AZ91">
        <v>4</v>
      </c>
      <c r="BA91" s="129">
        <f t="shared" si="89"/>
        <v>39646</v>
      </c>
      <c r="BB91" s="207">
        <v>0</v>
      </c>
      <c r="BC91" s="207">
        <v>0</v>
      </c>
      <c r="BD91" s="207">
        <v>0</v>
      </c>
      <c r="BE91" s="207">
        <v>2</v>
      </c>
      <c r="BF91" s="207">
        <v>0</v>
      </c>
      <c r="BG91" s="207">
        <v>3</v>
      </c>
      <c r="BH91" s="207">
        <v>2</v>
      </c>
      <c r="BI91" s="207">
        <v>0</v>
      </c>
      <c r="BJ91" s="207">
        <v>0</v>
      </c>
      <c r="BK91" s="207">
        <v>0</v>
      </c>
      <c r="BL91" s="207">
        <v>0</v>
      </c>
      <c r="BM91" s="207">
        <v>0</v>
      </c>
      <c r="BN91" s="207">
        <v>0</v>
      </c>
      <c r="BO91" s="207">
        <v>0</v>
      </c>
      <c r="BP91" s="207">
        <v>0</v>
      </c>
      <c r="BQ91" s="207">
        <v>0</v>
      </c>
      <c r="BR91" s="207">
        <v>0</v>
      </c>
      <c r="BS91" s="207">
        <v>0</v>
      </c>
      <c r="BT91" s="207">
        <v>0</v>
      </c>
      <c r="BU91" s="207">
        <v>0</v>
      </c>
      <c r="BV91" s="207">
        <v>0</v>
      </c>
      <c r="BW91" s="207">
        <v>0</v>
      </c>
      <c r="BX91" s="207">
        <v>0</v>
      </c>
      <c r="BY91" s="207">
        <v>0</v>
      </c>
      <c r="BZ91" s="207">
        <v>0</v>
      </c>
      <c r="CA91" s="207">
        <v>0</v>
      </c>
      <c r="CB91" s="207">
        <v>0</v>
      </c>
      <c r="CC91" s="207">
        <v>0</v>
      </c>
      <c r="CD91" s="207">
        <v>0</v>
      </c>
      <c r="CE91" s="207">
        <v>0</v>
      </c>
      <c r="CF91" s="207">
        <v>0</v>
      </c>
      <c r="CG91" s="147"/>
      <c r="CH91" s="176"/>
      <c r="CJ91" s="151"/>
      <c r="CK91" s="76">
        <f t="shared" ca="1" si="90"/>
        <v>0.12482665333913445</v>
      </c>
      <c r="CL91" s="179">
        <f t="shared" si="91"/>
        <v>4</v>
      </c>
      <c r="CM91" s="180">
        <f t="shared" si="92"/>
        <v>39646</v>
      </c>
      <c r="CN91" s="208">
        <v>0</v>
      </c>
      <c r="CO91" s="208">
        <v>0</v>
      </c>
      <c r="CP91" s="208">
        <v>0</v>
      </c>
      <c r="CQ91" s="208">
        <v>0</v>
      </c>
      <c r="CR91" s="208">
        <v>1</v>
      </c>
      <c r="CS91" s="208">
        <v>0</v>
      </c>
      <c r="CT91" s="208">
        <v>0</v>
      </c>
      <c r="CU91" s="208">
        <v>0</v>
      </c>
      <c r="CW91">
        <v>1</v>
      </c>
      <c r="CX91">
        <v>1</v>
      </c>
      <c r="CY91" s="158"/>
      <c r="CZ91" s="177">
        <f t="shared" si="93"/>
        <v>9.6000000000000002E-2</v>
      </c>
      <c r="DB91" s="151"/>
      <c r="DC91" s="76">
        <f t="shared" ca="1" si="51"/>
        <v>0.42854623742858955</v>
      </c>
      <c r="DD91">
        <f t="shared" si="94"/>
        <v>4</v>
      </c>
      <c r="DE91" s="129">
        <f t="shared" si="52"/>
        <v>39646</v>
      </c>
      <c r="DF91" s="161">
        <f t="shared" si="95"/>
        <v>0</v>
      </c>
      <c r="DG91" s="161">
        <f t="shared" si="96"/>
        <v>0</v>
      </c>
      <c r="DH91" s="161">
        <f t="shared" si="97"/>
        <v>0</v>
      </c>
      <c r="DI91" s="161">
        <f t="shared" si="98"/>
        <v>20.833333333333332</v>
      </c>
      <c r="DJ91" s="161">
        <f t="shared" si="99"/>
        <v>10.416666666666666</v>
      </c>
      <c r="DK91" s="161">
        <f t="shared" si="100"/>
        <v>31.25</v>
      </c>
      <c r="DL91" s="161">
        <f t="shared" si="101"/>
        <v>20.833333333333332</v>
      </c>
      <c r="DM91" s="161">
        <f t="shared" si="102"/>
        <v>0</v>
      </c>
      <c r="DN91" s="161">
        <f t="shared" si="103"/>
        <v>0</v>
      </c>
      <c r="DO91" s="161">
        <f t="shared" si="104"/>
        <v>0</v>
      </c>
      <c r="DP91" s="161">
        <f t="shared" si="105"/>
        <v>0</v>
      </c>
      <c r="DQ91" s="161">
        <f t="shared" si="106"/>
        <v>0</v>
      </c>
      <c r="DR91" s="161">
        <f t="shared" si="107"/>
        <v>0</v>
      </c>
      <c r="DS91" s="161">
        <f t="shared" si="108"/>
        <v>0</v>
      </c>
      <c r="DT91" s="161">
        <f t="shared" si="109"/>
        <v>0</v>
      </c>
      <c r="DU91" s="161">
        <f t="shared" si="110"/>
        <v>0</v>
      </c>
      <c r="DV91" s="161">
        <f t="shared" si="111"/>
        <v>0</v>
      </c>
      <c r="DW91" s="161">
        <f t="shared" si="112"/>
        <v>0</v>
      </c>
      <c r="DX91" s="161">
        <f t="shared" si="113"/>
        <v>0</v>
      </c>
      <c r="DY91" s="161">
        <f t="shared" si="114"/>
        <v>0</v>
      </c>
      <c r="DZ91" s="161">
        <f t="shared" si="115"/>
        <v>0</v>
      </c>
      <c r="EA91" s="161">
        <f t="shared" si="116"/>
        <v>0</v>
      </c>
      <c r="EB91" s="161">
        <f t="shared" si="117"/>
        <v>0</v>
      </c>
      <c r="EC91" s="161">
        <f t="shared" si="118"/>
        <v>0</v>
      </c>
      <c r="ED91" s="161">
        <f t="shared" si="119"/>
        <v>0</v>
      </c>
      <c r="EE91" s="161">
        <f t="shared" si="120"/>
        <v>0</v>
      </c>
      <c r="EF91" s="161">
        <f t="shared" si="121"/>
        <v>0</v>
      </c>
      <c r="EG91" s="161">
        <f t="shared" si="122"/>
        <v>0</v>
      </c>
      <c r="EH91" s="161">
        <f t="shared" si="123"/>
        <v>0</v>
      </c>
      <c r="EI91" s="161">
        <f t="shared" si="124"/>
        <v>0</v>
      </c>
      <c r="EJ91" s="161">
        <f t="shared" si="125"/>
        <v>0</v>
      </c>
      <c r="EK91" s="147">
        <f t="shared" si="55"/>
        <v>83.333333333333329</v>
      </c>
      <c r="EL91" s="149"/>
      <c r="EN91" s="151"/>
      <c r="EO91" s="151"/>
      <c r="EP91" s="139">
        <f t="shared" si="56"/>
        <v>0</v>
      </c>
      <c r="EQ91" s="139">
        <f t="shared" si="57"/>
        <v>0</v>
      </c>
      <c r="ER91" s="139">
        <f t="shared" si="58"/>
        <v>0</v>
      </c>
      <c r="ES91" s="139">
        <f t="shared" si="59"/>
        <v>2.8952506533745592</v>
      </c>
      <c r="ET91" s="139">
        <f t="shared" si="60"/>
        <v>3.1395421122460458</v>
      </c>
      <c r="EU91" s="139">
        <f t="shared" si="61"/>
        <v>17.17008371265225</v>
      </c>
      <c r="EV91" s="139">
        <f t="shared" si="62"/>
        <v>18.696395506916534</v>
      </c>
      <c r="EW91" s="139">
        <f t="shared" si="63"/>
        <v>0</v>
      </c>
      <c r="EX91" s="139">
        <f t="shared" si="64"/>
        <v>0</v>
      </c>
      <c r="EY91" s="139">
        <f t="shared" si="65"/>
        <v>0</v>
      </c>
      <c r="EZ91" s="139">
        <f t="shared" si="66"/>
        <v>0</v>
      </c>
      <c r="FA91" s="139">
        <f t="shared" si="67"/>
        <v>0</v>
      </c>
      <c r="FB91" s="139">
        <f t="shared" si="68"/>
        <v>0</v>
      </c>
      <c r="FC91" s="139">
        <f t="shared" si="69"/>
        <v>0</v>
      </c>
      <c r="FD91" s="139">
        <f t="shared" si="70"/>
        <v>0</v>
      </c>
      <c r="FE91" s="139">
        <f t="shared" si="71"/>
        <v>0</v>
      </c>
      <c r="FF91" s="139">
        <f t="shared" si="72"/>
        <v>0</v>
      </c>
      <c r="FG91" s="139">
        <f t="shared" si="73"/>
        <v>0</v>
      </c>
      <c r="FH91" s="139">
        <f t="shared" si="74"/>
        <v>0</v>
      </c>
      <c r="FI91" s="139">
        <f t="shared" si="75"/>
        <v>0</v>
      </c>
      <c r="FJ91" s="139">
        <f t="shared" si="76"/>
        <v>0</v>
      </c>
      <c r="FK91" s="139">
        <f t="shared" si="77"/>
        <v>0</v>
      </c>
      <c r="FL91" s="139">
        <f t="shared" si="78"/>
        <v>0</v>
      </c>
      <c r="FM91" s="139">
        <f t="shared" si="79"/>
        <v>0</v>
      </c>
      <c r="FN91" s="139">
        <f t="shared" si="80"/>
        <v>0</v>
      </c>
      <c r="FO91" s="139">
        <f t="shared" si="81"/>
        <v>0</v>
      </c>
      <c r="FP91" s="139">
        <f t="shared" si="82"/>
        <v>0</v>
      </c>
      <c r="FQ91" s="139">
        <f t="shared" si="83"/>
        <v>0</v>
      </c>
      <c r="FR91" s="139">
        <f t="shared" si="84"/>
        <v>0</v>
      </c>
      <c r="FS91" s="139">
        <f t="shared" si="85"/>
        <v>0</v>
      </c>
      <c r="FT91" s="139">
        <f t="shared" si="86"/>
        <v>0</v>
      </c>
      <c r="FU91" s="148">
        <f t="shared" si="87"/>
        <v>41.901271985189389</v>
      </c>
      <c r="FV91" s="149"/>
      <c r="FY91" s="213">
        <v>86</v>
      </c>
      <c r="FZ91">
        <v>57.788473041354138</v>
      </c>
      <c r="GA91">
        <v>44.711616429264758</v>
      </c>
      <c r="GB91">
        <v>29.702302822363364</v>
      </c>
      <c r="GC91">
        <v>16.059402825390272</v>
      </c>
      <c r="GD91">
        <v>4.1925187379229829</v>
      </c>
      <c r="GE91">
        <v>5.0946795272327083</v>
      </c>
      <c r="GF91">
        <v>8.8440213269140155</v>
      </c>
      <c r="GG91">
        <v>7.1395840738681056</v>
      </c>
      <c r="GH91">
        <v>7.0060875907221982</v>
      </c>
      <c r="GI91">
        <v>20.933318788480001</v>
      </c>
      <c r="GJ91"/>
      <c r="GK91"/>
      <c r="GL91"/>
      <c r="GM91"/>
      <c r="GN91" s="208"/>
      <c r="GO91" s="208"/>
      <c r="GP91" s="208"/>
      <c r="GQ91" s="208"/>
      <c r="GR91" s="208"/>
      <c r="GS91" s="208"/>
      <c r="GT91" s="208"/>
      <c r="GU91" s="213">
        <v>86</v>
      </c>
    </row>
    <row r="92" spans="1:203" s="7" customFormat="1">
      <c r="A92" s="77"/>
      <c r="B92" s="76">
        <f ca="1">IF(C92="", "", RAND())</f>
        <v>0.36970191048404955</v>
      </c>
      <c r="C92">
        <v>3</v>
      </c>
      <c r="D92">
        <v>39646</v>
      </c>
      <c r="E92">
        <v>0</v>
      </c>
      <c r="F92">
        <v>0</v>
      </c>
      <c r="G92">
        <v>31.25</v>
      </c>
      <c r="H92">
        <v>20.833333333333332</v>
      </c>
      <c r="I92">
        <v>52.083333333333336</v>
      </c>
      <c r="J92">
        <v>0</v>
      </c>
      <c r="K92">
        <v>10.416666666666666</v>
      </c>
      <c r="L92">
        <v>10.416666666666666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237.26995272655239</v>
      </c>
      <c r="AO92">
        <v>25.037145819364078</v>
      </c>
      <c r="AP92">
        <v>18.303971301159006</v>
      </c>
      <c r="AQ92">
        <v>182.77126262271477</v>
      </c>
      <c r="AR92">
        <v>26.112278470684736</v>
      </c>
      <c r="AS92">
        <v>372.85803995433884</v>
      </c>
      <c r="AT92">
        <v>16.017671486308803</v>
      </c>
      <c r="AU92">
        <v>-5.7205554925911954</v>
      </c>
      <c r="AV92"/>
      <c r="AW92"/>
      <c r="AX92" s="151"/>
      <c r="AY92" s="76">
        <f t="shared" ca="1" si="88"/>
        <v>0.46407126586875957</v>
      </c>
      <c r="AZ92">
        <v>5</v>
      </c>
      <c r="BA92" s="129">
        <f t="shared" si="89"/>
        <v>39646</v>
      </c>
      <c r="BB92" s="207">
        <v>0</v>
      </c>
      <c r="BC92" s="207">
        <v>0</v>
      </c>
      <c r="BD92" s="207">
        <v>0</v>
      </c>
      <c r="BE92" s="207">
        <v>0</v>
      </c>
      <c r="BF92" s="207">
        <v>0</v>
      </c>
      <c r="BG92" s="207">
        <v>0</v>
      </c>
      <c r="BH92" s="207">
        <v>0</v>
      </c>
      <c r="BI92" s="207">
        <v>0</v>
      </c>
      <c r="BJ92" s="207">
        <v>0</v>
      </c>
      <c r="BK92" s="207">
        <v>0</v>
      </c>
      <c r="BL92" s="207">
        <v>0</v>
      </c>
      <c r="BM92" s="207">
        <v>0</v>
      </c>
      <c r="BN92" s="207">
        <v>0</v>
      </c>
      <c r="BO92" s="207">
        <v>0</v>
      </c>
      <c r="BP92" s="207">
        <v>0</v>
      </c>
      <c r="BQ92" s="207">
        <v>0</v>
      </c>
      <c r="BR92" s="207">
        <v>0</v>
      </c>
      <c r="BS92" s="207">
        <v>0</v>
      </c>
      <c r="BT92" s="207">
        <v>0</v>
      </c>
      <c r="BU92" s="207">
        <v>0</v>
      </c>
      <c r="BV92" s="207">
        <v>0</v>
      </c>
      <c r="BW92" s="207">
        <v>0</v>
      </c>
      <c r="BX92" s="207">
        <v>0</v>
      </c>
      <c r="BY92" s="207">
        <v>0</v>
      </c>
      <c r="BZ92" s="207">
        <v>0</v>
      </c>
      <c r="CA92" s="207">
        <v>0</v>
      </c>
      <c r="CB92" s="207">
        <v>0</v>
      </c>
      <c r="CC92" s="207">
        <v>0</v>
      </c>
      <c r="CD92" s="207">
        <v>0</v>
      </c>
      <c r="CE92" s="207">
        <v>0</v>
      </c>
      <c r="CF92" s="207">
        <v>0</v>
      </c>
      <c r="CG92" s="147"/>
      <c r="CH92" s="176"/>
      <c r="CJ92" s="151"/>
      <c r="CK92" s="76">
        <f t="shared" ca="1" si="90"/>
        <v>0.85114443853380672</v>
      </c>
      <c r="CL92" s="179">
        <f t="shared" si="91"/>
        <v>5</v>
      </c>
      <c r="CM92" s="180">
        <f t="shared" si="92"/>
        <v>39646</v>
      </c>
      <c r="CN92" s="208">
        <v>0</v>
      </c>
      <c r="CO92" s="208">
        <v>0</v>
      </c>
      <c r="CP92" s="208">
        <v>0</v>
      </c>
      <c r="CQ92" s="208">
        <v>0</v>
      </c>
      <c r="CR92" s="208">
        <v>0</v>
      </c>
      <c r="CS92" s="208">
        <v>0</v>
      </c>
      <c r="CT92" s="208">
        <v>0</v>
      </c>
      <c r="CU92" s="208">
        <v>0</v>
      </c>
      <c r="CW92">
        <v>1</v>
      </c>
      <c r="CX92">
        <v>1</v>
      </c>
      <c r="CY92" s="158"/>
      <c r="CZ92" s="177">
        <f t="shared" si="93"/>
        <v>9.6000000000000002E-2</v>
      </c>
      <c r="DB92" s="151"/>
      <c r="DC92" s="76">
        <f t="shared" ca="1" si="51"/>
        <v>0.12701771321981559</v>
      </c>
      <c r="DD92">
        <f t="shared" si="94"/>
        <v>5</v>
      </c>
      <c r="DE92" s="129">
        <f t="shared" si="52"/>
        <v>39646</v>
      </c>
      <c r="DF92" s="161">
        <f t="shared" si="95"/>
        <v>0</v>
      </c>
      <c r="DG92" s="161">
        <f t="shared" si="96"/>
        <v>0</v>
      </c>
      <c r="DH92" s="161">
        <f t="shared" si="97"/>
        <v>0</v>
      </c>
      <c r="DI92" s="161">
        <f t="shared" si="98"/>
        <v>0</v>
      </c>
      <c r="DJ92" s="161">
        <f t="shared" si="99"/>
        <v>0</v>
      </c>
      <c r="DK92" s="161">
        <f t="shared" si="100"/>
        <v>0</v>
      </c>
      <c r="DL92" s="161">
        <f t="shared" si="101"/>
        <v>0</v>
      </c>
      <c r="DM92" s="161">
        <f t="shared" si="102"/>
        <v>0</v>
      </c>
      <c r="DN92" s="161">
        <f t="shared" si="103"/>
        <v>0</v>
      </c>
      <c r="DO92" s="161">
        <f t="shared" si="104"/>
        <v>0</v>
      </c>
      <c r="DP92" s="161">
        <f t="shared" si="105"/>
        <v>0</v>
      </c>
      <c r="DQ92" s="161">
        <f t="shared" si="106"/>
        <v>0</v>
      </c>
      <c r="DR92" s="161">
        <f t="shared" si="107"/>
        <v>0</v>
      </c>
      <c r="DS92" s="161">
        <f t="shared" si="108"/>
        <v>0</v>
      </c>
      <c r="DT92" s="161">
        <f t="shared" si="109"/>
        <v>0</v>
      </c>
      <c r="DU92" s="161">
        <f t="shared" si="110"/>
        <v>0</v>
      </c>
      <c r="DV92" s="161">
        <f t="shared" si="111"/>
        <v>0</v>
      </c>
      <c r="DW92" s="161">
        <f t="shared" si="112"/>
        <v>0</v>
      </c>
      <c r="DX92" s="161">
        <f t="shared" si="113"/>
        <v>0</v>
      </c>
      <c r="DY92" s="161">
        <f t="shared" si="114"/>
        <v>0</v>
      </c>
      <c r="DZ92" s="161">
        <f t="shared" si="115"/>
        <v>0</v>
      </c>
      <c r="EA92" s="161">
        <f t="shared" si="116"/>
        <v>0</v>
      </c>
      <c r="EB92" s="161">
        <f t="shared" si="117"/>
        <v>0</v>
      </c>
      <c r="EC92" s="161">
        <f t="shared" si="118"/>
        <v>0</v>
      </c>
      <c r="ED92" s="161">
        <f t="shared" si="119"/>
        <v>0</v>
      </c>
      <c r="EE92" s="161">
        <f t="shared" si="120"/>
        <v>0</v>
      </c>
      <c r="EF92" s="161">
        <f t="shared" si="121"/>
        <v>0</v>
      </c>
      <c r="EG92" s="161">
        <f t="shared" si="122"/>
        <v>0</v>
      </c>
      <c r="EH92" s="161">
        <f t="shared" si="123"/>
        <v>0</v>
      </c>
      <c r="EI92" s="161">
        <f t="shared" si="124"/>
        <v>0</v>
      </c>
      <c r="EJ92" s="161">
        <f t="shared" si="125"/>
        <v>0</v>
      </c>
      <c r="EK92" s="147">
        <f t="shared" si="55"/>
        <v>0</v>
      </c>
      <c r="EL92" s="149"/>
      <c r="EN92" s="151"/>
      <c r="EO92" s="151"/>
      <c r="EP92" s="139">
        <f t="shared" si="56"/>
        <v>0</v>
      </c>
      <c r="EQ92" s="139">
        <f t="shared" si="57"/>
        <v>0</v>
      </c>
      <c r="ER92" s="139">
        <f t="shared" si="58"/>
        <v>0</v>
      </c>
      <c r="ES92" s="139">
        <f t="shared" si="59"/>
        <v>0</v>
      </c>
      <c r="ET92" s="139">
        <f t="shared" si="60"/>
        <v>0</v>
      </c>
      <c r="EU92" s="139">
        <f t="shared" si="61"/>
        <v>0</v>
      </c>
      <c r="EV92" s="139">
        <f t="shared" si="62"/>
        <v>0</v>
      </c>
      <c r="EW92" s="139">
        <f t="shared" si="63"/>
        <v>0</v>
      </c>
      <c r="EX92" s="139">
        <f t="shared" si="64"/>
        <v>0</v>
      </c>
      <c r="EY92" s="139">
        <f t="shared" si="65"/>
        <v>0</v>
      </c>
      <c r="EZ92" s="139">
        <f t="shared" si="66"/>
        <v>0</v>
      </c>
      <c r="FA92" s="139">
        <f t="shared" si="67"/>
        <v>0</v>
      </c>
      <c r="FB92" s="139">
        <f t="shared" si="68"/>
        <v>0</v>
      </c>
      <c r="FC92" s="139">
        <f t="shared" si="69"/>
        <v>0</v>
      </c>
      <c r="FD92" s="139">
        <f t="shared" si="70"/>
        <v>0</v>
      </c>
      <c r="FE92" s="139">
        <f t="shared" si="71"/>
        <v>0</v>
      </c>
      <c r="FF92" s="139">
        <f t="shared" si="72"/>
        <v>0</v>
      </c>
      <c r="FG92" s="139">
        <f t="shared" si="73"/>
        <v>0</v>
      </c>
      <c r="FH92" s="139">
        <f t="shared" si="74"/>
        <v>0</v>
      </c>
      <c r="FI92" s="139">
        <f t="shared" si="75"/>
        <v>0</v>
      </c>
      <c r="FJ92" s="139">
        <f t="shared" si="76"/>
        <v>0</v>
      </c>
      <c r="FK92" s="139">
        <f t="shared" si="77"/>
        <v>0</v>
      </c>
      <c r="FL92" s="139">
        <f t="shared" si="78"/>
        <v>0</v>
      </c>
      <c r="FM92" s="139">
        <f t="shared" si="79"/>
        <v>0</v>
      </c>
      <c r="FN92" s="139">
        <f t="shared" si="80"/>
        <v>0</v>
      </c>
      <c r="FO92" s="139">
        <f t="shared" si="81"/>
        <v>0</v>
      </c>
      <c r="FP92" s="139">
        <f t="shared" si="82"/>
        <v>0</v>
      </c>
      <c r="FQ92" s="139">
        <f t="shared" si="83"/>
        <v>0</v>
      </c>
      <c r="FR92" s="139">
        <f t="shared" si="84"/>
        <v>0</v>
      </c>
      <c r="FS92" s="139">
        <f t="shared" si="85"/>
        <v>0</v>
      </c>
      <c r="FT92" s="139">
        <f t="shared" si="86"/>
        <v>0</v>
      </c>
      <c r="FU92" s="148">
        <f t="shared" si="87"/>
        <v>0</v>
      </c>
      <c r="FV92" s="149"/>
      <c r="FY92" s="213">
        <v>87</v>
      </c>
      <c r="FZ92">
        <v>69.014682324482834</v>
      </c>
      <c r="GA92">
        <v>59.184050604572604</v>
      </c>
      <c r="GB92">
        <v>36.035678819511666</v>
      </c>
      <c r="GC92">
        <v>16.689090562685674</v>
      </c>
      <c r="GD92">
        <v>5.6303557944065297</v>
      </c>
      <c r="GE92">
        <v>9.3702467286255278</v>
      </c>
      <c r="GF92">
        <v>7.5401962301428718</v>
      </c>
      <c r="GG92">
        <v>7.1523947427849492</v>
      </c>
      <c r="GH92">
        <v>8.151110125018592</v>
      </c>
      <c r="GI92">
        <v>24.885363337228966</v>
      </c>
      <c r="GJ92"/>
      <c r="GK92"/>
      <c r="GL92"/>
      <c r="GM92"/>
      <c r="GN92" s="208"/>
      <c r="GO92" s="208"/>
      <c r="GP92" s="208"/>
      <c r="GQ92" s="208"/>
      <c r="GR92" s="208"/>
      <c r="GS92" s="208"/>
      <c r="GT92" s="208"/>
      <c r="GU92" s="213">
        <v>87</v>
      </c>
    </row>
    <row r="93" spans="1:203" s="7" customFormat="1">
      <c r="A93" s="77"/>
      <c r="B93" s="76">
        <f ca="1">IF(C93="", "", RAND())</f>
        <v>0.39791304258035254</v>
      </c>
      <c r="C93">
        <v>9</v>
      </c>
      <c r="D93">
        <v>39646</v>
      </c>
      <c r="E93">
        <v>0</v>
      </c>
      <c r="F93">
        <v>0</v>
      </c>
      <c r="G93">
        <v>83.333333333333329</v>
      </c>
      <c r="H93">
        <v>41.666666666666664</v>
      </c>
      <c r="I93">
        <v>20.833333333333332</v>
      </c>
      <c r="J93">
        <v>20.833333333333332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320.20676557784719</v>
      </c>
      <c r="AO93">
        <v>23.601482326715608</v>
      </c>
      <c r="AP93">
        <v>27.150397786395779</v>
      </c>
      <c r="AQ93">
        <v>160.83061028615714</v>
      </c>
      <c r="AR93">
        <v>23.293947830593993</v>
      </c>
      <c r="AS93">
        <v>364.79004984001438</v>
      </c>
      <c r="AT93">
        <v>14.321518021959768</v>
      </c>
      <c r="AU93">
        <v>-12.348833273425381</v>
      </c>
      <c r="AV93"/>
      <c r="AW93"/>
      <c r="AX93" s="151"/>
      <c r="AY93" s="76">
        <f t="shared" ca="1" si="88"/>
        <v>0.23922387219363572</v>
      </c>
      <c r="AZ93">
        <v>6</v>
      </c>
      <c r="BA93" s="129">
        <f t="shared" si="89"/>
        <v>39646</v>
      </c>
      <c r="BB93" s="207">
        <v>0</v>
      </c>
      <c r="BC93" s="207">
        <v>0</v>
      </c>
      <c r="BD93" s="207">
        <v>0</v>
      </c>
      <c r="BE93" s="207">
        <v>3</v>
      </c>
      <c r="BF93" s="207">
        <v>10</v>
      </c>
      <c r="BG93" s="207">
        <v>2</v>
      </c>
      <c r="BH93" s="207">
        <v>0</v>
      </c>
      <c r="BI93" s="207">
        <v>0</v>
      </c>
      <c r="BJ93" s="207">
        <v>0</v>
      </c>
      <c r="BK93" s="207">
        <v>0</v>
      </c>
      <c r="BL93" s="207">
        <v>0</v>
      </c>
      <c r="BM93" s="207">
        <v>0</v>
      </c>
      <c r="BN93" s="207">
        <v>0</v>
      </c>
      <c r="BO93" s="207">
        <v>0</v>
      </c>
      <c r="BP93" s="207">
        <v>0</v>
      </c>
      <c r="BQ93" s="207">
        <v>0</v>
      </c>
      <c r="BR93" s="207">
        <v>0</v>
      </c>
      <c r="BS93" s="207">
        <v>0</v>
      </c>
      <c r="BT93" s="207">
        <v>0</v>
      </c>
      <c r="BU93" s="207">
        <v>0</v>
      </c>
      <c r="BV93" s="207">
        <v>0</v>
      </c>
      <c r="BW93" s="207">
        <v>0</v>
      </c>
      <c r="BX93" s="207">
        <v>0</v>
      </c>
      <c r="BY93" s="207">
        <v>0</v>
      </c>
      <c r="BZ93" s="207">
        <v>0</v>
      </c>
      <c r="CA93" s="207">
        <v>0</v>
      </c>
      <c r="CB93" s="207">
        <v>0</v>
      </c>
      <c r="CC93" s="207">
        <v>0</v>
      </c>
      <c r="CD93" s="207">
        <v>0</v>
      </c>
      <c r="CE93" s="207">
        <v>0</v>
      </c>
      <c r="CF93" s="207">
        <v>0</v>
      </c>
      <c r="CG93" s="147"/>
      <c r="CH93" s="176"/>
      <c r="CJ93" s="151"/>
      <c r="CK93" s="76">
        <f t="shared" ca="1" si="90"/>
        <v>0.71556703805730004</v>
      </c>
      <c r="CL93" s="179">
        <f t="shared" si="91"/>
        <v>6</v>
      </c>
      <c r="CM93" s="180">
        <f t="shared" si="92"/>
        <v>39646</v>
      </c>
      <c r="CN93" s="208">
        <v>0</v>
      </c>
      <c r="CO93" s="208">
        <v>0</v>
      </c>
      <c r="CP93" s="208">
        <v>2</v>
      </c>
      <c r="CQ93" s="208">
        <v>0</v>
      </c>
      <c r="CR93" s="208">
        <v>1</v>
      </c>
      <c r="CS93" s="208">
        <v>0</v>
      </c>
      <c r="CT93" s="208">
        <v>0</v>
      </c>
      <c r="CU93" s="208">
        <v>0</v>
      </c>
      <c r="CW93">
        <v>1</v>
      </c>
      <c r="CX93">
        <v>2</v>
      </c>
      <c r="CY93" s="159"/>
      <c r="CZ93" s="177">
        <f t="shared" si="93"/>
        <v>9.6000000000000002E-2</v>
      </c>
      <c r="DB93" s="151"/>
      <c r="DC93" s="76">
        <f t="shared" ca="1" si="51"/>
        <v>0.81775003811543012</v>
      </c>
      <c r="DD93">
        <f t="shared" si="94"/>
        <v>6</v>
      </c>
      <c r="DE93" s="129">
        <f t="shared" si="52"/>
        <v>39646</v>
      </c>
      <c r="DF93" s="161">
        <f t="shared" si="95"/>
        <v>0</v>
      </c>
      <c r="DG93" s="161">
        <f t="shared" si="96"/>
        <v>0</v>
      </c>
      <c r="DH93" s="161">
        <f t="shared" si="97"/>
        <v>41.666666666666664</v>
      </c>
      <c r="DI93" s="161">
        <f t="shared" si="98"/>
        <v>31.25</v>
      </c>
      <c r="DJ93" s="161">
        <f t="shared" si="99"/>
        <v>125</v>
      </c>
      <c r="DK93" s="161">
        <f t="shared" si="100"/>
        <v>20.833333333333332</v>
      </c>
      <c r="DL93" s="161">
        <f t="shared" si="101"/>
        <v>0</v>
      </c>
      <c r="DM93" s="161">
        <f t="shared" si="102"/>
        <v>0</v>
      </c>
      <c r="DN93" s="161">
        <f t="shared" si="103"/>
        <v>0</v>
      </c>
      <c r="DO93" s="161">
        <f t="shared" si="104"/>
        <v>0</v>
      </c>
      <c r="DP93" s="161">
        <f t="shared" si="105"/>
        <v>0</v>
      </c>
      <c r="DQ93" s="161">
        <f t="shared" si="106"/>
        <v>0</v>
      </c>
      <c r="DR93" s="161">
        <f t="shared" si="107"/>
        <v>0</v>
      </c>
      <c r="DS93" s="161">
        <f t="shared" si="108"/>
        <v>0</v>
      </c>
      <c r="DT93" s="161">
        <f t="shared" si="109"/>
        <v>0</v>
      </c>
      <c r="DU93" s="161">
        <f t="shared" si="110"/>
        <v>0</v>
      </c>
      <c r="DV93" s="161">
        <f t="shared" si="111"/>
        <v>0</v>
      </c>
      <c r="DW93" s="161">
        <f t="shared" si="112"/>
        <v>0</v>
      </c>
      <c r="DX93" s="161">
        <f t="shared" si="113"/>
        <v>0</v>
      </c>
      <c r="DY93" s="161">
        <f t="shared" si="114"/>
        <v>0</v>
      </c>
      <c r="DZ93" s="161">
        <f t="shared" si="115"/>
        <v>0</v>
      </c>
      <c r="EA93" s="161">
        <f t="shared" si="116"/>
        <v>0</v>
      </c>
      <c r="EB93" s="161">
        <f t="shared" si="117"/>
        <v>0</v>
      </c>
      <c r="EC93" s="161">
        <f t="shared" si="118"/>
        <v>0</v>
      </c>
      <c r="ED93" s="161">
        <f t="shared" si="119"/>
        <v>0</v>
      </c>
      <c r="EE93" s="161">
        <f t="shared" si="120"/>
        <v>0</v>
      </c>
      <c r="EF93" s="161">
        <f t="shared" si="121"/>
        <v>0</v>
      </c>
      <c r="EG93" s="161">
        <f t="shared" si="122"/>
        <v>0</v>
      </c>
      <c r="EH93" s="161">
        <f t="shared" si="123"/>
        <v>0</v>
      </c>
      <c r="EI93" s="161">
        <f t="shared" si="124"/>
        <v>0</v>
      </c>
      <c r="EJ93" s="161">
        <f t="shared" si="125"/>
        <v>0</v>
      </c>
      <c r="EK93" s="147">
        <f t="shared" si="55"/>
        <v>218.75</v>
      </c>
      <c r="EL93" s="149"/>
      <c r="EN93" s="151"/>
      <c r="EO93" s="151"/>
      <c r="EP93" s="139">
        <f t="shared" si="56"/>
        <v>0</v>
      </c>
      <c r="EQ93" s="139">
        <f t="shared" si="57"/>
        <v>0</v>
      </c>
      <c r="ER93" s="139">
        <f t="shared" si="58"/>
        <v>1.944708828696879</v>
      </c>
      <c r="ES93" s="139">
        <f t="shared" si="59"/>
        <v>4.3428759800618391</v>
      </c>
      <c r="ET93" s="139">
        <f t="shared" si="60"/>
        <v>37.674505346952557</v>
      </c>
      <c r="EU93" s="139">
        <f t="shared" si="61"/>
        <v>11.446722475101499</v>
      </c>
      <c r="EV93" s="139">
        <f t="shared" si="62"/>
        <v>0</v>
      </c>
      <c r="EW93" s="139">
        <f t="shared" si="63"/>
        <v>0</v>
      </c>
      <c r="EX93" s="139">
        <f t="shared" si="64"/>
        <v>0</v>
      </c>
      <c r="EY93" s="139">
        <f t="shared" si="65"/>
        <v>0</v>
      </c>
      <c r="EZ93" s="139">
        <f t="shared" si="66"/>
        <v>0</v>
      </c>
      <c r="FA93" s="139">
        <f t="shared" si="67"/>
        <v>0</v>
      </c>
      <c r="FB93" s="139">
        <f t="shared" si="68"/>
        <v>0</v>
      </c>
      <c r="FC93" s="139">
        <f t="shared" si="69"/>
        <v>0</v>
      </c>
      <c r="FD93" s="139">
        <f t="shared" si="70"/>
        <v>0</v>
      </c>
      <c r="FE93" s="139">
        <f t="shared" si="71"/>
        <v>0</v>
      </c>
      <c r="FF93" s="139">
        <f t="shared" si="72"/>
        <v>0</v>
      </c>
      <c r="FG93" s="139">
        <f t="shared" si="73"/>
        <v>0</v>
      </c>
      <c r="FH93" s="139">
        <f t="shared" si="74"/>
        <v>0</v>
      </c>
      <c r="FI93" s="139">
        <f t="shared" si="75"/>
        <v>0</v>
      </c>
      <c r="FJ93" s="139">
        <f t="shared" si="76"/>
        <v>0</v>
      </c>
      <c r="FK93" s="139">
        <f t="shared" si="77"/>
        <v>0</v>
      </c>
      <c r="FL93" s="139">
        <f t="shared" si="78"/>
        <v>0</v>
      </c>
      <c r="FM93" s="139">
        <f t="shared" si="79"/>
        <v>0</v>
      </c>
      <c r="FN93" s="139">
        <f t="shared" si="80"/>
        <v>0</v>
      </c>
      <c r="FO93" s="139">
        <f t="shared" si="81"/>
        <v>0</v>
      </c>
      <c r="FP93" s="139">
        <f t="shared" si="82"/>
        <v>0</v>
      </c>
      <c r="FQ93" s="139">
        <f t="shared" si="83"/>
        <v>0</v>
      </c>
      <c r="FR93" s="139">
        <f t="shared" si="84"/>
        <v>0</v>
      </c>
      <c r="FS93" s="139">
        <f t="shared" si="85"/>
        <v>0</v>
      </c>
      <c r="FT93" s="139">
        <f t="shared" si="86"/>
        <v>0</v>
      </c>
      <c r="FU93" s="148">
        <f t="shared" si="87"/>
        <v>55.408812630812776</v>
      </c>
      <c r="FV93" s="149"/>
      <c r="FY93" s="213">
        <v>88</v>
      </c>
      <c r="FZ93">
        <v>41.073663980303522</v>
      </c>
      <c r="GA93">
        <v>28.113630384814613</v>
      </c>
      <c r="GB93">
        <v>39.544240148753332</v>
      </c>
      <c r="GC93">
        <v>21.069086353178612</v>
      </c>
      <c r="GD93">
        <v>3.9667466570935157</v>
      </c>
      <c r="GE93">
        <v>5.5931257509174994</v>
      </c>
      <c r="GF93">
        <v>18.428402561324084</v>
      </c>
      <c r="GG93">
        <v>12.848244347537571</v>
      </c>
      <c r="GH93">
        <v>4.090452632591929</v>
      </c>
      <c r="GI93">
        <v>22.046310037281899</v>
      </c>
      <c r="GJ93"/>
      <c r="GK93"/>
      <c r="GL93"/>
      <c r="GM93"/>
      <c r="GN93" s="208"/>
      <c r="GO93" s="208"/>
      <c r="GP93" s="208"/>
      <c r="GQ93" s="208"/>
      <c r="GR93" s="208"/>
      <c r="GS93" s="208"/>
      <c r="GT93" s="208"/>
      <c r="GU93" s="213">
        <v>88</v>
      </c>
    </row>
    <row r="94" spans="1:203" s="7" customFormat="1">
      <c r="A94" s="77"/>
      <c r="B94" s="76">
        <f ca="1">IF(C94="", "", RAND())</f>
        <v>0.64984687021924037</v>
      </c>
      <c r="C94">
        <v>7</v>
      </c>
      <c r="D94">
        <v>39646</v>
      </c>
      <c r="E94">
        <v>0</v>
      </c>
      <c r="F94">
        <v>0</v>
      </c>
      <c r="G94">
        <v>145.83333333333334</v>
      </c>
      <c r="H94">
        <v>83.333333333333329</v>
      </c>
      <c r="I94">
        <v>31.25</v>
      </c>
      <c r="J94">
        <v>10.416666666666666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199.68622978498232</v>
      </c>
      <c r="AO94">
        <v>20.202334897983828</v>
      </c>
      <c r="AP94">
        <v>27.513263216457162</v>
      </c>
      <c r="AQ94">
        <v>155.50933834171093</v>
      </c>
      <c r="AR94">
        <v>21.501773969485633</v>
      </c>
      <c r="AS94">
        <v>263.51191653464178</v>
      </c>
      <c r="AT94">
        <v>12.86412946805639</v>
      </c>
      <c r="AU94">
        <v>7.4343889587315957</v>
      </c>
      <c r="AV94"/>
      <c r="AW94"/>
      <c r="AX94" s="151"/>
      <c r="AY94" s="76">
        <f t="shared" ca="1" si="88"/>
        <v>0.9462536409748239</v>
      </c>
      <c r="AZ94">
        <v>7</v>
      </c>
      <c r="BA94" s="129">
        <f t="shared" si="89"/>
        <v>39646</v>
      </c>
      <c r="BB94" s="207">
        <v>0</v>
      </c>
      <c r="BC94" s="207">
        <v>0</v>
      </c>
      <c r="BD94" s="207">
        <v>0</v>
      </c>
      <c r="BE94" s="207">
        <v>0</v>
      </c>
      <c r="BF94" s="207">
        <v>3</v>
      </c>
      <c r="BG94" s="207">
        <v>1</v>
      </c>
      <c r="BH94" s="207">
        <v>0</v>
      </c>
      <c r="BI94" s="207">
        <v>0</v>
      </c>
      <c r="BJ94" s="207">
        <v>0</v>
      </c>
      <c r="BK94" s="207">
        <v>0</v>
      </c>
      <c r="BL94" s="207">
        <v>0</v>
      </c>
      <c r="BM94" s="207">
        <v>0</v>
      </c>
      <c r="BN94" s="207">
        <v>0</v>
      </c>
      <c r="BO94" s="207">
        <v>0</v>
      </c>
      <c r="BP94" s="207">
        <v>0</v>
      </c>
      <c r="BQ94" s="207">
        <v>0</v>
      </c>
      <c r="BR94" s="207">
        <v>0</v>
      </c>
      <c r="BS94" s="207">
        <v>0</v>
      </c>
      <c r="BT94" s="207">
        <v>0</v>
      </c>
      <c r="BU94" s="207">
        <v>0</v>
      </c>
      <c r="BV94" s="207">
        <v>0</v>
      </c>
      <c r="BW94" s="207">
        <v>0</v>
      </c>
      <c r="BX94" s="207">
        <v>0</v>
      </c>
      <c r="BY94" s="207">
        <v>0</v>
      </c>
      <c r="BZ94" s="207">
        <v>0</v>
      </c>
      <c r="CA94" s="207">
        <v>0</v>
      </c>
      <c r="CB94" s="207">
        <v>0</v>
      </c>
      <c r="CC94" s="207">
        <v>0</v>
      </c>
      <c r="CD94" s="207">
        <v>0</v>
      </c>
      <c r="CE94" s="207">
        <v>0</v>
      </c>
      <c r="CF94" s="207">
        <v>0</v>
      </c>
      <c r="CG94" s="147"/>
      <c r="CH94" s="176"/>
      <c r="CJ94" s="151"/>
      <c r="CK94" s="76">
        <f t="shared" ca="1" si="90"/>
        <v>0.25083579629962705</v>
      </c>
      <c r="CL94" s="179">
        <f t="shared" si="91"/>
        <v>7</v>
      </c>
      <c r="CM94" s="180">
        <f t="shared" si="92"/>
        <v>39646</v>
      </c>
      <c r="CN94" s="208">
        <v>0</v>
      </c>
      <c r="CO94" s="208">
        <v>0</v>
      </c>
      <c r="CP94" s="208">
        <v>7</v>
      </c>
      <c r="CQ94" s="208">
        <v>4</v>
      </c>
      <c r="CR94" s="208">
        <v>0</v>
      </c>
      <c r="CS94" s="208">
        <v>0</v>
      </c>
      <c r="CT94" s="208">
        <v>0</v>
      </c>
      <c r="CU94" s="208">
        <v>0</v>
      </c>
      <c r="CV94" s="160"/>
      <c r="CW94">
        <v>1</v>
      </c>
      <c r="CX94">
        <v>2</v>
      </c>
      <c r="CY94" s="164"/>
      <c r="CZ94" s="177">
        <f t="shared" si="93"/>
        <v>9.6000000000000002E-2</v>
      </c>
      <c r="DB94" s="151"/>
      <c r="DC94" s="76">
        <f t="shared" ca="1" si="51"/>
        <v>0.63509900805299258</v>
      </c>
      <c r="DD94">
        <f t="shared" si="94"/>
        <v>7</v>
      </c>
      <c r="DE94" s="129">
        <f t="shared" si="52"/>
        <v>39646</v>
      </c>
      <c r="DF94" s="161">
        <f t="shared" si="95"/>
        <v>0</v>
      </c>
      <c r="DG94" s="161">
        <f t="shared" si="96"/>
        <v>0</v>
      </c>
      <c r="DH94" s="161">
        <f t="shared" si="97"/>
        <v>145.83333333333334</v>
      </c>
      <c r="DI94" s="161">
        <f t="shared" si="98"/>
        <v>83.333333333333329</v>
      </c>
      <c r="DJ94" s="161">
        <f t="shared" si="99"/>
        <v>31.25</v>
      </c>
      <c r="DK94" s="161">
        <f t="shared" si="100"/>
        <v>10.416666666666666</v>
      </c>
      <c r="DL94" s="161">
        <f t="shared" si="101"/>
        <v>0</v>
      </c>
      <c r="DM94" s="161">
        <f t="shared" si="102"/>
        <v>0</v>
      </c>
      <c r="DN94" s="161">
        <f t="shared" si="103"/>
        <v>0</v>
      </c>
      <c r="DO94" s="161">
        <f t="shared" si="104"/>
        <v>0</v>
      </c>
      <c r="DP94" s="161">
        <f t="shared" si="105"/>
        <v>0</v>
      </c>
      <c r="DQ94" s="161">
        <f t="shared" si="106"/>
        <v>0</v>
      </c>
      <c r="DR94" s="161">
        <f t="shared" si="107"/>
        <v>0</v>
      </c>
      <c r="DS94" s="161">
        <f t="shared" si="108"/>
        <v>0</v>
      </c>
      <c r="DT94" s="161">
        <f t="shared" si="109"/>
        <v>0</v>
      </c>
      <c r="DU94" s="161">
        <f t="shared" si="110"/>
        <v>0</v>
      </c>
      <c r="DV94" s="161">
        <f t="shared" si="111"/>
        <v>0</v>
      </c>
      <c r="DW94" s="161">
        <f t="shared" si="112"/>
        <v>0</v>
      </c>
      <c r="DX94" s="161">
        <f t="shared" si="113"/>
        <v>0</v>
      </c>
      <c r="DY94" s="161">
        <f t="shared" si="114"/>
        <v>0</v>
      </c>
      <c r="DZ94" s="161">
        <f t="shared" si="115"/>
        <v>0</v>
      </c>
      <c r="EA94" s="161">
        <f t="shared" si="116"/>
        <v>0</v>
      </c>
      <c r="EB94" s="161">
        <f t="shared" si="117"/>
        <v>0</v>
      </c>
      <c r="EC94" s="161">
        <f t="shared" si="118"/>
        <v>0</v>
      </c>
      <c r="ED94" s="161">
        <f t="shared" si="119"/>
        <v>0</v>
      </c>
      <c r="EE94" s="161">
        <f t="shared" si="120"/>
        <v>0</v>
      </c>
      <c r="EF94" s="161">
        <f t="shared" si="121"/>
        <v>0</v>
      </c>
      <c r="EG94" s="161">
        <f t="shared" si="122"/>
        <v>0</v>
      </c>
      <c r="EH94" s="161">
        <f t="shared" si="123"/>
        <v>0</v>
      </c>
      <c r="EI94" s="161">
        <f t="shared" si="124"/>
        <v>0</v>
      </c>
      <c r="EJ94" s="161">
        <f t="shared" si="125"/>
        <v>0</v>
      </c>
      <c r="EK94" s="147">
        <f t="shared" si="55"/>
        <v>270.83333333333337</v>
      </c>
      <c r="EL94" s="149"/>
      <c r="EN94" s="151"/>
      <c r="EO94" s="151"/>
      <c r="EP94" s="139">
        <f t="shared" si="56"/>
        <v>0</v>
      </c>
      <c r="EQ94" s="139">
        <f t="shared" si="57"/>
        <v>0</v>
      </c>
      <c r="ER94" s="139">
        <f t="shared" si="58"/>
        <v>6.8064809004390776</v>
      </c>
      <c r="ES94" s="139">
        <f t="shared" si="59"/>
        <v>11.581002613498237</v>
      </c>
      <c r="ET94" s="139">
        <f t="shared" si="60"/>
        <v>9.4186263367381393</v>
      </c>
      <c r="EU94" s="139">
        <f t="shared" si="61"/>
        <v>5.7233612375507494</v>
      </c>
      <c r="EV94" s="139">
        <f t="shared" si="62"/>
        <v>0</v>
      </c>
      <c r="EW94" s="139">
        <f t="shared" si="63"/>
        <v>0</v>
      </c>
      <c r="EX94" s="139">
        <f t="shared" si="64"/>
        <v>0</v>
      </c>
      <c r="EY94" s="139">
        <f t="shared" si="65"/>
        <v>0</v>
      </c>
      <c r="EZ94" s="139">
        <f t="shared" si="66"/>
        <v>0</v>
      </c>
      <c r="FA94" s="139">
        <f t="shared" si="67"/>
        <v>0</v>
      </c>
      <c r="FB94" s="139">
        <f t="shared" si="68"/>
        <v>0</v>
      </c>
      <c r="FC94" s="139">
        <f t="shared" si="69"/>
        <v>0</v>
      </c>
      <c r="FD94" s="139">
        <f t="shared" si="70"/>
        <v>0</v>
      </c>
      <c r="FE94" s="139">
        <f t="shared" si="71"/>
        <v>0</v>
      </c>
      <c r="FF94" s="139">
        <f t="shared" si="72"/>
        <v>0</v>
      </c>
      <c r="FG94" s="139">
        <f t="shared" si="73"/>
        <v>0</v>
      </c>
      <c r="FH94" s="139">
        <f t="shared" si="74"/>
        <v>0</v>
      </c>
      <c r="FI94" s="139">
        <f t="shared" si="75"/>
        <v>0</v>
      </c>
      <c r="FJ94" s="139">
        <f t="shared" si="76"/>
        <v>0</v>
      </c>
      <c r="FK94" s="139">
        <f t="shared" si="77"/>
        <v>0</v>
      </c>
      <c r="FL94" s="139">
        <f t="shared" si="78"/>
        <v>0</v>
      </c>
      <c r="FM94" s="139">
        <f t="shared" si="79"/>
        <v>0</v>
      </c>
      <c r="FN94" s="139">
        <f t="shared" si="80"/>
        <v>0</v>
      </c>
      <c r="FO94" s="139">
        <f t="shared" si="81"/>
        <v>0</v>
      </c>
      <c r="FP94" s="139">
        <f t="shared" si="82"/>
        <v>0</v>
      </c>
      <c r="FQ94" s="139">
        <f t="shared" si="83"/>
        <v>0</v>
      </c>
      <c r="FR94" s="139">
        <f t="shared" si="84"/>
        <v>0</v>
      </c>
      <c r="FS94" s="139">
        <f t="shared" si="85"/>
        <v>0</v>
      </c>
      <c r="FT94" s="139">
        <f t="shared" si="86"/>
        <v>0</v>
      </c>
      <c r="FU94" s="148">
        <f t="shared" si="87"/>
        <v>33.529471088226202</v>
      </c>
      <c r="FV94" s="149"/>
      <c r="FY94" s="213">
        <v>89</v>
      </c>
      <c r="FZ94">
        <v>39.684518832620981</v>
      </c>
      <c r="GA94">
        <v>48.815687477973079</v>
      </c>
      <c r="GB94">
        <v>41.770762227485797</v>
      </c>
      <c r="GC94">
        <v>15.529220312810141</v>
      </c>
      <c r="GD94">
        <v>2.089589842239385</v>
      </c>
      <c r="GE94">
        <v>2.5550764337302514</v>
      </c>
      <c r="GF94">
        <v>6.5190187148464691</v>
      </c>
      <c r="GG94">
        <v>5.0689551105691013</v>
      </c>
      <c r="GH94">
        <v>3.8802516213564573</v>
      </c>
      <c r="GI94">
        <v>19.093957938474798</v>
      </c>
      <c r="GJ94"/>
      <c r="GK94"/>
      <c r="GL94"/>
      <c r="GM94"/>
      <c r="GN94" s="208"/>
      <c r="GO94" s="208"/>
      <c r="GP94" s="208"/>
      <c r="GQ94" s="208"/>
      <c r="GR94" s="208"/>
      <c r="GS94" s="208"/>
      <c r="GT94" s="208"/>
      <c r="GU94" s="213">
        <v>89</v>
      </c>
    </row>
    <row r="95" spans="1:203" s="7" customFormat="1">
      <c r="A95" s="77"/>
      <c r="B95" s="76">
        <f ca="1">IF(C95="", "", RAND())</f>
        <v>0.5244543343289414</v>
      </c>
      <c r="C95">
        <v>10</v>
      </c>
      <c r="D95">
        <v>39646</v>
      </c>
      <c r="E95">
        <v>0</v>
      </c>
      <c r="F95">
        <v>0</v>
      </c>
      <c r="G95">
        <v>114.58333333333333</v>
      </c>
      <c r="H95">
        <v>10.416666666666666</v>
      </c>
      <c r="I95">
        <v>83.333333333333329</v>
      </c>
      <c r="J95">
        <v>31.25</v>
      </c>
      <c r="K95">
        <v>20.833333333333332</v>
      </c>
      <c r="L95">
        <v>0</v>
      </c>
      <c r="M95">
        <v>20.833333333333332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339.55618911081314</v>
      </c>
      <c r="AO95">
        <v>30.788413702573603</v>
      </c>
      <c r="AP95">
        <v>29.965588327884873</v>
      </c>
      <c r="AQ95">
        <v>219.19628850281089</v>
      </c>
      <c r="AR95">
        <v>30.963660786217115</v>
      </c>
      <c r="AS95">
        <v>471.99595638469987</v>
      </c>
      <c r="AT95">
        <v>19.108164226142502</v>
      </c>
      <c r="AU95">
        <v>-15.057011453378124</v>
      </c>
      <c r="AV95"/>
      <c r="AW95"/>
      <c r="AX95" s="151"/>
      <c r="AY95" s="76">
        <f t="shared" ca="1" si="88"/>
        <v>0.188113622796243</v>
      </c>
      <c r="AZ95">
        <v>8</v>
      </c>
      <c r="BA95" s="129">
        <f t="shared" si="89"/>
        <v>39646</v>
      </c>
      <c r="BB95" s="207">
        <v>0</v>
      </c>
      <c r="BC95" s="207">
        <v>0</v>
      </c>
      <c r="BD95" s="207">
        <v>0</v>
      </c>
      <c r="BE95" s="207">
        <v>0</v>
      </c>
      <c r="BF95" s="207">
        <v>3</v>
      </c>
      <c r="BG95" s="207">
        <v>3</v>
      </c>
      <c r="BH95" s="207">
        <v>1</v>
      </c>
      <c r="BI95" s="207">
        <v>1</v>
      </c>
      <c r="BJ95" s="207">
        <v>0</v>
      </c>
      <c r="BK95" s="207">
        <v>0</v>
      </c>
      <c r="BL95" s="207">
        <v>0</v>
      </c>
      <c r="BM95" s="207">
        <v>0</v>
      </c>
      <c r="BN95" s="207">
        <v>0</v>
      </c>
      <c r="BO95" s="207">
        <v>0</v>
      </c>
      <c r="BP95" s="207">
        <v>0</v>
      </c>
      <c r="BQ95" s="207">
        <v>0</v>
      </c>
      <c r="BR95" s="207">
        <v>0</v>
      </c>
      <c r="BS95" s="207">
        <v>0</v>
      </c>
      <c r="BT95" s="207">
        <v>0</v>
      </c>
      <c r="BU95" s="207">
        <v>0</v>
      </c>
      <c r="BV95" s="207">
        <v>0</v>
      </c>
      <c r="BW95" s="207">
        <v>0</v>
      </c>
      <c r="BX95" s="207">
        <v>0</v>
      </c>
      <c r="BY95" s="207">
        <v>0</v>
      </c>
      <c r="BZ95" s="207">
        <v>0</v>
      </c>
      <c r="CA95" s="207">
        <v>0</v>
      </c>
      <c r="CB95" s="207">
        <v>0</v>
      </c>
      <c r="CC95" s="207">
        <v>0</v>
      </c>
      <c r="CD95" s="207">
        <v>0</v>
      </c>
      <c r="CE95" s="207">
        <v>0</v>
      </c>
      <c r="CF95" s="207">
        <v>0</v>
      </c>
      <c r="CG95" s="147"/>
      <c r="CH95" s="176"/>
      <c r="CJ95" s="151"/>
      <c r="CK95" s="76">
        <f t="shared" ca="1" si="90"/>
        <v>0.69016878518373748</v>
      </c>
      <c r="CL95" s="179">
        <f t="shared" si="91"/>
        <v>8</v>
      </c>
      <c r="CM95" s="180">
        <f t="shared" si="92"/>
        <v>39646</v>
      </c>
      <c r="CN95" s="208">
        <v>0</v>
      </c>
      <c r="CO95" s="208">
        <v>0</v>
      </c>
      <c r="CP95" s="208">
        <v>4</v>
      </c>
      <c r="CQ95" s="208">
        <v>0</v>
      </c>
      <c r="CR95" s="208">
        <v>0</v>
      </c>
      <c r="CS95" s="208">
        <v>0</v>
      </c>
      <c r="CT95" s="208">
        <v>0</v>
      </c>
      <c r="CU95" s="208">
        <v>0</v>
      </c>
      <c r="CV95" s="160"/>
      <c r="CW95">
        <v>1</v>
      </c>
      <c r="CX95">
        <v>2</v>
      </c>
      <c r="CY95" s="164"/>
      <c r="CZ95" s="177">
        <f t="shared" si="93"/>
        <v>9.6000000000000002E-2</v>
      </c>
      <c r="DB95" s="151"/>
      <c r="DC95" s="76">
        <f t="shared" ca="1" si="51"/>
        <v>0.7259321678672388</v>
      </c>
      <c r="DD95">
        <f t="shared" si="94"/>
        <v>8</v>
      </c>
      <c r="DE95" s="129">
        <f t="shared" si="52"/>
        <v>39646</v>
      </c>
      <c r="DF95" s="161">
        <f t="shared" si="95"/>
        <v>0</v>
      </c>
      <c r="DG95" s="161">
        <f t="shared" si="96"/>
        <v>0</v>
      </c>
      <c r="DH95" s="161">
        <f t="shared" si="97"/>
        <v>83.333333333333329</v>
      </c>
      <c r="DI95" s="161">
        <f t="shared" si="98"/>
        <v>0</v>
      </c>
      <c r="DJ95" s="161">
        <f t="shared" si="99"/>
        <v>31.25</v>
      </c>
      <c r="DK95" s="161">
        <f t="shared" si="100"/>
        <v>31.25</v>
      </c>
      <c r="DL95" s="161">
        <f t="shared" si="101"/>
        <v>10.416666666666666</v>
      </c>
      <c r="DM95" s="161">
        <f t="shared" si="102"/>
        <v>10.416666666666666</v>
      </c>
      <c r="DN95" s="161">
        <f t="shared" si="103"/>
        <v>0</v>
      </c>
      <c r="DO95" s="161">
        <f t="shared" si="104"/>
        <v>0</v>
      </c>
      <c r="DP95" s="161">
        <f t="shared" si="105"/>
        <v>0</v>
      </c>
      <c r="DQ95" s="161">
        <f t="shared" si="106"/>
        <v>0</v>
      </c>
      <c r="DR95" s="161">
        <f t="shared" si="107"/>
        <v>0</v>
      </c>
      <c r="DS95" s="161">
        <f t="shared" si="108"/>
        <v>0</v>
      </c>
      <c r="DT95" s="161">
        <f t="shared" si="109"/>
        <v>0</v>
      </c>
      <c r="DU95" s="161">
        <f t="shared" si="110"/>
        <v>0</v>
      </c>
      <c r="DV95" s="161">
        <f t="shared" si="111"/>
        <v>0</v>
      </c>
      <c r="DW95" s="161">
        <f t="shared" si="112"/>
        <v>0</v>
      </c>
      <c r="DX95" s="161">
        <f t="shared" si="113"/>
        <v>0</v>
      </c>
      <c r="DY95" s="161">
        <f t="shared" si="114"/>
        <v>0</v>
      </c>
      <c r="DZ95" s="161">
        <f t="shared" si="115"/>
        <v>0</v>
      </c>
      <c r="EA95" s="161">
        <f t="shared" si="116"/>
        <v>0</v>
      </c>
      <c r="EB95" s="161">
        <f t="shared" si="117"/>
        <v>0</v>
      </c>
      <c r="EC95" s="161">
        <f t="shared" si="118"/>
        <v>0</v>
      </c>
      <c r="ED95" s="161">
        <f t="shared" si="119"/>
        <v>0</v>
      </c>
      <c r="EE95" s="161">
        <f t="shared" si="120"/>
        <v>0</v>
      </c>
      <c r="EF95" s="161">
        <f t="shared" si="121"/>
        <v>0</v>
      </c>
      <c r="EG95" s="161">
        <f t="shared" si="122"/>
        <v>0</v>
      </c>
      <c r="EH95" s="161">
        <f t="shared" si="123"/>
        <v>0</v>
      </c>
      <c r="EI95" s="161">
        <f t="shared" si="124"/>
        <v>0</v>
      </c>
      <c r="EJ95" s="161">
        <f t="shared" si="125"/>
        <v>0</v>
      </c>
      <c r="EK95" s="147">
        <f t="shared" si="55"/>
        <v>166.66666666666663</v>
      </c>
      <c r="EL95" s="149"/>
      <c r="EN95" s="151"/>
      <c r="EO95" s="151"/>
      <c r="EP95" s="139">
        <f t="shared" si="56"/>
        <v>0</v>
      </c>
      <c r="EQ95" s="139">
        <f t="shared" si="57"/>
        <v>0</v>
      </c>
      <c r="ER95" s="139">
        <f t="shared" si="58"/>
        <v>3.889417657393758</v>
      </c>
      <c r="ES95" s="139">
        <f t="shared" si="59"/>
        <v>0</v>
      </c>
      <c r="ET95" s="139">
        <f t="shared" si="60"/>
        <v>9.4186263367381393</v>
      </c>
      <c r="EU95" s="139">
        <f t="shared" si="61"/>
        <v>17.17008371265225</v>
      </c>
      <c r="EV95" s="139">
        <f t="shared" si="62"/>
        <v>9.3481977534582672</v>
      </c>
      <c r="EW95" s="139">
        <f t="shared" si="63"/>
        <v>14.154081822273552</v>
      </c>
      <c r="EX95" s="139">
        <f t="shared" si="64"/>
        <v>0</v>
      </c>
      <c r="EY95" s="139">
        <f t="shared" si="65"/>
        <v>0</v>
      </c>
      <c r="EZ95" s="139">
        <f t="shared" si="66"/>
        <v>0</v>
      </c>
      <c r="FA95" s="139">
        <f t="shared" si="67"/>
        <v>0</v>
      </c>
      <c r="FB95" s="139">
        <f t="shared" si="68"/>
        <v>0</v>
      </c>
      <c r="FC95" s="139">
        <f t="shared" si="69"/>
        <v>0</v>
      </c>
      <c r="FD95" s="139">
        <f t="shared" si="70"/>
        <v>0</v>
      </c>
      <c r="FE95" s="139">
        <f t="shared" si="71"/>
        <v>0</v>
      </c>
      <c r="FF95" s="139">
        <f t="shared" si="72"/>
        <v>0</v>
      </c>
      <c r="FG95" s="139">
        <f t="shared" si="73"/>
        <v>0</v>
      </c>
      <c r="FH95" s="139">
        <f t="shared" si="74"/>
        <v>0</v>
      </c>
      <c r="FI95" s="139">
        <f t="shared" si="75"/>
        <v>0</v>
      </c>
      <c r="FJ95" s="139">
        <f t="shared" si="76"/>
        <v>0</v>
      </c>
      <c r="FK95" s="139">
        <f t="shared" si="77"/>
        <v>0</v>
      </c>
      <c r="FL95" s="139">
        <f t="shared" si="78"/>
        <v>0</v>
      </c>
      <c r="FM95" s="139">
        <f t="shared" si="79"/>
        <v>0</v>
      </c>
      <c r="FN95" s="139">
        <f t="shared" si="80"/>
        <v>0</v>
      </c>
      <c r="FO95" s="139">
        <f t="shared" si="81"/>
        <v>0</v>
      </c>
      <c r="FP95" s="139">
        <f t="shared" si="82"/>
        <v>0</v>
      </c>
      <c r="FQ95" s="139">
        <f t="shared" si="83"/>
        <v>0</v>
      </c>
      <c r="FR95" s="139">
        <f t="shared" si="84"/>
        <v>0</v>
      </c>
      <c r="FS95" s="139">
        <f t="shared" si="85"/>
        <v>0</v>
      </c>
      <c r="FT95" s="139">
        <f t="shared" si="86"/>
        <v>0</v>
      </c>
      <c r="FU95" s="148">
        <f t="shared" si="87"/>
        <v>53.980407282515969</v>
      </c>
      <c r="FV95" s="149"/>
      <c r="FY95" s="213">
        <v>90</v>
      </c>
      <c r="FZ95">
        <v>36.218360698635614</v>
      </c>
      <c r="GA95">
        <v>35.072872062373676</v>
      </c>
      <c r="GB95">
        <v>25.032172486300855</v>
      </c>
      <c r="GC95">
        <v>11.741702383428324</v>
      </c>
      <c r="GD95">
        <v>2.3456456376828396</v>
      </c>
      <c r="GE95">
        <v>1.9979541875292679</v>
      </c>
      <c r="GF95">
        <v>6.9823068942206383</v>
      </c>
      <c r="GG95">
        <v>4.5883552432650836</v>
      </c>
      <c r="GH95">
        <v>5.8083552093299575</v>
      </c>
      <c r="GI95">
        <v>15.017915654235642</v>
      </c>
      <c r="GJ95"/>
      <c r="GK95"/>
      <c r="GL95"/>
      <c r="GM95"/>
      <c r="GN95" s="208"/>
      <c r="GO95" s="208"/>
      <c r="GP95" s="208"/>
      <c r="GQ95" s="208"/>
      <c r="GR95" s="208"/>
      <c r="GS95" s="208"/>
      <c r="GT95" s="208"/>
      <c r="GU95" s="213">
        <v>90</v>
      </c>
    </row>
    <row r="96" spans="1:203" s="7" customFormat="1">
      <c r="A96" s="77"/>
      <c r="B96" s="76">
        <f ca="1">IF(C96="", "", RAND())</f>
        <v>0.4857398071546446</v>
      </c>
      <c r="C96">
        <v>2</v>
      </c>
      <c r="D96">
        <v>39646</v>
      </c>
      <c r="E96">
        <v>0</v>
      </c>
      <c r="F96">
        <v>20.833333333333332</v>
      </c>
      <c r="G96">
        <v>145.83333333333334</v>
      </c>
      <c r="H96">
        <v>83.333333333333329</v>
      </c>
      <c r="I96">
        <v>41.666666666666664</v>
      </c>
      <c r="J96">
        <v>72.916666666666671</v>
      </c>
      <c r="K96">
        <v>31.25</v>
      </c>
      <c r="L96">
        <v>10.416666666666666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314.15168826246452</v>
      </c>
      <c r="AO96">
        <v>28.330131763934105</v>
      </c>
      <c r="AP96">
        <v>28.984065885802778</v>
      </c>
      <c r="AQ96">
        <v>203.65328886080897</v>
      </c>
      <c r="AR96">
        <v>29.269216373919537</v>
      </c>
      <c r="AS96">
        <v>423.8277633165406</v>
      </c>
      <c r="AT96">
        <v>16.954040981992918</v>
      </c>
      <c r="AU96">
        <v>1.3178729128707758</v>
      </c>
      <c r="AV96"/>
      <c r="AW96"/>
      <c r="AX96" s="151"/>
      <c r="AY96" s="76">
        <f t="shared" ca="1" si="88"/>
        <v>0.82258985998428802</v>
      </c>
      <c r="AZ96">
        <v>9</v>
      </c>
      <c r="BA96" s="129">
        <f t="shared" si="89"/>
        <v>39646</v>
      </c>
      <c r="BB96" s="207">
        <v>0</v>
      </c>
      <c r="BC96" s="207">
        <v>0</v>
      </c>
      <c r="BD96" s="207">
        <v>1</v>
      </c>
      <c r="BE96" s="207">
        <v>0</v>
      </c>
      <c r="BF96" s="207">
        <v>1</v>
      </c>
      <c r="BG96" s="207">
        <v>2</v>
      </c>
      <c r="BH96" s="207">
        <v>0</v>
      </c>
      <c r="BI96" s="207">
        <v>0</v>
      </c>
      <c r="BJ96" s="207">
        <v>0</v>
      </c>
      <c r="BK96" s="207">
        <v>0</v>
      </c>
      <c r="BL96" s="207">
        <v>0</v>
      </c>
      <c r="BM96" s="207">
        <v>0</v>
      </c>
      <c r="BN96" s="207">
        <v>0</v>
      </c>
      <c r="BO96" s="207">
        <v>0</v>
      </c>
      <c r="BP96" s="207">
        <v>0</v>
      </c>
      <c r="BQ96" s="207">
        <v>0</v>
      </c>
      <c r="BR96" s="207">
        <v>0</v>
      </c>
      <c r="BS96" s="207">
        <v>0</v>
      </c>
      <c r="BT96" s="207">
        <v>0</v>
      </c>
      <c r="BU96" s="207">
        <v>0</v>
      </c>
      <c r="BV96" s="207">
        <v>0</v>
      </c>
      <c r="BW96" s="207">
        <v>0</v>
      </c>
      <c r="BX96" s="207">
        <v>0</v>
      </c>
      <c r="BY96" s="207">
        <v>0</v>
      </c>
      <c r="BZ96" s="207">
        <v>0</v>
      </c>
      <c r="CA96" s="207">
        <v>0</v>
      </c>
      <c r="CB96" s="207">
        <v>0</v>
      </c>
      <c r="CC96" s="207">
        <v>0</v>
      </c>
      <c r="CD96" s="207">
        <v>0</v>
      </c>
      <c r="CE96" s="207">
        <v>0</v>
      </c>
      <c r="CF96" s="207">
        <v>0</v>
      </c>
      <c r="CG96" s="147"/>
      <c r="CH96" s="176"/>
      <c r="CJ96" s="151"/>
      <c r="CK96" s="76">
        <f t="shared" ca="1" si="90"/>
        <v>0.58137409442766885</v>
      </c>
      <c r="CL96" s="179">
        <f t="shared" si="91"/>
        <v>9</v>
      </c>
      <c r="CM96" s="180">
        <f t="shared" si="92"/>
        <v>39646</v>
      </c>
      <c r="CN96" s="208">
        <v>0</v>
      </c>
      <c r="CO96" s="208">
        <v>0</v>
      </c>
      <c r="CP96" s="208">
        <v>7</v>
      </c>
      <c r="CQ96" s="208">
        <v>4</v>
      </c>
      <c r="CR96" s="208">
        <v>1</v>
      </c>
      <c r="CS96" s="208">
        <v>0</v>
      </c>
      <c r="CT96" s="208">
        <v>0</v>
      </c>
      <c r="CU96" s="208">
        <v>0</v>
      </c>
      <c r="CV96" s="160"/>
      <c r="CW96">
        <v>1</v>
      </c>
      <c r="CX96">
        <v>1</v>
      </c>
      <c r="CY96" s="164"/>
      <c r="CZ96" s="177">
        <f t="shared" si="93"/>
        <v>9.6000000000000002E-2</v>
      </c>
      <c r="DB96" s="151"/>
      <c r="DC96" s="76">
        <f t="shared" ca="1" si="51"/>
        <v>0.83727216344468758</v>
      </c>
      <c r="DD96">
        <f t="shared" si="94"/>
        <v>9</v>
      </c>
      <c r="DE96" s="129">
        <f t="shared" si="52"/>
        <v>39646</v>
      </c>
      <c r="DF96" s="161">
        <f t="shared" si="95"/>
        <v>0</v>
      </c>
      <c r="DG96" s="161">
        <f t="shared" si="96"/>
        <v>0</v>
      </c>
      <c r="DH96" s="161">
        <f t="shared" si="97"/>
        <v>83.333333333333329</v>
      </c>
      <c r="DI96" s="161">
        <f t="shared" si="98"/>
        <v>41.666666666666664</v>
      </c>
      <c r="DJ96" s="161">
        <f t="shared" si="99"/>
        <v>20.833333333333332</v>
      </c>
      <c r="DK96" s="161">
        <f t="shared" si="100"/>
        <v>20.833333333333332</v>
      </c>
      <c r="DL96" s="161">
        <f t="shared" si="101"/>
        <v>0</v>
      </c>
      <c r="DM96" s="161">
        <f t="shared" si="102"/>
        <v>0</v>
      </c>
      <c r="DN96" s="161">
        <f t="shared" si="103"/>
        <v>0</v>
      </c>
      <c r="DO96" s="161">
        <f t="shared" si="104"/>
        <v>0</v>
      </c>
      <c r="DP96" s="161">
        <f t="shared" si="105"/>
        <v>0</v>
      </c>
      <c r="DQ96" s="161">
        <f t="shared" si="106"/>
        <v>0</v>
      </c>
      <c r="DR96" s="161">
        <f t="shared" si="107"/>
        <v>0</v>
      </c>
      <c r="DS96" s="161">
        <f t="shared" si="108"/>
        <v>0</v>
      </c>
      <c r="DT96" s="161">
        <f t="shared" si="109"/>
        <v>0</v>
      </c>
      <c r="DU96" s="161">
        <f t="shared" si="110"/>
        <v>0</v>
      </c>
      <c r="DV96" s="161">
        <f t="shared" si="111"/>
        <v>0</v>
      </c>
      <c r="DW96" s="161">
        <f t="shared" si="112"/>
        <v>0</v>
      </c>
      <c r="DX96" s="161">
        <f t="shared" si="113"/>
        <v>0</v>
      </c>
      <c r="DY96" s="161">
        <f t="shared" si="114"/>
        <v>0</v>
      </c>
      <c r="DZ96" s="161">
        <f t="shared" si="115"/>
        <v>0</v>
      </c>
      <c r="EA96" s="161">
        <f t="shared" si="116"/>
        <v>0</v>
      </c>
      <c r="EB96" s="161">
        <f t="shared" si="117"/>
        <v>0</v>
      </c>
      <c r="EC96" s="161">
        <f t="shared" si="118"/>
        <v>0</v>
      </c>
      <c r="ED96" s="161">
        <f t="shared" si="119"/>
        <v>0</v>
      </c>
      <c r="EE96" s="161">
        <f t="shared" si="120"/>
        <v>0</v>
      </c>
      <c r="EF96" s="161">
        <f t="shared" si="121"/>
        <v>0</v>
      </c>
      <c r="EG96" s="161">
        <f t="shared" si="122"/>
        <v>0</v>
      </c>
      <c r="EH96" s="161">
        <f t="shared" si="123"/>
        <v>0</v>
      </c>
      <c r="EI96" s="161">
        <f t="shared" si="124"/>
        <v>0</v>
      </c>
      <c r="EJ96" s="161">
        <f t="shared" si="125"/>
        <v>0</v>
      </c>
      <c r="EK96" s="147">
        <f t="shared" si="55"/>
        <v>166.66666666666669</v>
      </c>
      <c r="EL96" s="149"/>
      <c r="EN96" s="151"/>
      <c r="EO96" s="151"/>
      <c r="EP96" s="139">
        <f t="shared" si="56"/>
        <v>0</v>
      </c>
      <c r="EQ96" s="139">
        <f t="shared" si="57"/>
        <v>0</v>
      </c>
      <c r="ER96" s="139">
        <f t="shared" si="58"/>
        <v>3.889417657393758</v>
      </c>
      <c r="ES96" s="139">
        <f t="shared" si="59"/>
        <v>5.7905013067491184</v>
      </c>
      <c r="ET96" s="139">
        <f t="shared" si="60"/>
        <v>6.2790842244920917</v>
      </c>
      <c r="EU96" s="139">
        <f t="shared" si="61"/>
        <v>11.446722475101499</v>
      </c>
      <c r="EV96" s="139">
        <f t="shared" si="62"/>
        <v>0</v>
      </c>
      <c r="EW96" s="139">
        <f t="shared" si="63"/>
        <v>0</v>
      </c>
      <c r="EX96" s="139">
        <f t="shared" si="64"/>
        <v>0</v>
      </c>
      <c r="EY96" s="139">
        <f t="shared" si="65"/>
        <v>0</v>
      </c>
      <c r="EZ96" s="139">
        <f t="shared" si="66"/>
        <v>0</v>
      </c>
      <c r="FA96" s="139">
        <f t="shared" si="67"/>
        <v>0</v>
      </c>
      <c r="FB96" s="139">
        <f t="shared" si="68"/>
        <v>0</v>
      </c>
      <c r="FC96" s="139">
        <f t="shared" si="69"/>
        <v>0</v>
      </c>
      <c r="FD96" s="139">
        <f t="shared" si="70"/>
        <v>0</v>
      </c>
      <c r="FE96" s="139">
        <f t="shared" si="71"/>
        <v>0</v>
      </c>
      <c r="FF96" s="139">
        <f t="shared" si="72"/>
        <v>0</v>
      </c>
      <c r="FG96" s="139">
        <f t="shared" si="73"/>
        <v>0</v>
      </c>
      <c r="FH96" s="139">
        <f t="shared" si="74"/>
        <v>0</v>
      </c>
      <c r="FI96" s="139">
        <f t="shared" si="75"/>
        <v>0</v>
      </c>
      <c r="FJ96" s="139">
        <f t="shared" si="76"/>
        <v>0</v>
      </c>
      <c r="FK96" s="139">
        <f t="shared" si="77"/>
        <v>0</v>
      </c>
      <c r="FL96" s="139">
        <f t="shared" si="78"/>
        <v>0</v>
      </c>
      <c r="FM96" s="139">
        <f t="shared" si="79"/>
        <v>0</v>
      </c>
      <c r="FN96" s="139">
        <f t="shared" si="80"/>
        <v>0</v>
      </c>
      <c r="FO96" s="139">
        <f t="shared" si="81"/>
        <v>0</v>
      </c>
      <c r="FP96" s="139">
        <f t="shared" si="82"/>
        <v>0</v>
      </c>
      <c r="FQ96" s="139">
        <f t="shared" si="83"/>
        <v>0</v>
      </c>
      <c r="FR96" s="139">
        <f t="shared" si="84"/>
        <v>0</v>
      </c>
      <c r="FS96" s="139">
        <f t="shared" si="85"/>
        <v>0</v>
      </c>
      <c r="FT96" s="139">
        <f t="shared" si="86"/>
        <v>0</v>
      </c>
      <c r="FU96" s="148">
        <f t="shared" si="87"/>
        <v>27.405725663736469</v>
      </c>
      <c r="FV96" s="149"/>
      <c r="FY96" s="213">
        <v>91</v>
      </c>
      <c r="FZ96">
        <v>49.478422319176595</v>
      </c>
      <c r="GA96">
        <v>52.028415719563348</v>
      </c>
      <c r="GB96">
        <v>29.233638950746567</v>
      </c>
      <c r="GC96">
        <v>14.317323937092281</v>
      </c>
      <c r="GD96">
        <v>4.3435435081047871</v>
      </c>
      <c r="GE96">
        <v>4.6098216956206173</v>
      </c>
      <c r="GF96">
        <v>2.3582842533004325</v>
      </c>
      <c r="GG96">
        <v>3.099748002207376</v>
      </c>
      <c r="GH96">
        <v>9.230666992800268</v>
      </c>
      <c r="GI96">
        <v>18.827753979776304</v>
      </c>
      <c r="GJ96"/>
      <c r="GK96"/>
      <c r="GL96"/>
      <c r="GM96"/>
      <c r="GN96" s="208"/>
      <c r="GO96" s="208"/>
      <c r="GP96" s="208"/>
      <c r="GQ96" s="208"/>
      <c r="GR96" s="208"/>
      <c r="GS96" s="208"/>
      <c r="GT96" s="208"/>
      <c r="GU96" s="213">
        <v>91</v>
      </c>
    </row>
    <row r="97" spans="1:203" s="7" customFormat="1">
      <c r="A97" s="77"/>
      <c r="B97" s="76">
        <f ca="1">IF(C97="", "", RAND())</f>
        <v>0.79735406266787812</v>
      </c>
      <c r="C97">
        <v>4</v>
      </c>
      <c r="D97">
        <v>39646</v>
      </c>
      <c r="E97">
        <v>0</v>
      </c>
      <c r="F97">
        <v>0</v>
      </c>
      <c r="G97">
        <v>0</v>
      </c>
      <c r="H97">
        <v>20.833333333333332</v>
      </c>
      <c r="I97">
        <v>10.416666666666666</v>
      </c>
      <c r="J97">
        <v>31.25</v>
      </c>
      <c r="K97">
        <v>20.833333333333332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277.25634574484445</v>
      </c>
      <c r="AO97">
        <v>21.86788321403942</v>
      </c>
      <c r="AP97">
        <v>23.181225563655502</v>
      </c>
      <c r="AQ97">
        <v>150.15284371226431</v>
      </c>
      <c r="AR97">
        <v>23.722188255627039</v>
      </c>
      <c r="AS97">
        <v>326.03289848256912</v>
      </c>
      <c r="AT97">
        <v>14.041924145535532</v>
      </c>
      <c r="AU97">
        <v>7.9623716391593007</v>
      </c>
      <c r="AV97"/>
      <c r="AW97"/>
      <c r="AX97" s="151"/>
      <c r="AY97" s="76">
        <f t="shared" ca="1" si="88"/>
        <v>0.41982232082657345</v>
      </c>
      <c r="AZ97">
        <v>10</v>
      </c>
      <c r="BA97" s="129">
        <f t="shared" si="89"/>
        <v>39646</v>
      </c>
      <c r="BB97" s="207">
        <v>0</v>
      </c>
      <c r="BC97" s="207">
        <v>0</v>
      </c>
      <c r="BD97" s="207">
        <v>1</v>
      </c>
      <c r="BE97" s="207">
        <v>1</v>
      </c>
      <c r="BF97" s="207">
        <v>8</v>
      </c>
      <c r="BG97" s="207">
        <v>3</v>
      </c>
      <c r="BH97" s="207">
        <v>2</v>
      </c>
      <c r="BI97" s="207">
        <v>0</v>
      </c>
      <c r="BJ97" s="207">
        <v>2</v>
      </c>
      <c r="BK97" s="207">
        <v>0</v>
      </c>
      <c r="BL97" s="207">
        <v>0</v>
      </c>
      <c r="BM97" s="207">
        <v>0</v>
      </c>
      <c r="BN97" s="207">
        <v>0</v>
      </c>
      <c r="BO97" s="207">
        <v>0</v>
      </c>
      <c r="BP97" s="207">
        <v>0</v>
      </c>
      <c r="BQ97" s="207">
        <v>0</v>
      </c>
      <c r="BR97" s="207">
        <v>0</v>
      </c>
      <c r="BS97" s="207">
        <v>0</v>
      </c>
      <c r="BT97" s="207">
        <v>0</v>
      </c>
      <c r="BU97" s="207">
        <v>0</v>
      </c>
      <c r="BV97" s="207">
        <v>0</v>
      </c>
      <c r="BW97" s="207">
        <v>0</v>
      </c>
      <c r="BX97" s="207">
        <v>0</v>
      </c>
      <c r="BY97" s="207">
        <v>0</v>
      </c>
      <c r="BZ97" s="207">
        <v>0</v>
      </c>
      <c r="CA97" s="207">
        <v>0</v>
      </c>
      <c r="CB97" s="207">
        <v>0</v>
      </c>
      <c r="CC97" s="207">
        <v>0</v>
      </c>
      <c r="CD97" s="207">
        <v>0</v>
      </c>
      <c r="CE97" s="207">
        <v>0</v>
      </c>
      <c r="CF97" s="207">
        <v>0</v>
      </c>
      <c r="CG97" s="147"/>
      <c r="CH97" s="176"/>
      <c r="CJ97" s="151"/>
      <c r="CK97" s="76">
        <f t="shared" ca="1" si="90"/>
        <v>0.14212369309203066</v>
      </c>
      <c r="CL97" s="179">
        <f t="shared" si="91"/>
        <v>10</v>
      </c>
      <c r="CM97" s="180">
        <f t="shared" si="92"/>
        <v>39646</v>
      </c>
      <c r="CN97" s="208">
        <v>0</v>
      </c>
      <c r="CO97" s="208">
        <v>0</v>
      </c>
      <c r="CP97" s="208">
        <v>5</v>
      </c>
      <c r="CQ97" s="208">
        <v>0</v>
      </c>
      <c r="CR97" s="208">
        <v>0</v>
      </c>
      <c r="CS97" s="208">
        <v>0</v>
      </c>
      <c r="CT97" s="208">
        <v>0</v>
      </c>
      <c r="CU97" s="208">
        <v>0</v>
      </c>
      <c r="CV97" s="160"/>
      <c r="CW97">
        <v>1</v>
      </c>
      <c r="CX97">
        <v>2</v>
      </c>
      <c r="CY97" s="164"/>
      <c r="CZ97" s="177">
        <f t="shared" si="93"/>
        <v>9.6000000000000002E-2</v>
      </c>
      <c r="DB97" s="151"/>
      <c r="DC97" s="76">
        <f t="shared" ca="1" si="51"/>
        <v>0.48753101460556003</v>
      </c>
      <c r="DD97">
        <f t="shared" si="94"/>
        <v>10</v>
      </c>
      <c r="DE97" s="129">
        <f t="shared" si="52"/>
        <v>39646</v>
      </c>
      <c r="DF97" s="161">
        <f t="shared" si="95"/>
        <v>0</v>
      </c>
      <c r="DG97" s="161">
        <f t="shared" si="96"/>
        <v>0</v>
      </c>
      <c r="DH97" s="161">
        <f t="shared" si="97"/>
        <v>114.58333333333333</v>
      </c>
      <c r="DI97" s="161">
        <f t="shared" si="98"/>
        <v>10.416666666666666</v>
      </c>
      <c r="DJ97" s="161">
        <f t="shared" si="99"/>
        <v>83.333333333333329</v>
      </c>
      <c r="DK97" s="161">
        <f t="shared" si="100"/>
        <v>31.25</v>
      </c>
      <c r="DL97" s="161">
        <f t="shared" si="101"/>
        <v>20.833333333333332</v>
      </c>
      <c r="DM97" s="161">
        <f t="shared" si="102"/>
        <v>0</v>
      </c>
      <c r="DN97" s="161">
        <f t="shared" si="103"/>
        <v>20.833333333333332</v>
      </c>
      <c r="DO97" s="161">
        <f t="shared" si="104"/>
        <v>0</v>
      </c>
      <c r="DP97" s="161">
        <f t="shared" si="105"/>
        <v>0</v>
      </c>
      <c r="DQ97" s="161">
        <f t="shared" si="106"/>
        <v>0</v>
      </c>
      <c r="DR97" s="161">
        <f t="shared" si="107"/>
        <v>0</v>
      </c>
      <c r="DS97" s="161">
        <f t="shared" si="108"/>
        <v>0</v>
      </c>
      <c r="DT97" s="161">
        <f t="shared" si="109"/>
        <v>0</v>
      </c>
      <c r="DU97" s="161">
        <f t="shared" si="110"/>
        <v>0</v>
      </c>
      <c r="DV97" s="161">
        <f t="shared" si="111"/>
        <v>0</v>
      </c>
      <c r="DW97" s="161">
        <f t="shared" si="112"/>
        <v>0</v>
      </c>
      <c r="DX97" s="161">
        <f t="shared" si="113"/>
        <v>0</v>
      </c>
      <c r="DY97" s="161">
        <f t="shared" si="114"/>
        <v>0</v>
      </c>
      <c r="DZ97" s="161">
        <f t="shared" si="115"/>
        <v>0</v>
      </c>
      <c r="EA97" s="161">
        <f t="shared" si="116"/>
        <v>0</v>
      </c>
      <c r="EB97" s="161">
        <f t="shared" si="117"/>
        <v>0</v>
      </c>
      <c r="EC97" s="161">
        <f t="shared" si="118"/>
        <v>0</v>
      </c>
      <c r="ED97" s="161">
        <f t="shared" si="119"/>
        <v>0</v>
      </c>
      <c r="EE97" s="161">
        <f t="shared" si="120"/>
        <v>0</v>
      </c>
      <c r="EF97" s="161">
        <f t="shared" si="121"/>
        <v>0</v>
      </c>
      <c r="EG97" s="161">
        <f t="shared" si="122"/>
        <v>0</v>
      </c>
      <c r="EH97" s="161">
        <f t="shared" si="123"/>
        <v>0</v>
      </c>
      <c r="EI97" s="161">
        <f t="shared" si="124"/>
        <v>0</v>
      </c>
      <c r="EJ97" s="161">
        <f t="shared" si="125"/>
        <v>0</v>
      </c>
      <c r="EK97" s="147">
        <f t="shared" si="55"/>
        <v>281.24999999999994</v>
      </c>
      <c r="EL97" s="149"/>
      <c r="EN97" s="151"/>
      <c r="EO97" s="151"/>
      <c r="EP97" s="139">
        <f t="shared" si="56"/>
        <v>0</v>
      </c>
      <c r="EQ97" s="139">
        <f t="shared" si="57"/>
        <v>0</v>
      </c>
      <c r="ER97" s="139">
        <f t="shared" si="58"/>
        <v>5.3479492789164178</v>
      </c>
      <c r="ES97" s="139">
        <f t="shared" si="59"/>
        <v>1.4476253266872796</v>
      </c>
      <c r="ET97" s="139">
        <f t="shared" si="60"/>
        <v>25.116336897968367</v>
      </c>
      <c r="EU97" s="139">
        <f t="shared" si="61"/>
        <v>17.17008371265225</v>
      </c>
      <c r="EV97" s="139">
        <f t="shared" si="62"/>
        <v>18.696395506916534</v>
      </c>
      <c r="EW97" s="139">
        <f t="shared" si="63"/>
        <v>0</v>
      </c>
      <c r="EX97" s="139">
        <f t="shared" si="64"/>
        <v>40.547868263327473</v>
      </c>
      <c r="EY97" s="139">
        <f t="shared" si="65"/>
        <v>0</v>
      </c>
      <c r="EZ97" s="139">
        <f t="shared" si="66"/>
        <v>0</v>
      </c>
      <c r="FA97" s="139">
        <f t="shared" si="67"/>
        <v>0</v>
      </c>
      <c r="FB97" s="139">
        <f t="shared" si="68"/>
        <v>0</v>
      </c>
      <c r="FC97" s="139">
        <f t="shared" si="69"/>
        <v>0</v>
      </c>
      <c r="FD97" s="139">
        <f t="shared" si="70"/>
        <v>0</v>
      </c>
      <c r="FE97" s="139">
        <f t="shared" si="71"/>
        <v>0</v>
      </c>
      <c r="FF97" s="139">
        <f t="shared" si="72"/>
        <v>0</v>
      </c>
      <c r="FG97" s="139">
        <f t="shared" si="73"/>
        <v>0</v>
      </c>
      <c r="FH97" s="139">
        <f t="shared" si="74"/>
        <v>0</v>
      </c>
      <c r="FI97" s="139">
        <f t="shared" si="75"/>
        <v>0</v>
      </c>
      <c r="FJ97" s="139">
        <f t="shared" si="76"/>
        <v>0</v>
      </c>
      <c r="FK97" s="139">
        <f t="shared" si="77"/>
        <v>0</v>
      </c>
      <c r="FL97" s="139">
        <f t="shared" si="78"/>
        <v>0</v>
      </c>
      <c r="FM97" s="139">
        <f t="shared" si="79"/>
        <v>0</v>
      </c>
      <c r="FN97" s="139">
        <f t="shared" si="80"/>
        <v>0</v>
      </c>
      <c r="FO97" s="139">
        <f t="shared" si="81"/>
        <v>0</v>
      </c>
      <c r="FP97" s="139">
        <f t="shared" si="82"/>
        <v>0</v>
      </c>
      <c r="FQ97" s="139">
        <f t="shared" si="83"/>
        <v>0</v>
      </c>
      <c r="FR97" s="139">
        <f t="shared" si="84"/>
        <v>0</v>
      </c>
      <c r="FS97" s="139">
        <f t="shared" si="85"/>
        <v>0</v>
      </c>
      <c r="FT97" s="139">
        <f t="shared" si="86"/>
        <v>0</v>
      </c>
      <c r="FU97" s="148">
        <f t="shared" si="87"/>
        <v>108.32625898646832</v>
      </c>
      <c r="FV97" s="149"/>
      <c r="FY97" s="213">
        <v>92</v>
      </c>
      <c r="FZ97">
        <v>38.274225943107844</v>
      </c>
      <c r="GA97">
        <v>54.312665118947471</v>
      </c>
      <c r="GB97">
        <v>38.847682593479341</v>
      </c>
      <c r="GC97">
        <v>12.646976814312643</v>
      </c>
      <c r="GD97">
        <v>2.590245252646608</v>
      </c>
      <c r="GE97">
        <v>4.2350396482017922</v>
      </c>
      <c r="GF97">
        <v>2.7515275952825231</v>
      </c>
      <c r="GG97">
        <v>3.3177552735355951</v>
      </c>
      <c r="GH97">
        <v>5.9283769014483498</v>
      </c>
      <c r="GI97">
        <v>18.091121128169139</v>
      </c>
      <c r="GJ97"/>
      <c r="GK97"/>
      <c r="GL97"/>
      <c r="GM97"/>
      <c r="GN97" s="208"/>
      <c r="GO97" s="208"/>
      <c r="GP97" s="208"/>
      <c r="GQ97" s="208"/>
      <c r="GR97" s="208"/>
      <c r="GS97" s="208"/>
      <c r="GT97" s="208"/>
      <c r="GU97" s="213">
        <v>92</v>
      </c>
    </row>
    <row r="98" spans="1:203" s="7" customFormat="1">
      <c r="A98" s="128"/>
      <c r="B98" s="76">
        <f ca="1">IF(C98="", "", RAND())</f>
        <v>0.38655998079913106</v>
      </c>
      <c r="C98">
        <v>1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238.97552779190718</v>
      </c>
      <c r="AO98">
        <v>21.607180530070647</v>
      </c>
      <c r="AP98">
        <v>13.417622584522398</v>
      </c>
      <c r="AQ98">
        <v>164.86458854454904</v>
      </c>
      <c r="AR98">
        <v>22.890129829704254</v>
      </c>
      <c r="AS98">
        <v>328.63998178831145</v>
      </c>
      <c r="AT98">
        <v>13.759999287079928</v>
      </c>
      <c r="AU98">
        <v>-1.856316904541039</v>
      </c>
      <c r="AV98"/>
      <c r="AW98"/>
      <c r="AX98" s="128"/>
      <c r="AY98" s="76">
        <f t="shared" ca="1" si="88"/>
        <v>0.9854427437866351</v>
      </c>
      <c r="AZ98">
        <v>1</v>
      </c>
      <c r="BA98" s="129">
        <f>IF(AZ98="", "",$C$5)</f>
        <v>39673</v>
      </c>
      <c r="BB98" s="207">
        <v>0</v>
      </c>
      <c r="BC98" s="207">
        <v>0</v>
      </c>
      <c r="BD98" s="207">
        <v>0</v>
      </c>
      <c r="BE98" s="207">
        <v>0</v>
      </c>
      <c r="BF98" s="207">
        <v>0</v>
      </c>
      <c r="BG98" s="207">
        <v>0</v>
      </c>
      <c r="BH98" s="207">
        <v>0</v>
      </c>
      <c r="BI98" s="207">
        <v>0</v>
      </c>
      <c r="BJ98" s="207">
        <v>0</v>
      </c>
      <c r="BK98" s="207">
        <v>0</v>
      </c>
      <c r="BL98" s="207">
        <v>0</v>
      </c>
      <c r="BM98" s="207">
        <v>0</v>
      </c>
      <c r="BN98" s="207">
        <v>0</v>
      </c>
      <c r="BO98" s="207">
        <v>0</v>
      </c>
      <c r="BP98" s="207">
        <v>0</v>
      </c>
      <c r="BQ98" s="207">
        <v>0</v>
      </c>
      <c r="BR98" s="207">
        <v>0</v>
      </c>
      <c r="BS98" s="207">
        <v>0</v>
      </c>
      <c r="BT98" s="207">
        <v>0</v>
      </c>
      <c r="BU98" s="207">
        <v>0</v>
      </c>
      <c r="BV98" s="207">
        <v>0</v>
      </c>
      <c r="BW98" s="207">
        <v>0</v>
      </c>
      <c r="BX98" s="207">
        <v>0</v>
      </c>
      <c r="BY98" s="207">
        <v>0</v>
      </c>
      <c r="BZ98" s="207">
        <v>0</v>
      </c>
      <c r="CA98" s="207">
        <v>0</v>
      </c>
      <c r="CB98" s="207">
        <v>0</v>
      </c>
      <c r="CC98" s="207">
        <v>0</v>
      </c>
      <c r="CD98" s="207">
        <v>0</v>
      </c>
      <c r="CE98" s="207">
        <v>0</v>
      </c>
      <c r="CF98" s="207">
        <v>0</v>
      </c>
      <c r="CG98" s="147"/>
      <c r="CH98" s="176"/>
      <c r="CJ98" s="128"/>
      <c r="CK98" s="76">
        <f t="shared" ca="1" si="90"/>
        <v>7.9821922058268768E-2</v>
      </c>
      <c r="CL98" s="179">
        <f t="shared" si="91"/>
        <v>1</v>
      </c>
      <c r="CM98" s="180">
        <f t="shared" si="92"/>
        <v>39673</v>
      </c>
      <c r="CN98" s="208">
        <v>0</v>
      </c>
      <c r="CO98" s="208">
        <v>0</v>
      </c>
      <c r="CP98" s="208">
        <v>0</v>
      </c>
      <c r="CQ98" s="208">
        <v>0</v>
      </c>
      <c r="CR98" s="208">
        <v>0</v>
      </c>
      <c r="CS98" s="208">
        <v>0</v>
      </c>
      <c r="CT98" s="208">
        <v>0</v>
      </c>
      <c r="CU98" s="208">
        <v>0</v>
      </c>
      <c r="CW98">
        <v>1</v>
      </c>
      <c r="CX98">
        <v>1</v>
      </c>
      <c r="CY98" s="158"/>
      <c r="CZ98" s="177">
        <f t="shared" si="93"/>
        <v>9.6000000000000002E-2</v>
      </c>
      <c r="DB98" s="128"/>
      <c r="DC98" s="76">
        <f t="shared" ca="1" si="51"/>
        <v>0.22000547430327999</v>
      </c>
      <c r="DD98">
        <f t="shared" si="94"/>
        <v>1</v>
      </c>
      <c r="DE98" s="129">
        <f t="shared" ref="DE98:DE107" si="126">IF((DD98)="", "", $C$5)</f>
        <v>39673</v>
      </c>
      <c r="DF98" s="161">
        <f t="shared" si="95"/>
        <v>0</v>
      </c>
      <c r="DG98" s="161">
        <f t="shared" si="96"/>
        <v>0</v>
      </c>
      <c r="DH98" s="161">
        <f t="shared" si="97"/>
        <v>0</v>
      </c>
      <c r="DI98" s="161">
        <f t="shared" si="98"/>
        <v>0</v>
      </c>
      <c r="DJ98" s="161">
        <f t="shared" si="99"/>
        <v>0</v>
      </c>
      <c r="DK98" s="161">
        <f t="shared" si="100"/>
        <v>0</v>
      </c>
      <c r="DL98" s="161">
        <f t="shared" si="101"/>
        <v>0</v>
      </c>
      <c r="DM98" s="161">
        <f t="shared" si="102"/>
        <v>0</v>
      </c>
      <c r="DN98" s="161">
        <f t="shared" si="103"/>
        <v>0</v>
      </c>
      <c r="DO98" s="161">
        <f t="shared" si="104"/>
        <v>0</v>
      </c>
      <c r="DP98" s="161">
        <f t="shared" si="105"/>
        <v>0</v>
      </c>
      <c r="DQ98" s="161">
        <f t="shared" si="106"/>
        <v>0</v>
      </c>
      <c r="DR98" s="161">
        <f t="shared" si="107"/>
        <v>0</v>
      </c>
      <c r="DS98" s="161">
        <f t="shared" si="108"/>
        <v>0</v>
      </c>
      <c r="DT98" s="161">
        <f t="shared" si="109"/>
        <v>0</v>
      </c>
      <c r="DU98" s="161">
        <f t="shared" si="110"/>
        <v>0</v>
      </c>
      <c r="DV98" s="161">
        <f t="shared" si="111"/>
        <v>0</v>
      </c>
      <c r="DW98" s="161">
        <f t="shared" si="112"/>
        <v>0</v>
      </c>
      <c r="DX98" s="161">
        <f t="shared" si="113"/>
        <v>0</v>
      </c>
      <c r="DY98" s="161">
        <f t="shared" si="114"/>
        <v>0</v>
      </c>
      <c r="DZ98" s="161">
        <f t="shared" si="115"/>
        <v>0</v>
      </c>
      <c r="EA98" s="161">
        <f t="shared" si="116"/>
        <v>0</v>
      </c>
      <c r="EB98" s="161">
        <f t="shared" si="117"/>
        <v>0</v>
      </c>
      <c r="EC98" s="161">
        <f t="shared" si="118"/>
        <v>0</v>
      </c>
      <c r="ED98" s="161">
        <f t="shared" si="119"/>
        <v>0</v>
      </c>
      <c r="EE98" s="161">
        <f t="shared" si="120"/>
        <v>0</v>
      </c>
      <c r="EF98" s="161">
        <f t="shared" si="121"/>
        <v>0</v>
      </c>
      <c r="EG98" s="161">
        <f t="shared" si="122"/>
        <v>0</v>
      </c>
      <c r="EH98" s="161">
        <f t="shared" si="123"/>
        <v>0</v>
      </c>
      <c r="EI98" s="161">
        <f t="shared" si="124"/>
        <v>0</v>
      </c>
      <c r="EJ98" s="161">
        <f t="shared" si="125"/>
        <v>0</v>
      </c>
      <c r="EK98" s="147">
        <f t="shared" si="55"/>
        <v>0</v>
      </c>
      <c r="EL98" s="149"/>
      <c r="EN98" s="146"/>
      <c r="EO98" s="146"/>
      <c r="EP98" s="139">
        <f t="shared" si="56"/>
        <v>0</v>
      </c>
      <c r="EQ98" s="139">
        <f t="shared" si="57"/>
        <v>0</v>
      </c>
      <c r="ER98" s="139">
        <f t="shared" si="58"/>
        <v>0</v>
      </c>
      <c r="ES98" s="139">
        <f t="shared" si="59"/>
        <v>0</v>
      </c>
      <c r="ET98" s="139">
        <f t="shared" si="60"/>
        <v>0</v>
      </c>
      <c r="EU98" s="139">
        <f t="shared" si="61"/>
        <v>0</v>
      </c>
      <c r="EV98" s="139">
        <f t="shared" si="62"/>
        <v>0</v>
      </c>
      <c r="EW98" s="139">
        <f t="shared" si="63"/>
        <v>0</v>
      </c>
      <c r="EX98" s="139">
        <f t="shared" si="64"/>
        <v>0</v>
      </c>
      <c r="EY98" s="139">
        <f t="shared" si="65"/>
        <v>0</v>
      </c>
      <c r="EZ98" s="139">
        <f t="shared" si="66"/>
        <v>0</v>
      </c>
      <c r="FA98" s="139">
        <f t="shared" si="67"/>
        <v>0</v>
      </c>
      <c r="FB98" s="139">
        <f t="shared" si="68"/>
        <v>0</v>
      </c>
      <c r="FC98" s="139">
        <f t="shared" si="69"/>
        <v>0</v>
      </c>
      <c r="FD98" s="139">
        <f t="shared" si="70"/>
        <v>0</v>
      </c>
      <c r="FE98" s="139">
        <f t="shared" si="71"/>
        <v>0</v>
      </c>
      <c r="FF98" s="139">
        <f t="shared" si="72"/>
        <v>0</v>
      </c>
      <c r="FG98" s="139">
        <f t="shared" si="73"/>
        <v>0</v>
      </c>
      <c r="FH98" s="139">
        <f t="shared" si="74"/>
        <v>0</v>
      </c>
      <c r="FI98" s="139">
        <f t="shared" si="75"/>
        <v>0</v>
      </c>
      <c r="FJ98" s="139">
        <f t="shared" si="76"/>
        <v>0</v>
      </c>
      <c r="FK98" s="139">
        <f t="shared" si="77"/>
        <v>0</v>
      </c>
      <c r="FL98" s="139">
        <f t="shared" si="78"/>
        <v>0</v>
      </c>
      <c r="FM98" s="139">
        <f t="shared" si="79"/>
        <v>0</v>
      </c>
      <c r="FN98" s="139">
        <f t="shared" si="80"/>
        <v>0</v>
      </c>
      <c r="FO98" s="139">
        <f t="shared" si="81"/>
        <v>0</v>
      </c>
      <c r="FP98" s="139">
        <f t="shared" si="82"/>
        <v>0</v>
      </c>
      <c r="FQ98" s="139">
        <f t="shared" si="83"/>
        <v>0</v>
      </c>
      <c r="FR98" s="139">
        <f t="shared" si="84"/>
        <v>0</v>
      </c>
      <c r="FS98" s="139">
        <f t="shared" si="85"/>
        <v>0</v>
      </c>
      <c r="FT98" s="139">
        <f t="shared" si="86"/>
        <v>0</v>
      </c>
      <c r="FU98" s="148">
        <f t="shared" si="87"/>
        <v>0</v>
      </c>
      <c r="FV98" s="149"/>
      <c r="FY98" s="213">
        <v>93</v>
      </c>
      <c r="FZ98">
        <v>42.14891398217457</v>
      </c>
      <c r="GA98">
        <v>30.1785739515777</v>
      </c>
      <c r="GB98">
        <v>21.568912580919267</v>
      </c>
      <c r="GC98">
        <v>12.5662449461491</v>
      </c>
      <c r="GD98">
        <v>4.6609786840534531</v>
      </c>
      <c r="GE98">
        <v>3.849227271252472</v>
      </c>
      <c r="GF98">
        <v>5.1927018212102745</v>
      </c>
      <c r="GG98">
        <v>4.5910246478104684</v>
      </c>
      <c r="GH98">
        <v>5.1709626602505532</v>
      </c>
      <c r="GI98">
        <v>15.928271521517996</v>
      </c>
      <c r="GJ98"/>
      <c r="GK98"/>
      <c r="GL98"/>
      <c r="GM98"/>
      <c r="GN98" s="208"/>
      <c r="GO98" s="208"/>
      <c r="GP98" s="208"/>
      <c r="GQ98" s="208"/>
      <c r="GR98" s="208"/>
      <c r="GS98" s="208"/>
      <c r="GT98" s="208"/>
      <c r="GU98" s="213">
        <v>93</v>
      </c>
    </row>
    <row r="99" spans="1:203" s="7" customFormat="1">
      <c r="A99" s="1"/>
      <c r="B99" s="76">
        <f ca="1">IF(C99="", "", RAND())</f>
        <v>0.87072916821454216</v>
      </c>
      <c r="C99">
        <v>4</v>
      </c>
      <c r="D99">
        <v>39673</v>
      </c>
      <c r="E99">
        <v>0</v>
      </c>
      <c r="F99">
        <v>0</v>
      </c>
      <c r="G99">
        <v>73.958333333333329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283.35520630868916</v>
      </c>
      <c r="AO99">
        <v>30.897142442999797</v>
      </c>
      <c r="AP99">
        <v>35.556139771613914</v>
      </c>
      <c r="AQ99">
        <v>235.63796648822722</v>
      </c>
      <c r="AR99">
        <v>31.154540147714844</v>
      </c>
      <c r="AS99">
        <v>444.71923655574909</v>
      </c>
      <c r="AT99">
        <v>19.270046804318721</v>
      </c>
      <c r="AU99">
        <v>-25.501309146240509</v>
      </c>
      <c r="AV99"/>
      <c r="AW99"/>
      <c r="AX99" s="146"/>
      <c r="AY99" s="76">
        <f t="shared" ca="1" si="88"/>
        <v>0.13224444206579111</v>
      </c>
      <c r="AZ99">
        <v>2</v>
      </c>
      <c r="BA99" s="129">
        <f t="shared" ref="BA99:BA107" si="127">IF(AZ99="", "",$C$5)</f>
        <v>39673</v>
      </c>
      <c r="BB99" s="207">
        <v>0</v>
      </c>
      <c r="BC99" s="207">
        <v>0</v>
      </c>
      <c r="BD99" s="207">
        <v>0</v>
      </c>
      <c r="BE99" s="207">
        <v>0</v>
      </c>
      <c r="BF99" s="207">
        <v>5</v>
      </c>
      <c r="BG99" s="207">
        <v>0</v>
      </c>
      <c r="BH99" s="207">
        <v>1</v>
      </c>
      <c r="BI99" s="207">
        <v>0</v>
      </c>
      <c r="BJ99" s="207">
        <v>0</v>
      </c>
      <c r="BK99" s="207">
        <v>0</v>
      </c>
      <c r="BL99" s="207">
        <v>0</v>
      </c>
      <c r="BM99" s="207">
        <v>0</v>
      </c>
      <c r="BN99" s="207">
        <v>0</v>
      </c>
      <c r="BO99" s="207">
        <v>0</v>
      </c>
      <c r="BP99" s="207">
        <v>0</v>
      </c>
      <c r="BQ99" s="207">
        <v>0</v>
      </c>
      <c r="BR99" s="207">
        <v>0</v>
      </c>
      <c r="BS99" s="207">
        <v>0</v>
      </c>
      <c r="BT99" s="207">
        <v>0</v>
      </c>
      <c r="BU99" s="207">
        <v>0</v>
      </c>
      <c r="BV99" s="207">
        <v>0</v>
      </c>
      <c r="BW99" s="207">
        <v>0</v>
      </c>
      <c r="BX99" s="207">
        <v>0</v>
      </c>
      <c r="BY99" s="207">
        <v>0</v>
      </c>
      <c r="BZ99" s="207">
        <v>0</v>
      </c>
      <c r="CA99" s="207">
        <v>0</v>
      </c>
      <c r="CB99" s="207">
        <v>0</v>
      </c>
      <c r="CC99" s="207">
        <v>0</v>
      </c>
      <c r="CD99" s="207">
        <v>0</v>
      </c>
      <c r="CE99" s="207">
        <v>0</v>
      </c>
      <c r="CF99" s="207">
        <v>0</v>
      </c>
      <c r="CG99" s="147"/>
      <c r="CH99" s="176"/>
      <c r="CJ99" s="146"/>
      <c r="CK99" s="76">
        <f t="shared" ca="1" si="90"/>
        <v>0.96342528087059076</v>
      </c>
      <c r="CL99" s="179">
        <f t="shared" si="91"/>
        <v>2</v>
      </c>
      <c r="CM99" s="180">
        <f t="shared" si="92"/>
        <v>39673</v>
      </c>
      <c r="CN99" s="208">
        <v>0</v>
      </c>
      <c r="CO99" s="208">
        <v>0</v>
      </c>
      <c r="CP99" s="208">
        <v>0</v>
      </c>
      <c r="CQ99" s="208">
        <v>0</v>
      </c>
      <c r="CR99" s="208">
        <v>0</v>
      </c>
      <c r="CS99" s="208">
        <v>0</v>
      </c>
      <c r="CT99" s="208">
        <v>0</v>
      </c>
      <c r="CU99" s="208">
        <v>0</v>
      </c>
      <c r="CW99">
        <v>1</v>
      </c>
      <c r="CX99">
        <v>6</v>
      </c>
      <c r="CY99" s="158"/>
      <c r="CZ99" s="177">
        <f t="shared" si="93"/>
        <v>9.6000000000000002E-2</v>
      </c>
      <c r="DB99" s="146"/>
      <c r="DC99" s="76">
        <f t="shared" ca="1" si="51"/>
        <v>0.24176149358279031</v>
      </c>
      <c r="DD99">
        <f t="shared" si="94"/>
        <v>2</v>
      </c>
      <c r="DE99" s="129">
        <f t="shared" si="126"/>
        <v>39673</v>
      </c>
      <c r="DF99" s="161">
        <f t="shared" si="95"/>
        <v>0</v>
      </c>
      <c r="DG99" s="161">
        <f t="shared" si="96"/>
        <v>0</v>
      </c>
      <c r="DH99" s="161">
        <f t="shared" si="97"/>
        <v>0</v>
      </c>
      <c r="DI99" s="161">
        <f t="shared" si="98"/>
        <v>0</v>
      </c>
      <c r="DJ99" s="161">
        <f t="shared" si="99"/>
        <v>52.083333333333336</v>
      </c>
      <c r="DK99" s="161">
        <f t="shared" si="100"/>
        <v>0</v>
      </c>
      <c r="DL99" s="161">
        <f t="shared" si="101"/>
        <v>10.416666666666666</v>
      </c>
      <c r="DM99" s="161">
        <f t="shared" si="102"/>
        <v>0</v>
      </c>
      <c r="DN99" s="161">
        <f t="shared" si="103"/>
        <v>0</v>
      </c>
      <c r="DO99" s="161">
        <f t="shared" si="104"/>
        <v>0</v>
      </c>
      <c r="DP99" s="161">
        <f t="shared" si="105"/>
        <v>0</v>
      </c>
      <c r="DQ99" s="161">
        <f t="shared" si="106"/>
        <v>0</v>
      </c>
      <c r="DR99" s="161">
        <f t="shared" si="107"/>
        <v>0</v>
      </c>
      <c r="DS99" s="161">
        <f t="shared" si="108"/>
        <v>0</v>
      </c>
      <c r="DT99" s="161">
        <f t="shared" si="109"/>
        <v>0</v>
      </c>
      <c r="DU99" s="161">
        <f t="shared" si="110"/>
        <v>0</v>
      </c>
      <c r="DV99" s="161">
        <f t="shared" si="111"/>
        <v>0</v>
      </c>
      <c r="DW99" s="161">
        <f t="shared" si="112"/>
        <v>0</v>
      </c>
      <c r="DX99" s="161">
        <f t="shared" si="113"/>
        <v>0</v>
      </c>
      <c r="DY99" s="161">
        <f t="shared" si="114"/>
        <v>0</v>
      </c>
      <c r="DZ99" s="161">
        <f t="shared" si="115"/>
        <v>0</v>
      </c>
      <c r="EA99" s="161">
        <f t="shared" si="116"/>
        <v>0</v>
      </c>
      <c r="EB99" s="161">
        <f t="shared" si="117"/>
        <v>0</v>
      </c>
      <c r="EC99" s="161">
        <f t="shared" si="118"/>
        <v>0</v>
      </c>
      <c r="ED99" s="161">
        <f t="shared" si="119"/>
        <v>0</v>
      </c>
      <c r="EE99" s="161">
        <f t="shared" si="120"/>
        <v>0</v>
      </c>
      <c r="EF99" s="161">
        <f t="shared" si="121"/>
        <v>0</v>
      </c>
      <c r="EG99" s="161">
        <f t="shared" si="122"/>
        <v>0</v>
      </c>
      <c r="EH99" s="161">
        <f t="shared" si="123"/>
        <v>0</v>
      </c>
      <c r="EI99" s="161">
        <f t="shared" si="124"/>
        <v>0</v>
      </c>
      <c r="EJ99" s="161">
        <f t="shared" si="125"/>
        <v>0</v>
      </c>
      <c r="EK99" s="147">
        <f t="shared" si="55"/>
        <v>62.5</v>
      </c>
      <c r="EL99" s="149"/>
      <c r="EN99" s="146"/>
      <c r="EO99" s="146"/>
      <c r="EP99" s="139">
        <f t="shared" si="56"/>
        <v>0</v>
      </c>
      <c r="EQ99" s="139">
        <f t="shared" si="57"/>
        <v>0</v>
      </c>
      <c r="ER99" s="139">
        <f t="shared" si="58"/>
        <v>0</v>
      </c>
      <c r="ES99" s="139">
        <f t="shared" si="59"/>
        <v>0</v>
      </c>
      <c r="ET99" s="139">
        <f t="shared" si="60"/>
        <v>15.697710561230231</v>
      </c>
      <c r="EU99" s="139">
        <f t="shared" si="61"/>
        <v>0</v>
      </c>
      <c r="EV99" s="139">
        <f t="shared" si="62"/>
        <v>9.3481977534582672</v>
      </c>
      <c r="EW99" s="139">
        <f t="shared" si="63"/>
        <v>0</v>
      </c>
      <c r="EX99" s="139">
        <f t="shared" si="64"/>
        <v>0</v>
      </c>
      <c r="EY99" s="139">
        <f t="shared" si="65"/>
        <v>0</v>
      </c>
      <c r="EZ99" s="139">
        <f t="shared" si="66"/>
        <v>0</v>
      </c>
      <c r="FA99" s="139">
        <f t="shared" si="67"/>
        <v>0</v>
      </c>
      <c r="FB99" s="139">
        <f t="shared" si="68"/>
        <v>0</v>
      </c>
      <c r="FC99" s="139">
        <f t="shared" si="69"/>
        <v>0</v>
      </c>
      <c r="FD99" s="139">
        <f t="shared" si="70"/>
        <v>0</v>
      </c>
      <c r="FE99" s="139">
        <f t="shared" si="71"/>
        <v>0</v>
      </c>
      <c r="FF99" s="139">
        <f t="shared" si="72"/>
        <v>0</v>
      </c>
      <c r="FG99" s="139">
        <f t="shared" si="73"/>
        <v>0</v>
      </c>
      <c r="FH99" s="139">
        <f t="shared" si="74"/>
        <v>0</v>
      </c>
      <c r="FI99" s="139">
        <f t="shared" si="75"/>
        <v>0</v>
      </c>
      <c r="FJ99" s="139">
        <f t="shared" si="76"/>
        <v>0</v>
      </c>
      <c r="FK99" s="139">
        <f t="shared" si="77"/>
        <v>0</v>
      </c>
      <c r="FL99" s="139">
        <f t="shared" si="78"/>
        <v>0</v>
      </c>
      <c r="FM99" s="139">
        <f t="shared" si="79"/>
        <v>0</v>
      </c>
      <c r="FN99" s="139">
        <f t="shared" si="80"/>
        <v>0</v>
      </c>
      <c r="FO99" s="139">
        <f t="shared" si="81"/>
        <v>0</v>
      </c>
      <c r="FP99" s="139">
        <f t="shared" si="82"/>
        <v>0</v>
      </c>
      <c r="FQ99" s="139">
        <f t="shared" si="83"/>
        <v>0</v>
      </c>
      <c r="FR99" s="139">
        <f t="shared" si="84"/>
        <v>0</v>
      </c>
      <c r="FS99" s="139">
        <f t="shared" si="85"/>
        <v>0</v>
      </c>
      <c r="FT99" s="139">
        <f t="shared" si="86"/>
        <v>0</v>
      </c>
      <c r="FU99" s="148">
        <f t="shared" si="87"/>
        <v>25.045908314688496</v>
      </c>
      <c r="FV99" s="149"/>
      <c r="FY99" s="213">
        <v>94</v>
      </c>
      <c r="FZ99">
        <v>42.707102909321229</v>
      </c>
      <c r="GA99">
        <v>31.069300016687105</v>
      </c>
      <c r="GB99">
        <v>19.796135688011766</v>
      </c>
      <c r="GC99">
        <v>9.4908745125326064</v>
      </c>
      <c r="GD99">
        <v>3.8766941683708551</v>
      </c>
      <c r="GE99">
        <v>6.3782475506701681</v>
      </c>
      <c r="GF99">
        <v>7.8068673542377613</v>
      </c>
      <c r="GG99">
        <v>6.0705681330094841</v>
      </c>
      <c r="GH99">
        <v>6.8694979069320645</v>
      </c>
      <c r="GI99">
        <v>15.863494284530015</v>
      </c>
      <c r="GJ99"/>
      <c r="GK99"/>
      <c r="GL99"/>
      <c r="GM99"/>
      <c r="GN99" s="208"/>
      <c r="GO99" s="208"/>
      <c r="GP99" s="208"/>
      <c r="GQ99" s="208"/>
      <c r="GR99" s="208"/>
      <c r="GS99" s="208"/>
      <c r="GT99" s="208"/>
      <c r="GU99" s="213">
        <v>94</v>
      </c>
    </row>
    <row r="100" spans="1:203" s="7" customFormat="1">
      <c r="A100" s="1"/>
      <c r="B100" s="76">
        <f ca="1">IF(C100="", "", RAND())</f>
        <v>0.33473392251127332</v>
      </c>
      <c r="C100">
        <v>2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52.083333333333336</v>
      </c>
      <c r="J100">
        <v>0</v>
      </c>
      <c r="K100">
        <v>10.416666666666666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273.18337944319114</v>
      </c>
      <c r="AO100">
        <v>27.534761457606276</v>
      </c>
      <c r="AP100">
        <v>23.154728026215949</v>
      </c>
      <c r="AQ100">
        <v>216.54480458516451</v>
      </c>
      <c r="AR100">
        <v>27.724931338361497</v>
      </c>
      <c r="AS100">
        <v>395.21357949303587</v>
      </c>
      <c r="AT100">
        <v>16.550793784210843</v>
      </c>
      <c r="AU100">
        <v>-53.328531832944819</v>
      </c>
      <c r="AV100"/>
      <c r="AW100"/>
      <c r="AX100" s="146"/>
      <c r="AY100" s="76">
        <f t="shared" ca="1" si="88"/>
        <v>0.4869180841241425</v>
      </c>
      <c r="AZ100">
        <v>3</v>
      </c>
      <c r="BA100" s="129">
        <f t="shared" si="127"/>
        <v>39673</v>
      </c>
      <c r="BB100" s="207">
        <v>0</v>
      </c>
      <c r="BC100" s="207">
        <v>0</v>
      </c>
      <c r="BD100" s="207">
        <v>0</v>
      </c>
      <c r="BE100" s="207">
        <v>0</v>
      </c>
      <c r="BF100" s="207">
        <v>1</v>
      </c>
      <c r="BG100" s="207">
        <v>0</v>
      </c>
      <c r="BH100" s="207">
        <v>1</v>
      </c>
      <c r="BI100" s="207">
        <v>2</v>
      </c>
      <c r="BJ100" s="207">
        <v>2</v>
      </c>
      <c r="BK100" s="207">
        <v>0</v>
      </c>
      <c r="BL100" s="207">
        <v>0</v>
      </c>
      <c r="BM100" s="207">
        <v>0</v>
      </c>
      <c r="BN100" s="207">
        <v>0</v>
      </c>
      <c r="BO100" s="207">
        <v>0</v>
      </c>
      <c r="BP100" s="207">
        <v>0</v>
      </c>
      <c r="BQ100" s="207">
        <v>0</v>
      </c>
      <c r="BR100" s="207">
        <v>0</v>
      </c>
      <c r="BS100" s="207">
        <v>0</v>
      </c>
      <c r="BT100" s="207">
        <v>0</v>
      </c>
      <c r="BU100" s="207">
        <v>0</v>
      </c>
      <c r="BV100" s="207">
        <v>0</v>
      </c>
      <c r="BW100" s="207">
        <v>0</v>
      </c>
      <c r="BX100" s="207">
        <v>0</v>
      </c>
      <c r="BY100" s="207">
        <v>0</v>
      </c>
      <c r="BZ100" s="207">
        <v>0</v>
      </c>
      <c r="CA100" s="207">
        <v>0</v>
      </c>
      <c r="CB100" s="207">
        <v>0</v>
      </c>
      <c r="CC100" s="207">
        <v>0</v>
      </c>
      <c r="CD100" s="207">
        <v>0</v>
      </c>
      <c r="CE100" s="207">
        <v>0</v>
      </c>
      <c r="CF100" s="207">
        <v>0</v>
      </c>
      <c r="CG100" s="147"/>
      <c r="CH100" s="176"/>
      <c r="CJ100" s="146"/>
      <c r="CK100" s="76">
        <f t="shared" ca="1" si="90"/>
        <v>0.10126528809131408</v>
      </c>
      <c r="CL100" s="179">
        <f t="shared" si="91"/>
        <v>3</v>
      </c>
      <c r="CM100" s="180">
        <f t="shared" si="92"/>
        <v>39673</v>
      </c>
      <c r="CN100" s="208">
        <v>0</v>
      </c>
      <c r="CO100" s="208">
        <v>0</v>
      </c>
      <c r="CP100" s="208">
        <v>1</v>
      </c>
      <c r="CQ100" s="208">
        <v>0</v>
      </c>
      <c r="CR100" s="208">
        <v>0</v>
      </c>
      <c r="CS100" s="208">
        <v>0</v>
      </c>
      <c r="CT100" s="208">
        <v>0</v>
      </c>
      <c r="CU100" s="208">
        <v>0</v>
      </c>
      <c r="CW100">
        <v>1</v>
      </c>
      <c r="CX100">
        <f>350/51</f>
        <v>6.8627450980392153</v>
      </c>
      <c r="CY100" s="158"/>
      <c r="CZ100" s="177">
        <f t="shared" si="93"/>
        <v>9.6000000000000002E-2</v>
      </c>
      <c r="DB100" s="146"/>
      <c r="DC100" s="76">
        <f t="shared" ca="1" si="51"/>
        <v>0.90853328899922836</v>
      </c>
      <c r="DD100">
        <f t="shared" si="94"/>
        <v>3</v>
      </c>
      <c r="DE100" s="129">
        <f t="shared" si="126"/>
        <v>39673</v>
      </c>
      <c r="DF100" s="161">
        <f t="shared" si="95"/>
        <v>0</v>
      </c>
      <c r="DG100" s="161">
        <f t="shared" si="96"/>
        <v>0</v>
      </c>
      <c r="DH100" s="161">
        <f t="shared" si="97"/>
        <v>71.486928104575156</v>
      </c>
      <c r="DI100" s="161">
        <f t="shared" si="98"/>
        <v>0</v>
      </c>
      <c r="DJ100" s="161">
        <f t="shared" si="99"/>
        <v>10.416666666666666</v>
      </c>
      <c r="DK100" s="161">
        <f t="shared" si="100"/>
        <v>0</v>
      </c>
      <c r="DL100" s="161">
        <f t="shared" si="101"/>
        <v>10.416666666666666</v>
      </c>
      <c r="DM100" s="161">
        <f t="shared" si="102"/>
        <v>20.833333333333332</v>
      </c>
      <c r="DN100" s="161">
        <f t="shared" si="103"/>
        <v>20.833333333333332</v>
      </c>
      <c r="DO100" s="161">
        <f t="shared" si="104"/>
        <v>0</v>
      </c>
      <c r="DP100" s="161">
        <f t="shared" si="105"/>
        <v>0</v>
      </c>
      <c r="DQ100" s="161">
        <f t="shared" si="106"/>
        <v>0</v>
      </c>
      <c r="DR100" s="161">
        <f t="shared" si="107"/>
        <v>0</v>
      </c>
      <c r="DS100" s="161">
        <f t="shared" si="108"/>
        <v>0</v>
      </c>
      <c r="DT100" s="161">
        <f t="shared" si="109"/>
        <v>0</v>
      </c>
      <c r="DU100" s="161">
        <f t="shared" si="110"/>
        <v>0</v>
      </c>
      <c r="DV100" s="161">
        <f t="shared" si="111"/>
        <v>0</v>
      </c>
      <c r="DW100" s="161">
        <f t="shared" si="112"/>
        <v>0</v>
      </c>
      <c r="DX100" s="161">
        <f t="shared" si="113"/>
        <v>0</v>
      </c>
      <c r="DY100" s="161">
        <f t="shared" si="114"/>
        <v>0</v>
      </c>
      <c r="DZ100" s="161">
        <f t="shared" si="115"/>
        <v>0</v>
      </c>
      <c r="EA100" s="161">
        <f t="shared" si="116"/>
        <v>0</v>
      </c>
      <c r="EB100" s="161">
        <f t="shared" si="117"/>
        <v>0</v>
      </c>
      <c r="EC100" s="161">
        <f t="shared" si="118"/>
        <v>0</v>
      </c>
      <c r="ED100" s="161">
        <f t="shared" si="119"/>
        <v>0</v>
      </c>
      <c r="EE100" s="161">
        <f t="shared" si="120"/>
        <v>0</v>
      </c>
      <c r="EF100" s="161">
        <f t="shared" si="121"/>
        <v>0</v>
      </c>
      <c r="EG100" s="161">
        <f t="shared" si="122"/>
        <v>0</v>
      </c>
      <c r="EH100" s="161">
        <f t="shared" si="123"/>
        <v>0</v>
      </c>
      <c r="EI100" s="161">
        <f t="shared" si="124"/>
        <v>0</v>
      </c>
      <c r="EJ100" s="161">
        <f t="shared" si="125"/>
        <v>0</v>
      </c>
      <c r="EK100" s="147">
        <f t="shared" si="55"/>
        <v>133.98692810457516</v>
      </c>
      <c r="EL100" s="149"/>
      <c r="EN100" s="146"/>
      <c r="EO100" s="146"/>
      <c r="EP100" s="139">
        <f t="shared" si="56"/>
        <v>0</v>
      </c>
      <c r="EQ100" s="139">
        <f t="shared" si="57"/>
        <v>0</v>
      </c>
      <c r="ER100" s="139">
        <f t="shared" si="58"/>
        <v>3.3365102453132729</v>
      </c>
      <c r="ES100" s="139">
        <f t="shared" si="59"/>
        <v>0</v>
      </c>
      <c r="ET100" s="139">
        <f t="shared" si="60"/>
        <v>3.1395421122460458</v>
      </c>
      <c r="EU100" s="139">
        <f t="shared" si="61"/>
        <v>0</v>
      </c>
      <c r="EV100" s="139">
        <f t="shared" si="62"/>
        <v>9.3481977534582672</v>
      </c>
      <c r="EW100" s="139">
        <f t="shared" si="63"/>
        <v>28.308163644547104</v>
      </c>
      <c r="EX100" s="139">
        <f t="shared" si="64"/>
        <v>40.547868263327473</v>
      </c>
      <c r="EY100" s="139">
        <f t="shared" si="65"/>
        <v>0</v>
      </c>
      <c r="EZ100" s="139">
        <f t="shared" si="66"/>
        <v>0</v>
      </c>
      <c r="FA100" s="139">
        <f t="shared" si="67"/>
        <v>0</v>
      </c>
      <c r="FB100" s="139">
        <f t="shared" si="68"/>
        <v>0</v>
      </c>
      <c r="FC100" s="139">
        <f t="shared" si="69"/>
        <v>0</v>
      </c>
      <c r="FD100" s="139">
        <f t="shared" si="70"/>
        <v>0</v>
      </c>
      <c r="FE100" s="139">
        <f t="shared" si="71"/>
        <v>0</v>
      </c>
      <c r="FF100" s="139">
        <f t="shared" si="72"/>
        <v>0</v>
      </c>
      <c r="FG100" s="139">
        <f t="shared" si="73"/>
        <v>0</v>
      </c>
      <c r="FH100" s="139">
        <f t="shared" si="74"/>
        <v>0</v>
      </c>
      <c r="FI100" s="139">
        <f t="shared" si="75"/>
        <v>0</v>
      </c>
      <c r="FJ100" s="139">
        <f t="shared" si="76"/>
        <v>0</v>
      </c>
      <c r="FK100" s="139">
        <f t="shared" si="77"/>
        <v>0</v>
      </c>
      <c r="FL100" s="139">
        <f t="shared" si="78"/>
        <v>0</v>
      </c>
      <c r="FM100" s="139">
        <f t="shared" si="79"/>
        <v>0</v>
      </c>
      <c r="FN100" s="139">
        <f t="shared" si="80"/>
        <v>0</v>
      </c>
      <c r="FO100" s="139">
        <f t="shared" si="81"/>
        <v>0</v>
      </c>
      <c r="FP100" s="139">
        <f t="shared" si="82"/>
        <v>0</v>
      </c>
      <c r="FQ100" s="139">
        <f t="shared" si="83"/>
        <v>0</v>
      </c>
      <c r="FR100" s="139">
        <f t="shared" si="84"/>
        <v>0</v>
      </c>
      <c r="FS100" s="139">
        <f t="shared" si="85"/>
        <v>0</v>
      </c>
      <c r="FT100" s="139">
        <f t="shared" si="86"/>
        <v>0</v>
      </c>
      <c r="FU100" s="148">
        <f t="shared" si="87"/>
        <v>84.680282018892171</v>
      </c>
      <c r="FV100" s="149"/>
      <c r="FY100" s="213">
        <v>95</v>
      </c>
      <c r="FZ100">
        <v>36.371252822751146</v>
      </c>
      <c r="GA100">
        <v>22.668389509503893</v>
      </c>
      <c r="GB100">
        <v>32.305554867838296</v>
      </c>
      <c r="GC100">
        <v>19.388290333395805</v>
      </c>
      <c r="GD100">
        <v>4.2202028258734794</v>
      </c>
      <c r="GE100">
        <v>6.855577355932307</v>
      </c>
      <c r="GF100">
        <v>4.3678816643028302</v>
      </c>
      <c r="GG100">
        <v>1.9980065376361651</v>
      </c>
      <c r="GH100">
        <v>11.294639745796891</v>
      </c>
      <c r="GI100">
        <v>18.281397706832024</v>
      </c>
      <c r="GJ100"/>
      <c r="GK100"/>
      <c r="GL100"/>
      <c r="GM100"/>
      <c r="GN100" s="208"/>
      <c r="GO100" s="208"/>
      <c r="GP100" s="208"/>
      <c r="GQ100" s="208"/>
      <c r="GR100" s="208"/>
      <c r="GS100" s="208"/>
      <c r="GT100" s="208"/>
      <c r="GU100" s="213">
        <v>95</v>
      </c>
    </row>
    <row r="101" spans="1:203" s="7" customFormat="1">
      <c r="A101" s="1"/>
      <c r="B101" s="76">
        <f ca="1">IF(C101="", "", RAND())</f>
        <v>0.68757020974633831</v>
      </c>
      <c r="C101">
        <v>9</v>
      </c>
      <c r="D101">
        <v>39673</v>
      </c>
      <c r="E101">
        <v>0</v>
      </c>
      <c r="F101">
        <v>10.416666666666666</v>
      </c>
      <c r="G101">
        <v>20.833333333333332</v>
      </c>
      <c r="H101">
        <v>31.25</v>
      </c>
      <c r="I101">
        <v>72.916666666666671</v>
      </c>
      <c r="J101">
        <v>83.333333333333329</v>
      </c>
      <c r="K101">
        <v>72.916666666666671</v>
      </c>
      <c r="L101">
        <v>10.416666666666666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353.92223492125544</v>
      </c>
      <c r="AO101">
        <v>34.133244509075681</v>
      </c>
      <c r="AP101">
        <v>36.82542228600844</v>
      </c>
      <c r="AQ101">
        <v>246.89760012665545</v>
      </c>
      <c r="AR101">
        <v>34.688129154775467</v>
      </c>
      <c r="AS101">
        <v>501.87171451488575</v>
      </c>
      <c r="AT101">
        <v>21.45434069409141</v>
      </c>
      <c r="AU101">
        <v>-3.6470185091106018</v>
      </c>
      <c r="AV101"/>
      <c r="AW101"/>
      <c r="AX101" s="146"/>
      <c r="AY101" s="76">
        <f t="shared" ca="1" si="88"/>
        <v>0.58923378887549949</v>
      </c>
      <c r="AZ101">
        <v>4</v>
      </c>
      <c r="BA101" s="129">
        <f t="shared" si="127"/>
        <v>39673</v>
      </c>
      <c r="BB101" s="207">
        <v>0</v>
      </c>
      <c r="BC101" s="207">
        <v>0</v>
      </c>
      <c r="BD101" s="207">
        <v>0</v>
      </c>
      <c r="BE101" s="207">
        <v>0</v>
      </c>
      <c r="BF101" s="207">
        <v>0</v>
      </c>
      <c r="BG101" s="207">
        <v>0</v>
      </c>
      <c r="BH101" s="207">
        <v>0</v>
      </c>
      <c r="BI101" s="207">
        <v>0</v>
      </c>
      <c r="BJ101" s="207">
        <v>0</v>
      </c>
      <c r="BK101" s="207">
        <v>0</v>
      </c>
      <c r="BL101" s="207">
        <v>0</v>
      </c>
      <c r="BM101" s="207">
        <v>0</v>
      </c>
      <c r="BN101" s="207">
        <v>0</v>
      </c>
      <c r="BO101" s="207">
        <v>0</v>
      </c>
      <c r="BP101" s="207">
        <v>0</v>
      </c>
      <c r="BQ101" s="207">
        <v>0</v>
      </c>
      <c r="BR101" s="207">
        <v>0</v>
      </c>
      <c r="BS101" s="207">
        <v>0</v>
      </c>
      <c r="BT101" s="207">
        <v>0</v>
      </c>
      <c r="BU101" s="207">
        <v>0</v>
      </c>
      <c r="BV101" s="207">
        <v>0</v>
      </c>
      <c r="BW101" s="207">
        <v>0</v>
      </c>
      <c r="BX101" s="207">
        <v>0</v>
      </c>
      <c r="BY101" s="207">
        <v>0</v>
      </c>
      <c r="BZ101" s="207">
        <v>0</v>
      </c>
      <c r="CA101" s="207">
        <v>0</v>
      </c>
      <c r="CB101" s="207">
        <v>0</v>
      </c>
      <c r="CC101" s="207">
        <v>0</v>
      </c>
      <c r="CD101" s="207">
        <v>0</v>
      </c>
      <c r="CE101" s="207">
        <v>0</v>
      </c>
      <c r="CF101" s="207">
        <v>0</v>
      </c>
      <c r="CG101" s="147"/>
      <c r="CH101" s="176"/>
      <c r="CJ101" s="146"/>
      <c r="CK101" s="76">
        <f t="shared" ca="1" si="90"/>
        <v>0.36709874090473971</v>
      </c>
      <c r="CL101" s="179">
        <f t="shared" si="91"/>
        <v>4</v>
      </c>
      <c r="CM101" s="180">
        <f t="shared" si="92"/>
        <v>39673</v>
      </c>
      <c r="CN101" s="208">
        <v>0</v>
      </c>
      <c r="CO101" s="208">
        <v>0</v>
      </c>
      <c r="CP101" s="208">
        <v>1</v>
      </c>
      <c r="CQ101" s="208">
        <v>0</v>
      </c>
      <c r="CR101" s="208">
        <v>0</v>
      </c>
      <c r="CS101" s="208">
        <v>0</v>
      </c>
      <c r="CT101" s="208">
        <v>0</v>
      </c>
      <c r="CU101" s="208">
        <v>0</v>
      </c>
      <c r="CW101">
        <v>1</v>
      </c>
      <c r="CX101">
        <f>355/50</f>
        <v>7.1</v>
      </c>
      <c r="CY101" s="158"/>
      <c r="CZ101" s="177">
        <f t="shared" si="93"/>
        <v>9.6000000000000002E-2</v>
      </c>
      <c r="DB101" s="146"/>
      <c r="DC101" s="76">
        <f t="shared" ca="1" si="51"/>
        <v>0.23414569841177713</v>
      </c>
      <c r="DD101">
        <f t="shared" si="94"/>
        <v>4</v>
      </c>
      <c r="DE101" s="129">
        <f t="shared" si="126"/>
        <v>39673</v>
      </c>
      <c r="DF101" s="161">
        <f t="shared" si="95"/>
        <v>0</v>
      </c>
      <c r="DG101" s="161">
        <f t="shared" si="96"/>
        <v>0</v>
      </c>
      <c r="DH101" s="161">
        <f t="shared" si="97"/>
        <v>73.958333333333329</v>
      </c>
      <c r="DI101" s="161">
        <f t="shared" si="98"/>
        <v>0</v>
      </c>
      <c r="DJ101" s="161">
        <f t="shared" si="99"/>
        <v>0</v>
      </c>
      <c r="DK101" s="161">
        <f t="shared" si="100"/>
        <v>0</v>
      </c>
      <c r="DL101" s="161">
        <f t="shared" si="101"/>
        <v>0</v>
      </c>
      <c r="DM101" s="161">
        <f t="shared" si="102"/>
        <v>0</v>
      </c>
      <c r="DN101" s="161">
        <f t="shared" si="103"/>
        <v>0</v>
      </c>
      <c r="DO101" s="161">
        <f t="shared" si="104"/>
        <v>0</v>
      </c>
      <c r="DP101" s="161">
        <f t="shared" si="105"/>
        <v>0</v>
      </c>
      <c r="DQ101" s="161">
        <f t="shared" si="106"/>
        <v>0</v>
      </c>
      <c r="DR101" s="161">
        <f t="shared" si="107"/>
        <v>0</v>
      </c>
      <c r="DS101" s="161">
        <f t="shared" si="108"/>
        <v>0</v>
      </c>
      <c r="DT101" s="161">
        <f t="shared" si="109"/>
        <v>0</v>
      </c>
      <c r="DU101" s="161">
        <f t="shared" si="110"/>
        <v>0</v>
      </c>
      <c r="DV101" s="161">
        <f t="shared" si="111"/>
        <v>0</v>
      </c>
      <c r="DW101" s="161">
        <f t="shared" si="112"/>
        <v>0</v>
      </c>
      <c r="DX101" s="161">
        <f t="shared" si="113"/>
        <v>0</v>
      </c>
      <c r="DY101" s="161">
        <f t="shared" si="114"/>
        <v>0</v>
      </c>
      <c r="DZ101" s="161">
        <f t="shared" si="115"/>
        <v>0</v>
      </c>
      <c r="EA101" s="161">
        <f t="shared" si="116"/>
        <v>0</v>
      </c>
      <c r="EB101" s="161">
        <f t="shared" si="117"/>
        <v>0</v>
      </c>
      <c r="EC101" s="161">
        <f t="shared" si="118"/>
        <v>0</v>
      </c>
      <c r="ED101" s="161">
        <f t="shared" si="119"/>
        <v>0</v>
      </c>
      <c r="EE101" s="161">
        <f t="shared" si="120"/>
        <v>0</v>
      </c>
      <c r="EF101" s="161">
        <f t="shared" si="121"/>
        <v>0</v>
      </c>
      <c r="EG101" s="161">
        <f t="shared" si="122"/>
        <v>0</v>
      </c>
      <c r="EH101" s="161">
        <f t="shared" si="123"/>
        <v>0</v>
      </c>
      <c r="EI101" s="161">
        <f t="shared" si="124"/>
        <v>0</v>
      </c>
      <c r="EJ101" s="161">
        <f t="shared" si="125"/>
        <v>0</v>
      </c>
      <c r="EK101" s="147">
        <f t="shared" si="55"/>
        <v>73.958333333333329</v>
      </c>
      <c r="EL101" s="149"/>
      <c r="EN101" s="146"/>
      <c r="EO101" s="146"/>
      <c r="EP101" s="139">
        <f t="shared" si="56"/>
        <v>0</v>
      </c>
      <c r="EQ101" s="139">
        <f t="shared" si="57"/>
        <v>0</v>
      </c>
      <c r="ER101" s="139">
        <f t="shared" si="58"/>
        <v>3.4518581709369602</v>
      </c>
      <c r="ES101" s="139">
        <f t="shared" si="59"/>
        <v>0</v>
      </c>
      <c r="ET101" s="139">
        <f t="shared" si="60"/>
        <v>0</v>
      </c>
      <c r="EU101" s="139">
        <f t="shared" si="61"/>
        <v>0</v>
      </c>
      <c r="EV101" s="139">
        <f t="shared" si="62"/>
        <v>0</v>
      </c>
      <c r="EW101" s="139">
        <f t="shared" si="63"/>
        <v>0</v>
      </c>
      <c r="EX101" s="139">
        <f t="shared" si="64"/>
        <v>0</v>
      </c>
      <c r="EY101" s="139">
        <f t="shared" si="65"/>
        <v>0</v>
      </c>
      <c r="EZ101" s="139">
        <f t="shared" si="66"/>
        <v>0</v>
      </c>
      <c r="FA101" s="139">
        <f t="shared" si="67"/>
        <v>0</v>
      </c>
      <c r="FB101" s="139">
        <f t="shared" si="68"/>
        <v>0</v>
      </c>
      <c r="FC101" s="139">
        <f t="shared" si="69"/>
        <v>0</v>
      </c>
      <c r="FD101" s="139">
        <f t="shared" si="70"/>
        <v>0</v>
      </c>
      <c r="FE101" s="139">
        <f t="shared" si="71"/>
        <v>0</v>
      </c>
      <c r="FF101" s="139">
        <f t="shared" si="72"/>
        <v>0</v>
      </c>
      <c r="FG101" s="139">
        <f t="shared" si="73"/>
        <v>0</v>
      </c>
      <c r="FH101" s="139">
        <f t="shared" si="74"/>
        <v>0</v>
      </c>
      <c r="FI101" s="139">
        <f t="shared" si="75"/>
        <v>0</v>
      </c>
      <c r="FJ101" s="139">
        <f t="shared" si="76"/>
        <v>0</v>
      </c>
      <c r="FK101" s="139">
        <f t="shared" si="77"/>
        <v>0</v>
      </c>
      <c r="FL101" s="139">
        <f t="shared" si="78"/>
        <v>0</v>
      </c>
      <c r="FM101" s="139">
        <f t="shared" si="79"/>
        <v>0</v>
      </c>
      <c r="FN101" s="139">
        <f t="shared" si="80"/>
        <v>0</v>
      </c>
      <c r="FO101" s="139">
        <f t="shared" si="81"/>
        <v>0</v>
      </c>
      <c r="FP101" s="139">
        <f t="shared" si="82"/>
        <v>0</v>
      </c>
      <c r="FQ101" s="139">
        <f t="shared" si="83"/>
        <v>0</v>
      </c>
      <c r="FR101" s="139">
        <f t="shared" si="84"/>
        <v>0</v>
      </c>
      <c r="FS101" s="139">
        <f t="shared" si="85"/>
        <v>0</v>
      </c>
      <c r="FT101" s="139">
        <f t="shared" si="86"/>
        <v>0</v>
      </c>
      <c r="FU101" s="148">
        <f t="shared" si="87"/>
        <v>3.4518581709369602</v>
      </c>
      <c r="FV101" s="149"/>
      <c r="FY101" s="213">
        <v>96</v>
      </c>
      <c r="FZ101">
        <v>40.189825380579848</v>
      </c>
      <c r="GA101">
        <v>36.407112329542727</v>
      </c>
      <c r="GB101">
        <v>28.184854765379264</v>
      </c>
      <c r="GC101">
        <v>13.153143141918072</v>
      </c>
      <c r="GD101">
        <v>2.6142162792730606</v>
      </c>
      <c r="GE101">
        <v>3.0465231335296137</v>
      </c>
      <c r="GF101">
        <v>5.3100544715137126</v>
      </c>
      <c r="GG101">
        <v>5.994864806163628</v>
      </c>
      <c r="GH101">
        <v>8.0059504576563505</v>
      </c>
      <c r="GI101">
        <v>16.583897381135259</v>
      </c>
      <c r="GJ101"/>
      <c r="GK101"/>
      <c r="GL101"/>
      <c r="GM101"/>
      <c r="GN101" s="208"/>
      <c r="GO101" s="208"/>
      <c r="GP101" s="208"/>
      <c r="GQ101" s="208"/>
      <c r="GR101" s="208"/>
      <c r="GS101" s="208"/>
      <c r="GT101" s="208"/>
      <c r="GU101" s="213">
        <v>96</v>
      </c>
    </row>
    <row r="102" spans="1:203" s="7" customFormat="1">
      <c r="A102" s="1"/>
      <c r="B102" s="76">
        <f ca="1">IF(C102="", "", RAND())</f>
        <v>0.48038094973683521</v>
      </c>
      <c r="C102">
        <v>8</v>
      </c>
      <c r="D102">
        <v>39673</v>
      </c>
      <c r="E102">
        <v>0</v>
      </c>
      <c r="F102">
        <v>20.833333333333332</v>
      </c>
      <c r="G102">
        <v>270.83333333333331</v>
      </c>
      <c r="H102">
        <v>145.83333333333334</v>
      </c>
      <c r="I102">
        <v>41.666666666666664</v>
      </c>
      <c r="J102">
        <v>0</v>
      </c>
      <c r="K102">
        <v>31.25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276.67596229950743</v>
      </c>
      <c r="AO102">
        <v>27.988114227397574</v>
      </c>
      <c r="AP102">
        <v>43.355440312197061</v>
      </c>
      <c r="AQ102">
        <v>201.47200516351251</v>
      </c>
      <c r="AR102">
        <v>28.794795817407859</v>
      </c>
      <c r="AS102">
        <v>404.9450269866843</v>
      </c>
      <c r="AT102">
        <v>16.919018721289952</v>
      </c>
      <c r="AU102">
        <v>9.3326346395803697</v>
      </c>
      <c r="AV102"/>
      <c r="AW102"/>
      <c r="AX102" s="146"/>
      <c r="AY102" s="76">
        <f t="shared" ca="1" si="88"/>
        <v>0.80545144104952016</v>
      </c>
      <c r="AZ102">
        <v>5</v>
      </c>
      <c r="BA102" s="129">
        <f t="shared" si="127"/>
        <v>39673</v>
      </c>
      <c r="BB102" s="207">
        <v>0</v>
      </c>
      <c r="BC102" s="207">
        <v>0</v>
      </c>
      <c r="BD102" s="207">
        <v>0</v>
      </c>
      <c r="BE102" s="207">
        <v>2</v>
      </c>
      <c r="BF102" s="207">
        <v>1</v>
      </c>
      <c r="BG102" s="207">
        <v>5</v>
      </c>
      <c r="BH102" s="207">
        <v>0</v>
      </c>
      <c r="BI102" s="207">
        <v>0</v>
      </c>
      <c r="BJ102" s="207">
        <v>0</v>
      </c>
      <c r="BK102" s="207">
        <v>0</v>
      </c>
      <c r="BL102" s="207">
        <v>0</v>
      </c>
      <c r="BM102" s="207">
        <v>0</v>
      </c>
      <c r="BN102" s="207">
        <v>0</v>
      </c>
      <c r="BO102" s="207">
        <v>0</v>
      </c>
      <c r="BP102" s="207">
        <v>0</v>
      </c>
      <c r="BQ102" s="207">
        <v>0</v>
      </c>
      <c r="BR102" s="207">
        <v>0</v>
      </c>
      <c r="BS102" s="207">
        <v>0</v>
      </c>
      <c r="BT102" s="207">
        <v>0</v>
      </c>
      <c r="BU102" s="207">
        <v>0</v>
      </c>
      <c r="BV102" s="207">
        <v>0</v>
      </c>
      <c r="BW102" s="207">
        <v>0</v>
      </c>
      <c r="BX102" s="207">
        <v>0</v>
      </c>
      <c r="BY102" s="207">
        <v>0</v>
      </c>
      <c r="BZ102" s="207">
        <v>0</v>
      </c>
      <c r="CA102" s="207">
        <v>0</v>
      </c>
      <c r="CB102" s="207">
        <v>0</v>
      </c>
      <c r="CC102" s="207">
        <v>0</v>
      </c>
      <c r="CD102" s="207">
        <v>0</v>
      </c>
      <c r="CE102" s="207">
        <v>0</v>
      </c>
      <c r="CF102" s="207">
        <v>0</v>
      </c>
      <c r="CG102" s="147"/>
      <c r="CH102" s="176"/>
      <c r="CJ102" s="146"/>
      <c r="CK102" s="76">
        <f t="shared" ca="1" si="90"/>
        <v>0.14944857142100609</v>
      </c>
      <c r="CL102" s="179">
        <f t="shared" si="91"/>
        <v>5</v>
      </c>
      <c r="CM102" s="180">
        <f t="shared" si="92"/>
        <v>39673</v>
      </c>
      <c r="CN102" s="208">
        <v>0</v>
      </c>
      <c r="CO102" s="208">
        <v>0</v>
      </c>
      <c r="CP102" s="208">
        <v>0</v>
      </c>
      <c r="CQ102" s="208">
        <v>0</v>
      </c>
      <c r="CR102" s="208">
        <v>0</v>
      </c>
      <c r="CS102" s="208">
        <v>0</v>
      </c>
      <c r="CT102" s="208">
        <v>0</v>
      </c>
      <c r="CU102" s="208">
        <v>0</v>
      </c>
      <c r="CW102">
        <v>1</v>
      </c>
      <c r="CX102">
        <v>1</v>
      </c>
      <c r="CY102" s="164"/>
      <c r="CZ102" s="177">
        <f t="shared" si="93"/>
        <v>9.6000000000000002E-2</v>
      </c>
      <c r="DB102" s="146"/>
      <c r="DC102" s="76">
        <f t="shared" ca="1" si="51"/>
        <v>0.89984708756786258</v>
      </c>
      <c r="DD102">
        <f t="shared" si="94"/>
        <v>5</v>
      </c>
      <c r="DE102" s="129">
        <f t="shared" si="126"/>
        <v>39673</v>
      </c>
      <c r="DF102" s="161">
        <f t="shared" si="95"/>
        <v>0</v>
      </c>
      <c r="DG102" s="161">
        <f t="shared" si="96"/>
        <v>0</v>
      </c>
      <c r="DH102" s="161">
        <f t="shared" si="97"/>
        <v>0</v>
      </c>
      <c r="DI102" s="161">
        <f t="shared" si="98"/>
        <v>20.833333333333332</v>
      </c>
      <c r="DJ102" s="161">
        <f t="shared" si="99"/>
        <v>10.416666666666666</v>
      </c>
      <c r="DK102" s="161">
        <f t="shared" si="100"/>
        <v>52.083333333333336</v>
      </c>
      <c r="DL102" s="161">
        <f t="shared" si="101"/>
        <v>0</v>
      </c>
      <c r="DM102" s="161">
        <f t="shared" si="102"/>
        <v>0</v>
      </c>
      <c r="DN102" s="161">
        <f t="shared" si="103"/>
        <v>0</v>
      </c>
      <c r="DO102" s="161">
        <f t="shared" si="104"/>
        <v>0</v>
      </c>
      <c r="DP102" s="161">
        <f t="shared" si="105"/>
        <v>0</v>
      </c>
      <c r="DQ102" s="161">
        <f t="shared" si="106"/>
        <v>0</v>
      </c>
      <c r="DR102" s="161">
        <f t="shared" si="107"/>
        <v>0</v>
      </c>
      <c r="DS102" s="161">
        <f t="shared" si="108"/>
        <v>0</v>
      </c>
      <c r="DT102" s="161">
        <f t="shared" si="109"/>
        <v>0</v>
      </c>
      <c r="DU102" s="161">
        <f t="shared" si="110"/>
        <v>0</v>
      </c>
      <c r="DV102" s="161">
        <f t="shared" si="111"/>
        <v>0</v>
      </c>
      <c r="DW102" s="161">
        <f t="shared" si="112"/>
        <v>0</v>
      </c>
      <c r="DX102" s="161">
        <f t="shared" si="113"/>
        <v>0</v>
      </c>
      <c r="DY102" s="161">
        <f t="shared" si="114"/>
        <v>0</v>
      </c>
      <c r="DZ102" s="161">
        <f t="shared" si="115"/>
        <v>0</v>
      </c>
      <c r="EA102" s="161">
        <f t="shared" si="116"/>
        <v>0</v>
      </c>
      <c r="EB102" s="161">
        <f t="shared" si="117"/>
        <v>0</v>
      </c>
      <c r="EC102" s="161">
        <f t="shared" si="118"/>
        <v>0</v>
      </c>
      <c r="ED102" s="161">
        <f t="shared" si="119"/>
        <v>0</v>
      </c>
      <c r="EE102" s="161">
        <f t="shared" si="120"/>
        <v>0</v>
      </c>
      <c r="EF102" s="161">
        <f t="shared" si="121"/>
        <v>0</v>
      </c>
      <c r="EG102" s="161">
        <f t="shared" si="122"/>
        <v>0</v>
      </c>
      <c r="EH102" s="161">
        <f t="shared" si="123"/>
        <v>0</v>
      </c>
      <c r="EI102" s="161">
        <f t="shared" si="124"/>
        <v>0</v>
      </c>
      <c r="EJ102" s="161">
        <f t="shared" si="125"/>
        <v>0</v>
      </c>
      <c r="EK102" s="147">
        <f t="shared" si="55"/>
        <v>83.333333333333343</v>
      </c>
      <c r="EL102" s="149"/>
      <c r="EN102" s="146"/>
      <c r="EO102" s="146"/>
      <c r="EP102" s="139">
        <f t="shared" si="56"/>
        <v>0</v>
      </c>
      <c r="EQ102" s="139">
        <f t="shared" si="57"/>
        <v>0</v>
      </c>
      <c r="ER102" s="139">
        <f t="shared" si="58"/>
        <v>0</v>
      </c>
      <c r="ES102" s="139">
        <f t="shared" si="59"/>
        <v>2.8952506533745592</v>
      </c>
      <c r="ET102" s="139">
        <f t="shared" si="60"/>
        <v>3.1395421122460458</v>
      </c>
      <c r="EU102" s="139">
        <f t="shared" si="61"/>
        <v>28.616806187753749</v>
      </c>
      <c r="EV102" s="139">
        <f t="shared" si="62"/>
        <v>0</v>
      </c>
      <c r="EW102" s="139">
        <f t="shared" si="63"/>
        <v>0</v>
      </c>
      <c r="EX102" s="139">
        <f t="shared" si="64"/>
        <v>0</v>
      </c>
      <c r="EY102" s="139">
        <f t="shared" si="65"/>
        <v>0</v>
      </c>
      <c r="EZ102" s="139">
        <f t="shared" si="66"/>
        <v>0</v>
      </c>
      <c r="FA102" s="139">
        <f t="shared" si="67"/>
        <v>0</v>
      </c>
      <c r="FB102" s="139">
        <f t="shared" si="68"/>
        <v>0</v>
      </c>
      <c r="FC102" s="139">
        <f t="shared" si="69"/>
        <v>0</v>
      </c>
      <c r="FD102" s="139">
        <f t="shared" si="70"/>
        <v>0</v>
      </c>
      <c r="FE102" s="139">
        <f t="shared" si="71"/>
        <v>0</v>
      </c>
      <c r="FF102" s="139">
        <f t="shared" si="72"/>
        <v>0</v>
      </c>
      <c r="FG102" s="139">
        <f t="shared" si="73"/>
        <v>0</v>
      </c>
      <c r="FH102" s="139">
        <f t="shared" si="74"/>
        <v>0</v>
      </c>
      <c r="FI102" s="139">
        <f t="shared" si="75"/>
        <v>0</v>
      </c>
      <c r="FJ102" s="139">
        <f t="shared" si="76"/>
        <v>0</v>
      </c>
      <c r="FK102" s="139">
        <f t="shared" si="77"/>
        <v>0</v>
      </c>
      <c r="FL102" s="139">
        <f t="shared" si="78"/>
        <v>0</v>
      </c>
      <c r="FM102" s="139">
        <f t="shared" si="79"/>
        <v>0</v>
      </c>
      <c r="FN102" s="139">
        <f t="shared" si="80"/>
        <v>0</v>
      </c>
      <c r="FO102" s="139">
        <f t="shared" si="81"/>
        <v>0</v>
      </c>
      <c r="FP102" s="139">
        <f t="shared" si="82"/>
        <v>0</v>
      </c>
      <c r="FQ102" s="139">
        <f t="shared" si="83"/>
        <v>0</v>
      </c>
      <c r="FR102" s="139">
        <f t="shared" si="84"/>
        <v>0</v>
      </c>
      <c r="FS102" s="139">
        <f t="shared" si="85"/>
        <v>0</v>
      </c>
      <c r="FT102" s="139">
        <f t="shared" si="86"/>
        <v>0</v>
      </c>
      <c r="FU102" s="148">
        <f t="shared" si="87"/>
        <v>34.651598953374354</v>
      </c>
      <c r="FV102" s="149"/>
      <c r="FY102" s="213">
        <v>97</v>
      </c>
      <c r="FZ102">
        <v>39.836071929735468</v>
      </c>
      <c r="GA102">
        <v>22.657148565566118</v>
      </c>
      <c r="GB102">
        <v>18.675143950605264</v>
      </c>
      <c r="GC102">
        <v>11.441960715041887</v>
      </c>
      <c r="GD102">
        <v>4.5477864075006229</v>
      </c>
      <c r="GE102">
        <v>5.6318866142829966</v>
      </c>
      <c r="GF102">
        <v>4.6544326568988001</v>
      </c>
      <c r="GG102">
        <v>7.7832020205155441</v>
      </c>
      <c r="GH102">
        <v>9.4976148769976465</v>
      </c>
      <c r="GI102">
        <v>15.406046902681581</v>
      </c>
      <c r="GJ102"/>
      <c r="GK102"/>
      <c r="GL102"/>
      <c r="GM102"/>
      <c r="GN102" s="208"/>
      <c r="GO102" s="208"/>
      <c r="GP102" s="208"/>
      <c r="GQ102" s="208"/>
      <c r="GR102" s="208"/>
      <c r="GS102" s="208"/>
      <c r="GT102" s="208"/>
      <c r="GU102" s="213">
        <v>97</v>
      </c>
    </row>
    <row r="103" spans="1:203" s="7" customFormat="1">
      <c r="A103" s="1"/>
      <c r="B103" s="76">
        <f ca="1">IF(C103="", "", RAND())</f>
        <v>3.408497184446535E-2</v>
      </c>
      <c r="C103">
        <v>7</v>
      </c>
      <c r="D103">
        <v>39673</v>
      </c>
      <c r="E103">
        <v>0</v>
      </c>
      <c r="F103">
        <v>0</v>
      </c>
      <c r="G103">
        <v>0</v>
      </c>
      <c r="H103">
        <v>20.833333333333332</v>
      </c>
      <c r="I103">
        <v>0</v>
      </c>
      <c r="J103">
        <v>0</v>
      </c>
      <c r="K103">
        <v>10.416666666666666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368.86357981084495</v>
      </c>
      <c r="AO103">
        <v>33.427153367249886</v>
      </c>
      <c r="AP103">
        <v>38.374441373245034</v>
      </c>
      <c r="AQ103">
        <v>243.65316926946019</v>
      </c>
      <c r="AR103">
        <v>34.192683267831185</v>
      </c>
      <c r="AS103">
        <v>461.78336357500768</v>
      </c>
      <c r="AT103">
        <v>20.592103785133848</v>
      </c>
      <c r="AU103">
        <v>5.1251996910180466</v>
      </c>
      <c r="AV103"/>
      <c r="AW103"/>
      <c r="AX103" s="146"/>
      <c r="AY103" s="76">
        <f ca="1">IF(AZ103="", "", RAND())</f>
        <v>0.21399651353086835</v>
      </c>
      <c r="AZ103">
        <v>6</v>
      </c>
      <c r="BA103" s="129">
        <f t="shared" si="127"/>
        <v>39673</v>
      </c>
      <c r="BB103" s="207">
        <v>0</v>
      </c>
      <c r="BC103" s="207">
        <v>0</v>
      </c>
      <c r="BD103" s="207">
        <v>0</v>
      </c>
      <c r="BE103" s="207">
        <v>0</v>
      </c>
      <c r="BF103" s="207">
        <v>0</v>
      </c>
      <c r="BG103" s="207">
        <v>0</v>
      </c>
      <c r="BH103" s="207">
        <v>2</v>
      </c>
      <c r="BI103" s="207">
        <v>0</v>
      </c>
      <c r="BJ103" s="207">
        <v>0</v>
      </c>
      <c r="BK103" s="207">
        <v>0</v>
      </c>
      <c r="BL103" s="207">
        <v>0</v>
      </c>
      <c r="BM103" s="207">
        <v>0</v>
      </c>
      <c r="BN103" s="207">
        <v>0</v>
      </c>
      <c r="BO103" s="207">
        <v>0</v>
      </c>
      <c r="BP103" s="207">
        <v>0</v>
      </c>
      <c r="BQ103" s="207">
        <v>0</v>
      </c>
      <c r="BR103" s="207">
        <v>0</v>
      </c>
      <c r="BS103" s="207">
        <v>0</v>
      </c>
      <c r="BT103" s="207">
        <v>0</v>
      </c>
      <c r="BU103" s="207">
        <v>0</v>
      </c>
      <c r="BV103" s="207">
        <v>0</v>
      </c>
      <c r="BW103" s="207">
        <v>0</v>
      </c>
      <c r="BX103" s="207">
        <v>0</v>
      </c>
      <c r="BY103" s="207">
        <v>0</v>
      </c>
      <c r="BZ103" s="207">
        <v>0</v>
      </c>
      <c r="CA103" s="207">
        <v>0</v>
      </c>
      <c r="CB103" s="207">
        <v>0</v>
      </c>
      <c r="CC103" s="207">
        <v>0</v>
      </c>
      <c r="CD103" s="207">
        <v>0</v>
      </c>
      <c r="CE103" s="207">
        <v>0</v>
      </c>
      <c r="CF103" s="207">
        <v>0</v>
      </c>
      <c r="CG103" s="147"/>
      <c r="CH103" s="176"/>
      <c r="CJ103" s="146"/>
      <c r="CK103" s="76">
        <f t="shared" ca="1" si="90"/>
        <v>0.94758027130280675</v>
      </c>
      <c r="CL103" s="179">
        <f t="shared" si="91"/>
        <v>6</v>
      </c>
      <c r="CM103" s="180">
        <f t="shared" si="92"/>
        <v>39673</v>
      </c>
      <c r="CN103" s="208">
        <v>0</v>
      </c>
      <c r="CO103" s="208">
        <v>6</v>
      </c>
      <c r="CP103" s="208">
        <v>11</v>
      </c>
      <c r="CQ103" s="208">
        <v>2</v>
      </c>
      <c r="CR103" s="208">
        <v>0</v>
      </c>
      <c r="CS103" s="208">
        <v>0</v>
      </c>
      <c r="CT103" s="208">
        <v>0</v>
      </c>
      <c r="CU103" s="208">
        <v>0</v>
      </c>
      <c r="CV103" s="160"/>
      <c r="CW103">
        <v>1</v>
      </c>
      <c r="CX103">
        <v>1</v>
      </c>
      <c r="CY103" s="164"/>
      <c r="CZ103" s="177">
        <f t="shared" si="93"/>
        <v>9.6000000000000002E-2</v>
      </c>
      <c r="DB103" s="146"/>
      <c r="DC103" s="76">
        <f t="shared" ca="1" si="51"/>
        <v>0.93971694960530283</v>
      </c>
      <c r="DD103">
        <f>IF(AZ103="", "", AZ103)</f>
        <v>6</v>
      </c>
      <c r="DE103" s="129">
        <f t="shared" si="126"/>
        <v>39673</v>
      </c>
      <c r="DF103" s="161">
        <f t="shared" si="95"/>
        <v>0</v>
      </c>
      <c r="DG103" s="161">
        <f t="shared" si="96"/>
        <v>62.5</v>
      </c>
      <c r="DH103" s="161">
        <f t="shared" si="97"/>
        <v>114.58333333333333</v>
      </c>
      <c r="DI103" s="161">
        <f t="shared" si="98"/>
        <v>20.833333333333332</v>
      </c>
      <c r="DJ103" s="161">
        <f t="shared" si="99"/>
        <v>0</v>
      </c>
      <c r="DK103" s="161">
        <f t="shared" si="100"/>
        <v>0</v>
      </c>
      <c r="DL103" s="161">
        <f t="shared" si="101"/>
        <v>20.833333333333332</v>
      </c>
      <c r="DM103" s="161">
        <f t="shared" si="102"/>
        <v>0</v>
      </c>
      <c r="DN103" s="161">
        <f t="shared" si="103"/>
        <v>0</v>
      </c>
      <c r="DO103" s="161">
        <f t="shared" si="104"/>
        <v>0</v>
      </c>
      <c r="DP103" s="161">
        <f t="shared" si="105"/>
        <v>0</v>
      </c>
      <c r="DQ103" s="161">
        <f t="shared" si="106"/>
        <v>0</v>
      </c>
      <c r="DR103" s="161">
        <f t="shared" si="107"/>
        <v>0</v>
      </c>
      <c r="DS103" s="161">
        <f t="shared" si="108"/>
        <v>0</v>
      </c>
      <c r="DT103" s="161">
        <f t="shared" si="109"/>
        <v>0</v>
      </c>
      <c r="DU103" s="161">
        <f t="shared" si="110"/>
        <v>0</v>
      </c>
      <c r="DV103" s="161">
        <f t="shared" si="111"/>
        <v>0</v>
      </c>
      <c r="DW103" s="161">
        <f t="shared" si="112"/>
        <v>0</v>
      </c>
      <c r="DX103" s="161">
        <f t="shared" si="113"/>
        <v>0</v>
      </c>
      <c r="DY103" s="161">
        <f t="shared" si="114"/>
        <v>0</v>
      </c>
      <c r="DZ103" s="161">
        <f t="shared" si="115"/>
        <v>0</v>
      </c>
      <c r="EA103" s="161">
        <f t="shared" si="116"/>
        <v>0</v>
      </c>
      <c r="EB103" s="161">
        <f t="shared" si="117"/>
        <v>0</v>
      </c>
      <c r="EC103" s="161">
        <f t="shared" si="118"/>
        <v>0</v>
      </c>
      <c r="ED103" s="161">
        <f t="shared" si="119"/>
        <v>0</v>
      </c>
      <c r="EE103" s="161">
        <f t="shared" si="120"/>
        <v>0</v>
      </c>
      <c r="EF103" s="161">
        <f t="shared" si="121"/>
        <v>0</v>
      </c>
      <c r="EG103" s="161">
        <f t="shared" si="122"/>
        <v>0</v>
      </c>
      <c r="EH103" s="161">
        <f t="shared" si="123"/>
        <v>0</v>
      </c>
      <c r="EI103" s="161">
        <f t="shared" si="124"/>
        <v>0</v>
      </c>
      <c r="EJ103" s="161">
        <f t="shared" si="125"/>
        <v>0</v>
      </c>
      <c r="EK103" s="147">
        <f t="shared" si="55"/>
        <v>218.75</v>
      </c>
      <c r="EL103" s="149"/>
      <c r="EN103" s="146"/>
      <c r="EO103" s="146"/>
      <c r="EP103" s="139">
        <f t="shared" si="56"/>
        <v>0</v>
      </c>
      <c r="EQ103" s="139">
        <f t="shared" si="57"/>
        <v>0.45172499999999999</v>
      </c>
      <c r="ER103" s="139">
        <f t="shared" si="58"/>
        <v>5.3479492789164178</v>
      </c>
      <c r="ES103" s="139">
        <f t="shared" si="59"/>
        <v>2.8952506533745592</v>
      </c>
      <c r="ET103" s="139">
        <f t="shared" si="60"/>
        <v>0</v>
      </c>
      <c r="EU103" s="139">
        <f t="shared" si="61"/>
        <v>0</v>
      </c>
      <c r="EV103" s="139">
        <f t="shared" si="62"/>
        <v>18.696395506916534</v>
      </c>
      <c r="EW103" s="139">
        <f t="shared" si="63"/>
        <v>0</v>
      </c>
      <c r="EX103" s="139">
        <f t="shared" si="64"/>
        <v>0</v>
      </c>
      <c r="EY103" s="139">
        <f t="shared" si="65"/>
        <v>0</v>
      </c>
      <c r="EZ103" s="139">
        <f t="shared" si="66"/>
        <v>0</v>
      </c>
      <c r="FA103" s="139">
        <f t="shared" si="67"/>
        <v>0</v>
      </c>
      <c r="FB103" s="139">
        <f t="shared" si="68"/>
        <v>0</v>
      </c>
      <c r="FC103" s="139">
        <f t="shared" si="69"/>
        <v>0</v>
      </c>
      <c r="FD103" s="139">
        <f t="shared" si="70"/>
        <v>0</v>
      </c>
      <c r="FE103" s="139">
        <f t="shared" si="71"/>
        <v>0</v>
      </c>
      <c r="FF103" s="139">
        <f t="shared" si="72"/>
        <v>0</v>
      </c>
      <c r="FG103" s="139">
        <f t="shared" si="73"/>
        <v>0</v>
      </c>
      <c r="FH103" s="139">
        <f t="shared" si="74"/>
        <v>0</v>
      </c>
      <c r="FI103" s="139">
        <f t="shared" si="75"/>
        <v>0</v>
      </c>
      <c r="FJ103" s="139">
        <f t="shared" si="76"/>
        <v>0</v>
      </c>
      <c r="FK103" s="139">
        <f t="shared" si="77"/>
        <v>0</v>
      </c>
      <c r="FL103" s="139">
        <f t="shared" si="78"/>
        <v>0</v>
      </c>
      <c r="FM103" s="139">
        <f t="shared" si="79"/>
        <v>0</v>
      </c>
      <c r="FN103" s="139">
        <f t="shared" si="80"/>
        <v>0</v>
      </c>
      <c r="FO103" s="139">
        <f t="shared" si="81"/>
        <v>0</v>
      </c>
      <c r="FP103" s="139">
        <f t="shared" si="82"/>
        <v>0</v>
      </c>
      <c r="FQ103" s="139">
        <f t="shared" si="83"/>
        <v>0</v>
      </c>
      <c r="FR103" s="139">
        <f t="shared" si="84"/>
        <v>0</v>
      </c>
      <c r="FS103" s="139">
        <f t="shared" si="85"/>
        <v>0</v>
      </c>
      <c r="FT103" s="139">
        <f t="shared" si="86"/>
        <v>0</v>
      </c>
      <c r="FU103" s="148">
        <f t="shared" si="87"/>
        <v>27.391320439207512</v>
      </c>
      <c r="FV103" s="149"/>
      <c r="FY103" s="213">
        <v>98</v>
      </c>
      <c r="FZ103">
        <v>45.625567042934641</v>
      </c>
      <c r="GA103">
        <v>47.957667493396059</v>
      </c>
      <c r="GB103">
        <v>35.879222725813683</v>
      </c>
      <c r="GC103">
        <v>13.671370823648175</v>
      </c>
      <c r="GD103">
        <v>5.5943997105260186</v>
      </c>
      <c r="GE103">
        <v>10.188560291136167</v>
      </c>
      <c r="GF103">
        <v>1.9275961620739075</v>
      </c>
      <c r="GG103">
        <v>1.0357626235439537</v>
      </c>
      <c r="GH103">
        <v>3.3524508252765948</v>
      </c>
      <c r="GI103">
        <v>19.602683726664345</v>
      </c>
      <c r="GJ103"/>
      <c r="GK103"/>
      <c r="GL103"/>
      <c r="GM103"/>
      <c r="GN103" s="208"/>
      <c r="GO103" s="208"/>
      <c r="GP103" s="208"/>
      <c r="GQ103" s="208"/>
      <c r="GR103" s="208"/>
      <c r="GS103" s="208"/>
      <c r="GT103" s="208"/>
      <c r="GU103" s="213">
        <v>98</v>
      </c>
    </row>
    <row r="104" spans="1:203" s="7" customFormat="1">
      <c r="A104" s="1"/>
      <c r="B104" s="76">
        <f ca="1">IF(C104="", "", RAND())</f>
        <v>0.34937350839996073</v>
      </c>
      <c r="C104">
        <v>6</v>
      </c>
      <c r="D104">
        <v>39673</v>
      </c>
      <c r="E104">
        <v>0</v>
      </c>
      <c r="F104">
        <v>62.5</v>
      </c>
      <c r="G104">
        <v>114.58333333333333</v>
      </c>
      <c r="H104">
        <v>20.833333333333332</v>
      </c>
      <c r="I104">
        <v>0</v>
      </c>
      <c r="J104">
        <v>0</v>
      </c>
      <c r="K104">
        <v>20.833333333333332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284.47601574526482</v>
      </c>
      <c r="AO104">
        <v>29.764819296651922</v>
      </c>
      <c r="AP104">
        <v>37.020520270538377</v>
      </c>
      <c r="AQ104">
        <v>196.77390285379656</v>
      </c>
      <c r="AR104">
        <v>30.174692023644834</v>
      </c>
      <c r="AS104">
        <v>431.78651995391391</v>
      </c>
      <c r="AT104">
        <v>18.591096957419531</v>
      </c>
      <c r="AU104">
        <v>0.30418128785811405</v>
      </c>
      <c r="AV104"/>
      <c r="AW104"/>
      <c r="AX104" s="146"/>
      <c r="AY104" s="76">
        <f ca="1">IF(AZ104="", "", RAND())</f>
        <v>0.20339493798996422</v>
      </c>
      <c r="AZ104">
        <v>7</v>
      </c>
      <c r="BA104" s="129">
        <f t="shared" si="127"/>
        <v>39673</v>
      </c>
      <c r="BB104" s="207">
        <v>0</v>
      </c>
      <c r="BC104" s="207">
        <v>0</v>
      </c>
      <c r="BD104" s="207">
        <v>0</v>
      </c>
      <c r="BE104" s="207">
        <v>2</v>
      </c>
      <c r="BF104" s="207">
        <v>0</v>
      </c>
      <c r="BG104" s="207">
        <v>0</v>
      </c>
      <c r="BH104" s="207">
        <v>1</v>
      </c>
      <c r="BI104" s="207">
        <v>0</v>
      </c>
      <c r="BJ104" s="207">
        <v>0</v>
      </c>
      <c r="BK104" s="207">
        <v>0</v>
      </c>
      <c r="BL104" s="207">
        <v>0</v>
      </c>
      <c r="BM104" s="207">
        <v>0</v>
      </c>
      <c r="BN104" s="207">
        <v>0</v>
      </c>
      <c r="BO104" s="207">
        <v>0</v>
      </c>
      <c r="BP104" s="207">
        <v>0</v>
      </c>
      <c r="BQ104" s="207">
        <v>0</v>
      </c>
      <c r="BR104" s="207">
        <v>0</v>
      </c>
      <c r="BS104" s="207">
        <v>0</v>
      </c>
      <c r="BT104" s="207">
        <v>0</v>
      </c>
      <c r="BU104" s="207">
        <v>0</v>
      </c>
      <c r="BV104" s="207">
        <v>0</v>
      </c>
      <c r="BW104" s="207">
        <v>0</v>
      </c>
      <c r="BX104" s="207">
        <v>0</v>
      </c>
      <c r="BY104" s="207">
        <v>0</v>
      </c>
      <c r="BZ104" s="207">
        <v>0</v>
      </c>
      <c r="CA104" s="207">
        <v>0</v>
      </c>
      <c r="CB104" s="207">
        <v>0</v>
      </c>
      <c r="CC104" s="207">
        <v>0</v>
      </c>
      <c r="CD104" s="207">
        <v>0</v>
      </c>
      <c r="CE104" s="207">
        <v>0</v>
      </c>
      <c r="CF104" s="207">
        <v>0</v>
      </c>
      <c r="CG104" s="147"/>
      <c r="CH104" s="176"/>
      <c r="CJ104" s="146"/>
      <c r="CK104" s="76">
        <f t="shared" ca="1" si="90"/>
        <v>0.70517345875822302</v>
      </c>
      <c r="CL104" s="179">
        <f t="shared" si="91"/>
        <v>7</v>
      </c>
      <c r="CM104" s="180">
        <f t="shared" si="92"/>
        <v>39673</v>
      </c>
      <c r="CN104" s="208">
        <v>0</v>
      </c>
      <c r="CO104" s="208">
        <v>0</v>
      </c>
      <c r="CP104" s="208">
        <v>0</v>
      </c>
      <c r="CQ104" s="208">
        <v>0</v>
      </c>
      <c r="CR104" s="208">
        <v>0</v>
      </c>
      <c r="CS104" s="208">
        <v>0</v>
      </c>
      <c r="CT104" s="208">
        <v>0</v>
      </c>
      <c r="CU104" s="208">
        <v>0</v>
      </c>
      <c r="CV104" s="160"/>
      <c r="CW104">
        <v>1</v>
      </c>
      <c r="CX104">
        <v>1</v>
      </c>
      <c r="CY104" s="164"/>
      <c r="CZ104" s="177">
        <f t="shared" si="93"/>
        <v>9.6000000000000002E-2</v>
      </c>
      <c r="DB104" s="146"/>
      <c r="DC104" s="76">
        <f t="shared" ca="1" si="51"/>
        <v>0.92533325429318491</v>
      </c>
      <c r="DD104">
        <f>IF(AZ104="", "", AZ104)</f>
        <v>7</v>
      </c>
      <c r="DE104" s="129">
        <f t="shared" si="126"/>
        <v>39673</v>
      </c>
      <c r="DF104" s="161">
        <f t="shared" si="95"/>
        <v>0</v>
      </c>
      <c r="DG104" s="161">
        <f t="shared" si="96"/>
        <v>0</v>
      </c>
      <c r="DH104" s="161">
        <f t="shared" si="97"/>
        <v>0</v>
      </c>
      <c r="DI104" s="161">
        <f t="shared" si="98"/>
        <v>20.833333333333332</v>
      </c>
      <c r="DJ104" s="161">
        <f t="shared" si="99"/>
        <v>0</v>
      </c>
      <c r="DK104" s="161">
        <f t="shared" si="100"/>
        <v>0</v>
      </c>
      <c r="DL104" s="161">
        <f t="shared" si="101"/>
        <v>10.416666666666666</v>
      </c>
      <c r="DM104" s="161">
        <f t="shared" si="102"/>
        <v>0</v>
      </c>
      <c r="DN104" s="161">
        <f t="shared" si="103"/>
        <v>0</v>
      </c>
      <c r="DO104" s="161">
        <f t="shared" si="104"/>
        <v>0</v>
      </c>
      <c r="DP104" s="161">
        <f t="shared" si="105"/>
        <v>0</v>
      </c>
      <c r="DQ104" s="161">
        <f t="shared" si="106"/>
        <v>0</v>
      </c>
      <c r="DR104" s="161">
        <f t="shared" si="107"/>
        <v>0</v>
      </c>
      <c r="DS104" s="161">
        <f t="shared" si="108"/>
        <v>0</v>
      </c>
      <c r="DT104" s="161">
        <f t="shared" si="109"/>
        <v>0</v>
      </c>
      <c r="DU104" s="161">
        <f t="shared" si="110"/>
        <v>0</v>
      </c>
      <c r="DV104" s="161">
        <f t="shared" si="111"/>
        <v>0</v>
      </c>
      <c r="DW104" s="161">
        <f t="shared" si="112"/>
        <v>0</v>
      </c>
      <c r="DX104" s="161">
        <f t="shared" si="113"/>
        <v>0</v>
      </c>
      <c r="DY104" s="161">
        <f t="shared" si="114"/>
        <v>0</v>
      </c>
      <c r="DZ104" s="161">
        <f t="shared" si="115"/>
        <v>0</v>
      </c>
      <c r="EA104" s="161">
        <f t="shared" si="116"/>
        <v>0</v>
      </c>
      <c r="EB104" s="161">
        <f t="shared" si="117"/>
        <v>0</v>
      </c>
      <c r="EC104" s="161">
        <f t="shared" si="118"/>
        <v>0</v>
      </c>
      <c r="ED104" s="161">
        <f t="shared" si="119"/>
        <v>0</v>
      </c>
      <c r="EE104" s="161">
        <f t="shared" si="120"/>
        <v>0</v>
      </c>
      <c r="EF104" s="161">
        <f t="shared" si="121"/>
        <v>0</v>
      </c>
      <c r="EG104" s="161">
        <f t="shared" si="122"/>
        <v>0</v>
      </c>
      <c r="EH104" s="161">
        <f t="shared" si="123"/>
        <v>0</v>
      </c>
      <c r="EI104" s="161">
        <f t="shared" si="124"/>
        <v>0</v>
      </c>
      <c r="EJ104" s="161">
        <f t="shared" si="125"/>
        <v>0</v>
      </c>
      <c r="EK104" s="147">
        <f t="shared" si="55"/>
        <v>31.25</v>
      </c>
      <c r="EL104" s="149"/>
      <c r="EN104" s="146"/>
      <c r="EO104" s="146"/>
      <c r="EP104" s="139">
        <f t="shared" si="56"/>
        <v>0</v>
      </c>
      <c r="EQ104" s="139">
        <f t="shared" si="57"/>
        <v>0</v>
      </c>
      <c r="ER104" s="139">
        <f t="shared" si="58"/>
        <v>0</v>
      </c>
      <c r="ES104" s="139">
        <f t="shared" si="59"/>
        <v>2.8952506533745592</v>
      </c>
      <c r="ET104" s="139">
        <f t="shared" si="60"/>
        <v>0</v>
      </c>
      <c r="EU104" s="139">
        <f t="shared" si="61"/>
        <v>0</v>
      </c>
      <c r="EV104" s="139">
        <f t="shared" si="62"/>
        <v>9.3481977534582672</v>
      </c>
      <c r="EW104" s="139">
        <f t="shared" si="63"/>
        <v>0</v>
      </c>
      <c r="EX104" s="139">
        <f t="shared" si="64"/>
        <v>0</v>
      </c>
      <c r="EY104" s="139">
        <f t="shared" si="65"/>
        <v>0</v>
      </c>
      <c r="EZ104" s="139">
        <f t="shared" si="66"/>
        <v>0</v>
      </c>
      <c r="FA104" s="139">
        <f t="shared" si="67"/>
        <v>0</v>
      </c>
      <c r="FB104" s="139">
        <f t="shared" si="68"/>
        <v>0</v>
      </c>
      <c r="FC104" s="139">
        <f t="shared" si="69"/>
        <v>0</v>
      </c>
      <c r="FD104" s="139">
        <f t="shared" si="70"/>
        <v>0</v>
      </c>
      <c r="FE104" s="139">
        <f t="shared" si="71"/>
        <v>0</v>
      </c>
      <c r="FF104" s="139">
        <f t="shared" si="72"/>
        <v>0</v>
      </c>
      <c r="FG104" s="139">
        <f t="shared" si="73"/>
        <v>0</v>
      </c>
      <c r="FH104" s="139">
        <f t="shared" si="74"/>
        <v>0</v>
      </c>
      <c r="FI104" s="139">
        <f t="shared" si="75"/>
        <v>0</v>
      </c>
      <c r="FJ104" s="139">
        <f t="shared" si="76"/>
        <v>0</v>
      </c>
      <c r="FK104" s="139">
        <f t="shared" si="77"/>
        <v>0</v>
      </c>
      <c r="FL104" s="139">
        <f t="shared" si="78"/>
        <v>0</v>
      </c>
      <c r="FM104" s="139">
        <f t="shared" si="79"/>
        <v>0</v>
      </c>
      <c r="FN104" s="139">
        <f t="shared" si="80"/>
        <v>0</v>
      </c>
      <c r="FO104" s="139">
        <f t="shared" si="81"/>
        <v>0</v>
      </c>
      <c r="FP104" s="139">
        <f t="shared" si="82"/>
        <v>0</v>
      </c>
      <c r="FQ104" s="139">
        <f t="shared" si="83"/>
        <v>0</v>
      </c>
      <c r="FR104" s="139">
        <f t="shared" si="84"/>
        <v>0</v>
      </c>
      <c r="FS104" s="139">
        <f t="shared" si="85"/>
        <v>0</v>
      </c>
      <c r="FT104" s="139">
        <f t="shared" si="86"/>
        <v>0</v>
      </c>
      <c r="FU104" s="148">
        <f t="shared" si="87"/>
        <v>12.243448406832826</v>
      </c>
      <c r="FV104" s="149"/>
      <c r="FY104" s="213">
        <v>99</v>
      </c>
      <c r="FZ104">
        <v>36.256604350675502</v>
      </c>
      <c r="GA104">
        <v>28.570280501156684</v>
      </c>
      <c r="GB104">
        <v>22.183234180527997</v>
      </c>
      <c r="GC104">
        <v>9.6610911771790509</v>
      </c>
      <c r="GD104">
        <v>2.052780685633032</v>
      </c>
      <c r="GE104">
        <v>2.5390633077986138</v>
      </c>
      <c r="GF104">
        <v>10.49222614524647</v>
      </c>
      <c r="GG104">
        <v>11.10717020440056</v>
      </c>
      <c r="GH104">
        <v>6.3142543915543357</v>
      </c>
      <c r="GI104">
        <v>14.89048981733646</v>
      </c>
      <c r="GJ104"/>
      <c r="GK104"/>
      <c r="GL104"/>
      <c r="GM104"/>
      <c r="GN104" s="208"/>
      <c r="GO104" s="208"/>
      <c r="GP104" s="208"/>
      <c r="GQ104" s="208"/>
      <c r="GR104" s="208"/>
      <c r="GS104" s="208"/>
      <c r="GT104" s="208"/>
      <c r="GU104" s="213">
        <v>99</v>
      </c>
    </row>
    <row r="105" spans="1:203" s="7" customFormat="1">
      <c r="A105" s="1"/>
      <c r="B105" s="76">
        <f ca="1">IF(C105="", "", RAND())</f>
        <v>0.30764274397297786</v>
      </c>
      <c r="C105">
        <v>3</v>
      </c>
      <c r="D105">
        <v>39673</v>
      </c>
      <c r="E105">
        <v>0</v>
      </c>
      <c r="F105">
        <v>0</v>
      </c>
      <c r="G105">
        <v>71.486928104575156</v>
      </c>
      <c r="H105">
        <v>0</v>
      </c>
      <c r="I105">
        <v>10.416666666666666</v>
      </c>
      <c r="J105">
        <v>0</v>
      </c>
      <c r="K105">
        <v>10.416666666666666</v>
      </c>
      <c r="L105">
        <v>20.833333333333332</v>
      </c>
      <c r="M105">
        <v>20.833333333333332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242.11663824335787</v>
      </c>
      <c r="AO105">
        <v>25.755018913235308</v>
      </c>
      <c r="AP105">
        <v>14.714108896555302</v>
      </c>
      <c r="AQ105">
        <v>185.00703851210645</v>
      </c>
      <c r="AR105">
        <v>26.152444053088935</v>
      </c>
      <c r="AS105">
        <v>380.10639636490339</v>
      </c>
      <c r="AT105">
        <v>16.452163829210228</v>
      </c>
      <c r="AU105">
        <v>-22.160145112456249</v>
      </c>
      <c r="AV105"/>
      <c r="AW105"/>
      <c r="AX105" s="146"/>
      <c r="AY105" s="76">
        <f ca="1">IF(AZ105="", "", RAND())</f>
        <v>0.6253678325988572</v>
      </c>
      <c r="AZ105">
        <v>8</v>
      </c>
      <c r="BA105" s="129">
        <f t="shared" si="127"/>
        <v>39673</v>
      </c>
      <c r="BB105" s="207">
        <v>0</v>
      </c>
      <c r="BC105" s="207">
        <v>0</v>
      </c>
      <c r="BD105" s="207">
        <v>0</v>
      </c>
      <c r="BE105" s="207">
        <v>0</v>
      </c>
      <c r="BF105" s="207">
        <v>2</v>
      </c>
      <c r="BG105" s="207">
        <v>0</v>
      </c>
      <c r="BH105" s="207">
        <v>3</v>
      </c>
      <c r="BI105" s="207">
        <v>0</v>
      </c>
      <c r="BJ105" s="207">
        <v>0</v>
      </c>
      <c r="BK105" s="207">
        <v>0</v>
      </c>
      <c r="BL105" s="207">
        <v>0</v>
      </c>
      <c r="BM105" s="207">
        <v>0</v>
      </c>
      <c r="BN105" s="207">
        <v>0</v>
      </c>
      <c r="BO105" s="207">
        <v>0</v>
      </c>
      <c r="BP105" s="207">
        <v>0</v>
      </c>
      <c r="BQ105" s="207">
        <v>0</v>
      </c>
      <c r="BR105" s="207">
        <v>0</v>
      </c>
      <c r="BS105" s="207">
        <v>0</v>
      </c>
      <c r="BT105" s="207">
        <v>0</v>
      </c>
      <c r="BU105" s="207">
        <v>0</v>
      </c>
      <c r="BV105" s="207">
        <v>0</v>
      </c>
      <c r="BW105" s="207">
        <v>0</v>
      </c>
      <c r="BX105" s="207">
        <v>0</v>
      </c>
      <c r="BY105" s="207">
        <v>0</v>
      </c>
      <c r="BZ105" s="207">
        <v>0</v>
      </c>
      <c r="CA105" s="207">
        <v>0</v>
      </c>
      <c r="CB105" s="207">
        <v>0</v>
      </c>
      <c r="CC105" s="207">
        <v>0</v>
      </c>
      <c r="CD105" s="207">
        <v>0</v>
      </c>
      <c r="CE105" s="207">
        <v>0</v>
      </c>
      <c r="CF105" s="207">
        <v>0</v>
      </c>
      <c r="CG105" s="147"/>
      <c r="CH105" s="176"/>
      <c r="CJ105" s="146"/>
      <c r="CK105" s="76">
        <f t="shared" ca="1" si="90"/>
        <v>0.27435417763664205</v>
      </c>
      <c r="CL105" s="179">
        <f t="shared" si="91"/>
        <v>8</v>
      </c>
      <c r="CM105" s="180">
        <f t="shared" si="92"/>
        <v>39673</v>
      </c>
      <c r="CN105" s="208">
        <v>0</v>
      </c>
      <c r="CO105" s="208">
        <v>1</v>
      </c>
      <c r="CP105" s="208">
        <v>13</v>
      </c>
      <c r="CQ105" s="208">
        <v>7</v>
      </c>
      <c r="CR105" s="208">
        <v>1</v>
      </c>
      <c r="CS105" s="208">
        <v>0</v>
      </c>
      <c r="CT105" s="208">
        <v>0</v>
      </c>
      <c r="CU105" s="208">
        <v>0</v>
      </c>
      <c r="CV105" s="160"/>
      <c r="CW105">
        <v>1</v>
      </c>
      <c r="CX105">
        <v>2</v>
      </c>
      <c r="CY105" s="164"/>
      <c r="CZ105" s="177">
        <f t="shared" si="93"/>
        <v>9.6000000000000002E-2</v>
      </c>
      <c r="DB105" s="146"/>
      <c r="DC105" s="76">
        <f t="shared" ca="1" si="51"/>
        <v>0.83721790918434635</v>
      </c>
      <c r="DD105">
        <f>IF(AZ105="", "", AZ105)</f>
        <v>8</v>
      </c>
      <c r="DE105" s="129">
        <f t="shared" si="126"/>
        <v>39673</v>
      </c>
      <c r="DF105" s="161">
        <f t="shared" si="95"/>
        <v>0</v>
      </c>
      <c r="DG105" s="161">
        <f t="shared" si="96"/>
        <v>20.833333333333332</v>
      </c>
      <c r="DH105" s="161">
        <f t="shared" si="97"/>
        <v>270.83333333333331</v>
      </c>
      <c r="DI105" s="161">
        <f t="shared" si="98"/>
        <v>145.83333333333334</v>
      </c>
      <c r="DJ105" s="161">
        <f t="shared" si="99"/>
        <v>41.666666666666664</v>
      </c>
      <c r="DK105" s="161">
        <f t="shared" si="100"/>
        <v>0</v>
      </c>
      <c r="DL105" s="161">
        <f t="shared" si="101"/>
        <v>31.25</v>
      </c>
      <c r="DM105" s="161">
        <f t="shared" si="102"/>
        <v>0</v>
      </c>
      <c r="DN105" s="161">
        <f t="shared" si="103"/>
        <v>0</v>
      </c>
      <c r="DO105" s="161">
        <f t="shared" si="104"/>
        <v>0</v>
      </c>
      <c r="DP105" s="161">
        <f t="shared" si="105"/>
        <v>0</v>
      </c>
      <c r="DQ105" s="161">
        <f t="shared" si="106"/>
        <v>0</v>
      </c>
      <c r="DR105" s="161">
        <f t="shared" si="107"/>
        <v>0</v>
      </c>
      <c r="DS105" s="161">
        <f t="shared" si="108"/>
        <v>0</v>
      </c>
      <c r="DT105" s="161">
        <f t="shared" si="109"/>
        <v>0</v>
      </c>
      <c r="DU105" s="161">
        <f t="shared" si="110"/>
        <v>0</v>
      </c>
      <c r="DV105" s="161">
        <f t="shared" si="111"/>
        <v>0</v>
      </c>
      <c r="DW105" s="161">
        <f t="shared" si="112"/>
        <v>0</v>
      </c>
      <c r="DX105" s="161">
        <f t="shared" si="113"/>
        <v>0</v>
      </c>
      <c r="DY105" s="161">
        <f t="shared" si="114"/>
        <v>0</v>
      </c>
      <c r="DZ105" s="161">
        <f t="shared" si="115"/>
        <v>0</v>
      </c>
      <c r="EA105" s="161">
        <f t="shared" si="116"/>
        <v>0</v>
      </c>
      <c r="EB105" s="161">
        <f t="shared" si="117"/>
        <v>0</v>
      </c>
      <c r="EC105" s="161">
        <f t="shared" si="118"/>
        <v>0</v>
      </c>
      <c r="ED105" s="161">
        <f t="shared" si="119"/>
        <v>0</v>
      </c>
      <c r="EE105" s="161">
        <f t="shared" si="120"/>
        <v>0</v>
      </c>
      <c r="EF105" s="161">
        <f t="shared" si="121"/>
        <v>0</v>
      </c>
      <c r="EG105" s="161">
        <f t="shared" si="122"/>
        <v>0</v>
      </c>
      <c r="EH105" s="161">
        <f t="shared" si="123"/>
        <v>0</v>
      </c>
      <c r="EI105" s="161">
        <f t="shared" si="124"/>
        <v>0</v>
      </c>
      <c r="EJ105" s="161">
        <f t="shared" si="125"/>
        <v>0</v>
      </c>
      <c r="EK105" s="147">
        <f t="shared" si="55"/>
        <v>510.41666666666669</v>
      </c>
      <c r="EL105" s="149"/>
      <c r="EN105" s="146"/>
      <c r="EO105" s="146"/>
      <c r="EP105" s="139">
        <f t="shared" si="56"/>
        <v>0</v>
      </c>
      <c r="EQ105" s="139">
        <f t="shared" si="57"/>
        <v>0.15057499999999999</v>
      </c>
      <c r="ER105" s="139">
        <f t="shared" si="58"/>
        <v>12.640607386529714</v>
      </c>
      <c r="ES105" s="139">
        <f t="shared" si="59"/>
        <v>20.266754573621917</v>
      </c>
      <c r="ET105" s="139">
        <f t="shared" si="60"/>
        <v>12.558168448984183</v>
      </c>
      <c r="EU105" s="139">
        <f t="shared" si="61"/>
        <v>0</v>
      </c>
      <c r="EV105" s="139">
        <f t="shared" si="62"/>
        <v>28.0445932603748</v>
      </c>
      <c r="EW105" s="139">
        <f t="shared" si="63"/>
        <v>0</v>
      </c>
      <c r="EX105" s="139">
        <f t="shared" si="64"/>
        <v>0</v>
      </c>
      <c r="EY105" s="139">
        <f t="shared" si="65"/>
        <v>0</v>
      </c>
      <c r="EZ105" s="139">
        <f t="shared" si="66"/>
        <v>0</v>
      </c>
      <c r="FA105" s="139">
        <f t="shared" si="67"/>
        <v>0</v>
      </c>
      <c r="FB105" s="139">
        <f t="shared" si="68"/>
        <v>0</v>
      </c>
      <c r="FC105" s="139">
        <f t="shared" si="69"/>
        <v>0</v>
      </c>
      <c r="FD105" s="139">
        <f t="shared" si="70"/>
        <v>0</v>
      </c>
      <c r="FE105" s="139">
        <f t="shared" si="71"/>
        <v>0</v>
      </c>
      <c r="FF105" s="139">
        <f t="shared" si="72"/>
        <v>0</v>
      </c>
      <c r="FG105" s="139">
        <f t="shared" si="73"/>
        <v>0</v>
      </c>
      <c r="FH105" s="139">
        <f t="shared" si="74"/>
        <v>0</v>
      </c>
      <c r="FI105" s="139">
        <f t="shared" si="75"/>
        <v>0</v>
      </c>
      <c r="FJ105" s="139">
        <f t="shared" si="76"/>
        <v>0</v>
      </c>
      <c r="FK105" s="139">
        <f t="shared" si="77"/>
        <v>0</v>
      </c>
      <c r="FL105" s="139">
        <f t="shared" si="78"/>
        <v>0</v>
      </c>
      <c r="FM105" s="139">
        <f t="shared" si="79"/>
        <v>0</v>
      </c>
      <c r="FN105" s="139">
        <f t="shared" si="80"/>
        <v>0</v>
      </c>
      <c r="FO105" s="139">
        <f t="shared" si="81"/>
        <v>0</v>
      </c>
      <c r="FP105" s="139">
        <f t="shared" si="82"/>
        <v>0</v>
      </c>
      <c r="FQ105" s="139">
        <f t="shared" si="83"/>
        <v>0</v>
      </c>
      <c r="FR105" s="139">
        <f t="shared" si="84"/>
        <v>0</v>
      </c>
      <c r="FS105" s="139">
        <f t="shared" si="85"/>
        <v>0</v>
      </c>
      <c r="FT105" s="139">
        <f t="shared" si="86"/>
        <v>0</v>
      </c>
      <c r="FU105" s="148">
        <f t="shared" si="87"/>
        <v>73.660698669510609</v>
      </c>
      <c r="FV105" s="149"/>
      <c r="FY105" s="213">
        <v>100</v>
      </c>
      <c r="FZ105">
        <v>53.93750992363659</v>
      </c>
      <c r="GA105">
        <v>52.747066927178267</v>
      </c>
      <c r="GB105">
        <v>35.215367525139349</v>
      </c>
      <c r="GC105">
        <v>10.879719989850896</v>
      </c>
      <c r="GD105">
        <v>1.9313138011774957</v>
      </c>
      <c r="GE105">
        <v>2.6597356918620623</v>
      </c>
      <c r="GF105">
        <v>3.1485168169430766</v>
      </c>
      <c r="GG105">
        <v>7.2494877781968849</v>
      </c>
      <c r="GH105">
        <v>11.965617668415398</v>
      </c>
      <c r="GI105">
        <v>20.15392557531985</v>
      </c>
      <c r="GJ105"/>
      <c r="GK105"/>
      <c r="GL105"/>
      <c r="GM105"/>
      <c r="GN105" s="208"/>
      <c r="GO105" s="208"/>
      <c r="GP105" s="208"/>
      <c r="GQ105" s="208"/>
      <c r="GR105" s="208"/>
      <c r="GS105" s="208"/>
      <c r="GT105" s="208"/>
      <c r="GU105" s="213">
        <v>100</v>
      </c>
    </row>
    <row r="106" spans="1:203" s="7" customFormat="1">
      <c r="A106" s="1"/>
      <c r="B106" s="76">
        <f ca="1">IF(C106="", "", RAND())</f>
        <v>0.5130121918473316</v>
      </c>
      <c r="C106">
        <v>5</v>
      </c>
      <c r="D106">
        <v>39673</v>
      </c>
      <c r="E106">
        <v>0</v>
      </c>
      <c r="F106">
        <v>0</v>
      </c>
      <c r="G106">
        <v>0</v>
      </c>
      <c r="H106">
        <v>20.833333333333332</v>
      </c>
      <c r="I106">
        <v>10.416666666666666</v>
      </c>
      <c r="J106">
        <v>52.083333333333336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238.444212409795</v>
      </c>
      <c r="AO106">
        <v>19.870385352029523</v>
      </c>
      <c r="AP106">
        <v>21.936327196067335</v>
      </c>
      <c r="AQ106">
        <v>144.80564045700191</v>
      </c>
      <c r="AR106">
        <v>20.546267419955445</v>
      </c>
      <c r="AS106">
        <v>326.24232801904617</v>
      </c>
      <c r="AT106">
        <v>12.432461505457207</v>
      </c>
      <c r="AU106">
        <v>-3.4968366751334834</v>
      </c>
      <c r="AV106"/>
      <c r="AW106"/>
      <c r="AX106" s="146"/>
      <c r="AY106" s="76">
        <f t="shared" ca="1" si="88"/>
        <v>0.54303404395267751</v>
      </c>
      <c r="AZ106">
        <v>9</v>
      </c>
      <c r="BA106" s="129">
        <f t="shared" si="127"/>
        <v>39673</v>
      </c>
      <c r="BB106" s="207">
        <v>0</v>
      </c>
      <c r="BC106" s="207">
        <v>0</v>
      </c>
      <c r="BD106" s="207">
        <v>0</v>
      </c>
      <c r="BE106" s="207">
        <v>1</v>
      </c>
      <c r="BF106" s="207">
        <v>7</v>
      </c>
      <c r="BG106" s="207">
        <v>8</v>
      </c>
      <c r="BH106" s="207">
        <v>7</v>
      </c>
      <c r="BI106" s="207">
        <v>1</v>
      </c>
      <c r="BJ106" s="207">
        <v>0</v>
      </c>
      <c r="BK106" s="207">
        <v>0</v>
      </c>
      <c r="BL106" s="207">
        <v>0</v>
      </c>
      <c r="BM106" s="207">
        <v>0</v>
      </c>
      <c r="BN106" s="207">
        <v>0</v>
      </c>
      <c r="BO106" s="207">
        <v>0</v>
      </c>
      <c r="BP106" s="207">
        <v>0</v>
      </c>
      <c r="BQ106" s="207">
        <v>0</v>
      </c>
      <c r="BR106" s="207">
        <v>0</v>
      </c>
      <c r="BS106" s="207">
        <v>0</v>
      </c>
      <c r="BT106" s="207">
        <v>0</v>
      </c>
      <c r="BU106" s="207">
        <v>0</v>
      </c>
      <c r="BV106" s="207">
        <v>0</v>
      </c>
      <c r="BW106" s="207">
        <v>0</v>
      </c>
      <c r="BX106" s="207">
        <v>0</v>
      </c>
      <c r="BY106" s="207">
        <v>0</v>
      </c>
      <c r="BZ106" s="207">
        <v>0</v>
      </c>
      <c r="CA106" s="207">
        <v>0</v>
      </c>
      <c r="CB106" s="207">
        <v>0</v>
      </c>
      <c r="CC106" s="207">
        <v>0</v>
      </c>
      <c r="CD106" s="207">
        <v>0</v>
      </c>
      <c r="CE106" s="207">
        <v>0</v>
      </c>
      <c r="CF106" s="207">
        <v>0</v>
      </c>
      <c r="CG106" s="147"/>
      <c r="CH106" s="176"/>
      <c r="CJ106" s="146"/>
      <c r="CK106" s="76">
        <f t="shared" ca="1" si="90"/>
        <v>0.64627792156104347</v>
      </c>
      <c r="CL106" s="179">
        <f t="shared" si="91"/>
        <v>9</v>
      </c>
      <c r="CM106" s="180">
        <f t="shared" si="92"/>
        <v>39673</v>
      </c>
      <c r="CN106" s="208">
        <v>0</v>
      </c>
      <c r="CO106" s="208">
        <v>1</v>
      </c>
      <c r="CP106" s="208">
        <v>2</v>
      </c>
      <c r="CQ106" s="208">
        <v>2</v>
      </c>
      <c r="CR106" s="208">
        <v>0</v>
      </c>
      <c r="CS106" s="208">
        <v>0</v>
      </c>
      <c r="CT106" s="208">
        <v>0</v>
      </c>
      <c r="CU106" s="208">
        <v>0</v>
      </c>
      <c r="CV106" s="160"/>
      <c r="CW106">
        <v>1</v>
      </c>
      <c r="CX106">
        <v>1</v>
      </c>
      <c r="CY106" s="164"/>
      <c r="CZ106" s="177">
        <f t="shared" si="93"/>
        <v>9.6000000000000002E-2</v>
      </c>
      <c r="DB106" s="146"/>
      <c r="DC106" s="76">
        <f t="shared" ca="1" si="51"/>
        <v>0.8208382252815456</v>
      </c>
      <c r="DD106">
        <f t="shared" si="94"/>
        <v>9</v>
      </c>
      <c r="DE106" s="129">
        <f t="shared" si="126"/>
        <v>39673</v>
      </c>
      <c r="DF106" s="161">
        <f t="shared" si="95"/>
        <v>0</v>
      </c>
      <c r="DG106" s="161">
        <f t="shared" si="96"/>
        <v>10.416666666666666</v>
      </c>
      <c r="DH106" s="161">
        <f t="shared" si="97"/>
        <v>20.833333333333332</v>
      </c>
      <c r="DI106" s="161">
        <f t="shared" si="98"/>
        <v>31.25</v>
      </c>
      <c r="DJ106" s="161">
        <f t="shared" si="99"/>
        <v>72.916666666666671</v>
      </c>
      <c r="DK106" s="161">
        <f t="shared" si="100"/>
        <v>83.333333333333329</v>
      </c>
      <c r="DL106" s="161">
        <f t="shared" si="101"/>
        <v>72.916666666666671</v>
      </c>
      <c r="DM106" s="161">
        <f t="shared" si="102"/>
        <v>10.416666666666666</v>
      </c>
      <c r="DN106" s="161">
        <f t="shared" si="103"/>
        <v>0</v>
      </c>
      <c r="DO106" s="161">
        <f t="shared" si="104"/>
        <v>0</v>
      </c>
      <c r="DP106" s="161">
        <f t="shared" si="105"/>
        <v>0</v>
      </c>
      <c r="DQ106" s="161">
        <f t="shared" si="106"/>
        <v>0</v>
      </c>
      <c r="DR106" s="161">
        <f t="shared" si="107"/>
        <v>0</v>
      </c>
      <c r="DS106" s="161">
        <f t="shared" si="108"/>
        <v>0</v>
      </c>
      <c r="DT106" s="161">
        <f t="shared" si="109"/>
        <v>0</v>
      </c>
      <c r="DU106" s="161">
        <f t="shared" si="110"/>
        <v>0</v>
      </c>
      <c r="DV106" s="161">
        <f t="shared" si="111"/>
        <v>0</v>
      </c>
      <c r="DW106" s="161">
        <f t="shared" si="112"/>
        <v>0</v>
      </c>
      <c r="DX106" s="161">
        <f t="shared" si="113"/>
        <v>0</v>
      </c>
      <c r="DY106" s="161">
        <f t="shared" si="114"/>
        <v>0</v>
      </c>
      <c r="DZ106" s="161">
        <f t="shared" si="115"/>
        <v>0</v>
      </c>
      <c r="EA106" s="161">
        <f t="shared" si="116"/>
        <v>0</v>
      </c>
      <c r="EB106" s="161">
        <f t="shared" si="117"/>
        <v>0</v>
      </c>
      <c r="EC106" s="161">
        <f t="shared" si="118"/>
        <v>0</v>
      </c>
      <c r="ED106" s="161">
        <f t="shared" si="119"/>
        <v>0</v>
      </c>
      <c r="EE106" s="161">
        <f t="shared" si="120"/>
        <v>0</v>
      </c>
      <c r="EF106" s="161">
        <f t="shared" si="121"/>
        <v>0</v>
      </c>
      <c r="EG106" s="161">
        <f t="shared" si="122"/>
        <v>0</v>
      </c>
      <c r="EH106" s="161">
        <f t="shared" si="123"/>
        <v>0</v>
      </c>
      <c r="EI106" s="161">
        <f t="shared" si="124"/>
        <v>0</v>
      </c>
      <c r="EJ106" s="161">
        <f t="shared" si="125"/>
        <v>0</v>
      </c>
      <c r="EK106" s="147">
        <f t="shared" si="55"/>
        <v>302.08333333333337</v>
      </c>
      <c r="EL106" s="149"/>
      <c r="EN106" s="146"/>
      <c r="EO106" s="146"/>
      <c r="EP106" s="139">
        <f t="shared" si="56"/>
        <v>0</v>
      </c>
      <c r="EQ106" s="139">
        <f t="shared" si="57"/>
        <v>7.5287499999999993E-2</v>
      </c>
      <c r="ER106" s="139">
        <f t="shared" si="58"/>
        <v>0.9723544143484395</v>
      </c>
      <c r="ES106" s="139">
        <f t="shared" si="59"/>
        <v>4.3428759800618391</v>
      </c>
      <c r="ET106" s="139">
        <f t="shared" si="60"/>
        <v>21.976794785722326</v>
      </c>
      <c r="EU106" s="139">
        <f t="shared" si="61"/>
        <v>45.786889900405995</v>
      </c>
      <c r="EV106" s="139">
        <f t="shared" si="62"/>
        <v>65.437384274207872</v>
      </c>
      <c r="EW106" s="139">
        <f t="shared" si="63"/>
        <v>14.154081822273552</v>
      </c>
      <c r="EX106" s="139">
        <f t="shared" si="64"/>
        <v>0</v>
      </c>
      <c r="EY106" s="139">
        <f t="shared" si="65"/>
        <v>0</v>
      </c>
      <c r="EZ106" s="139">
        <f t="shared" si="66"/>
        <v>0</v>
      </c>
      <c r="FA106" s="139">
        <f t="shared" si="67"/>
        <v>0</v>
      </c>
      <c r="FB106" s="139">
        <f t="shared" si="68"/>
        <v>0</v>
      </c>
      <c r="FC106" s="139">
        <f t="shared" si="69"/>
        <v>0</v>
      </c>
      <c r="FD106" s="139">
        <f t="shared" si="70"/>
        <v>0</v>
      </c>
      <c r="FE106" s="139">
        <f t="shared" si="71"/>
        <v>0</v>
      </c>
      <c r="FF106" s="139">
        <f t="shared" si="72"/>
        <v>0</v>
      </c>
      <c r="FG106" s="139">
        <f t="shared" si="73"/>
        <v>0</v>
      </c>
      <c r="FH106" s="139">
        <f t="shared" si="74"/>
        <v>0</v>
      </c>
      <c r="FI106" s="139">
        <f t="shared" si="75"/>
        <v>0</v>
      </c>
      <c r="FJ106" s="139">
        <f t="shared" si="76"/>
        <v>0</v>
      </c>
      <c r="FK106" s="139">
        <f t="shared" si="77"/>
        <v>0</v>
      </c>
      <c r="FL106" s="139">
        <f t="shared" si="78"/>
        <v>0</v>
      </c>
      <c r="FM106" s="139">
        <f t="shared" si="79"/>
        <v>0</v>
      </c>
      <c r="FN106" s="139">
        <f t="shared" si="80"/>
        <v>0</v>
      </c>
      <c r="FO106" s="139">
        <f t="shared" si="81"/>
        <v>0</v>
      </c>
      <c r="FP106" s="139">
        <f t="shared" si="82"/>
        <v>0</v>
      </c>
      <c r="FQ106" s="139">
        <f t="shared" si="83"/>
        <v>0</v>
      </c>
      <c r="FR106" s="139">
        <f t="shared" si="84"/>
        <v>0</v>
      </c>
      <c r="FS106" s="139">
        <f t="shared" si="85"/>
        <v>0</v>
      </c>
      <c r="FT106" s="139">
        <f t="shared" si="86"/>
        <v>0</v>
      </c>
      <c r="FU106" s="148">
        <f t="shared" si="87"/>
        <v>152.74566867702003</v>
      </c>
      <c r="FV106" s="149"/>
      <c r="FY106" s="213">
        <v>101</v>
      </c>
      <c r="FZ106">
        <v>60.891288814902438</v>
      </c>
      <c r="GA106">
        <v>54.722010676414669</v>
      </c>
      <c r="GB106">
        <v>46.959772409124056</v>
      </c>
      <c r="GC106">
        <v>20.651308155283196</v>
      </c>
      <c r="GD106">
        <v>3.2562669966754174</v>
      </c>
      <c r="GE106">
        <v>6.1307045788352692</v>
      </c>
      <c r="GF106">
        <v>10.456629516255859</v>
      </c>
      <c r="GG106">
        <v>12.402404479272935</v>
      </c>
      <c r="GH106">
        <v>14.049842791164345</v>
      </c>
      <c r="GI106">
        <v>26.499497907751334</v>
      </c>
      <c r="GJ106"/>
      <c r="GK106"/>
      <c r="GL106"/>
      <c r="GM106"/>
      <c r="GN106" s="208"/>
      <c r="GO106" s="208"/>
      <c r="GP106" s="208"/>
      <c r="GQ106" s="208"/>
      <c r="GR106" s="208"/>
      <c r="GS106" s="208"/>
      <c r="GT106" s="208"/>
      <c r="GU106" s="213">
        <v>101</v>
      </c>
    </row>
    <row r="107" spans="1:203" s="7" customFormat="1">
      <c r="A107" s="1"/>
      <c r="B107" s="76">
        <f ca="1">IF(C107="", "", RAND())</f>
        <v>0.62570582922967066</v>
      </c>
      <c r="C107">
        <v>10</v>
      </c>
      <c r="D107">
        <v>39673</v>
      </c>
      <c r="E107">
        <v>0</v>
      </c>
      <c r="F107">
        <v>0</v>
      </c>
      <c r="G107">
        <v>148.80952380952382</v>
      </c>
      <c r="H107">
        <v>0</v>
      </c>
      <c r="I107">
        <v>0</v>
      </c>
      <c r="J107">
        <v>18.75</v>
      </c>
      <c r="K107">
        <v>18.75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294.93987484342216</v>
      </c>
      <c r="AO107">
        <v>25.629941104061324</v>
      </c>
      <c r="AP107">
        <v>29.011704586268703</v>
      </c>
      <c r="AQ107">
        <v>187.52761935838862</v>
      </c>
      <c r="AR107">
        <v>25.834123245361546</v>
      </c>
      <c r="AS107">
        <v>425.97965190965948</v>
      </c>
      <c r="AT107">
        <v>15.378248147229691</v>
      </c>
      <c r="AU107">
        <v>-15.709894271512013</v>
      </c>
      <c r="AV107"/>
      <c r="AW107"/>
      <c r="AX107" s="146"/>
      <c r="AY107" s="76">
        <f t="shared" ca="1" si="88"/>
        <v>0.89894558382998335</v>
      </c>
      <c r="AZ107">
        <v>10</v>
      </c>
      <c r="BA107" s="129">
        <f t="shared" si="127"/>
        <v>39673</v>
      </c>
      <c r="BB107" s="207">
        <v>0</v>
      </c>
      <c r="BC107" s="207">
        <v>0</v>
      </c>
      <c r="BD107" s="207">
        <v>0</v>
      </c>
      <c r="BE107" s="207">
        <v>0</v>
      </c>
      <c r="BF107" s="207">
        <v>0</v>
      </c>
      <c r="BG107" s="207">
        <v>1</v>
      </c>
      <c r="BH107" s="207">
        <v>1</v>
      </c>
      <c r="BI107" s="207">
        <v>0</v>
      </c>
      <c r="BJ107" s="207">
        <v>0</v>
      </c>
      <c r="BK107" s="207">
        <v>0</v>
      </c>
      <c r="BL107" s="207">
        <v>0</v>
      </c>
      <c r="BM107" s="207">
        <v>0</v>
      </c>
      <c r="BN107" s="207">
        <v>0</v>
      </c>
      <c r="BO107" s="207">
        <v>0</v>
      </c>
      <c r="BP107" s="207">
        <v>0</v>
      </c>
      <c r="BQ107" s="207">
        <v>0</v>
      </c>
      <c r="BR107" s="207">
        <v>0</v>
      </c>
      <c r="BS107" s="207">
        <v>0</v>
      </c>
      <c r="BT107" s="207">
        <v>0</v>
      </c>
      <c r="BU107" s="207">
        <v>0</v>
      </c>
      <c r="BV107" s="207">
        <v>0</v>
      </c>
      <c r="BW107" s="207">
        <v>0</v>
      </c>
      <c r="BX107" s="207">
        <v>0</v>
      </c>
      <c r="BY107" s="207">
        <v>0</v>
      </c>
      <c r="BZ107" s="207">
        <v>0</v>
      </c>
      <c r="CA107" s="207">
        <v>0</v>
      </c>
      <c r="CB107" s="207">
        <v>0</v>
      </c>
      <c r="CC107" s="207">
        <v>0</v>
      </c>
      <c r="CD107" s="207">
        <v>0</v>
      </c>
      <c r="CE107" s="207">
        <v>0</v>
      </c>
      <c r="CF107" s="207">
        <v>0</v>
      </c>
      <c r="CG107" s="147"/>
      <c r="CH107" s="176"/>
      <c r="CJ107" s="146"/>
      <c r="CK107" s="76">
        <f t="shared" ca="1" si="90"/>
        <v>0.87205081541412888</v>
      </c>
      <c r="CL107" s="179">
        <f t="shared" si="91"/>
        <v>10</v>
      </c>
      <c r="CM107" s="180">
        <f t="shared" si="92"/>
        <v>39673</v>
      </c>
      <c r="CN107" s="208">
        <v>0</v>
      </c>
      <c r="CO107" s="208">
        <v>0</v>
      </c>
      <c r="CP107" s="208">
        <v>1</v>
      </c>
      <c r="CQ107" s="208">
        <v>0</v>
      </c>
      <c r="CR107" s="208">
        <v>0</v>
      </c>
      <c r="CS107" s="208">
        <v>0</v>
      </c>
      <c r="CT107" s="208">
        <v>0</v>
      </c>
      <c r="CU107" s="208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3"/>
        <v>9.6000000000000002E-2</v>
      </c>
      <c r="DB107" s="146"/>
      <c r="DC107" s="76">
        <f t="shared" ca="1" si="51"/>
        <v>0.53189048811792738</v>
      </c>
      <c r="DD107">
        <f t="shared" si="94"/>
        <v>10</v>
      </c>
      <c r="DE107" s="129">
        <f t="shared" si="126"/>
        <v>39673</v>
      </c>
      <c r="DF107" s="161">
        <f t="shared" si="95"/>
        <v>0</v>
      </c>
      <c r="DG107" s="161">
        <f t="shared" si="96"/>
        <v>0</v>
      </c>
      <c r="DH107" s="161">
        <f t="shared" si="97"/>
        <v>148.80952380952382</v>
      </c>
      <c r="DI107" s="161">
        <f t="shared" si="98"/>
        <v>0</v>
      </c>
      <c r="DJ107" s="161">
        <f t="shared" si="99"/>
        <v>0</v>
      </c>
      <c r="DK107" s="161">
        <f t="shared" si="100"/>
        <v>18.75</v>
      </c>
      <c r="DL107" s="161">
        <f t="shared" si="101"/>
        <v>18.75</v>
      </c>
      <c r="DM107" s="161">
        <f t="shared" si="102"/>
        <v>0</v>
      </c>
      <c r="DN107" s="161">
        <f t="shared" si="103"/>
        <v>0</v>
      </c>
      <c r="DO107" s="161">
        <f t="shared" si="104"/>
        <v>0</v>
      </c>
      <c r="DP107" s="161">
        <f t="shared" si="105"/>
        <v>0</v>
      </c>
      <c r="DQ107" s="161">
        <f t="shared" si="106"/>
        <v>0</v>
      </c>
      <c r="DR107" s="161">
        <f t="shared" si="107"/>
        <v>0</v>
      </c>
      <c r="DS107" s="161">
        <f t="shared" si="108"/>
        <v>0</v>
      </c>
      <c r="DT107" s="161">
        <f t="shared" si="109"/>
        <v>0</v>
      </c>
      <c r="DU107" s="161">
        <f t="shared" si="110"/>
        <v>0</v>
      </c>
      <c r="DV107" s="161">
        <f t="shared" si="111"/>
        <v>0</v>
      </c>
      <c r="DW107" s="161">
        <f t="shared" si="112"/>
        <v>0</v>
      </c>
      <c r="DX107" s="161">
        <f t="shared" si="113"/>
        <v>0</v>
      </c>
      <c r="DY107" s="161">
        <f t="shared" si="114"/>
        <v>0</v>
      </c>
      <c r="DZ107" s="161">
        <f t="shared" si="115"/>
        <v>0</v>
      </c>
      <c r="EA107" s="161">
        <f t="shared" si="116"/>
        <v>0</v>
      </c>
      <c r="EB107" s="161">
        <f t="shared" si="117"/>
        <v>0</v>
      </c>
      <c r="EC107" s="161">
        <f t="shared" si="118"/>
        <v>0</v>
      </c>
      <c r="ED107" s="161">
        <f t="shared" si="119"/>
        <v>0</v>
      </c>
      <c r="EE107" s="161">
        <f t="shared" si="120"/>
        <v>0</v>
      </c>
      <c r="EF107" s="161">
        <f t="shared" si="121"/>
        <v>0</v>
      </c>
      <c r="EG107" s="161">
        <f t="shared" si="122"/>
        <v>0</v>
      </c>
      <c r="EH107" s="161">
        <f t="shared" si="123"/>
        <v>0</v>
      </c>
      <c r="EI107" s="161">
        <f t="shared" si="124"/>
        <v>0</v>
      </c>
      <c r="EJ107" s="161">
        <f t="shared" si="125"/>
        <v>0</v>
      </c>
      <c r="EK107" s="147">
        <f t="shared" si="55"/>
        <v>186.30952380952382</v>
      </c>
      <c r="EL107" s="149"/>
      <c r="EN107" s="146"/>
      <c r="EO107" s="146"/>
      <c r="EP107" s="139">
        <f t="shared" si="56"/>
        <v>0</v>
      </c>
      <c r="EQ107" s="139">
        <f t="shared" si="57"/>
        <v>0</v>
      </c>
      <c r="ER107" s="139">
        <f t="shared" si="58"/>
        <v>6.9453886739174262</v>
      </c>
      <c r="ES107" s="139">
        <f t="shared" si="59"/>
        <v>0</v>
      </c>
      <c r="ET107" s="139">
        <f t="shared" si="60"/>
        <v>0</v>
      </c>
      <c r="EU107" s="139">
        <f t="shared" si="61"/>
        <v>10.30205022759135</v>
      </c>
      <c r="EV107" s="139">
        <f t="shared" si="62"/>
        <v>16.826755956224879</v>
      </c>
      <c r="EW107" s="139">
        <f t="shared" si="63"/>
        <v>0</v>
      </c>
      <c r="EX107" s="139">
        <f t="shared" si="64"/>
        <v>0</v>
      </c>
      <c r="EY107" s="139">
        <f t="shared" si="65"/>
        <v>0</v>
      </c>
      <c r="EZ107" s="139">
        <f t="shared" si="66"/>
        <v>0</v>
      </c>
      <c r="FA107" s="139">
        <f t="shared" si="67"/>
        <v>0</v>
      </c>
      <c r="FB107" s="139">
        <f t="shared" si="68"/>
        <v>0</v>
      </c>
      <c r="FC107" s="139">
        <f t="shared" si="69"/>
        <v>0</v>
      </c>
      <c r="FD107" s="139">
        <f t="shared" si="70"/>
        <v>0</v>
      </c>
      <c r="FE107" s="139">
        <f t="shared" si="71"/>
        <v>0</v>
      </c>
      <c r="FF107" s="139">
        <f t="shared" si="72"/>
        <v>0</v>
      </c>
      <c r="FG107" s="139">
        <f t="shared" si="73"/>
        <v>0</v>
      </c>
      <c r="FH107" s="139">
        <f t="shared" si="74"/>
        <v>0</v>
      </c>
      <c r="FI107" s="139">
        <f t="shared" si="75"/>
        <v>0</v>
      </c>
      <c r="FJ107" s="139">
        <f t="shared" si="76"/>
        <v>0</v>
      </c>
      <c r="FK107" s="139">
        <f t="shared" si="77"/>
        <v>0</v>
      </c>
      <c r="FL107" s="139">
        <f t="shared" si="78"/>
        <v>0</v>
      </c>
      <c r="FM107" s="139">
        <f t="shared" si="79"/>
        <v>0</v>
      </c>
      <c r="FN107" s="139">
        <f t="shared" si="80"/>
        <v>0</v>
      </c>
      <c r="FO107" s="139">
        <f t="shared" si="81"/>
        <v>0</v>
      </c>
      <c r="FP107" s="139">
        <f t="shared" si="82"/>
        <v>0</v>
      </c>
      <c r="FQ107" s="139">
        <f t="shared" si="83"/>
        <v>0</v>
      </c>
      <c r="FR107" s="139">
        <f t="shared" si="84"/>
        <v>0</v>
      </c>
      <c r="FS107" s="139">
        <f t="shared" si="85"/>
        <v>0</v>
      </c>
      <c r="FT107" s="139">
        <f t="shared" si="86"/>
        <v>0</v>
      </c>
      <c r="FU107" s="148">
        <f t="shared" si="87"/>
        <v>34.074194857733659</v>
      </c>
      <c r="FV107" s="149"/>
      <c r="FY107" s="213">
        <v>102</v>
      </c>
      <c r="FZ107">
        <v>44.835893571519151</v>
      </c>
      <c r="GA107">
        <v>33.23970130114661</v>
      </c>
      <c r="GB107">
        <v>30.507435422826887</v>
      </c>
      <c r="GC107">
        <v>14.240206684222906</v>
      </c>
      <c r="GD107">
        <v>4.6842753505691004</v>
      </c>
      <c r="GE107">
        <v>6.5905239953956913</v>
      </c>
      <c r="GF107">
        <v>7.8424639832283729</v>
      </c>
      <c r="GG107">
        <v>7.1701212597129018</v>
      </c>
      <c r="GH107">
        <v>3.3950476997063124</v>
      </c>
      <c r="GI107">
        <v>18.736959830877783</v>
      </c>
      <c r="GJ107"/>
      <c r="GK107"/>
      <c r="GL107"/>
      <c r="GM107"/>
      <c r="GN107" s="208"/>
      <c r="GO107" s="208"/>
      <c r="GP107" s="208"/>
      <c r="GQ107" s="208"/>
      <c r="GR107" s="208"/>
      <c r="GS107" s="208"/>
      <c r="GT107" s="208"/>
      <c r="GU107" s="213">
        <v>102</v>
      </c>
    </row>
    <row r="108" spans="1:203" s="7" customFormat="1">
      <c r="A108" s="128"/>
      <c r="B108" s="76">
        <f ca="1">IF(C108="", "", RAND())</f>
        <v>0.39082450708608718</v>
      </c>
      <c r="C108">
        <v>7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270.79304262783154</v>
      </c>
      <c r="AO108">
        <v>24.510678972339321</v>
      </c>
      <c r="AP108">
        <v>29.577033807595157</v>
      </c>
      <c r="AQ108">
        <v>180.99561626913129</v>
      </c>
      <c r="AR108">
        <v>24.67677655244297</v>
      </c>
      <c r="AS108">
        <v>390.13393730802005</v>
      </c>
      <c r="AT108">
        <v>16.04803541371982</v>
      </c>
      <c r="AU108">
        <v>-17.504638947338137</v>
      </c>
      <c r="AV108"/>
      <c r="AW108"/>
      <c r="AX108" s="128"/>
      <c r="AY108" s="76">
        <f t="shared" ca="1" si="88"/>
        <v>0.67665610682817201</v>
      </c>
      <c r="AZ108">
        <v>1</v>
      </c>
      <c r="BA108" s="129">
        <f>IF(AZ108="", "",$C$6)</f>
        <v>39714</v>
      </c>
      <c r="BB108" s="207">
        <v>0</v>
      </c>
      <c r="BC108" s="207">
        <v>0</v>
      </c>
      <c r="BD108" s="207">
        <v>0</v>
      </c>
      <c r="BE108" s="207">
        <v>0</v>
      </c>
      <c r="BF108" s="207">
        <v>0</v>
      </c>
      <c r="BG108" s="207">
        <v>0</v>
      </c>
      <c r="BH108" s="207">
        <v>0</v>
      </c>
      <c r="BI108" s="207">
        <v>0</v>
      </c>
      <c r="BJ108" s="207">
        <v>0</v>
      </c>
      <c r="BK108" s="207">
        <v>0</v>
      </c>
      <c r="BL108" s="207">
        <v>0</v>
      </c>
      <c r="BM108" s="207">
        <v>0</v>
      </c>
      <c r="BN108" s="207">
        <v>0</v>
      </c>
      <c r="BO108" s="207">
        <v>0</v>
      </c>
      <c r="BP108" s="207">
        <v>0</v>
      </c>
      <c r="BQ108" s="207">
        <v>0</v>
      </c>
      <c r="BR108" s="207">
        <v>0</v>
      </c>
      <c r="BS108" s="207">
        <v>0</v>
      </c>
      <c r="BT108" s="207">
        <v>0</v>
      </c>
      <c r="BU108" s="207">
        <v>0</v>
      </c>
      <c r="BV108" s="207">
        <v>0</v>
      </c>
      <c r="BW108" s="207">
        <v>0</v>
      </c>
      <c r="BX108" s="207">
        <v>0</v>
      </c>
      <c r="BY108" s="207">
        <v>0</v>
      </c>
      <c r="BZ108" s="207">
        <v>0</v>
      </c>
      <c r="CA108" s="207">
        <v>0</v>
      </c>
      <c r="CB108" s="207">
        <v>0</v>
      </c>
      <c r="CC108" s="207">
        <v>0</v>
      </c>
      <c r="CD108" s="207">
        <v>0</v>
      </c>
      <c r="CE108" s="207">
        <v>0</v>
      </c>
      <c r="CF108" s="207">
        <v>0</v>
      </c>
      <c r="CG108" s="147"/>
      <c r="CH108" s="176"/>
      <c r="CJ108" s="128"/>
      <c r="CK108" s="76">
        <f t="shared" ca="1" si="90"/>
        <v>0.43645802883300844</v>
      </c>
      <c r="CL108" s="179">
        <f t="shared" si="91"/>
        <v>1</v>
      </c>
      <c r="CM108" s="180">
        <f t="shared" si="92"/>
        <v>39714</v>
      </c>
      <c r="CN108" s="208">
        <v>0</v>
      </c>
      <c r="CO108" s="208">
        <v>0</v>
      </c>
      <c r="CP108" s="208">
        <v>2</v>
      </c>
      <c r="CQ108" s="208">
        <v>0</v>
      </c>
      <c r="CR108" s="208">
        <v>0</v>
      </c>
      <c r="CS108" s="208">
        <v>0</v>
      </c>
      <c r="CT108" s="208">
        <v>0</v>
      </c>
      <c r="CU108" s="208">
        <v>0</v>
      </c>
      <c r="CW108">
        <v>1</v>
      </c>
      <c r="CX108">
        <f>300/48</f>
        <v>6.25</v>
      </c>
      <c r="CY108" s="158"/>
      <c r="CZ108" s="177">
        <f t="shared" si="93"/>
        <v>9.6000000000000002E-2</v>
      </c>
      <c r="DB108" s="128"/>
      <c r="DC108" s="76">
        <f t="shared" ca="1" si="51"/>
        <v>0.98238243314614948</v>
      </c>
      <c r="DD108">
        <f t="shared" si="94"/>
        <v>1</v>
      </c>
      <c r="DE108" s="129">
        <f t="shared" ref="DE108:DE117" si="128">IF((DD108)="", "", $C$6)</f>
        <v>39714</v>
      </c>
      <c r="DF108" s="161">
        <f t="shared" si="95"/>
        <v>0</v>
      </c>
      <c r="DG108" s="161">
        <f t="shared" si="96"/>
        <v>0</v>
      </c>
      <c r="DH108" s="161">
        <f t="shared" si="97"/>
        <v>130.20833333333334</v>
      </c>
      <c r="DI108" s="161">
        <f t="shared" si="98"/>
        <v>0</v>
      </c>
      <c r="DJ108" s="161">
        <f t="shared" si="99"/>
        <v>0</v>
      </c>
      <c r="DK108" s="161">
        <f t="shared" si="100"/>
        <v>0</v>
      </c>
      <c r="DL108" s="161">
        <f t="shared" si="101"/>
        <v>0</v>
      </c>
      <c r="DM108" s="161">
        <f t="shared" si="102"/>
        <v>0</v>
      </c>
      <c r="DN108" s="161">
        <f t="shared" si="103"/>
        <v>0</v>
      </c>
      <c r="DO108" s="161">
        <f t="shared" si="104"/>
        <v>0</v>
      </c>
      <c r="DP108" s="161">
        <f t="shared" si="105"/>
        <v>0</v>
      </c>
      <c r="DQ108" s="161">
        <f t="shared" si="106"/>
        <v>0</v>
      </c>
      <c r="DR108" s="161">
        <f t="shared" si="107"/>
        <v>0</v>
      </c>
      <c r="DS108" s="161">
        <f t="shared" si="108"/>
        <v>0</v>
      </c>
      <c r="DT108" s="161">
        <f t="shared" si="109"/>
        <v>0</v>
      </c>
      <c r="DU108" s="161">
        <f t="shared" si="110"/>
        <v>0</v>
      </c>
      <c r="DV108" s="161">
        <f t="shared" si="111"/>
        <v>0</v>
      </c>
      <c r="DW108" s="161">
        <f t="shared" si="112"/>
        <v>0</v>
      </c>
      <c r="DX108" s="161">
        <f t="shared" si="113"/>
        <v>0</v>
      </c>
      <c r="DY108" s="161">
        <f t="shared" si="114"/>
        <v>0</v>
      </c>
      <c r="DZ108" s="161">
        <f t="shared" si="115"/>
        <v>0</v>
      </c>
      <c r="EA108" s="161">
        <f t="shared" si="116"/>
        <v>0</v>
      </c>
      <c r="EB108" s="161">
        <f t="shared" si="117"/>
        <v>0</v>
      </c>
      <c r="EC108" s="161">
        <f t="shared" si="118"/>
        <v>0</v>
      </c>
      <c r="ED108" s="161">
        <f t="shared" si="119"/>
        <v>0</v>
      </c>
      <c r="EE108" s="161">
        <f t="shared" si="120"/>
        <v>0</v>
      </c>
      <c r="EF108" s="161">
        <f t="shared" si="121"/>
        <v>0</v>
      </c>
      <c r="EG108" s="161">
        <f t="shared" si="122"/>
        <v>0</v>
      </c>
      <c r="EH108" s="161">
        <f t="shared" si="123"/>
        <v>0</v>
      </c>
      <c r="EI108" s="161">
        <f t="shared" si="124"/>
        <v>0</v>
      </c>
      <c r="EJ108" s="161">
        <f t="shared" si="125"/>
        <v>0</v>
      </c>
      <c r="EK108" s="147">
        <f t="shared" si="55"/>
        <v>130.20833333333334</v>
      </c>
      <c r="EL108" s="149"/>
      <c r="EN108" s="146"/>
      <c r="EO108" s="146"/>
      <c r="EP108" s="139">
        <f t="shared" si="56"/>
        <v>0</v>
      </c>
      <c r="EQ108" s="139">
        <f t="shared" si="57"/>
        <v>0</v>
      </c>
      <c r="ER108" s="139">
        <f t="shared" si="58"/>
        <v>6.0772150896777477</v>
      </c>
      <c r="ES108" s="139">
        <f t="shared" si="59"/>
        <v>0</v>
      </c>
      <c r="ET108" s="139">
        <f t="shared" si="60"/>
        <v>0</v>
      </c>
      <c r="EU108" s="139">
        <f t="shared" si="61"/>
        <v>0</v>
      </c>
      <c r="EV108" s="139">
        <f t="shared" si="62"/>
        <v>0</v>
      </c>
      <c r="EW108" s="139">
        <f t="shared" si="63"/>
        <v>0</v>
      </c>
      <c r="EX108" s="139">
        <f t="shared" si="64"/>
        <v>0</v>
      </c>
      <c r="EY108" s="139">
        <f t="shared" si="65"/>
        <v>0</v>
      </c>
      <c r="EZ108" s="139">
        <f t="shared" si="66"/>
        <v>0</v>
      </c>
      <c r="FA108" s="139">
        <f t="shared" si="67"/>
        <v>0</v>
      </c>
      <c r="FB108" s="139">
        <f t="shared" si="68"/>
        <v>0</v>
      </c>
      <c r="FC108" s="139">
        <f t="shared" si="69"/>
        <v>0</v>
      </c>
      <c r="FD108" s="139">
        <f t="shared" si="70"/>
        <v>0</v>
      </c>
      <c r="FE108" s="139">
        <f t="shared" si="71"/>
        <v>0</v>
      </c>
      <c r="FF108" s="139">
        <f t="shared" si="72"/>
        <v>0</v>
      </c>
      <c r="FG108" s="139">
        <f t="shared" si="73"/>
        <v>0</v>
      </c>
      <c r="FH108" s="139">
        <f t="shared" si="74"/>
        <v>0</v>
      </c>
      <c r="FI108" s="139">
        <f t="shared" si="75"/>
        <v>0</v>
      </c>
      <c r="FJ108" s="139">
        <f t="shared" si="76"/>
        <v>0</v>
      </c>
      <c r="FK108" s="139">
        <f t="shared" si="77"/>
        <v>0</v>
      </c>
      <c r="FL108" s="139">
        <f t="shared" si="78"/>
        <v>0</v>
      </c>
      <c r="FM108" s="139">
        <f t="shared" si="79"/>
        <v>0</v>
      </c>
      <c r="FN108" s="139">
        <f t="shared" si="80"/>
        <v>0</v>
      </c>
      <c r="FO108" s="139">
        <f t="shared" si="81"/>
        <v>0</v>
      </c>
      <c r="FP108" s="139">
        <f t="shared" si="82"/>
        <v>0</v>
      </c>
      <c r="FQ108" s="139">
        <f t="shared" si="83"/>
        <v>0</v>
      </c>
      <c r="FR108" s="139">
        <f t="shared" si="84"/>
        <v>0</v>
      </c>
      <c r="FS108" s="139">
        <f t="shared" si="85"/>
        <v>0</v>
      </c>
      <c r="FT108" s="139">
        <f t="shared" si="86"/>
        <v>0</v>
      </c>
      <c r="FU108" s="148">
        <f t="shared" si="87"/>
        <v>6.0772150896777477</v>
      </c>
      <c r="FV108" s="149"/>
      <c r="FY108" s="213">
        <v>103</v>
      </c>
      <c r="FZ108">
        <v>59.481800661748146</v>
      </c>
      <c r="GA108">
        <v>46.335249767099747</v>
      </c>
      <c r="GB108">
        <v>32.069823885600897</v>
      </c>
      <c r="GC108">
        <v>16.095138640625478</v>
      </c>
      <c r="GD108">
        <v>2.4781437653158931</v>
      </c>
      <c r="GE108">
        <v>3.5041409835993873</v>
      </c>
      <c r="GF108">
        <v>1.8738056255314333</v>
      </c>
      <c r="GG108">
        <v>4.6925496021212378</v>
      </c>
      <c r="GH108">
        <v>11.823620532057058</v>
      </c>
      <c r="GI108">
        <v>20.260173762500528</v>
      </c>
      <c r="GJ108"/>
      <c r="GK108"/>
      <c r="GL108"/>
      <c r="GM108"/>
      <c r="GN108" s="208"/>
      <c r="GO108" s="208"/>
      <c r="GP108" s="208"/>
      <c r="GQ108" s="208"/>
      <c r="GR108" s="208"/>
      <c r="GS108" s="208"/>
      <c r="GT108" s="208"/>
      <c r="GU108" s="213">
        <v>103</v>
      </c>
    </row>
    <row r="109" spans="1:203" s="7" customFormat="1">
      <c r="A109" s="1"/>
      <c r="B109" s="76">
        <f ca="1">IF(C109="", "", RAND())</f>
        <v>0.73756680400034558</v>
      </c>
      <c r="C109">
        <v>5</v>
      </c>
      <c r="D109">
        <v>39714</v>
      </c>
      <c r="E109">
        <v>0</v>
      </c>
      <c r="F109">
        <v>97.65625</v>
      </c>
      <c r="G109">
        <v>195.3125</v>
      </c>
      <c r="H109">
        <v>1171.875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210.41291034574783</v>
      </c>
      <c r="AO109">
        <v>20.849170187996471</v>
      </c>
      <c r="AP109">
        <v>12.019217743914989</v>
      </c>
      <c r="AQ109">
        <v>145.85581206691586</v>
      </c>
      <c r="AR109">
        <v>21.841506614067892</v>
      </c>
      <c r="AS109">
        <v>357.84268469023766</v>
      </c>
      <c r="AT109">
        <v>13.680469880557595</v>
      </c>
      <c r="AU109">
        <v>1.1733044174923819</v>
      </c>
      <c r="AV109"/>
      <c r="AW109"/>
      <c r="AX109" s="146"/>
      <c r="AY109" s="76">
        <f t="shared" ca="1" si="88"/>
        <v>0.35836380299629855</v>
      </c>
      <c r="AZ109">
        <v>2</v>
      </c>
      <c r="BA109" s="129">
        <f t="shared" ref="BA109:BA117" si="129">IF(AZ109="", "",$C$6)</f>
        <v>39714</v>
      </c>
      <c r="BB109" s="207">
        <v>0</v>
      </c>
      <c r="BC109" s="207">
        <v>0</v>
      </c>
      <c r="BD109" s="207">
        <v>0</v>
      </c>
      <c r="BE109" s="207">
        <v>0</v>
      </c>
      <c r="BF109" s="207">
        <v>0</v>
      </c>
      <c r="BG109" s="207">
        <v>0</v>
      </c>
      <c r="BH109" s="207">
        <v>0</v>
      </c>
      <c r="BI109" s="207">
        <v>0</v>
      </c>
      <c r="BJ109" s="207">
        <v>0</v>
      </c>
      <c r="BK109" s="207">
        <v>0</v>
      </c>
      <c r="BL109" s="207">
        <v>0</v>
      </c>
      <c r="BM109" s="207">
        <v>0</v>
      </c>
      <c r="BN109" s="207">
        <v>0</v>
      </c>
      <c r="BO109" s="207">
        <v>0</v>
      </c>
      <c r="BP109" s="207">
        <v>0</v>
      </c>
      <c r="BQ109" s="207">
        <v>0</v>
      </c>
      <c r="BR109" s="207">
        <v>0</v>
      </c>
      <c r="BS109" s="207">
        <v>0</v>
      </c>
      <c r="BT109" s="207">
        <v>0</v>
      </c>
      <c r="BU109" s="207">
        <v>0</v>
      </c>
      <c r="BV109" s="207">
        <v>0</v>
      </c>
      <c r="BW109" s="207">
        <v>0</v>
      </c>
      <c r="BX109" s="207">
        <v>0</v>
      </c>
      <c r="BY109" s="207">
        <v>0</v>
      </c>
      <c r="BZ109" s="207">
        <v>0</v>
      </c>
      <c r="CA109" s="207">
        <v>0</v>
      </c>
      <c r="CB109" s="207">
        <v>0</v>
      </c>
      <c r="CC109" s="207">
        <v>0</v>
      </c>
      <c r="CD109" s="207">
        <v>0</v>
      </c>
      <c r="CE109" s="207">
        <v>0</v>
      </c>
      <c r="CF109" s="207">
        <v>0</v>
      </c>
      <c r="CG109" s="147"/>
      <c r="CH109" s="176"/>
      <c r="CJ109" s="146"/>
      <c r="CK109" s="76">
        <f t="shared" ca="1" si="90"/>
        <v>0.79501791957675838</v>
      </c>
      <c r="CL109" s="179">
        <f t="shared" si="91"/>
        <v>2</v>
      </c>
      <c r="CM109" s="180">
        <f t="shared" si="92"/>
        <v>39714</v>
      </c>
      <c r="CN109" s="208">
        <v>0</v>
      </c>
      <c r="CO109" s="208">
        <v>0</v>
      </c>
      <c r="CP109" s="208">
        <v>0</v>
      </c>
      <c r="CQ109" s="208">
        <v>0</v>
      </c>
      <c r="CR109" s="208">
        <v>0</v>
      </c>
      <c r="CS109" s="208">
        <v>0</v>
      </c>
      <c r="CT109" s="208">
        <v>0</v>
      </c>
      <c r="CU109" s="208">
        <v>0</v>
      </c>
      <c r="CW109">
        <v>1</v>
      </c>
      <c r="CX109">
        <v>1</v>
      </c>
      <c r="CY109" s="158"/>
      <c r="CZ109" s="177">
        <f t="shared" si="93"/>
        <v>9.6000000000000002E-2</v>
      </c>
      <c r="DB109" s="146"/>
      <c r="DC109" s="76">
        <f t="shared" ca="1" si="51"/>
        <v>0.36791439545871829</v>
      </c>
      <c r="DD109">
        <f t="shared" si="94"/>
        <v>2</v>
      </c>
      <c r="DE109" s="129">
        <f t="shared" si="128"/>
        <v>39714</v>
      </c>
      <c r="DF109" s="161">
        <f t="shared" si="95"/>
        <v>0</v>
      </c>
      <c r="DG109" s="161">
        <f t="shared" si="96"/>
        <v>0</v>
      </c>
      <c r="DH109" s="161">
        <f t="shared" si="97"/>
        <v>0</v>
      </c>
      <c r="DI109" s="161">
        <f t="shared" si="98"/>
        <v>0</v>
      </c>
      <c r="DJ109" s="161">
        <f t="shared" si="99"/>
        <v>0</v>
      </c>
      <c r="DK109" s="161">
        <f t="shared" si="100"/>
        <v>0</v>
      </c>
      <c r="DL109" s="161">
        <f t="shared" si="101"/>
        <v>0</v>
      </c>
      <c r="DM109" s="161">
        <f t="shared" si="102"/>
        <v>0</v>
      </c>
      <c r="DN109" s="161">
        <f t="shared" si="103"/>
        <v>0</v>
      </c>
      <c r="DO109" s="161">
        <f t="shared" si="104"/>
        <v>0</v>
      </c>
      <c r="DP109" s="161">
        <f t="shared" si="105"/>
        <v>0</v>
      </c>
      <c r="DQ109" s="161">
        <f t="shared" si="106"/>
        <v>0</v>
      </c>
      <c r="DR109" s="161">
        <f t="shared" si="107"/>
        <v>0</v>
      </c>
      <c r="DS109" s="161">
        <f t="shared" si="108"/>
        <v>0</v>
      </c>
      <c r="DT109" s="161">
        <f t="shared" si="109"/>
        <v>0</v>
      </c>
      <c r="DU109" s="161">
        <f t="shared" si="110"/>
        <v>0</v>
      </c>
      <c r="DV109" s="161">
        <f t="shared" si="111"/>
        <v>0</v>
      </c>
      <c r="DW109" s="161">
        <f t="shared" si="112"/>
        <v>0</v>
      </c>
      <c r="DX109" s="161">
        <f t="shared" si="113"/>
        <v>0</v>
      </c>
      <c r="DY109" s="161">
        <f t="shared" si="114"/>
        <v>0</v>
      </c>
      <c r="DZ109" s="161">
        <f t="shared" si="115"/>
        <v>0</v>
      </c>
      <c r="EA109" s="161">
        <f t="shared" si="116"/>
        <v>0</v>
      </c>
      <c r="EB109" s="161">
        <f t="shared" si="117"/>
        <v>0</v>
      </c>
      <c r="EC109" s="161">
        <f t="shared" si="118"/>
        <v>0</v>
      </c>
      <c r="ED109" s="161">
        <f t="shared" si="119"/>
        <v>0</v>
      </c>
      <c r="EE109" s="161">
        <f t="shared" si="120"/>
        <v>0</v>
      </c>
      <c r="EF109" s="161">
        <f t="shared" si="121"/>
        <v>0</v>
      </c>
      <c r="EG109" s="161">
        <f t="shared" si="122"/>
        <v>0</v>
      </c>
      <c r="EH109" s="161">
        <f t="shared" si="123"/>
        <v>0</v>
      </c>
      <c r="EI109" s="161">
        <f t="shared" si="124"/>
        <v>0</v>
      </c>
      <c r="EJ109" s="161">
        <f t="shared" si="125"/>
        <v>0</v>
      </c>
      <c r="EK109" s="147">
        <f t="shared" si="55"/>
        <v>0</v>
      </c>
      <c r="EL109" s="149"/>
      <c r="EN109" s="146"/>
      <c r="EO109" s="146"/>
      <c r="EP109" s="139">
        <f t="shared" si="56"/>
        <v>0</v>
      </c>
      <c r="EQ109" s="139">
        <f t="shared" si="57"/>
        <v>0</v>
      </c>
      <c r="ER109" s="139">
        <f t="shared" si="58"/>
        <v>0</v>
      </c>
      <c r="ES109" s="139">
        <f t="shared" si="59"/>
        <v>0</v>
      </c>
      <c r="ET109" s="139">
        <f t="shared" si="60"/>
        <v>0</v>
      </c>
      <c r="EU109" s="139">
        <f t="shared" si="61"/>
        <v>0</v>
      </c>
      <c r="EV109" s="139">
        <f t="shared" si="62"/>
        <v>0</v>
      </c>
      <c r="EW109" s="139">
        <f t="shared" si="63"/>
        <v>0</v>
      </c>
      <c r="EX109" s="139">
        <f t="shared" si="64"/>
        <v>0</v>
      </c>
      <c r="EY109" s="139">
        <f t="shared" si="65"/>
        <v>0</v>
      </c>
      <c r="EZ109" s="139">
        <f t="shared" si="66"/>
        <v>0</v>
      </c>
      <c r="FA109" s="139">
        <f t="shared" si="67"/>
        <v>0</v>
      </c>
      <c r="FB109" s="139">
        <f t="shared" si="68"/>
        <v>0</v>
      </c>
      <c r="FC109" s="139">
        <f t="shared" si="69"/>
        <v>0</v>
      </c>
      <c r="FD109" s="139">
        <f t="shared" si="70"/>
        <v>0</v>
      </c>
      <c r="FE109" s="139">
        <f t="shared" si="71"/>
        <v>0</v>
      </c>
      <c r="FF109" s="139">
        <f t="shared" si="72"/>
        <v>0</v>
      </c>
      <c r="FG109" s="139">
        <f t="shared" si="73"/>
        <v>0</v>
      </c>
      <c r="FH109" s="139">
        <f t="shared" si="74"/>
        <v>0</v>
      </c>
      <c r="FI109" s="139">
        <f t="shared" si="75"/>
        <v>0</v>
      </c>
      <c r="FJ109" s="139">
        <f t="shared" si="76"/>
        <v>0</v>
      </c>
      <c r="FK109" s="139">
        <f t="shared" si="77"/>
        <v>0</v>
      </c>
      <c r="FL109" s="139">
        <f t="shared" si="78"/>
        <v>0</v>
      </c>
      <c r="FM109" s="139">
        <f t="shared" si="79"/>
        <v>0</v>
      </c>
      <c r="FN109" s="139">
        <f t="shared" si="80"/>
        <v>0</v>
      </c>
      <c r="FO109" s="139">
        <f t="shared" si="81"/>
        <v>0</v>
      </c>
      <c r="FP109" s="139">
        <f t="shared" si="82"/>
        <v>0</v>
      </c>
      <c r="FQ109" s="139">
        <f t="shared" si="83"/>
        <v>0</v>
      </c>
      <c r="FR109" s="139">
        <f t="shared" si="84"/>
        <v>0</v>
      </c>
      <c r="FS109" s="139">
        <f t="shared" si="85"/>
        <v>0</v>
      </c>
      <c r="FT109" s="139">
        <f t="shared" si="86"/>
        <v>0</v>
      </c>
      <c r="FU109" s="148">
        <f t="shared" si="87"/>
        <v>0</v>
      </c>
      <c r="FV109" s="149"/>
      <c r="FY109" s="213">
        <v>104</v>
      </c>
      <c r="FZ109">
        <v>55.142726520438607</v>
      </c>
      <c r="GA109">
        <v>63.006346539873817</v>
      </c>
      <c r="GB109">
        <v>39.938003241648751</v>
      </c>
      <c r="GC109">
        <v>16.84745698578087</v>
      </c>
      <c r="GD109">
        <v>3.9814194622151313</v>
      </c>
      <c r="GE109">
        <v>5.9326603525849837</v>
      </c>
      <c r="GF109">
        <v>6.4120666685700289</v>
      </c>
      <c r="GG109">
        <v>4.1828028945606484</v>
      </c>
      <c r="GH109">
        <v>5.9134324461866301</v>
      </c>
      <c r="GI109">
        <v>22.312530717721746</v>
      </c>
      <c r="GJ109"/>
      <c r="GK109"/>
      <c r="GL109"/>
      <c r="GM109"/>
      <c r="GN109" s="208"/>
      <c r="GO109" s="208"/>
      <c r="GP109" s="208"/>
      <c r="GQ109" s="208"/>
      <c r="GR109" s="208"/>
      <c r="GS109" s="208"/>
      <c r="GT109" s="208"/>
      <c r="GU109" s="213">
        <v>104</v>
      </c>
    </row>
    <row r="110" spans="1:203" s="7" customFormat="1">
      <c r="A110" s="1"/>
      <c r="B110" s="76">
        <f ca="1">IF(C110="", "", RAND())</f>
        <v>0.58600636165158271</v>
      </c>
      <c r="C110">
        <v>10</v>
      </c>
      <c r="D110">
        <v>39714</v>
      </c>
      <c r="E110">
        <v>0</v>
      </c>
      <c r="F110">
        <v>0</v>
      </c>
      <c r="G110">
        <v>10.416666666666666</v>
      </c>
      <c r="H110">
        <v>120.53571428571428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240.80916180332071</v>
      </c>
      <c r="AO110">
        <v>20.609229437129805</v>
      </c>
      <c r="AP110">
        <v>17.754156989389465</v>
      </c>
      <c r="AQ110">
        <v>149.92878252430305</v>
      </c>
      <c r="AR110">
        <v>21.740525481709646</v>
      </c>
      <c r="AS110">
        <v>342.7707103575629</v>
      </c>
      <c r="AT110">
        <v>13.384475321196446</v>
      </c>
      <c r="AU110">
        <v>8.359989282495583</v>
      </c>
      <c r="AV110"/>
      <c r="AW110"/>
      <c r="AX110" s="146"/>
      <c r="AY110" s="76">
        <f t="shared" ca="1" si="88"/>
        <v>0.64036661666053885</v>
      </c>
      <c r="AZ110">
        <v>3</v>
      </c>
      <c r="BA110" s="129">
        <f t="shared" si="129"/>
        <v>39714</v>
      </c>
      <c r="BB110" s="207">
        <v>0</v>
      </c>
      <c r="BC110" s="207">
        <v>0</v>
      </c>
      <c r="BD110" s="207">
        <v>0</v>
      </c>
      <c r="BE110" s="207">
        <v>0</v>
      </c>
      <c r="BF110" s="207">
        <v>0</v>
      </c>
      <c r="BG110" s="207">
        <v>0</v>
      </c>
      <c r="BH110" s="207">
        <v>0</v>
      </c>
      <c r="BI110" s="207">
        <v>0</v>
      </c>
      <c r="BJ110" s="207">
        <v>0</v>
      </c>
      <c r="BK110" s="207">
        <v>0</v>
      </c>
      <c r="BL110" s="207">
        <v>0</v>
      </c>
      <c r="BM110" s="207">
        <v>0</v>
      </c>
      <c r="BN110" s="207">
        <v>0</v>
      </c>
      <c r="BO110" s="207">
        <v>0</v>
      </c>
      <c r="BP110" s="207">
        <v>0</v>
      </c>
      <c r="BQ110" s="207">
        <v>0</v>
      </c>
      <c r="BR110" s="207">
        <v>0</v>
      </c>
      <c r="BS110" s="207">
        <v>0</v>
      </c>
      <c r="BT110" s="207">
        <v>0</v>
      </c>
      <c r="BU110" s="207">
        <v>0</v>
      </c>
      <c r="BV110" s="207">
        <v>0</v>
      </c>
      <c r="BW110" s="207">
        <v>0</v>
      </c>
      <c r="BX110" s="207">
        <v>0</v>
      </c>
      <c r="BY110" s="207">
        <v>0</v>
      </c>
      <c r="BZ110" s="207">
        <v>0</v>
      </c>
      <c r="CA110" s="207">
        <v>0</v>
      </c>
      <c r="CB110" s="207">
        <v>0</v>
      </c>
      <c r="CC110" s="207">
        <v>0</v>
      </c>
      <c r="CD110" s="207">
        <v>0</v>
      </c>
      <c r="CE110" s="207">
        <v>0</v>
      </c>
      <c r="CF110" s="207">
        <v>0</v>
      </c>
      <c r="CG110" s="147"/>
      <c r="CH110" s="176"/>
      <c r="CJ110" s="146"/>
      <c r="CK110" s="76">
        <f t="shared" ca="1" si="90"/>
        <v>0.69237132692942049</v>
      </c>
      <c r="CL110" s="179">
        <f t="shared" si="91"/>
        <v>3</v>
      </c>
      <c r="CM110" s="180">
        <f t="shared" si="92"/>
        <v>39714</v>
      </c>
      <c r="CN110" s="208">
        <v>0</v>
      </c>
      <c r="CO110" s="208">
        <v>0</v>
      </c>
      <c r="CP110" s="208">
        <v>0</v>
      </c>
      <c r="CQ110" s="208">
        <v>0</v>
      </c>
      <c r="CR110" s="208">
        <v>0</v>
      </c>
      <c r="CS110" s="208">
        <v>0</v>
      </c>
      <c r="CT110" s="208">
        <v>0</v>
      </c>
      <c r="CU110" s="208">
        <v>0</v>
      </c>
      <c r="CW110">
        <v>1</v>
      </c>
      <c r="CX110">
        <f>300/32</f>
        <v>9.375</v>
      </c>
      <c r="CY110" s="158"/>
      <c r="CZ110" s="177">
        <f t="shared" si="93"/>
        <v>9.6000000000000002E-2</v>
      </c>
      <c r="DB110" s="146"/>
      <c r="DC110" s="76">
        <f t="shared" ca="1" si="51"/>
        <v>0.60406803244170626</v>
      </c>
      <c r="DD110">
        <f t="shared" si="94"/>
        <v>3</v>
      </c>
      <c r="DE110" s="129">
        <f t="shared" si="128"/>
        <v>39714</v>
      </c>
      <c r="DF110" s="161">
        <f t="shared" si="95"/>
        <v>0</v>
      </c>
      <c r="DG110" s="161">
        <f t="shared" si="96"/>
        <v>0</v>
      </c>
      <c r="DH110" s="161">
        <f t="shared" si="97"/>
        <v>0</v>
      </c>
      <c r="DI110" s="161">
        <f t="shared" si="98"/>
        <v>0</v>
      </c>
      <c r="DJ110" s="161">
        <f t="shared" si="99"/>
        <v>0</v>
      </c>
      <c r="DK110" s="161">
        <f t="shared" si="100"/>
        <v>0</v>
      </c>
      <c r="DL110" s="161">
        <f t="shared" si="101"/>
        <v>0</v>
      </c>
      <c r="DM110" s="161">
        <f t="shared" si="102"/>
        <v>0</v>
      </c>
      <c r="DN110" s="161">
        <f t="shared" si="103"/>
        <v>0</v>
      </c>
      <c r="DO110" s="161">
        <f t="shared" si="104"/>
        <v>0</v>
      </c>
      <c r="DP110" s="161">
        <f t="shared" si="105"/>
        <v>0</v>
      </c>
      <c r="DQ110" s="161">
        <f t="shared" si="106"/>
        <v>0</v>
      </c>
      <c r="DR110" s="161">
        <f t="shared" si="107"/>
        <v>0</v>
      </c>
      <c r="DS110" s="161">
        <f t="shared" si="108"/>
        <v>0</v>
      </c>
      <c r="DT110" s="161">
        <f t="shared" si="109"/>
        <v>0</v>
      </c>
      <c r="DU110" s="161">
        <f t="shared" si="110"/>
        <v>0</v>
      </c>
      <c r="DV110" s="161">
        <f t="shared" si="111"/>
        <v>0</v>
      </c>
      <c r="DW110" s="161">
        <f t="shared" si="112"/>
        <v>0</v>
      </c>
      <c r="DX110" s="161">
        <f t="shared" si="113"/>
        <v>0</v>
      </c>
      <c r="DY110" s="161">
        <f t="shared" si="114"/>
        <v>0</v>
      </c>
      <c r="DZ110" s="161">
        <f t="shared" si="115"/>
        <v>0</v>
      </c>
      <c r="EA110" s="161">
        <f t="shared" si="116"/>
        <v>0</v>
      </c>
      <c r="EB110" s="161">
        <f t="shared" si="117"/>
        <v>0</v>
      </c>
      <c r="EC110" s="161">
        <f t="shared" si="118"/>
        <v>0</v>
      </c>
      <c r="ED110" s="161">
        <f t="shared" si="119"/>
        <v>0</v>
      </c>
      <c r="EE110" s="161">
        <f t="shared" si="120"/>
        <v>0</v>
      </c>
      <c r="EF110" s="161">
        <f t="shared" si="121"/>
        <v>0</v>
      </c>
      <c r="EG110" s="161">
        <f t="shared" si="122"/>
        <v>0</v>
      </c>
      <c r="EH110" s="161">
        <f t="shared" si="123"/>
        <v>0</v>
      </c>
      <c r="EI110" s="161">
        <f t="shared" si="124"/>
        <v>0</v>
      </c>
      <c r="EJ110" s="161">
        <f t="shared" si="125"/>
        <v>0</v>
      </c>
      <c r="EK110" s="147">
        <f t="shared" si="55"/>
        <v>0</v>
      </c>
      <c r="EL110" s="149"/>
      <c r="EN110" s="146"/>
      <c r="EO110" s="146"/>
      <c r="EP110" s="139">
        <f t="shared" si="56"/>
        <v>0</v>
      </c>
      <c r="EQ110" s="139">
        <f t="shared" si="57"/>
        <v>0</v>
      </c>
      <c r="ER110" s="139">
        <f t="shared" si="58"/>
        <v>0</v>
      </c>
      <c r="ES110" s="139">
        <f t="shared" si="59"/>
        <v>0</v>
      </c>
      <c r="ET110" s="139">
        <f t="shared" si="60"/>
        <v>0</v>
      </c>
      <c r="EU110" s="139">
        <f t="shared" si="61"/>
        <v>0</v>
      </c>
      <c r="EV110" s="139">
        <f t="shared" si="62"/>
        <v>0</v>
      </c>
      <c r="EW110" s="139">
        <f t="shared" si="63"/>
        <v>0</v>
      </c>
      <c r="EX110" s="139">
        <f t="shared" si="64"/>
        <v>0</v>
      </c>
      <c r="EY110" s="139">
        <f t="shared" si="65"/>
        <v>0</v>
      </c>
      <c r="EZ110" s="139">
        <f t="shared" si="66"/>
        <v>0</v>
      </c>
      <c r="FA110" s="139">
        <f t="shared" si="67"/>
        <v>0</v>
      </c>
      <c r="FB110" s="139">
        <f t="shared" si="68"/>
        <v>0</v>
      </c>
      <c r="FC110" s="139">
        <f t="shared" si="69"/>
        <v>0</v>
      </c>
      <c r="FD110" s="139">
        <f t="shared" si="70"/>
        <v>0</v>
      </c>
      <c r="FE110" s="139">
        <f t="shared" si="71"/>
        <v>0</v>
      </c>
      <c r="FF110" s="139">
        <f t="shared" si="72"/>
        <v>0</v>
      </c>
      <c r="FG110" s="139">
        <f t="shared" si="73"/>
        <v>0</v>
      </c>
      <c r="FH110" s="139">
        <f t="shared" si="74"/>
        <v>0</v>
      </c>
      <c r="FI110" s="139">
        <f t="shared" si="75"/>
        <v>0</v>
      </c>
      <c r="FJ110" s="139">
        <f t="shared" si="76"/>
        <v>0</v>
      </c>
      <c r="FK110" s="139">
        <f t="shared" si="77"/>
        <v>0</v>
      </c>
      <c r="FL110" s="139">
        <f t="shared" si="78"/>
        <v>0</v>
      </c>
      <c r="FM110" s="139">
        <f t="shared" si="79"/>
        <v>0</v>
      </c>
      <c r="FN110" s="139">
        <f t="shared" si="80"/>
        <v>0</v>
      </c>
      <c r="FO110" s="139">
        <f t="shared" si="81"/>
        <v>0</v>
      </c>
      <c r="FP110" s="139">
        <f t="shared" si="82"/>
        <v>0</v>
      </c>
      <c r="FQ110" s="139">
        <f t="shared" si="83"/>
        <v>0</v>
      </c>
      <c r="FR110" s="139">
        <f t="shared" si="84"/>
        <v>0</v>
      </c>
      <c r="FS110" s="139">
        <f t="shared" si="85"/>
        <v>0</v>
      </c>
      <c r="FT110" s="139">
        <f t="shared" si="86"/>
        <v>0</v>
      </c>
      <c r="FU110" s="148">
        <f t="shared" si="87"/>
        <v>0</v>
      </c>
      <c r="FV110" s="149"/>
      <c r="FY110" s="213">
        <v>105</v>
      </c>
      <c r="FZ110">
        <v>38.690788646397706</v>
      </c>
      <c r="GA110">
        <v>38.136989062941417</v>
      </c>
      <c r="GB110">
        <v>35.199039334538845</v>
      </c>
      <c r="GC110">
        <v>13.810590377278787</v>
      </c>
      <c r="GD110">
        <v>3.820862156418078</v>
      </c>
      <c r="GE110">
        <v>5.1723542220685106</v>
      </c>
      <c r="GF110">
        <v>1.5398265079971167</v>
      </c>
      <c r="GG110">
        <v>0.52238214764583224</v>
      </c>
      <c r="GH110">
        <v>7.5529297115930412</v>
      </c>
      <c r="GI110">
        <v>18.001200893804697</v>
      </c>
      <c r="GJ110"/>
      <c r="GK110"/>
      <c r="GL110"/>
      <c r="GM110"/>
      <c r="GN110" s="208"/>
      <c r="GO110" s="208"/>
      <c r="GP110" s="208"/>
      <c r="GQ110" s="208"/>
      <c r="GR110" s="208"/>
      <c r="GS110" s="208"/>
      <c r="GT110" s="208"/>
      <c r="GU110" s="213">
        <v>105</v>
      </c>
    </row>
    <row r="111" spans="1:203" s="7" customFormat="1">
      <c r="A111" s="1"/>
      <c r="B111" s="76">
        <f ca="1">IF(C111="", "", RAND())</f>
        <v>0.3047447871101987</v>
      </c>
      <c r="C111">
        <v>1</v>
      </c>
      <c r="D111">
        <v>39714</v>
      </c>
      <c r="E111">
        <v>0</v>
      </c>
      <c r="F111">
        <v>0</v>
      </c>
      <c r="G111">
        <v>130.20833333333334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289.01666590496239</v>
      </c>
      <c r="AO111">
        <v>24.369461184177776</v>
      </c>
      <c r="AP111">
        <v>21.340692557734197</v>
      </c>
      <c r="AQ111">
        <v>157.75119336986285</v>
      </c>
      <c r="AR111">
        <v>25.015170916507316</v>
      </c>
      <c r="AS111">
        <v>366.88118648443162</v>
      </c>
      <c r="AT111">
        <v>15.392932884783505</v>
      </c>
      <c r="AU111">
        <v>-15.450774600955356</v>
      </c>
      <c r="AV111"/>
      <c r="AW111"/>
      <c r="AX111" s="146"/>
      <c r="AY111" s="76">
        <f t="shared" ca="1" si="88"/>
        <v>0.20101161909760412</v>
      </c>
      <c r="AZ111">
        <v>4</v>
      </c>
      <c r="BA111" s="129">
        <f t="shared" si="129"/>
        <v>39714</v>
      </c>
      <c r="BB111" s="207">
        <v>0</v>
      </c>
      <c r="BC111" s="207">
        <v>0</v>
      </c>
      <c r="BD111" s="207">
        <v>0</v>
      </c>
      <c r="BE111" s="207">
        <v>0</v>
      </c>
      <c r="BF111" s="207">
        <v>0</v>
      </c>
      <c r="BG111" s="207">
        <v>0</v>
      </c>
      <c r="BH111" s="207">
        <v>0</v>
      </c>
      <c r="BI111" s="207">
        <v>0</v>
      </c>
      <c r="BJ111" s="207">
        <v>0</v>
      </c>
      <c r="BK111" s="207">
        <v>0</v>
      </c>
      <c r="BL111" s="207">
        <v>0</v>
      </c>
      <c r="BM111" s="207">
        <v>0</v>
      </c>
      <c r="BN111" s="207">
        <v>0</v>
      </c>
      <c r="BO111" s="207">
        <v>0</v>
      </c>
      <c r="BP111" s="207">
        <v>0</v>
      </c>
      <c r="BQ111" s="207">
        <v>0</v>
      </c>
      <c r="BR111" s="207">
        <v>0</v>
      </c>
      <c r="BS111" s="207">
        <v>0</v>
      </c>
      <c r="BT111" s="207">
        <v>0</v>
      </c>
      <c r="BU111" s="207">
        <v>0</v>
      </c>
      <c r="BV111" s="207">
        <v>0</v>
      </c>
      <c r="BW111" s="207">
        <v>0</v>
      </c>
      <c r="BX111" s="207">
        <v>0</v>
      </c>
      <c r="BY111" s="207">
        <v>0</v>
      </c>
      <c r="BZ111" s="207">
        <v>0</v>
      </c>
      <c r="CA111" s="207">
        <v>0</v>
      </c>
      <c r="CB111" s="207">
        <v>0</v>
      </c>
      <c r="CC111" s="207">
        <v>0</v>
      </c>
      <c r="CD111" s="207">
        <v>0</v>
      </c>
      <c r="CE111" s="207">
        <v>0</v>
      </c>
      <c r="CF111" s="207">
        <v>0</v>
      </c>
      <c r="CG111" s="147"/>
      <c r="CH111" s="176"/>
      <c r="CJ111" s="146"/>
      <c r="CK111" s="76">
        <f t="shared" ca="1" si="90"/>
        <v>0.12116020898703983</v>
      </c>
      <c r="CL111" s="179">
        <f t="shared" si="91"/>
        <v>4</v>
      </c>
      <c r="CM111" s="180">
        <f t="shared" si="92"/>
        <v>39714</v>
      </c>
      <c r="CN111" s="208">
        <v>0</v>
      </c>
      <c r="CO111" s="208">
        <v>2</v>
      </c>
      <c r="CP111" s="208">
        <v>9</v>
      </c>
      <c r="CQ111" s="208">
        <v>15</v>
      </c>
      <c r="CR111" s="208">
        <v>3</v>
      </c>
      <c r="CS111" s="208">
        <v>0</v>
      </c>
      <c r="CT111" s="208">
        <v>0</v>
      </c>
      <c r="CU111" s="208">
        <v>0</v>
      </c>
      <c r="CW111">
        <v>1</v>
      </c>
      <c r="CX111">
        <v>1</v>
      </c>
      <c r="CY111" s="158"/>
      <c r="CZ111" s="177">
        <f t="shared" si="93"/>
        <v>9.6000000000000002E-2</v>
      </c>
      <c r="DB111" s="146"/>
      <c r="DC111" s="76">
        <f t="shared" ca="1" si="51"/>
        <v>0.29039452530853471</v>
      </c>
      <c r="DD111">
        <f t="shared" si="94"/>
        <v>4</v>
      </c>
      <c r="DE111" s="129">
        <f t="shared" si="128"/>
        <v>39714</v>
      </c>
      <c r="DF111" s="161">
        <f t="shared" si="95"/>
        <v>0</v>
      </c>
      <c r="DG111" s="161">
        <f t="shared" si="96"/>
        <v>20.833333333333332</v>
      </c>
      <c r="DH111" s="161">
        <f t="shared" si="97"/>
        <v>93.75</v>
      </c>
      <c r="DI111" s="161">
        <f t="shared" si="98"/>
        <v>156.25</v>
      </c>
      <c r="DJ111" s="161">
        <f t="shared" si="99"/>
        <v>31.25</v>
      </c>
      <c r="DK111" s="161">
        <f t="shared" si="100"/>
        <v>0</v>
      </c>
      <c r="DL111" s="161">
        <f t="shared" si="101"/>
        <v>0</v>
      </c>
      <c r="DM111" s="161">
        <f t="shared" si="102"/>
        <v>0</v>
      </c>
      <c r="DN111" s="161">
        <f t="shared" si="103"/>
        <v>0</v>
      </c>
      <c r="DO111" s="161">
        <f t="shared" si="104"/>
        <v>0</v>
      </c>
      <c r="DP111" s="161">
        <f t="shared" si="105"/>
        <v>0</v>
      </c>
      <c r="DQ111" s="161">
        <f t="shared" si="106"/>
        <v>0</v>
      </c>
      <c r="DR111" s="161">
        <f t="shared" si="107"/>
        <v>0</v>
      </c>
      <c r="DS111" s="161">
        <f t="shared" si="108"/>
        <v>0</v>
      </c>
      <c r="DT111" s="161">
        <f t="shared" si="109"/>
        <v>0</v>
      </c>
      <c r="DU111" s="161">
        <f t="shared" si="110"/>
        <v>0</v>
      </c>
      <c r="DV111" s="161">
        <f t="shared" si="111"/>
        <v>0</v>
      </c>
      <c r="DW111" s="161">
        <f t="shared" si="112"/>
        <v>0</v>
      </c>
      <c r="DX111" s="161">
        <f t="shared" si="113"/>
        <v>0</v>
      </c>
      <c r="DY111" s="161">
        <f t="shared" si="114"/>
        <v>0</v>
      </c>
      <c r="DZ111" s="161">
        <f t="shared" si="115"/>
        <v>0</v>
      </c>
      <c r="EA111" s="161">
        <f t="shared" si="116"/>
        <v>0</v>
      </c>
      <c r="EB111" s="161">
        <f t="shared" si="117"/>
        <v>0</v>
      </c>
      <c r="EC111" s="161">
        <f t="shared" si="118"/>
        <v>0</v>
      </c>
      <c r="ED111" s="161">
        <f t="shared" si="119"/>
        <v>0</v>
      </c>
      <c r="EE111" s="161">
        <f t="shared" si="120"/>
        <v>0</v>
      </c>
      <c r="EF111" s="161">
        <f t="shared" si="121"/>
        <v>0</v>
      </c>
      <c r="EG111" s="161">
        <f t="shared" si="122"/>
        <v>0</v>
      </c>
      <c r="EH111" s="161">
        <f t="shared" si="123"/>
        <v>0</v>
      </c>
      <c r="EI111" s="161">
        <f t="shared" si="124"/>
        <v>0</v>
      </c>
      <c r="EJ111" s="161">
        <f t="shared" si="125"/>
        <v>0</v>
      </c>
      <c r="EK111" s="147">
        <f t="shared" si="55"/>
        <v>302.08333333333331</v>
      </c>
      <c r="EL111" s="149"/>
      <c r="EN111" s="146"/>
      <c r="EO111" s="146"/>
      <c r="EP111" s="139">
        <f t="shared" si="56"/>
        <v>0</v>
      </c>
      <c r="EQ111" s="139">
        <f t="shared" si="57"/>
        <v>0.15057499999999999</v>
      </c>
      <c r="ER111" s="139">
        <f t="shared" si="58"/>
        <v>4.3755948645679785</v>
      </c>
      <c r="ES111" s="139">
        <f t="shared" si="59"/>
        <v>21.714379900309197</v>
      </c>
      <c r="ET111" s="139">
        <f t="shared" si="60"/>
        <v>9.4186263367381393</v>
      </c>
      <c r="EU111" s="139">
        <f t="shared" si="61"/>
        <v>0</v>
      </c>
      <c r="EV111" s="139">
        <f t="shared" si="62"/>
        <v>0</v>
      </c>
      <c r="EW111" s="139">
        <f t="shared" si="63"/>
        <v>0</v>
      </c>
      <c r="EX111" s="139">
        <f t="shared" si="64"/>
        <v>0</v>
      </c>
      <c r="EY111" s="139">
        <f t="shared" si="65"/>
        <v>0</v>
      </c>
      <c r="EZ111" s="139">
        <f t="shared" si="66"/>
        <v>0</v>
      </c>
      <c r="FA111" s="139">
        <f t="shared" si="67"/>
        <v>0</v>
      </c>
      <c r="FB111" s="139">
        <f t="shared" si="68"/>
        <v>0</v>
      </c>
      <c r="FC111" s="139">
        <f t="shared" si="69"/>
        <v>0</v>
      </c>
      <c r="FD111" s="139">
        <f t="shared" si="70"/>
        <v>0</v>
      </c>
      <c r="FE111" s="139">
        <f t="shared" si="71"/>
        <v>0</v>
      </c>
      <c r="FF111" s="139">
        <f t="shared" si="72"/>
        <v>0</v>
      </c>
      <c r="FG111" s="139">
        <f t="shared" si="73"/>
        <v>0</v>
      </c>
      <c r="FH111" s="139">
        <f t="shared" si="74"/>
        <v>0</v>
      </c>
      <c r="FI111" s="139">
        <f t="shared" si="75"/>
        <v>0</v>
      </c>
      <c r="FJ111" s="139">
        <f t="shared" si="76"/>
        <v>0</v>
      </c>
      <c r="FK111" s="139">
        <f t="shared" si="77"/>
        <v>0</v>
      </c>
      <c r="FL111" s="139">
        <f t="shared" si="78"/>
        <v>0</v>
      </c>
      <c r="FM111" s="139">
        <f t="shared" si="79"/>
        <v>0</v>
      </c>
      <c r="FN111" s="139">
        <f t="shared" si="80"/>
        <v>0</v>
      </c>
      <c r="FO111" s="139">
        <f t="shared" si="81"/>
        <v>0</v>
      </c>
      <c r="FP111" s="139">
        <f t="shared" si="82"/>
        <v>0</v>
      </c>
      <c r="FQ111" s="139">
        <f t="shared" si="83"/>
        <v>0</v>
      </c>
      <c r="FR111" s="139">
        <f t="shared" si="84"/>
        <v>0</v>
      </c>
      <c r="FS111" s="139">
        <f t="shared" si="85"/>
        <v>0</v>
      </c>
      <c r="FT111" s="139">
        <f t="shared" si="86"/>
        <v>0</v>
      </c>
      <c r="FU111" s="148">
        <f t="shared" si="87"/>
        <v>35.659176101615316</v>
      </c>
      <c r="FV111" s="149"/>
      <c r="FY111" s="213">
        <v>106</v>
      </c>
      <c r="FZ111">
        <v>54.210914900555998</v>
      </c>
      <c r="GA111">
        <v>61.742256188533794</v>
      </c>
      <c r="GB111">
        <v>28.249226377869235</v>
      </c>
      <c r="GC111">
        <v>9.7675223105853828</v>
      </c>
      <c r="GD111">
        <v>2.7349632757203679</v>
      </c>
      <c r="GE111">
        <v>5.4994398724333617</v>
      </c>
      <c r="GF111">
        <v>6.6575473442700854</v>
      </c>
      <c r="GG111">
        <v>4.0337076562815746</v>
      </c>
      <c r="GH111">
        <v>2.6162705563194839</v>
      </c>
      <c r="GI111">
        <v>18.09892489958894</v>
      </c>
      <c r="GJ111"/>
      <c r="GK111"/>
      <c r="GL111"/>
      <c r="GM111"/>
      <c r="GN111" s="208"/>
      <c r="GO111" s="208"/>
      <c r="GP111" s="208"/>
      <c r="GQ111" s="208"/>
      <c r="GR111" s="208"/>
      <c r="GS111" s="208"/>
      <c r="GT111" s="208"/>
      <c r="GU111" s="213">
        <v>106</v>
      </c>
    </row>
    <row r="112" spans="1:203" s="7" customFormat="1">
      <c r="A112" s="1"/>
      <c r="B112" s="76">
        <f ca="1">IF(C112="", "", RAND())</f>
        <v>0.36995407917656831</v>
      </c>
      <c r="C112">
        <v>6</v>
      </c>
      <c r="D112">
        <v>39714</v>
      </c>
      <c r="E112">
        <v>0</v>
      </c>
      <c r="F112">
        <v>0</v>
      </c>
      <c r="G112">
        <v>20.833333333333332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226.08035632839801</v>
      </c>
      <c r="AO112">
        <v>22.101841460824527</v>
      </c>
      <c r="AP112">
        <v>20.167966963525622</v>
      </c>
      <c r="AQ112">
        <v>159.49044214669158</v>
      </c>
      <c r="AR112">
        <v>22.667373313097556</v>
      </c>
      <c r="AS112">
        <v>334.97229779226308</v>
      </c>
      <c r="AT112">
        <v>13.594830443007567</v>
      </c>
      <c r="AU112">
        <v>-1.5379835478524981</v>
      </c>
      <c r="AV112"/>
      <c r="AW112"/>
      <c r="AX112" s="146"/>
      <c r="AY112" s="76">
        <f t="shared" ca="1" si="88"/>
        <v>0.46111613833975085</v>
      </c>
      <c r="AZ112">
        <v>5</v>
      </c>
      <c r="BA112" s="129">
        <f t="shared" si="129"/>
        <v>39714</v>
      </c>
      <c r="BB112" s="207">
        <v>0</v>
      </c>
      <c r="BC112" s="207">
        <v>0</v>
      </c>
      <c r="BD112" s="207">
        <v>0</v>
      </c>
      <c r="BE112" s="207">
        <v>0</v>
      </c>
      <c r="BF112" s="207">
        <v>0</v>
      </c>
      <c r="BG112" s="207">
        <v>0</v>
      </c>
      <c r="BH112" s="207">
        <v>0</v>
      </c>
      <c r="BI112" s="207">
        <v>0</v>
      </c>
      <c r="BJ112" s="207">
        <v>0</v>
      </c>
      <c r="BK112" s="207">
        <v>0</v>
      </c>
      <c r="BL112" s="207">
        <v>0</v>
      </c>
      <c r="BM112" s="207">
        <v>0</v>
      </c>
      <c r="BN112" s="207">
        <v>0</v>
      </c>
      <c r="BO112" s="207">
        <v>0</v>
      </c>
      <c r="BP112" s="207">
        <v>0</v>
      </c>
      <c r="BQ112" s="207">
        <v>0</v>
      </c>
      <c r="BR112" s="207">
        <v>0</v>
      </c>
      <c r="BS112" s="207">
        <v>0</v>
      </c>
      <c r="BT112" s="207">
        <v>0</v>
      </c>
      <c r="BU112" s="207">
        <v>0</v>
      </c>
      <c r="BV112" s="207">
        <v>0</v>
      </c>
      <c r="BW112" s="207">
        <v>0</v>
      </c>
      <c r="BX112" s="207">
        <v>0</v>
      </c>
      <c r="BY112" s="207">
        <v>0</v>
      </c>
      <c r="BZ112" s="207">
        <v>0</v>
      </c>
      <c r="CA112" s="207">
        <v>0</v>
      </c>
      <c r="CB112" s="207">
        <v>0</v>
      </c>
      <c r="CC112" s="207">
        <v>0</v>
      </c>
      <c r="CD112" s="207">
        <v>0</v>
      </c>
      <c r="CE112" s="207">
        <v>0</v>
      </c>
      <c r="CF112" s="207">
        <v>0</v>
      </c>
      <c r="CG112" s="147"/>
      <c r="CH112" s="176"/>
      <c r="CJ112" s="146"/>
      <c r="CK112" s="76">
        <f t="shared" ca="1" si="90"/>
        <v>0.35184576394474654</v>
      </c>
      <c r="CL112" s="179">
        <f t="shared" si="91"/>
        <v>5</v>
      </c>
      <c r="CM112" s="180">
        <f t="shared" si="92"/>
        <v>39714</v>
      </c>
      <c r="CN112" s="208">
        <v>0</v>
      </c>
      <c r="CO112" s="208">
        <v>1</v>
      </c>
      <c r="CP112" s="208">
        <v>2</v>
      </c>
      <c r="CQ112" s="208">
        <v>12</v>
      </c>
      <c r="CR112" s="208">
        <v>0</v>
      </c>
      <c r="CS112" s="208">
        <v>0</v>
      </c>
      <c r="CT112" s="208">
        <v>0</v>
      </c>
      <c r="CU112" s="208">
        <v>0</v>
      </c>
      <c r="CW112">
        <v>1</v>
      </c>
      <c r="CX112">
        <f>300/32</f>
        <v>9.375</v>
      </c>
      <c r="CY112" s="158"/>
      <c r="CZ112" s="177">
        <f t="shared" si="93"/>
        <v>9.6000000000000002E-2</v>
      </c>
      <c r="DB112" s="146"/>
      <c r="DC112" s="76">
        <f t="shared" ca="1" si="51"/>
        <v>0.84233430146099675</v>
      </c>
      <c r="DD112">
        <f t="shared" si="94"/>
        <v>5</v>
      </c>
      <c r="DE112" s="129">
        <f t="shared" si="128"/>
        <v>39714</v>
      </c>
      <c r="DF112" s="161">
        <f t="shared" si="95"/>
        <v>0</v>
      </c>
      <c r="DG112" s="161">
        <f t="shared" si="96"/>
        <v>97.65625</v>
      </c>
      <c r="DH112" s="161">
        <f t="shared" si="97"/>
        <v>195.3125</v>
      </c>
      <c r="DI112" s="161">
        <f t="shared" si="98"/>
        <v>1171.875</v>
      </c>
      <c r="DJ112" s="161">
        <f t="shared" si="99"/>
        <v>0</v>
      </c>
      <c r="DK112" s="161">
        <f t="shared" si="100"/>
        <v>0</v>
      </c>
      <c r="DL112" s="161">
        <f t="shared" si="101"/>
        <v>0</v>
      </c>
      <c r="DM112" s="161">
        <f t="shared" si="102"/>
        <v>0</v>
      </c>
      <c r="DN112" s="161">
        <f t="shared" si="103"/>
        <v>0</v>
      </c>
      <c r="DO112" s="161">
        <f t="shared" si="104"/>
        <v>0</v>
      </c>
      <c r="DP112" s="161">
        <f t="shared" si="105"/>
        <v>0</v>
      </c>
      <c r="DQ112" s="161">
        <f t="shared" si="106"/>
        <v>0</v>
      </c>
      <c r="DR112" s="161">
        <f t="shared" si="107"/>
        <v>0</v>
      </c>
      <c r="DS112" s="161">
        <f t="shared" si="108"/>
        <v>0</v>
      </c>
      <c r="DT112" s="161">
        <f t="shared" si="109"/>
        <v>0</v>
      </c>
      <c r="DU112" s="161">
        <f t="shared" si="110"/>
        <v>0</v>
      </c>
      <c r="DV112" s="161">
        <f t="shared" si="111"/>
        <v>0</v>
      </c>
      <c r="DW112" s="161">
        <f t="shared" si="112"/>
        <v>0</v>
      </c>
      <c r="DX112" s="161">
        <f t="shared" si="113"/>
        <v>0</v>
      </c>
      <c r="DY112" s="161">
        <f t="shared" si="114"/>
        <v>0</v>
      </c>
      <c r="DZ112" s="161">
        <f t="shared" si="115"/>
        <v>0</v>
      </c>
      <c r="EA112" s="161">
        <f t="shared" si="116"/>
        <v>0</v>
      </c>
      <c r="EB112" s="161">
        <f t="shared" si="117"/>
        <v>0</v>
      </c>
      <c r="EC112" s="161">
        <f t="shared" si="118"/>
        <v>0</v>
      </c>
      <c r="ED112" s="161">
        <f t="shared" si="119"/>
        <v>0</v>
      </c>
      <c r="EE112" s="161">
        <f t="shared" si="120"/>
        <v>0</v>
      </c>
      <c r="EF112" s="161">
        <f t="shared" si="121"/>
        <v>0</v>
      </c>
      <c r="EG112" s="161">
        <f t="shared" si="122"/>
        <v>0</v>
      </c>
      <c r="EH112" s="161">
        <f t="shared" si="123"/>
        <v>0</v>
      </c>
      <c r="EI112" s="161">
        <f t="shared" si="124"/>
        <v>0</v>
      </c>
      <c r="EJ112" s="161">
        <f t="shared" si="125"/>
        <v>0</v>
      </c>
      <c r="EK112" s="147">
        <f t="shared" si="55"/>
        <v>1464.84375</v>
      </c>
      <c r="EL112" s="149"/>
      <c r="EN112" s="146"/>
      <c r="EO112" s="146"/>
      <c r="EP112" s="139">
        <f t="shared" si="56"/>
        <v>0</v>
      </c>
      <c r="EQ112" s="139">
        <f t="shared" si="57"/>
        <v>0.70582031249999999</v>
      </c>
      <c r="ER112" s="139">
        <f t="shared" si="58"/>
        <v>9.115822634516622</v>
      </c>
      <c r="ES112" s="139">
        <f t="shared" si="59"/>
        <v>162.85784925231897</v>
      </c>
      <c r="ET112" s="139">
        <f t="shared" si="60"/>
        <v>0</v>
      </c>
      <c r="EU112" s="139">
        <f t="shared" si="61"/>
        <v>0</v>
      </c>
      <c r="EV112" s="139">
        <f t="shared" si="62"/>
        <v>0</v>
      </c>
      <c r="EW112" s="139">
        <f t="shared" si="63"/>
        <v>0</v>
      </c>
      <c r="EX112" s="139">
        <f t="shared" si="64"/>
        <v>0</v>
      </c>
      <c r="EY112" s="139">
        <f t="shared" si="65"/>
        <v>0</v>
      </c>
      <c r="EZ112" s="139">
        <f t="shared" si="66"/>
        <v>0</v>
      </c>
      <c r="FA112" s="139">
        <f t="shared" si="67"/>
        <v>0</v>
      </c>
      <c r="FB112" s="139">
        <f t="shared" si="68"/>
        <v>0</v>
      </c>
      <c r="FC112" s="139">
        <f t="shared" si="69"/>
        <v>0</v>
      </c>
      <c r="FD112" s="139">
        <f t="shared" si="70"/>
        <v>0</v>
      </c>
      <c r="FE112" s="139">
        <f t="shared" si="71"/>
        <v>0</v>
      </c>
      <c r="FF112" s="139">
        <f t="shared" si="72"/>
        <v>0</v>
      </c>
      <c r="FG112" s="139">
        <f t="shared" si="73"/>
        <v>0</v>
      </c>
      <c r="FH112" s="139">
        <f t="shared" si="74"/>
        <v>0</v>
      </c>
      <c r="FI112" s="139">
        <f t="shared" si="75"/>
        <v>0</v>
      </c>
      <c r="FJ112" s="139">
        <f t="shared" si="76"/>
        <v>0</v>
      </c>
      <c r="FK112" s="139">
        <f t="shared" si="77"/>
        <v>0</v>
      </c>
      <c r="FL112" s="139">
        <f t="shared" si="78"/>
        <v>0</v>
      </c>
      <c r="FM112" s="139">
        <f t="shared" si="79"/>
        <v>0</v>
      </c>
      <c r="FN112" s="139">
        <f t="shared" si="80"/>
        <v>0</v>
      </c>
      <c r="FO112" s="139">
        <f t="shared" si="81"/>
        <v>0</v>
      </c>
      <c r="FP112" s="139">
        <f t="shared" si="82"/>
        <v>0</v>
      </c>
      <c r="FQ112" s="139">
        <f t="shared" si="83"/>
        <v>0</v>
      </c>
      <c r="FR112" s="139">
        <f t="shared" si="84"/>
        <v>0</v>
      </c>
      <c r="FS112" s="139">
        <f t="shared" si="85"/>
        <v>0</v>
      </c>
      <c r="FT112" s="139">
        <f t="shared" si="86"/>
        <v>0</v>
      </c>
      <c r="FU112" s="148">
        <f t="shared" si="87"/>
        <v>172.67949219933558</v>
      </c>
      <c r="FV112" s="149"/>
      <c r="FY112" s="213">
        <v>107</v>
      </c>
      <c r="FZ112">
        <v>46.597402047585113</v>
      </c>
      <c r="GA112">
        <v>47.143818245822317</v>
      </c>
      <c r="GB112">
        <v>24.794141715988239</v>
      </c>
      <c r="GC112">
        <v>8.0150680362474525</v>
      </c>
      <c r="GD112">
        <v>4.3242875013283406</v>
      </c>
      <c r="GE112">
        <v>7.0234291950079086</v>
      </c>
      <c r="GF112">
        <v>5.0949838117922512</v>
      </c>
      <c r="GG112">
        <v>7.4099032611475044</v>
      </c>
      <c r="GH112">
        <v>11.190688609648738</v>
      </c>
      <c r="GI112">
        <v>18.113854031894146</v>
      </c>
      <c r="GJ112"/>
      <c r="GK112"/>
      <c r="GL112"/>
      <c r="GM112"/>
      <c r="GN112" s="208"/>
      <c r="GO112" s="208"/>
      <c r="GP112" s="208"/>
      <c r="GQ112" s="208"/>
      <c r="GR112" s="208"/>
      <c r="GS112" s="208"/>
      <c r="GT112" s="208"/>
      <c r="GU112" s="213">
        <v>107</v>
      </c>
    </row>
    <row r="113" spans="1:203" s="7" customFormat="1">
      <c r="A113" s="1"/>
      <c r="B113" s="76">
        <f ca="1">IF(C113="", "", RAND())</f>
        <v>0.84741608377721467</v>
      </c>
      <c r="C113">
        <v>3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246.52338168091023</v>
      </c>
      <c r="AO113">
        <v>20.172500660241763</v>
      </c>
      <c r="AP113">
        <v>27.067562722584352</v>
      </c>
      <c r="AQ113">
        <v>140.13129463982591</v>
      </c>
      <c r="AR113">
        <v>21.067659972191908</v>
      </c>
      <c r="AS113">
        <v>290.93762671070908</v>
      </c>
      <c r="AT113">
        <v>12.775419677963242</v>
      </c>
      <c r="AU113">
        <v>23.04213916638248</v>
      </c>
      <c r="AV113"/>
      <c r="AW113"/>
      <c r="AX113" s="146"/>
      <c r="AY113" s="76">
        <f t="shared" ca="1" si="88"/>
        <v>0.18941107668047596</v>
      </c>
      <c r="AZ113">
        <v>6</v>
      </c>
      <c r="BA113" s="129">
        <f t="shared" si="129"/>
        <v>39714</v>
      </c>
      <c r="BB113" s="207">
        <v>0</v>
      </c>
      <c r="BC113" s="207">
        <v>0</v>
      </c>
      <c r="BD113" s="207">
        <v>0</v>
      </c>
      <c r="BE113" s="207">
        <v>0</v>
      </c>
      <c r="BF113" s="207">
        <v>0</v>
      </c>
      <c r="BG113" s="207">
        <v>0</v>
      </c>
      <c r="BH113" s="207">
        <v>0</v>
      </c>
      <c r="BI113" s="207">
        <v>0</v>
      </c>
      <c r="BJ113" s="207">
        <v>0</v>
      </c>
      <c r="BK113" s="207">
        <v>0</v>
      </c>
      <c r="BL113" s="207">
        <v>0</v>
      </c>
      <c r="BM113" s="207">
        <v>0</v>
      </c>
      <c r="BN113" s="207">
        <v>0</v>
      </c>
      <c r="BO113" s="207">
        <v>0</v>
      </c>
      <c r="BP113" s="207">
        <v>0</v>
      </c>
      <c r="BQ113" s="207">
        <v>0</v>
      </c>
      <c r="BR113" s="207">
        <v>0</v>
      </c>
      <c r="BS113" s="207">
        <v>0</v>
      </c>
      <c r="BT113" s="207">
        <v>0</v>
      </c>
      <c r="BU113" s="207">
        <v>0</v>
      </c>
      <c r="BV113" s="207">
        <v>0</v>
      </c>
      <c r="BW113" s="207">
        <v>0</v>
      </c>
      <c r="BX113" s="207">
        <v>0</v>
      </c>
      <c r="BY113" s="207">
        <v>0</v>
      </c>
      <c r="BZ113" s="207">
        <v>0</v>
      </c>
      <c r="CA113" s="207">
        <v>0</v>
      </c>
      <c r="CB113" s="207">
        <v>0</v>
      </c>
      <c r="CC113" s="207">
        <v>0</v>
      </c>
      <c r="CD113" s="207">
        <v>0</v>
      </c>
      <c r="CE113" s="207">
        <v>0</v>
      </c>
      <c r="CF113" s="207">
        <v>0</v>
      </c>
      <c r="CG113" s="147"/>
      <c r="CH113" s="176"/>
      <c r="CJ113" s="146"/>
      <c r="CK113" s="76">
        <f t="shared" ca="1" si="90"/>
        <v>4.6331256214088512E-2</v>
      </c>
      <c r="CL113" s="179">
        <f t="shared" si="91"/>
        <v>6</v>
      </c>
      <c r="CM113" s="180">
        <f t="shared" si="92"/>
        <v>39714</v>
      </c>
      <c r="CN113" s="208">
        <v>0</v>
      </c>
      <c r="CO113" s="208">
        <v>0</v>
      </c>
      <c r="CP113" s="208">
        <v>2</v>
      </c>
      <c r="CQ113" s="208">
        <v>0</v>
      </c>
      <c r="CR113" s="208">
        <v>0</v>
      </c>
      <c r="CS113" s="208">
        <v>0</v>
      </c>
      <c r="CT113" s="208">
        <v>0</v>
      </c>
      <c r="CU113" s="208">
        <v>0</v>
      </c>
      <c r="CV113" s="160"/>
      <c r="CW113">
        <v>1</v>
      </c>
      <c r="CX113">
        <v>1</v>
      </c>
      <c r="CY113" s="164"/>
      <c r="CZ113" s="177">
        <f t="shared" si="93"/>
        <v>9.6000000000000002E-2</v>
      </c>
      <c r="DB113" s="146"/>
      <c r="DC113" s="76">
        <f t="shared" ca="1" si="51"/>
        <v>0.44961664850679917</v>
      </c>
      <c r="DD113">
        <f t="shared" si="94"/>
        <v>6</v>
      </c>
      <c r="DE113" s="129">
        <f t="shared" si="128"/>
        <v>39714</v>
      </c>
      <c r="DF113" s="161">
        <f t="shared" si="95"/>
        <v>0</v>
      </c>
      <c r="DG113" s="161">
        <f t="shared" si="96"/>
        <v>0</v>
      </c>
      <c r="DH113" s="161">
        <f t="shared" si="97"/>
        <v>20.833333333333332</v>
      </c>
      <c r="DI113" s="161">
        <f t="shared" si="98"/>
        <v>0</v>
      </c>
      <c r="DJ113" s="161">
        <f t="shared" si="99"/>
        <v>0</v>
      </c>
      <c r="DK113" s="161">
        <f t="shared" si="100"/>
        <v>0</v>
      </c>
      <c r="DL113" s="161">
        <f t="shared" si="101"/>
        <v>0</v>
      </c>
      <c r="DM113" s="161">
        <f t="shared" si="102"/>
        <v>0</v>
      </c>
      <c r="DN113" s="161">
        <f t="shared" si="103"/>
        <v>0</v>
      </c>
      <c r="DO113" s="161">
        <f t="shared" si="104"/>
        <v>0</v>
      </c>
      <c r="DP113" s="161">
        <f t="shared" si="105"/>
        <v>0</v>
      </c>
      <c r="DQ113" s="161">
        <f t="shared" si="106"/>
        <v>0</v>
      </c>
      <c r="DR113" s="161">
        <f t="shared" si="107"/>
        <v>0</v>
      </c>
      <c r="DS113" s="161">
        <f t="shared" si="108"/>
        <v>0</v>
      </c>
      <c r="DT113" s="161">
        <f t="shared" si="109"/>
        <v>0</v>
      </c>
      <c r="DU113" s="161">
        <f t="shared" si="110"/>
        <v>0</v>
      </c>
      <c r="DV113" s="161">
        <f t="shared" si="111"/>
        <v>0</v>
      </c>
      <c r="DW113" s="161">
        <f t="shared" si="112"/>
        <v>0</v>
      </c>
      <c r="DX113" s="161">
        <f t="shared" si="113"/>
        <v>0</v>
      </c>
      <c r="DY113" s="161">
        <f t="shared" si="114"/>
        <v>0</v>
      </c>
      <c r="DZ113" s="161">
        <f t="shared" si="115"/>
        <v>0</v>
      </c>
      <c r="EA113" s="161">
        <f t="shared" si="116"/>
        <v>0</v>
      </c>
      <c r="EB113" s="161">
        <f t="shared" si="117"/>
        <v>0</v>
      </c>
      <c r="EC113" s="161">
        <f t="shared" si="118"/>
        <v>0</v>
      </c>
      <c r="ED113" s="161">
        <f t="shared" si="119"/>
        <v>0</v>
      </c>
      <c r="EE113" s="161">
        <f t="shared" si="120"/>
        <v>0</v>
      </c>
      <c r="EF113" s="161">
        <f t="shared" si="121"/>
        <v>0</v>
      </c>
      <c r="EG113" s="161">
        <f t="shared" si="122"/>
        <v>0</v>
      </c>
      <c r="EH113" s="161">
        <f t="shared" si="123"/>
        <v>0</v>
      </c>
      <c r="EI113" s="161">
        <f t="shared" si="124"/>
        <v>0</v>
      </c>
      <c r="EJ113" s="161">
        <f t="shared" si="125"/>
        <v>0</v>
      </c>
      <c r="EK113" s="147">
        <f t="shared" si="55"/>
        <v>20.833333333333332</v>
      </c>
      <c r="EL113" s="149"/>
      <c r="EN113" s="146"/>
      <c r="EO113" s="146"/>
      <c r="EP113" s="139">
        <f t="shared" si="56"/>
        <v>0</v>
      </c>
      <c r="EQ113" s="139">
        <f t="shared" si="57"/>
        <v>0</v>
      </c>
      <c r="ER113" s="139">
        <f t="shared" si="58"/>
        <v>0.9723544143484395</v>
      </c>
      <c r="ES113" s="139">
        <f t="shared" si="59"/>
        <v>0</v>
      </c>
      <c r="ET113" s="139">
        <f t="shared" si="60"/>
        <v>0</v>
      </c>
      <c r="EU113" s="139">
        <f t="shared" si="61"/>
        <v>0</v>
      </c>
      <c r="EV113" s="139">
        <f t="shared" si="62"/>
        <v>0</v>
      </c>
      <c r="EW113" s="139">
        <f t="shared" si="63"/>
        <v>0</v>
      </c>
      <c r="EX113" s="139">
        <f t="shared" si="64"/>
        <v>0</v>
      </c>
      <c r="EY113" s="139">
        <f t="shared" si="65"/>
        <v>0</v>
      </c>
      <c r="EZ113" s="139">
        <f t="shared" si="66"/>
        <v>0</v>
      </c>
      <c r="FA113" s="139">
        <f t="shared" si="67"/>
        <v>0</v>
      </c>
      <c r="FB113" s="139">
        <f t="shared" si="68"/>
        <v>0</v>
      </c>
      <c r="FC113" s="139">
        <f t="shared" si="69"/>
        <v>0</v>
      </c>
      <c r="FD113" s="139">
        <f t="shared" si="70"/>
        <v>0</v>
      </c>
      <c r="FE113" s="139">
        <f t="shared" si="71"/>
        <v>0</v>
      </c>
      <c r="FF113" s="139">
        <f t="shared" si="72"/>
        <v>0</v>
      </c>
      <c r="FG113" s="139">
        <f t="shared" si="73"/>
        <v>0</v>
      </c>
      <c r="FH113" s="139">
        <f t="shared" si="74"/>
        <v>0</v>
      </c>
      <c r="FI113" s="139">
        <f t="shared" si="75"/>
        <v>0</v>
      </c>
      <c r="FJ113" s="139">
        <f t="shared" si="76"/>
        <v>0</v>
      </c>
      <c r="FK113" s="139">
        <f t="shared" si="77"/>
        <v>0</v>
      </c>
      <c r="FL113" s="139">
        <f t="shared" si="78"/>
        <v>0</v>
      </c>
      <c r="FM113" s="139">
        <f t="shared" si="79"/>
        <v>0</v>
      </c>
      <c r="FN113" s="139">
        <f t="shared" si="80"/>
        <v>0</v>
      </c>
      <c r="FO113" s="139">
        <f t="shared" si="81"/>
        <v>0</v>
      </c>
      <c r="FP113" s="139">
        <f t="shared" si="82"/>
        <v>0</v>
      </c>
      <c r="FQ113" s="139">
        <f t="shared" si="83"/>
        <v>0</v>
      </c>
      <c r="FR113" s="139">
        <f t="shared" si="84"/>
        <v>0</v>
      </c>
      <c r="FS113" s="139">
        <f t="shared" si="85"/>
        <v>0</v>
      </c>
      <c r="FT113" s="139">
        <f t="shared" si="86"/>
        <v>0</v>
      </c>
      <c r="FU113" s="148">
        <f t="shared" si="87"/>
        <v>0.9723544143484395</v>
      </c>
      <c r="FV113" s="149"/>
      <c r="FY113" s="213">
        <v>108</v>
      </c>
      <c r="FZ113">
        <v>31.485841350474285</v>
      </c>
      <c r="GA113">
        <v>25.549015749404461</v>
      </c>
      <c r="GB113">
        <v>29.08525472670944</v>
      </c>
      <c r="GC113">
        <v>14.151886897691007</v>
      </c>
      <c r="GD113">
        <v>3.7860766087551916</v>
      </c>
      <c r="GE113">
        <v>7.6508018658752954</v>
      </c>
      <c r="GF113">
        <v>3.6618496531812559</v>
      </c>
      <c r="GG113">
        <v>3.1127051636596774</v>
      </c>
      <c r="GH113">
        <v>8.0445268822582623</v>
      </c>
      <c r="GI113">
        <v>15.879591357934544</v>
      </c>
      <c r="GJ113"/>
      <c r="GK113"/>
      <c r="GL113"/>
      <c r="GM113"/>
      <c r="GN113" s="208"/>
      <c r="GO113" s="208"/>
      <c r="GP113" s="208"/>
      <c r="GQ113" s="208"/>
      <c r="GR113" s="208"/>
      <c r="GS113" s="208"/>
      <c r="GT113" s="208"/>
      <c r="GU113" s="213">
        <v>108</v>
      </c>
    </row>
    <row r="114" spans="1:203" s="7" customFormat="1">
      <c r="A114" s="1"/>
      <c r="B114" s="76">
        <f ca="1">IF(C114="", "", RAND())</f>
        <v>0.31839072199001217</v>
      </c>
      <c r="C114">
        <v>8</v>
      </c>
      <c r="D114">
        <v>39714</v>
      </c>
      <c r="E114">
        <v>0</v>
      </c>
      <c r="F114">
        <v>0</v>
      </c>
      <c r="G114">
        <v>20.833333333333332</v>
      </c>
      <c r="H114">
        <v>41.666666666666664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319.40557818771975</v>
      </c>
      <c r="AO114">
        <v>26.403566175950079</v>
      </c>
      <c r="AP114">
        <v>25.557650934370173</v>
      </c>
      <c r="AQ114">
        <v>184.83528142501353</v>
      </c>
      <c r="AR114">
        <v>26.813044744517484</v>
      </c>
      <c r="AS114">
        <v>379.91282907658552</v>
      </c>
      <c r="AT114">
        <v>16.985298977681332</v>
      </c>
      <c r="AU114">
        <v>-33.083634430043382</v>
      </c>
      <c r="AV114"/>
      <c r="AW114"/>
      <c r="AX114" s="146"/>
      <c r="AY114" s="76">
        <f t="shared" ca="1" si="88"/>
        <v>0.89727153930937065</v>
      </c>
      <c r="AZ114">
        <v>7</v>
      </c>
      <c r="BA114" s="129">
        <f t="shared" si="129"/>
        <v>39714</v>
      </c>
      <c r="BB114" s="207">
        <v>0</v>
      </c>
      <c r="BC114" s="207">
        <v>0</v>
      </c>
      <c r="BD114" s="207">
        <v>0</v>
      </c>
      <c r="BE114" s="207">
        <v>0</v>
      </c>
      <c r="BF114" s="207">
        <v>0</v>
      </c>
      <c r="BG114" s="207">
        <v>0</v>
      </c>
      <c r="BH114" s="207">
        <v>0</v>
      </c>
      <c r="BI114" s="207">
        <v>0</v>
      </c>
      <c r="BJ114" s="207">
        <v>0</v>
      </c>
      <c r="BK114" s="207">
        <v>0</v>
      </c>
      <c r="BL114" s="207">
        <v>0</v>
      </c>
      <c r="BM114" s="207">
        <v>0</v>
      </c>
      <c r="BN114" s="207">
        <v>0</v>
      </c>
      <c r="BO114" s="207">
        <v>0</v>
      </c>
      <c r="BP114" s="207">
        <v>0</v>
      </c>
      <c r="BQ114" s="207">
        <v>0</v>
      </c>
      <c r="BR114" s="207">
        <v>0</v>
      </c>
      <c r="BS114" s="207">
        <v>0</v>
      </c>
      <c r="BT114" s="207">
        <v>0</v>
      </c>
      <c r="BU114" s="207">
        <v>0</v>
      </c>
      <c r="BV114" s="207">
        <v>0</v>
      </c>
      <c r="BW114" s="207">
        <v>0</v>
      </c>
      <c r="BX114" s="207">
        <v>0</v>
      </c>
      <c r="BY114" s="207">
        <v>0</v>
      </c>
      <c r="BZ114" s="207">
        <v>0</v>
      </c>
      <c r="CA114" s="207">
        <v>0</v>
      </c>
      <c r="CB114" s="207">
        <v>0</v>
      </c>
      <c r="CC114" s="207">
        <v>0</v>
      </c>
      <c r="CD114" s="207">
        <v>0</v>
      </c>
      <c r="CE114" s="207">
        <v>0</v>
      </c>
      <c r="CF114" s="207">
        <v>0</v>
      </c>
      <c r="CG114" s="147"/>
      <c r="CH114" s="176"/>
      <c r="CJ114" s="146"/>
      <c r="CK114" s="76">
        <f t="shared" ca="1" si="90"/>
        <v>0.28417265901868394</v>
      </c>
      <c r="CL114" s="179">
        <f t="shared" si="91"/>
        <v>7</v>
      </c>
      <c r="CM114" s="180">
        <f t="shared" si="92"/>
        <v>39714</v>
      </c>
      <c r="CN114" s="208">
        <v>0</v>
      </c>
      <c r="CO114" s="208">
        <v>0</v>
      </c>
      <c r="CP114" s="208">
        <v>0</v>
      </c>
      <c r="CQ114" s="208">
        <v>0</v>
      </c>
      <c r="CR114" s="208">
        <v>0</v>
      </c>
      <c r="CS114" s="208">
        <v>0</v>
      </c>
      <c r="CT114" s="208">
        <v>0</v>
      </c>
      <c r="CU114" s="208">
        <v>0</v>
      </c>
      <c r="CV114" s="160"/>
      <c r="CW114">
        <v>1</v>
      </c>
      <c r="CX114">
        <v>1</v>
      </c>
      <c r="CY114" s="164"/>
      <c r="CZ114" s="177">
        <f t="shared" si="93"/>
        <v>9.6000000000000002E-2</v>
      </c>
      <c r="DB114" s="146"/>
      <c r="DC114" s="76">
        <f t="shared" ca="1" si="51"/>
        <v>0.72924107228650481</v>
      </c>
      <c r="DD114">
        <f t="shared" si="94"/>
        <v>7</v>
      </c>
      <c r="DE114" s="129">
        <f t="shared" si="128"/>
        <v>39714</v>
      </c>
      <c r="DF114" s="161">
        <f t="shared" si="95"/>
        <v>0</v>
      </c>
      <c r="DG114" s="161">
        <f t="shared" si="96"/>
        <v>0</v>
      </c>
      <c r="DH114" s="161">
        <f t="shared" si="97"/>
        <v>0</v>
      </c>
      <c r="DI114" s="161">
        <f t="shared" si="98"/>
        <v>0</v>
      </c>
      <c r="DJ114" s="161">
        <f t="shared" si="99"/>
        <v>0</v>
      </c>
      <c r="DK114" s="161">
        <f t="shared" si="100"/>
        <v>0</v>
      </c>
      <c r="DL114" s="161">
        <f t="shared" si="101"/>
        <v>0</v>
      </c>
      <c r="DM114" s="161">
        <f t="shared" si="102"/>
        <v>0</v>
      </c>
      <c r="DN114" s="161">
        <f t="shared" si="103"/>
        <v>0</v>
      </c>
      <c r="DO114" s="161">
        <f t="shared" si="104"/>
        <v>0</v>
      </c>
      <c r="DP114" s="161">
        <f t="shared" si="105"/>
        <v>0</v>
      </c>
      <c r="DQ114" s="161">
        <f t="shared" si="106"/>
        <v>0</v>
      </c>
      <c r="DR114" s="161">
        <f t="shared" si="107"/>
        <v>0</v>
      </c>
      <c r="DS114" s="161">
        <f t="shared" si="108"/>
        <v>0</v>
      </c>
      <c r="DT114" s="161">
        <f t="shared" si="109"/>
        <v>0</v>
      </c>
      <c r="DU114" s="161">
        <f t="shared" si="110"/>
        <v>0</v>
      </c>
      <c r="DV114" s="161">
        <f t="shared" si="111"/>
        <v>0</v>
      </c>
      <c r="DW114" s="161">
        <f t="shared" si="112"/>
        <v>0</v>
      </c>
      <c r="DX114" s="161">
        <f t="shared" si="113"/>
        <v>0</v>
      </c>
      <c r="DY114" s="161">
        <f t="shared" si="114"/>
        <v>0</v>
      </c>
      <c r="DZ114" s="161">
        <f t="shared" si="115"/>
        <v>0</v>
      </c>
      <c r="EA114" s="161">
        <f t="shared" si="116"/>
        <v>0</v>
      </c>
      <c r="EB114" s="161">
        <f t="shared" si="117"/>
        <v>0</v>
      </c>
      <c r="EC114" s="161">
        <f t="shared" si="118"/>
        <v>0</v>
      </c>
      <c r="ED114" s="161">
        <f t="shared" si="119"/>
        <v>0</v>
      </c>
      <c r="EE114" s="161">
        <f t="shared" si="120"/>
        <v>0</v>
      </c>
      <c r="EF114" s="161">
        <f t="shared" si="121"/>
        <v>0</v>
      </c>
      <c r="EG114" s="161">
        <f t="shared" si="122"/>
        <v>0</v>
      </c>
      <c r="EH114" s="161">
        <f t="shared" si="123"/>
        <v>0</v>
      </c>
      <c r="EI114" s="161">
        <f t="shared" si="124"/>
        <v>0</v>
      </c>
      <c r="EJ114" s="161">
        <f t="shared" si="125"/>
        <v>0</v>
      </c>
      <c r="EK114" s="147">
        <f t="shared" si="55"/>
        <v>0</v>
      </c>
      <c r="EL114" s="149"/>
      <c r="EN114" s="146"/>
      <c r="EO114" s="146"/>
      <c r="EP114" s="139">
        <f t="shared" si="56"/>
        <v>0</v>
      </c>
      <c r="EQ114" s="139">
        <f t="shared" si="57"/>
        <v>0</v>
      </c>
      <c r="ER114" s="139">
        <f t="shared" si="58"/>
        <v>0</v>
      </c>
      <c r="ES114" s="139">
        <f t="shared" si="59"/>
        <v>0</v>
      </c>
      <c r="ET114" s="139">
        <f t="shared" si="60"/>
        <v>0</v>
      </c>
      <c r="EU114" s="139">
        <f t="shared" si="61"/>
        <v>0</v>
      </c>
      <c r="EV114" s="139">
        <f t="shared" si="62"/>
        <v>0</v>
      </c>
      <c r="EW114" s="139">
        <f t="shared" si="63"/>
        <v>0</v>
      </c>
      <c r="EX114" s="139">
        <f t="shared" si="64"/>
        <v>0</v>
      </c>
      <c r="EY114" s="139">
        <f t="shared" si="65"/>
        <v>0</v>
      </c>
      <c r="EZ114" s="139">
        <f t="shared" si="66"/>
        <v>0</v>
      </c>
      <c r="FA114" s="139">
        <f t="shared" si="67"/>
        <v>0</v>
      </c>
      <c r="FB114" s="139">
        <f t="shared" si="68"/>
        <v>0</v>
      </c>
      <c r="FC114" s="139">
        <f t="shared" si="69"/>
        <v>0</v>
      </c>
      <c r="FD114" s="139">
        <f t="shared" si="70"/>
        <v>0</v>
      </c>
      <c r="FE114" s="139">
        <f t="shared" si="71"/>
        <v>0</v>
      </c>
      <c r="FF114" s="139">
        <f t="shared" si="72"/>
        <v>0</v>
      </c>
      <c r="FG114" s="139">
        <f t="shared" si="73"/>
        <v>0</v>
      </c>
      <c r="FH114" s="139">
        <f t="shared" si="74"/>
        <v>0</v>
      </c>
      <c r="FI114" s="139">
        <f t="shared" si="75"/>
        <v>0</v>
      </c>
      <c r="FJ114" s="139">
        <f t="shared" si="76"/>
        <v>0</v>
      </c>
      <c r="FK114" s="139">
        <f t="shared" si="77"/>
        <v>0</v>
      </c>
      <c r="FL114" s="139">
        <f t="shared" si="78"/>
        <v>0</v>
      </c>
      <c r="FM114" s="139">
        <f t="shared" si="79"/>
        <v>0</v>
      </c>
      <c r="FN114" s="139">
        <f t="shared" si="80"/>
        <v>0</v>
      </c>
      <c r="FO114" s="139">
        <f t="shared" si="81"/>
        <v>0</v>
      </c>
      <c r="FP114" s="139">
        <f t="shared" si="82"/>
        <v>0</v>
      </c>
      <c r="FQ114" s="139">
        <f t="shared" si="83"/>
        <v>0</v>
      </c>
      <c r="FR114" s="139">
        <f t="shared" si="84"/>
        <v>0</v>
      </c>
      <c r="FS114" s="139">
        <f t="shared" si="85"/>
        <v>0</v>
      </c>
      <c r="FT114" s="139">
        <f t="shared" si="86"/>
        <v>0</v>
      </c>
      <c r="FU114" s="148">
        <f t="shared" si="87"/>
        <v>0</v>
      </c>
      <c r="FV114" s="149"/>
      <c r="FY114" s="213">
        <v>109</v>
      </c>
      <c r="FZ114">
        <v>39.292273517182451</v>
      </c>
      <c r="GA114">
        <v>19.431628817090711</v>
      </c>
      <c r="GB114">
        <v>21.933123015942694</v>
      </c>
      <c r="GC114">
        <v>11.900987541307856</v>
      </c>
      <c r="GD114">
        <v>3.4940014256491083</v>
      </c>
      <c r="GE114">
        <v>2.6479177855577669</v>
      </c>
      <c r="GF114">
        <v>3.8267553440117208</v>
      </c>
      <c r="GG114">
        <v>5.4082452945345754</v>
      </c>
      <c r="GH114">
        <v>12.441017986890717</v>
      </c>
      <c r="GI114">
        <v>15.839525239117146</v>
      </c>
      <c r="GJ114"/>
      <c r="GK114"/>
      <c r="GL114"/>
      <c r="GM114"/>
      <c r="GN114" s="208"/>
      <c r="GO114" s="208"/>
      <c r="GP114" s="208"/>
      <c r="GQ114" s="208"/>
      <c r="GR114" s="208"/>
      <c r="GS114" s="208"/>
      <c r="GT114" s="208"/>
      <c r="GU114" s="213">
        <v>109</v>
      </c>
    </row>
    <row r="115" spans="1:203" s="7" customFormat="1">
      <c r="A115" s="1"/>
      <c r="B115" s="76">
        <f ca="1">IF(C115="", "", RAND())</f>
        <v>0.88129190543313873</v>
      </c>
      <c r="C115">
        <v>4</v>
      </c>
      <c r="D115">
        <v>39714</v>
      </c>
      <c r="E115">
        <v>0</v>
      </c>
      <c r="F115">
        <v>20.833333333333332</v>
      </c>
      <c r="G115">
        <v>93.75</v>
      </c>
      <c r="H115">
        <v>156.25</v>
      </c>
      <c r="I115">
        <v>31.25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219.02277188601843</v>
      </c>
      <c r="AO115">
        <v>19.637030600041413</v>
      </c>
      <c r="AP115">
        <v>35.687487186898295</v>
      </c>
      <c r="AQ115">
        <v>144.06719476150872</v>
      </c>
      <c r="AR115">
        <v>20.367862221508837</v>
      </c>
      <c r="AS115">
        <v>265.93706069957608</v>
      </c>
      <c r="AT115">
        <v>11.892649548005345</v>
      </c>
      <c r="AU115">
        <v>2.6319448877673963</v>
      </c>
      <c r="AV115"/>
      <c r="AW115"/>
      <c r="AX115" s="146"/>
      <c r="AY115" s="76">
        <f t="shared" ca="1" si="88"/>
        <v>0.82470787011728608</v>
      </c>
      <c r="AZ115">
        <v>8</v>
      </c>
      <c r="BA115" s="129">
        <f t="shared" si="129"/>
        <v>39714</v>
      </c>
      <c r="BB115" s="207">
        <v>0</v>
      </c>
      <c r="BC115" s="207">
        <v>0</v>
      </c>
      <c r="BD115" s="207">
        <v>2</v>
      </c>
      <c r="BE115" s="207">
        <v>4</v>
      </c>
      <c r="BF115" s="207">
        <v>0</v>
      </c>
      <c r="BG115" s="207">
        <v>0</v>
      </c>
      <c r="BH115" s="207">
        <v>0</v>
      </c>
      <c r="BI115" s="207">
        <v>0</v>
      </c>
      <c r="BJ115" s="207">
        <v>0</v>
      </c>
      <c r="BK115" s="207">
        <v>0</v>
      </c>
      <c r="BL115" s="207">
        <v>0</v>
      </c>
      <c r="BM115" s="207">
        <v>0</v>
      </c>
      <c r="BN115" s="207">
        <v>0</v>
      </c>
      <c r="BO115" s="207">
        <v>0</v>
      </c>
      <c r="BP115" s="207">
        <v>0</v>
      </c>
      <c r="BQ115" s="207">
        <v>0</v>
      </c>
      <c r="BR115" s="207">
        <v>0</v>
      </c>
      <c r="BS115" s="207">
        <v>0</v>
      </c>
      <c r="BT115" s="207">
        <v>0</v>
      </c>
      <c r="BU115" s="207">
        <v>0</v>
      </c>
      <c r="BV115" s="207">
        <v>0</v>
      </c>
      <c r="BW115" s="207">
        <v>0</v>
      </c>
      <c r="BX115" s="207">
        <v>0</v>
      </c>
      <c r="BY115" s="207">
        <v>0</v>
      </c>
      <c r="BZ115" s="207">
        <v>0</v>
      </c>
      <c r="CA115" s="207">
        <v>0</v>
      </c>
      <c r="CB115" s="207">
        <v>0</v>
      </c>
      <c r="CC115" s="207">
        <v>0</v>
      </c>
      <c r="CD115" s="207">
        <v>0</v>
      </c>
      <c r="CE115" s="207">
        <v>0</v>
      </c>
      <c r="CF115" s="207">
        <v>0</v>
      </c>
      <c r="CG115" s="147"/>
      <c r="CH115" s="176"/>
      <c r="CJ115" s="146"/>
      <c r="CK115" s="76">
        <f t="shared" ca="1" si="90"/>
        <v>0.48481512308316477</v>
      </c>
      <c r="CL115" s="179">
        <f t="shared" si="91"/>
        <v>8</v>
      </c>
      <c r="CM115" s="180">
        <f t="shared" si="92"/>
        <v>39714</v>
      </c>
      <c r="CN115" s="208">
        <v>0</v>
      </c>
      <c r="CO115" s="208">
        <v>0</v>
      </c>
      <c r="CP115" s="208">
        <v>0</v>
      </c>
      <c r="CQ115" s="208">
        <v>0</v>
      </c>
      <c r="CR115" s="208">
        <v>0</v>
      </c>
      <c r="CS115" s="208">
        <v>0</v>
      </c>
      <c r="CT115" s="208">
        <v>0</v>
      </c>
      <c r="CU115" s="208">
        <v>0</v>
      </c>
      <c r="CV115" s="160"/>
      <c r="CW115">
        <v>1</v>
      </c>
      <c r="CX115">
        <v>1</v>
      </c>
      <c r="CY115" s="164"/>
      <c r="CZ115" s="177">
        <f t="shared" si="93"/>
        <v>9.6000000000000002E-2</v>
      </c>
      <c r="DB115" s="146"/>
      <c r="DC115" s="76">
        <f t="shared" ca="1" si="51"/>
        <v>0.75337602026731432</v>
      </c>
      <c r="DD115">
        <f t="shared" si="94"/>
        <v>8</v>
      </c>
      <c r="DE115" s="129">
        <f t="shared" si="128"/>
        <v>39714</v>
      </c>
      <c r="DF115" s="161">
        <f t="shared" si="95"/>
        <v>0</v>
      </c>
      <c r="DG115" s="161">
        <f t="shared" si="96"/>
        <v>0</v>
      </c>
      <c r="DH115" s="161">
        <f t="shared" si="97"/>
        <v>20.833333333333332</v>
      </c>
      <c r="DI115" s="161">
        <f t="shared" si="98"/>
        <v>41.666666666666664</v>
      </c>
      <c r="DJ115" s="161">
        <f t="shared" si="99"/>
        <v>0</v>
      </c>
      <c r="DK115" s="161">
        <f t="shared" si="100"/>
        <v>0</v>
      </c>
      <c r="DL115" s="161">
        <f t="shared" si="101"/>
        <v>0</v>
      </c>
      <c r="DM115" s="161">
        <f t="shared" si="102"/>
        <v>0</v>
      </c>
      <c r="DN115" s="161">
        <f t="shared" si="103"/>
        <v>0</v>
      </c>
      <c r="DO115" s="161">
        <f t="shared" si="104"/>
        <v>0</v>
      </c>
      <c r="DP115" s="161">
        <f t="shared" si="105"/>
        <v>0</v>
      </c>
      <c r="DQ115" s="161">
        <f t="shared" si="106"/>
        <v>0</v>
      </c>
      <c r="DR115" s="161">
        <f t="shared" si="107"/>
        <v>0</v>
      </c>
      <c r="DS115" s="161">
        <f t="shared" si="108"/>
        <v>0</v>
      </c>
      <c r="DT115" s="161">
        <f t="shared" si="109"/>
        <v>0</v>
      </c>
      <c r="DU115" s="161">
        <f t="shared" si="110"/>
        <v>0</v>
      </c>
      <c r="DV115" s="161">
        <f t="shared" si="111"/>
        <v>0</v>
      </c>
      <c r="DW115" s="161">
        <f t="shared" si="112"/>
        <v>0</v>
      </c>
      <c r="DX115" s="161">
        <f t="shared" si="113"/>
        <v>0</v>
      </c>
      <c r="DY115" s="161">
        <f t="shared" si="114"/>
        <v>0</v>
      </c>
      <c r="DZ115" s="161">
        <f t="shared" si="115"/>
        <v>0</v>
      </c>
      <c r="EA115" s="161">
        <f t="shared" si="116"/>
        <v>0</v>
      </c>
      <c r="EB115" s="161">
        <f t="shared" si="117"/>
        <v>0</v>
      </c>
      <c r="EC115" s="161">
        <f t="shared" si="118"/>
        <v>0</v>
      </c>
      <c r="ED115" s="161">
        <f t="shared" si="119"/>
        <v>0</v>
      </c>
      <c r="EE115" s="161">
        <f t="shared" si="120"/>
        <v>0</v>
      </c>
      <c r="EF115" s="161">
        <f t="shared" si="121"/>
        <v>0</v>
      </c>
      <c r="EG115" s="161">
        <f t="shared" si="122"/>
        <v>0</v>
      </c>
      <c r="EH115" s="161">
        <f t="shared" si="123"/>
        <v>0</v>
      </c>
      <c r="EI115" s="161">
        <f t="shared" si="124"/>
        <v>0</v>
      </c>
      <c r="EJ115" s="161">
        <f t="shared" si="125"/>
        <v>0</v>
      </c>
      <c r="EK115" s="147">
        <f t="shared" si="55"/>
        <v>62.5</v>
      </c>
      <c r="EL115" s="149"/>
      <c r="EN115" s="146"/>
      <c r="EO115" s="146"/>
      <c r="EP115" s="139">
        <f t="shared" si="56"/>
        <v>0</v>
      </c>
      <c r="EQ115" s="139">
        <f t="shared" si="57"/>
        <v>0</v>
      </c>
      <c r="ER115" s="139">
        <f t="shared" si="58"/>
        <v>0.9723544143484395</v>
      </c>
      <c r="ES115" s="139">
        <f t="shared" si="59"/>
        <v>5.7905013067491184</v>
      </c>
      <c r="ET115" s="139">
        <f t="shared" si="60"/>
        <v>0</v>
      </c>
      <c r="EU115" s="139">
        <f t="shared" si="61"/>
        <v>0</v>
      </c>
      <c r="EV115" s="139">
        <f t="shared" si="62"/>
        <v>0</v>
      </c>
      <c r="EW115" s="139">
        <f t="shared" si="63"/>
        <v>0</v>
      </c>
      <c r="EX115" s="139">
        <f t="shared" si="64"/>
        <v>0</v>
      </c>
      <c r="EY115" s="139">
        <f t="shared" si="65"/>
        <v>0</v>
      </c>
      <c r="EZ115" s="139">
        <f t="shared" si="66"/>
        <v>0</v>
      </c>
      <c r="FA115" s="139">
        <f t="shared" si="67"/>
        <v>0</v>
      </c>
      <c r="FB115" s="139">
        <f t="shared" si="68"/>
        <v>0</v>
      </c>
      <c r="FC115" s="139">
        <f t="shared" si="69"/>
        <v>0</v>
      </c>
      <c r="FD115" s="139">
        <f t="shared" si="70"/>
        <v>0</v>
      </c>
      <c r="FE115" s="139">
        <f t="shared" si="71"/>
        <v>0</v>
      </c>
      <c r="FF115" s="139">
        <f t="shared" si="72"/>
        <v>0</v>
      </c>
      <c r="FG115" s="139">
        <f t="shared" si="73"/>
        <v>0</v>
      </c>
      <c r="FH115" s="139">
        <f t="shared" si="74"/>
        <v>0</v>
      </c>
      <c r="FI115" s="139">
        <f t="shared" si="75"/>
        <v>0</v>
      </c>
      <c r="FJ115" s="139">
        <f t="shared" si="76"/>
        <v>0</v>
      </c>
      <c r="FK115" s="139">
        <f t="shared" si="77"/>
        <v>0</v>
      </c>
      <c r="FL115" s="139">
        <f t="shared" si="78"/>
        <v>0</v>
      </c>
      <c r="FM115" s="139">
        <f t="shared" si="79"/>
        <v>0</v>
      </c>
      <c r="FN115" s="139">
        <f t="shared" si="80"/>
        <v>0</v>
      </c>
      <c r="FO115" s="139">
        <f t="shared" si="81"/>
        <v>0</v>
      </c>
      <c r="FP115" s="139">
        <f t="shared" si="82"/>
        <v>0</v>
      </c>
      <c r="FQ115" s="139">
        <f t="shared" si="83"/>
        <v>0</v>
      </c>
      <c r="FR115" s="139">
        <f t="shared" si="84"/>
        <v>0</v>
      </c>
      <c r="FS115" s="139">
        <f t="shared" si="85"/>
        <v>0</v>
      </c>
      <c r="FT115" s="139">
        <f t="shared" si="86"/>
        <v>0</v>
      </c>
      <c r="FU115" s="148">
        <f t="shared" si="87"/>
        <v>6.7628557210975577</v>
      </c>
      <c r="FV115" s="149"/>
      <c r="FY115" s="213">
        <v>110</v>
      </c>
      <c r="FZ115">
        <v>56.04427855415441</v>
      </c>
      <c r="GA115">
        <v>26.8215830475778</v>
      </c>
      <c r="GB115">
        <v>20.636635268836219</v>
      </c>
      <c r="GC115">
        <v>11.409090082839549</v>
      </c>
      <c r="GD115">
        <v>2.2455920499466484</v>
      </c>
      <c r="GE115">
        <v>3.4605654975270062</v>
      </c>
      <c r="GF115">
        <v>1.1650367704572084</v>
      </c>
      <c r="GG115">
        <v>2.9037114140804503</v>
      </c>
      <c r="GH115">
        <v>6.2516372694844575</v>
      </c>
      <c r="GI115">
        <v>15.808844552736474</v>
      </c>
      <c r="GJ115"/>
      <c r="GK115"/>
      <c r="GL115"/>
      <c r="GM115"/>
      <c r="GN115" s="208"/>
      <c r="GO115" s="208"/>
      <c r="GP115" s="208"/>
      <c r="GQ115" s="208"/>
      <c r="GR115" s="208"/>
      <c r="GS115" s="208"/>
      <c r="GT115" s="208"/>
      <c r="GU115" s="213">
        <v>110</v>
      </c>
    </row>
    <row r="116" spans="1:203" s="7" customFormat="1">
      <c r="A116" s="1"/>
      <c r="B116" s="76">
        <f ca="1">IF(C116="", "", RAND())</f>
        <v>0.82451232674116692</v>
      </c>
      <c r="C116">
        <v>9</v>
      </c>
      <c r="D116">
        <v>39714</v>
      </c>
      <c r="E116">
        <v>0</v>
      </c>
      <c r="F116">
        <v>302.41935483870964</v>
      </c>
      <c r="G116">
        <v>1411.2903225806454</v>
      </c>
      <c r="H116">
        <v>403.22580645161293</v>
      </c>
      <c r="I116">
        <v>0</v>
      </c>
      <c r="J116">
        <v>10.416666666666666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314.22629311167668</v>
      </c>
      <c r="AO116">
        <v>25.851671114503016</v>
      </c>
      <c r="AP116">
        <v>29.868550608462151</v>
      </c>
      <c r="AQ116">
        <v>199.88826169771988</v>
      </c>
      <c r="AR116">
        <v>27.617589806349805</v>
      </c>
      <c r="AS116">
        <v>389.07459675987673</v>
      </c>
      <c r="AT116">
        <v>16.874637411996972</v>
      </c>
      <c r="AU116">
        <v>12.115515519746289</v>
      </c>
      <c r="AV116"/>
      <c r="AW116"/>
      <c r="AX116" s="146"/>
      <c r="AY116" s="76">
        <f t="shared" ca="1" si="88"/>
        <v>0.69092495455878566</v>
      </c>
      <c r="AZ116">
        <v>9</v>
      </c>
      <c r="BA116" s="129">
        <f t="shared" si="129"/>
        <v>39714</v>
      </c>
      <c r="BB116" s="207">
        <v>0</v>
      </c>
      <c r="BC116" s="207">
        <v>0</v>
      </c>
      <c r="BD116" s="207">
        <v>0</v>
      </c>
      <c r="BE116" s="207">
        <v>0</v>
      </c>
      <c r="BF116" s="207">
        <v>0</v>
      </c>
      <c r="BG116" s="207">
        <v>1</v>
      </c>
      <c r="BH116" s="207">
        <v>0</v>
      </c>
      <c r="BI116" s="207">
        <v>0</v>
      </c>
      <c r="BJ116" s="207">
        <v>0</v>
      </c>
      <c r="BK116" s="207">
        <v>0</v>
      </c>
      <c r="BL116" s="207">
        <v>0</v>
      </c>
      <c r="BM116" s="207">
        <v>0</v>
      </c>
      <c r="BN116" s="207">
        <v>0</v>
      </c>
      <c r="BO116" s="207">
        <v>0</v>
      </c>
      <c r="BP116" s="207">
        <v>0</v>
      </c>
      <c r="BQ116" s="207">
        <v>0</v>
      </c>
      <c r="BR116" s="207">
        <v>0</v>
      </c>
      <c r="BS116" s="207">
        <v>0</v>
      </c>
      <c r="BT116" s="207">
        <v>0</v>
      </c>
      <c r="BU116" s="207">
        <v>0</v>
      </c>
      <c r="BV116" s="207">
        <v>0</v>
      </c>
      <c r="BW116" s="207">
        <v>0</v>
      </c>
      <c r="BX116" s="207">
        <v>0</v>
      </c>
      <c r="BY116" s="207">
        <v>0</v>
      </c>
      <c r="BZ116" s="207">
        <v>0</v>
      </c>
      <c r="CA116" s="207">
        <v>0</v>
      </c>
      <c r="CB116" s="207">
        <v>0</v>
      </c>
      <c r="CC116" s="207">
        <v>0</v>
      </c>
      <c r="CD116" s="207">
        <v>0</v>
      </c>
      <c r="CE116" s="207">
        <v>0</v>
      </c>
      <c r="CF116" s="207">
        <v>0</v>
      </c>
      <c r="CG116" s="147"/>
      <c r="CH116" s="176"/>
      <c r="CJ116" s="146"/>
      <c r="CK116" s="76">
        <f t="shared" ca="1" si="90"/>
        <v>0.8024127529678835</v>
      </c>
      <c r="CL116" s="179">
        <f t="shared" si="91"/>
        <v>9</v>
      </c>
      <c r="CM116" s="180">
        <f t="shared" si="92"/>
        <v>39714</v>
      </c>
      <c r="CN116" s="208">
        <v>0</v>
      </c>
      <c r="CO116" s="208">
        <v>3</v>
      </c>
      <c r="CP116" s="208">
        <v>14</v>
      </c>
      <c r="CQ116" s="208">
        <v>4</v>
      </c>
      <c r="CR116" s="208">
        <v>0</v>
      </c>
      <c r="CS116" s="208">
        <v>0</v>
      </c>
      <c r="CT116" s="208">
        <v>0</v>
      </c>
      <c r="CU116" s="208">
        <v>0</v>
      </c>
      <c r="CV116" s="160"/>
      <c r="CW116">
        <v>1</v>
      </c>
      <c r="CX116">
        <f>300/31</f>
        <v>9.67741935483871</v>
      </c>
      <c r="CY116" s="164"/>
      <c r="CZ116" s="177">
        <f t="shared" si="93"/>
        <v>9.6000000000000002E-2</v>
      </c>
      <c r="DB116" s="146"/>
      <c r="DC116" s="76">
        <f t="shared" ca="1" si="51"/>
        <v>1.2205130012745702E-3</v>
      </c>
      <c r="DD116">
        <f t="shared" si="94"/>
        <v>9</v>
      </c>
      <c r="DE116" s="129">
        <f t="shared" si="128"/>
        <v>39714</v>
      </c>
      <c r="DF116" s="161">
        <f t="shared" si="95"/>
        <v>0</v>
      </c>
      <c r="DG116" s="161">
        <f t="shared" si="96"/>
        <v>302.41935483870964</v>
      </c>
      <c r="DH116" s="161">
        <f t="shared" si="97"/>
        <v>1411.2903225806454</v>
      </c>
      <c r="DI116" s="161">
        <f t="shared" si="98"/>
        <v>403.22580645161293</v>
      </c>
      <c r="DJ116" s="161">
        <f t="shared" si="99"/>
        <v>0</v>
      </c>
      <c r="DK116" s="161">
        <f t="shared" si="100"/>
        <v>10.416666666666666</v>
      </c>
      <c r="DL116" s="161">
        <f t="shared" si="101"/>
        <v>0</v>
      </c>
      <c r="DM116" s="161">
        <f t="shared" si="102"/>
        <v>0</v>
      </c>
      <c r="DN116" s="161">
        <f t="shared" si="103"/>
        <v>0</v>
      </c>
      <c r="DO116" s="161">
        <f t="shared" si="104"/>
        <v>0</v>
      </c>
      <c r="DP116" s="161">
        <f t="shared" si="105"/>
        <v>0</v>
      </c>
      <c r="DQ116" s="161">
        <f t="shared" si="106"/>
        <v>0</v>
      </c>
      <c r="DR116" s="161">
        <f t="shared" si="107"/>
        <v>0</v>
      </c>
      <c r="DS116" s="161">
        <f t="shared" si="108"/>
        <v>0</v>
      </c>
      <c r="DT116" s="161">
        <f t="shared" si="109"/>
        <v>0</v>
      </c>
      <c r="DU116" s="161">
        <f t="shared" si="110"/>
        <v>0</v>
      </c>
      <c r="DV116" s="161">
        <f t="shared" si="111"/>
        <v>0</v>
      </c>
      <c r="DW116" s="161">
        <f t="shared" si="112"/>
        <v>0</v>
      </c>
      <c r="DX116" s="161">
        <f t="shared" si="113"/>
        <v>0</v>
      </c>
      <c r="DY116" s="161">
        <f t="shared" si="114"/>
        <v>0</v>
      </c>
      <c r="DZ116" s="161">
        <f t="shared" si="115"/>
        <v>0</v>
      </c>
      <c r="EA116" s="161">
        <f t="shared" si="116"/>
        <v>0</v>
      </c>
      <c r="EB116" s="161">
        <f t="shared" si="117"/>
        <v>0</v>
      </c>
      <c r="EC116" s="161">
        <f t="shared" si="118"/>
        <v>0</v>
      </c>
      <c r="ED116" s="161">
        <f t="shared" si="119"/>
        <v>0</v>
      </c>
      <c r="EE116" s="161">
        <f t="shared" si="120"/>
        <v>0</v>
      </c>
      <c r="EF116" s="161">
        <f t="shared" si="121"/>
        <v>0</v>
      </c>
      <c r="EG116" s="161">
        <f t="shared" si="122"/>
        <v>0</v>
      </c>
      <c r="EH116" s="161">
        <f t="shared" si="123"/>
        <v>0</v>
      </c>
      <c r="EI116" s="161">
        <f t="shared" si="124"/>
        <v>0</v>
      </c>
      <c r="EJ116" s="161">
        <f t="shared" si="125"/>
        <v>0</v>
      </c>
      <c r="EK116" s="147">
        <f t="shared" si="55"/>
        <v>2127.3521505376343</v>
      </c>
      <c r="EL116" s="149"/>
      <c r="EN116" s="146"/>
      <c r="EO116" s="146"/>
      <c r="EP116" s="139">
        <f t="shared" si="56"/>
        <v>0</v>
      </c>
      <c r="EQ116" s="139">
        <f t="shared" si="57"/>
        <v>2.1857661290322579</v>
      </c>
      <c r="ER116" s="139">
        <f t="shared" si="58"/>
        <v>65.869170004249142</v>
      </c>
      <c r="ES116" s="139">
        <f t="shared" si="59"/>
        <v>56.037109420152767</v>
      </c>
      <c r="ET116" s="139">
        <f t="shared" si="60"/>
        <v>0</v>
      </c>
      <c r="EU116" s="139">
        <f t="shared" si="61"/>
        <v>5.7233612375507494</v>
      </c>
      <c r="EV116" s="139">
        <f t="shared" si="62"/>
        <v>0</v>
      </c>
      <c r="EW116" s="139">
        <f t="shared" si="63"/>
        <v>0</v>
      </c>
      <c r="EX116" s="139">
        <f t="shared" si="64"/>
        <v>0</v>
      </c>
      <c r="EY116" s="139">
        <f t="shared" si="65"/>
        <v>0</v>
      </c>
      <c r="EZ116" s="139">
        <f t="shared" si="66"/>
        <v>0</v>
      </c>
      <c r="FA116" s="139">
        <f t="shared" si="67"/>
        <v>0</v>
      </c>
      <c r="FB116" s="139">
        <f t="shared" si="68"/>
        <v>0</v>
      </c>
      <c r="FC116" s="139">
        <f t="shared" si="69"/>
        <v>0</v>
      </c>
      <c r="FD116" s="139">
        <f t="shared" si="70"/>
        <v>0</v>
      </c>
      <c r="FE116" s="139">
        <f t="shared" si="71"/>
        <v>0</v>
      </c>
      <c r="FF116" s="139">
        <f t="shared" si="72"/>
        <v>0</v>
      </c>
      <c r="FG116" s="139">
        <f t="shared" si="73"/>
        <v>0</v>
      </c>
      <c r="FH116" s="139">
        <f t="shared" si="74"/>
        <v>0</v>
      </c>
      <c r="FI116" s="139">
        <f t="shared" si="75"/>
        <v>0</v>
      </c>
      <c r="FJ116" s="139">
        <f t="shared" si="76"/>
        <v>0</v>
      </c>
      <c r="FK116" s="139">
        <f t="shared" si="77"/>
        <v>0</v>
      </c>
      <c r="FL116" s="139">
        <f t="shared" si="78"/>
        <v>0</v>
      </c>
      <c r="FM116" s="139">
        <f t="shared" si="79"/>
        <v>0</v>
      </c>
      <c r="FN116" s="139">
        <f t="shared" si="80"/>
        <v>0</v>
      </c>
      <c r="FO116" s="139">
        <f t="shared" si="81"/>
        <v>0</v>
      </c>
      <c r="FP116" s="139">
        <f t="shared" si="82"/>
        <v>0</v>
      </c>
      <c r="FQ116" s="139">
        <f t="shared" si="83"/>
        <v>0</v>
      </c>
      <c r="FR116" s="139">
        <f t="shared" si="84"/>
        <v>0</v>
      </c>
      <c r="FS116" s="139">
        <f t="shared" si="85"/>
        <v>0</v>
      </c>
      <c r="FT116" s="139">
        <f t="shared" si="86"/>
        <v>0</v>
      </c>
      <c r="FU116" s="148">
        <f t="shared" si="87"/>
        <v>129.81540679098492</v>
      </c>
      <c r="FV116" s="149"/>
      <c r="FY116" s="213">
        <v>111</v>
      </c>
      <c r="FZ116">
        <v>49.294538407730123</v>
      </c>
      <c r="GA116">
        <v>47.274329432086297</v>
      </c>
      <c r="GB116">
        <v>24.54498281119459</v>
      </c>
      <c r="GC116">
        <v>11.273624993267866</v>
      </c>
      <c r="GD116">
        <v>4.6622076424281937</v>
      </c>
      <c r="GE116">
        <v>5.5928637811328965</v>
      </c>
      <c r="GF116">
        <v>5.5294177826972399</v>
      </c>
      <c r="GG116">
        <v>5.0474902518284921</v>
      </c>
      <c r="GH116">
        <v>3.3703843984106063</v>
      </c>
      <c r="GI116">
        <v>17.495445869061435</v>
      </c>
      <c r="GJ116"/>
      <c r="GK116"/>
      <c r="GL116"/>
      <c r="GM116"/>
      <c r="GN116" s="208"/>
      <c r="GO116" s="208"/>
      <c r="GP116" s="208"/>
      <c r="GQ116" s="208"/>
      <c r="GR116" s="208"/>
      <c r="GS116" s="208"/>
      <c r="GT116" s="208"/>
      <c r="GU116" s="213">
        <v>111</v>
      </c>
    </row>
    <row r="117" spans="1:203" s="7" customFormat="1">
      <c r="A117" s="1"/>
      <c r="B117" s="76">
        <f ca="1">IF(C117="", "", RAND())</f>
        <v>0.14316415384141745</v>
      </c>
      <c r="C117">
        <v>2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324.02728479385991</v>
      </c>
      <c r="AO117">
        <v>35.785709674690267</v>
      </c>
      <c r="AP117">
        <v>41.269608034432522</v>
      </c>
      <c r="AQ117">
        <v>256.01972632567953</v>
      </c>
      <c r="AR117">
        <v>36.444400575008252</v>
      </c>
      <c r="AS117">
        <v>492.81848179095533</v>
      </c>
      <c r="AT117">
        <v>22.055378779942568</v>
      </c>
      <c r="AU117">
        <v>-5.0269785680322201</v>
      </c>
      <c r="AV117"/>
      <c r="AW117"/>
      <c r="AX117" s="146"/>
      <c r="AY117" s="76">
        <f t="shared" ca="1" si="88"/>
        <v>0.97414536109881245</v>
      </c>
      <c r="AZ117">
        <v>10</v>
      </c>
      <c r="BA117" s="129">
        <f t="shared" si="129"/>
        <v>39714</v>
      </c>
      <c r="BB117" s="207">
        <v>0</v>
      </c>
      <c r="BC117" s="207">
        <v>0</v>
      </c>
      <c r="BD117" s="207">
        <v>1</v>
      </c>
      <c r="BE117" s="207">
        <v>3</v>
      </c>
      <c r="BF117" s="207">
        <v>0</v>
      </c>
      <c r="BG117" s="207">
        <v>0</v>
      </c>
      <c r="BH117" s="207">
        <v>0</v>
      </c>
      <c r="BI117" s="207">
        <v>0</v>
      </c>
      <c r="BJ117" s="207">
        <v>0</v>
      </c>
      <c r="BK117" s="207">
        <v>0</v>
      </c>
      <c r="BL117" s="207">
        <v>0</v>
      </c>
      <c r="BM117" s="207">
        <v>0</v>
      </c>
      <c r="BN117" s="207">
        <v>0</v>
      </c>
      <c r="BO117" s="207">
        <v>0</v>
      </c>
      <c r="BP117" s="207">
        <v>0</v>
      </c>
      <c r="BQ117" s="207">
        <v>0</v>
      </c>
      <c r="BR117" s="207">
        <v>0</v>
      </c>
      <c r="BS117" s="207">
        <v>0</v>
      </c>
      <c r="BT117" s="207">
        <v>0</v>
      </c>
      <c r="BU117" s="207">
        <v>0</v>
      </c>
      <c r="BV117" s="207">
        <v>0</v>
      </c>
      <c r="BW117" s="207">
        <v>0</v>
      </c>
      <c r="BX117" s="207">
        <v>0</v>
      </c>
      <c r="BY117" s="207">
        <v>0</v>
      </c>
      <c r="BZ117" s="207">
        <v>0</v>
      </c>
      <c r="CA117" s="207">
        <v>0</v>
      </c>
      <c r="CB117" s="207">
        <v>0</v>
      </c>
      <c r="CC117" s="207">
        <v>0</v>
      </c>
      <c r="CD117" s="207">
        <v>0</v>
      </c>
      <c r="CE117" s="207">
        <v>0</v>
      </c>
      <c r="CF117" s="207">
        <v>0</v>
      </c>
      <c r="CG117" s="147"/>
      <c r="CH117" s="176"/>
      <c r="CJ117" s="146"/>
      <c r="CK117" s="76">
        <f t="shared" ca="1" si="90"/>
        <v>0.25123825896018559</v>
      </c>
      <c r="CL117" s="179">
        <f t="shared" si="91"/>
        <v>10</v>
      </c>
      <c r="CM117" s="180">
        <f t="shared" si="92"/>
        <v>39714</v>
      </c>
      <c r="CN117" s="208">
        <v>0</v>
      </c>
      <c r="CO117" s="208">
        <v>0</v>
      </c>
      <c r="CP117" s="208">
        <v>0</v>
      </c>
      <c r="CQ117" s="208">
        <v>1</v>
      </c>
      <c r="CR117" s="208">
        <v>0</v>
      </c>
      <c r="CS117" s="208">
        <v>0</v>
      </c>
      <c r="CT117" s="208">
        <v>0</v>
      </c>
      <c r="CU117" s="208">
        <v>0</v>
      </c>
      <c r="CV117" s="160"/>
      <c r="CW117">
        <v>1</v>
      </c>
      <c r="CX117">
        <f>300/35</f>
        <v>8.5714285714285712</v>
      </c>
      <c r="CY117" s="164"/>
      <c r="CZ117" s="177">
        <f t="shared" si="93"/>
        <v>9.6000000000000002E-2</v>
      </c>
      <c r="DB117" s="146"/>
      <c r="DC117" s="76">
        <f t="shared" ca="1" si="51"/>
        <v>0.82497372460517582</v>
      </c>
      <c r="DD117">
        <f t="shared" si="94"/>
        <v>10</v>
      </c>
      <c r="DE117" s="129">
        <f t="shared" si="128"/>
        <v>39714</v>
      </c>
      <c r="DF117" s="161">
        <f t="shared" si="95"/>
        <v>0</v>
      </c>
      <c r="DG117" s="161">
        <f t="shared" si="96"/>
        <v>0</v>
      </c>
      <c r="DH117" s="161">
        <f t="shared" si="97"/>
        <v>10.416666666666666</v>
      </c>
      <c r="DI117" s="161">
        <f t="shared" si="98"/>
        <v>120.53571428571428</v>
      </c>
      <c r="DJ117" s="161">
        <f t="shared" si="99"/>
        <v>0</v>
      </c>
      <c r="DK117" s="161">
        <f t="shared" si="100"/>
        <v>0</v>
      </c>
      <c r="DL117" s="161">
        <f t="shared" si="101"/>
        <v>0</v>
      </c>
      <c r="DM117" s="161">
        <f t="shared" si="102"/>
        <v>0</v>
      </c>
      <c r="DN117" s="161">
        <f t="shared" si="103"/>
        <v>0</v>
      </c>
      <c r="DO117" s="161">
        <f t="shared" si="104"/>
        <v>0</v>
      </c>
      <c r="DP117" s="161">
        <f t="shared" si="105"/>
        <v>0</v>
      </c>
      <c r="DQ117" s="161">
        <f t="shared" si="106"/>
        <v>0</v>
      </c>
      <c r="DR117" s="161">
        <f t="shared" si="107"/>
        <v>0</v>
      </c>
      <c r="DS117" s="161">
        <f t="shared" si="108"/>
        <v>0</v>
      </c>
      <c r="DT117" s="161">
        <f t="shared" si="109"/>
        <v>0</v>
      </c>
      <c r="DU117" s="161">
        <f t="shared" si="110"/>
        <v>0</v>
      </c>
      <c r="DV117" s="161">
        <f t="shared" si="111"/>
        <v>0</v>
      </c>
      <c r="DW117" s="161">
        <f t="shared" si="112"/>
        <v>0</v>
      </c>
      <c r="DX117" s="161">
        <f t="shared" si="113"/>
        <v>0</v>
      </c>
      <c r="DY117" s="161">
        <f t="shared" si="114"/>
        <v>0</v>
      </c>
      <c r="DZ117" s="161">
        <f t="shared" si="115"/>
        <v>0</v>
      </c>
      <c r="EA117" s="161">
        <f t="shared" si="116"/>
        <v>0</v>
      </c>
      <c r="EB117" s="161">
        <f t="shared" si="117"/>
        <v>0</v>
      </c>
      <c r="EC117" s="161">
        <f t="shared" si="118"/>
        <v>0</v>
      </c>
      <c r="ED117" s="161">
        <f t="shared" si="119"/>
        <v>0</v>
      </c>
      <c r="EE117" s="161">
        <f t="shared" si="120"/>
        <v>0</v>
      </c>
      <c r="EF117" s="161">
        <f t="shared" si="121"/>
        <v>0</v>
      </c>
      <c r="EG117" s="161">
        <f t="shared" si="122"/>
        <v>0</v>
      </c>
      <c r="EH117" s="161">
        <f t="shared" si="123"/>
        <v>0</v>
      </c>
      <c r="EI117" s="161">
        <f t="shared" si="124"/>
        <v>0</v>
      </c>
      <c r="EJ117" s="161">
        <f t="shared" si="125"/>
        <v>0</v>
      </c>
      <c r="EK117" s="147">
        <f t="shared" si="55"/>
        <v>130.95238095238093</v>
      </c>
      <c r="EL117" s="149"/>
      <c r="EN117" s="146"/>
      <c r="EO117" s="146"/>
      <c r="EP117" s="139">
        <f t="shared" si="56"/>
        <v>0</v>
      </c>
      <c r="EQ117" s="139">
        <f t="shared" si="57"/>
        <v>0</v>
      </c>
      <c r="ER117" s="139">
        <f t="shared" si="58"/>
        <v>0.48617720717421975</v>
      </c>
      <c r="ES117" s="139">
        <f t="shared" si="59"/>
        <v>16.751093065952809</v>
      </c>
      <c r="ET117" s="139">
        <f t="shared" si="60"/>
        <v>0</v>
      </c>
      <c r="EU117" s="139">
        <f t="shared" si="61"/>
        <v>0</v>
      </c>
      <c r="EV117" s="139">
        <f t="shared" si="62"/>
        <v>0</v>
      </c>
      <c r="EW117" s="139">
        <f t="shared" si="63"/>
        <v>0</v>
      </c>
      <c r="EX117" s="139">
        <f t="shared" si="64"/>
        <v>0</v>
      </c>
      <c r="EY117" s="139">
        <f t="shared" si="65"/>
        <v>0</v>
      </c>
      <c r="EZ117" s="139">
        <f t="shared" si="66"/>
        <v>0</v>
      </c>
      <c r="FA117" s="139">
        <f t="shared" si="67"/>
        <v>0</v>
      </c>
      <c r="FB117" s="139">
        <f t="shared" si="68"/>
        <v>0</v>
      </c>
      <c r="FC117" s="139">
        <f t="shared" si="69"/>
        <v>0</v>
      </c>
      <c r="FD117" s="139">
        <f t="shared" si="70"/>
        <v>0</v>
      </c>
      <c r="FE117" s="139">
        <f t="shared" si="71"/>
        <v>0</v>
      </c>
      <c r="FF117" s="139">
        <f t="shared" si="72"/>
        <v>0</v>
      </c>
      <c r="FG117" s="139">
        <f t="shared" si="73"/>
        <v>0</v>
      </c>
      <c r="FH117" s="139">
        <f t="shared" si="74"/>
        <v>0</v>
      </c>
      <c r="FI117" s="139">
        <f t="shared" si="75"/>
        <v>0</v>
      </c>
      <c r="FJ117" s="139">
        <f t="shared" si="76"/>
        <v>0</v>
      </c>
      <c r="FK117" s="139">
        <f t="shared" si="77"/>
        <v>0</v>
      </c>
      <c r="FL117" s="139">
        <f t="shared" si="78"/>
        <v>0</v>
      </c>
      <c r="FM117" s="139">
        <f t="shared" si="79"/>
        <v>0</v>
      </c>
      <c r="FN117" s="139">
        <f t="shared" si="80"/>
        <v>0</v>
      </c>
      <c r="FO117" s="139">
        <f t="shared" si="81"/>
        <v>0</v>
      </c>
      <c r="FP117" s="139">
        <f t="shared" si="82"/>
        <v>0</v>
      </c>
      <c r="FQ117" s="139">
        <f t="shared" si="83"/>
        <v>0</v>
      </c>
      <c r="FR117" s="139">
        <f t="shared" si="84"/>
        <v>0</v>
      </c>
      <c r="FS117" s="139">
        <f t="shared" si="85"/>
        <v>0</v>
      </c>
      <c r="FT117" s="139">
        <f t="shared" si="86"/>
        <v>0</v>
      </c>
      <c r="FU117" s="148">
        <f t="shared" si="87"/>
        <v>17.237270273127027</v>
      </c>
      <c r="FV117" s="149"/>
      <c r="FY117" s="213">
        <v>112</v>
      </c>
      <c r="FZ117">
        <v>45.252409800024672</v>
      </c>
      <c r="GA117">
        <v>58.00930178251911</v>
      </c>
      <c r="GB117">
        <v>40.610181533432176</v>
      </c>
      <c r="GC117">
        <v>15.960314540172117</v>
      </c>
      <c r="GD117">
        <v>3.7600237905574554</v>
      </c>
      <c r="GE117">
        <v>5.5190198375571082</v>
      </c>
      <c r="GF117">
        <v>14.011786820050993</v>
      </c>
      <c r="GG117">
        <v>9.5989233900711319</v>
      </c>
      <c r="GH117">
        <v>6.2683383660729044</v>
      </c>
      <c r="GI117">
        <v>22.337841150325168</v>
      </c>
      <c r="GJ117"/>
      <c r="GK117"/>
      <c r="GL117"/>
      <c r="GM117"/>
      <c r="GN117" s="208"/>
      <c r="GO117" s="208"/>
      <c r="GP117" s="208"/>
      <c r="GQ117" s="208"/>
      <c r="GR117" s="208"/>
      <c r="GS117" s="208"/>
      <c r="GT117" s="208"/>
      <c r="GU117" s="213">
        <v>112</v>
      </c>
    </row>
    <row r="118" spans="1:203" s="7" customFormat="1">
      <c r="A118" s="128"/>
      <c r="B118" s="76">
        <f ca="1">IF(C118="", "", RAND())</f>
        <v>0.85134745431697345</v>
      </c>
      <c r="C118">
        <v>9</v>
      </c>
      <c r="D118">
        <v>39747</v>
      </c>
      <c r="E118">
        <v>0</v>
      </c>
      <c r="F118">
        <v>177.84552845528455</v>
      </c>
      <c r="G118">
        <v>0</v>
      </c>
      <c r="H118">
        <v>355.6910569105691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298.86661942818006</v>
      </c>
      <c r="AO118">
        <v>24.809433015112937</v>
      </c>
      <c r="AP118">
        <v>27.589258407521168</v>
      </c>
      <c r="AQ118">
        <v>171.24262909920574</v>
      </c>
      <c r="AR118">
        <v>25.65937104711022</v>
      </c>
      <c r="AS118">
        <v>366.92270974883445</v>
      </c>
      <c r="AT118">
        <v>15.373160295517536</v>
      </c>
      <c r="AU118">
        <v>3.9246833675189734</v>
      </c>
      <c r="AV118"/>
      <c r="AW118"/>
      <c r="AX118" s="128"/>
      <c r="AY118" s="76">
        <f t="shared" ca="1" si="88"/>
        <v>0.67299293122465631</v>
      </c>
      <c r="AZ118">
        <v>1</v>
      </c>
      <c r="BA118" s="129">
        <f>IF(AZ118="", "",$C$7)</f>
        <v>39747</v>
      </c>
      <c r="BB118" s="207">
        <v>0</v>
      </c>
      <c r="BC118" s="207">
        <v>0</v>
      </c>
      <c r="BD118" s="207">
        <v>0</v>
      </c>
      <c r="BE118" s="207">
        <v>0</v>
      </c>
      <c r="BF118" s="207">
        <v>0</v>
      </c>
      <c r="BG118" s="207">
        <v>0</v>
      </c>
      <c r="BH118" s="207">
        <v>0</v>
      </c>
      <c r="BI118" s="207">
        <v>0</v>
      </c>
      <c r="BJ118" s="207">
        <v>0</v>
      </c>
      <c r="BK118" s="207">
        <v>0</v>
      </c>
      <c r="BL118" s="207">
        <v>0</v>
      </c>
      <c r="BM118" s="207">
        <v>0</v>
      </c>
      <c r="BN118" s="207">
        <v>0</v>
      </c>
      <c r="BO118" s="207">
        <v>0</v>
      </c>
      <c r="BP118" s="207">
        <v>0</v>
      </c>
      <c r="BQ118" s="207">
        <v>0</v>
      </c>
      <c r="BR118" s="207">
        <v>0</v>
      </c>
      <c r="BS118" s="207">
        <v>0</v>
      </c>
      <c r="BT118" s="207">
        <v>0</v>
      </c>
      <c r="BU118" s="207">
        <v>0</v>
      </c>
      <c r="BV118" s="207">
        <v>0</v>
      </c>
      <c r="BW118" s="207">
        <v>0</v>
      </c>
      <c r="BX118" s="207">
        <v>0</v>
      </c>
      <c r="BY118" s="207">
        <v>0</v>
      </c>
      <c r="BZ118" s="207">
        <v>0</v>
      </c>
      <c r="CA118" s="207">
        <v>0</v>
      </c>
      <c r="CB118" s="207">
        <v>0</v>
      </c>
      <c r="CC118" s="207">
        <v>0</v>
      </c>
      <c r="CD118" s="207">
        <v>0</v>
      </c>
      <c r="CE118" s="207">
        <v>0</v>
      </c>
      <c r="CF118" s="207">
        <v>0</v>
      </c>
      <c r="CG118" s="147"/>
      <c r="CH118" s="176"/>
      <c r="CJ118" s="128"/>
      <c r="CK118" s="76">
        <f t="shared" ca="1" si="90"/>
        <v>0.8941496711023782</v>
      </c>
      <c r="CL118" s="179">
        <f t="shared" si="91"/>
        <v>1</v>
      </c>
      <c r="CM118" s="180">
        <f t="shared" si="92"/>
        <v>39747</v>
      </c>
      <c r="CN118" s="208">
        <v>0</v>
      </c>
      <c r="CO118" s="208">
        <v>2</v>
      </c>
      <c r="CP118" s="208">
        <v>7</v>
      </c>
      <c r="CQ118" s="208">
        <v>5</v>
      </c>
      <c r="CR118" s="208">
        <v>4</v>
      </c>
      <c r="CS118" s="208">
        <v>0</v>
      </c>
      <c r="CT118" s="208">
        <v>0</v>
      </c>
      <c r="CU118" s="20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3"/>
        <v>9.6000000000000002E-2</v>
      </c>
      <c r="DB118" s="128"/>
      <c r="DC118" s="76">
        <f t="shared" ca="1" si="51"/>
        <v>0.83315410384821131</v>
      </c>
      <c r="DD118">
        <f t="shared" si="94"/>
        <v>1</v>
      </c>
      <c r="DE118" s="129">
        <f t="shared" ref="DE118:DE127" si="130">IF((DD118)="", "", $C$7)</f>
        <v>39747</v>
      </c>
      <c r="DF118" s="161">
        <f t="shared" si="95"/>
        <v>0</v>
      </c>
      <c r="DG118" s="161">
        <f t="shared" si="96"/>
        <v>173.61111111111111</v>
      </c>
      <c r="DH118" s="161">
        <f t="shared" si="97"/>
        <v>607.63888888888891</v>
      </c>
      <c r="DI118" s="161">
        <f t="shared" si="98"/>
        <v>434.02777777777783</v>
      </c>
      <c r="DJ118" s="161">
        <f t="shared" si="99"/>
        <v>347.22222222222223</v>
      </c>
      <c r="DK118" s="161">
        <f t="shared" si="100"/>
        <v>0</v>
      </c>
      <c r="DL118" s="161">
        <f t="shared" si="101"/>
        <v>0</v>
      </c>
      <c r="DM118" s="161">
        <f t="shared" si="102"/>
        <v>0</v>
      </c>
      <c r="DN118" s="161">
        <f t="shared" si="103"/>
        <v>0</v>
      </c>
      <c r="DO118" s="161">
        <f t="shared" si="104"/>
        <v>0</v>
      </c>
      <c r="DP118" s="161">
        <f t="shared" si="105"/>
        <v>0</v>
      </c>
      <c r="DQ118" s="161">
        <f t="shared" si="106"/>
        <v>0</v>
      </c>
      <c r="DR118" s="161">
        <f t="shared" si="107"/>
        <v>0</v>
      </c>
      <c r="DS118" s="161">
        <f t="shared" si="108"/>
        <v>0</v>
      </c>
      <c r="DT118" s="161">
        <f t="shared" si="109"/>
        <v>0</v>
      </c>
      <c r="DU118" s="161">
        <f t="shared" si="110"/>
        <v>0</v>
      </c>
      <c r="DV118" s="161">
        <f t="shared" si="111"/>
        <v>0</v>
      </c>
      <c r="DW118" s="161">
        <f t="shared" si="112"/>
        <v>0</v>
      </c>
      <c r="DX118" s="161">
        <f t="shared" si="113"/>
        <v>0</v>
      </c>
      <c r="DY118" s="161">
        <f t="shared" si="114"/>
        <v>0</v>
      </c>
      <c r="DZ118" s="161">
        <f t="shared" si="115"/>
        <v>0</v>
      </c>
      <c r="EA118" s="161">
        <f t="shared" si="116"/>
        <v>0</v>
      </c>
      <c r="EB118" s="161">
        <f t="shared" si="117"/>
        <v>0</v>
      </c>
      <c r="EC118" s="161">
        <f t="shared" si="118"/>
        <v>0</v>
      </c>
      <c r="ED118" s="161">
        <f t="shared" si="119"/>
        <v>0</v>
      </c>
      <c r="EE118" s="161">
        <f t="shared" si="120"/>
        <v>0</v>
      </c>
      <c r="EF118" s="161">
        <f t="shared" si="121"/>
        <v>0</v>
      </c>
      <c r="EG118" s="161">
        <f t="shared" si="122"/>
        <v>0</v>
      </c>
      <c r="EH118" s="161">
        <f t="shared" si="123"/>
        <v>0</v>
      </c>
      <c r="EI118" s="161">
        <f t="shared" si="124"/>
        <v>0</v>
      </c>
      <c r="EJ118" s="161">
        <f t="shared" si="125"/>
        <v>0</v>
      </c>
      <c r="EK118" s="147">
        <f t="shared" si="55"/>
        <v>1562.5</v>
      </c>
      <c r="EL118" s="149"/>
      <c r="EN118" s="146"/>
      <c r="EO118" s="146"/>
      <c r="EP118" s="139">
        <f t="shared" si="56"/>
        <v>0</v>
      </c>
      <c r="EQ118" s="139">
        <f t="shared" si="57"/>
        <v>1.2547916666666667</v>
      </c>
      <c r="ER118" s="139">
        <f t="shared" si="58"/>
        <v>28.360337085162822</v>
      </c>
      <c r="ES118" s="139">
        <f t="shared" si="59"/>
        <v>60.317721945303333</v>
      </c>
      <c r="ET118" s="139">
        <f t="shared" si="60"/>
        <v>104.65140374153488</v>
      </c>
      <c r="EU118" s="139">
        <f t="shared" si="61"/>
        <v>0</v>
      </c>
      <c r="EV118" s="139">
        <f t="shared" si="62"/>
        <v>0</v>
      </c>
      <c r="EW118" s="139">
        <f t="shared" si="63"/>
        <v>0</v>
      </c>
      <c r="EX118" s="139">
        <f t="shared" si="64"/>
        <v>0</v>
      </c>
      <c r="EY118" s="139">
        <f t="shared" si="65"/>
        <v>0</v>
      </c>
      <c r="EZ118" s="139">
        <f t="shared" si="66"/>
        <v>0</v>
      </c>
      <c r="FA118" s="139">
        <f t="shared" si="67"/>
        <v>0</v>
      </c>
      <c r="FB118" s="139">
        <f t="shared" si="68"/>
        <v>0</v>
      </c>
      <c r="FC118" s="139">
        <f t="shared" si="69"/>
        <v>0</v>
      </c>
      <c r="FD118" s="139">
        <f t="shared" si="70"/>
        <v>0</v>
      </c>
      <c r="FE118" s="139">
        <f t="shared" si="71"/>
        <v>0</v>
      </c>
      <c r="FF118" s="139">
        <f t="shared" si="72"/>
        <v>0</v>
      </c>
      <c r="FG118" s="139">
        <f t="shared" si="73"/>
        <v>0</v>
      </c>
      <c r="FH118" s="139">
        <f t="shared" si="74"/>
        <v>0</v>
      </c>
      <c r="FI118" s="139">
        <f t="shared" si="75"/>
        <v>0</v>
      </c>
      <c r="FJ118" s="139">
        <f t="shared" si="76"/>
        <v>0</v>
      </c>
      <c r="FK118" s="139">
        <f t="shared" si="77"/>
        <v>0</v>
      </c>
      <c r="FL118" s="139">
        <f t="shared" si="78"/>
        <v>0</v>
      </c>
      <c r="FM118" s="139">
        <f t="shared" si="79"/>
        <v>0</v>
      </c>
      <c r="FN118" s="139">
        <f t="shared" si="80"/>
        <v>0</v>
      </c>
      <c r="FO118" s="139">
        <f t="shared" si="81"/>
        <v>0</v>
      </c>
      <c r="FP118" s="139">
        <f t="shared" si="82"/>
        <v>0</v>
      </c>
      <c r="FQ118" s="139">
        <f t="shared" si="83"/>
        <v>0</v>
      </c>
      <c r="FR118" s="139">
        <f t="shared" si="84"/>
        <v>0</v>
      </c>
      <c r="FS118" s="139">
        <f t="shared" si="85"/>
        <v>0</v>
      </c>
      <c r="FT118" s="139">
        <f t="shared" si="86"/>
        <v>0</v>
      </c>
      <c r="FU118" s="148">
        <f t="shared" si="87"/>
        <v>194.5842544386677</v>
      </c>
      <c r="FV118" s="149"/>
      <c r="FY118" s="213">
        <v>113</v>
      </c>
      <c r="FZ118">
        <v>63.509892347257555</v>
      </c>
      <c r="GA118">
        <v>57.982480105176847</v>
      </c>
      <c r="GB118">
        <v>35.3837550831079</v>
      </c>
      <c r="GC118">
        <v>15.454859680260808</v>
      </c>
      <c r="GD118">
        <v>6.1887309253662712</v>
      </c>
      <c r="GE118">
        <v>8.6031920318484172</v>
      </c>
      <c r="GF118">
        <v>4.3057602838754203</v>
      </c>
      <c r="GG118">
        <v>7.6217000550324947</v>
      </c>
      <c r="GH118">
        <v>8.2188968815648948</v>
      </c>
      <c r="GI118">
        <v>23.658431930203655</v>
      </c>
      <c r="GJ118"/>
      <c r="GK118"/>
      <c r="GL118"/>
      <c r="GM118"/>
      <c r="GN118" s="208"/>
      <c r="GO118" s="208"/>
      <c r="GP118" s="208"/>
      <c r="GQ118" s="208"/>
      <c r="GR118" s="208"/>
      <c r="GS118" s="208"/>
      <c r="GT118" s="208"/>
      <c r="GU118" s="213">
        <v>113</v>
      </c>
    </row>
    <row r="119" spans="1:203" s="7" customFormat="1">
      <c r="A119" s="1"/>
      <c r="B119" s="76">
        <f ca="1">IF(C119="", "", RAND())</f>
        <v>0.21853035041574476</v>
      </c>
      <c r="C119">
        <v>6</v>
      </c>
      <c r="D119">
        <v>39747</v>
      </c>
      <c r="E119">
        <v>0</v>
      </c>
      <c r="F119">
        <v>65.104166666666671</v>
      </c>
      <c r="G119">
        <v>390.625</v>
      </c>
      <c r="H119">
        <v>466.14583333333331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244.99439252033432</v>
      </c>
      <c r="AO119">
        <v>26.933049441911777</v>
      </c>
      <c r="AP119">
        <v>47.252064952410159</v>
      </c>
      <c r="AQ119">
        <v>198.61444722619981</v>
      </c>
      <c r="AR119">
        <v>27.889639837013405</v>
      </c>
      <c r="AS119">
        <v>395.4424696354107</v>
      </c>
      <c r="AT119">
        <v>16.501204513626238</v>
      </c>
      <c r="AU119">
        <v>19.529870170343774</v>
      </c>
      <c r="AV119"/>
      <c r="AW119"/>
      <c r="AX119" s="146"/>
      <c r="AY119" s="76">
        <f t="shared" ca="1" si="88"/>
        <v>0.89442991517982784</v>
      </c>
      <c r="AZ119">
        <v>2</v>
      </c>
      <c r="BA119" s="129">
        <f t="shared" ref="BA119:BA127" si="131">IF(AZ119="", "",$C$7)</f>
        <v>39747</v>
      </c>
      <c r="BB119" s="207">
        <v>0</v>
      </c>
      <c r="BC119" s="207">
        <v>0</v>
      </c>
      <c r="BD119" s="207">
        <v>0</v>
      </c>
      <c r="BE119" s="207">
        <v>0</v>
      </c>
      <c r="BF119" s="207">
        <v>0</v>
      </c>
      <c r="BG119" s="207">
        <v>0</v>
      </c>
      <c r="BH119" s="207">
        <v>0</v>
      </c>
      <c r="BI119" s="207">
        <v>0</v>
      </c>
      <c r="BJ119" s="207">
        <v>0</v>
      </c>
      <c r="BK119" s="207">
        <v>0</v>
      </c>
      <c r="BL119" s="207">
        <v>0</v>
      </c>
      <c r="BM119" s="207">
        <v>0</v>
      </c>
      <c r="BN119" s="207">
        <v>0</v>
      </c>
      <c r="BO119" s="207">
        <v>0</v>
      </c>
      <c r="BP119" s="207">
        <v>0</v>
      </c>
      <c r="BQ119" s="207">
        <v>0</v>
      </c>
      <c r="BR119" s="207">
        <v>0</v>
      </c>
      <c r="BS119" s="207">
        <v>0</v>
      </c>
      <c r="BT119" s="207">
        <v>0</v>
      </c>
      <c r="BU119" s="207">
        <v>0</v>
      </c>
      <c r="BV119" s="207">
        <v>0</v>
      </c>
      <c r="BW119" s="207">
        <v>0</v>
      </c>
      <c r="BX119" s="207">
        <v>0</v>
      </c>
      <c r="BY119" s="207">
        <v>0</v>
      </c>
      <c r="BZ119" s="207">
        <v>0</v>
      </c>
      <c r="CA119" s="207">
        <v>0</v>
      </c>
      <c r="CB119" s="207">
        <v>0</v>
      </c>
      <c r="CC119" s="207">
        <v>0</v>
      </c>
      <c r="CD119" s="207">
        <v>0</v>
      </c>
      <c r="CE119" s="207">
        <v>0</v>
      </c>
      <c r="CF119" s="207">
        <v>0</v>
      </c>
      <c r="CG119" s="147"/>
      <c r="CH119" s="176"/>
      <c r="CJ119" s="146"/>
      <c r="CK119" s="76">
        <f t="shared" ca="1" si="90"/>
        <v>0.97513461405585389</v>
      </c>
      <c r="CL119" s="179">
        <f t="shared" si="91"/>
        <v>2</v>
      </c>
      <c r="CM119" s="180">
        <f t="shared" si="92"/>
        <v>39747</v>
      </c>
      <c r="CN119" s="208">
        <v>0</v>
      </c>
      <c r="CO119" s="208">
        <v>3</v>
      </c>
      <c r="CP119" s="208">
        <v>8</v>
      </c>
      <c r="CQ119" s="208">
        <v>1</v>
      </c>
      <c r="CR119" s="208">
        <v>1</v>
      </c>
      <c r="CS119" s="208">
        <v>0</v>
      </c>
      <c r="CT119" s="208">
        <v>0</v>
      </c>
      <c r="CU119" s="208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3"/>
        <v>9.6000000000000002E-2</v>
      </c>
      <c r="DB119" s="146"/>
      <c r="DC119" s="76">
        <f t="shared" ca="1" si="51"/>
        <v>0.15723768996264753</v>
      </c>
      <c r="DD119">
        <f t="shared" si="94"/>
        <v>2</v>
      </c>
      <c r="DE119" s="129">
        <f t="shared" si="130"/>
        <v>39747</v>
      </c>
      <c r="DF119" s="161">
        <f t="shared" si="95"/>
        <v>0</v>
      </c>
      <c r="DG119" s="161">
        <f t="shared" si="96"/>
        <v>273.4375</v>
      </c>
      <c r="DH119" s="161">
        <f t="shared" si="97"/>
        <v>729.16666666666663</v>
      </c>
      <c r="DI119" s="161">
        <f t="shared" si="98"/>
        <v>91.145833333333329</v>
      </c>
      <c r="DJ119" s="161">
        <f t="shared" si="99"/>
        <v>91.145833333333329</v>
      </c>
      <c r="DK119" s="161">
        <f t="shared" si="100"/>
        <v>0</v>
      </c>
      <c r="DL119" s="161">
        <f t="shared" si="101"/>
        <v>0</v>
      </c>
      <c r="DM119" s="161">
        <f t="shared" si="102"/>
        <v>0</v>
      </c>
      <c r="DN119" s="161">
        <f t="shared" si="103"/>
        <v>0</v>
      </c>
      <c r="DO119" s="161">
        <f t="shared" si="104"/>
        <v>0</v>
      </c>
      <c r="DP119" s="161">
        <f t="shared" si="105"/>
        <v>0</v>
      </c>
      <c r="DQ119" s="161">
        <f t="shared" si="106"/>
        <v>0</v>
      </c>
      <c r="DR119" s="161">
        <f t="shared" si="107"/>
        <v>0</v>
      </c>
      <c r="DS119" s="161">
        <f t="shared" si="108"/>
        <v>0</v>
      </c>
      <c r="DT119" s="161">
        <f t="shared" si="109"/>
        <v>0</v>
      </c>
      <c r="DU119" s="161">
        <f t="shared" si="110"/>
        <v>0</v>
      </c>
      <c r="DV119" s="161">
        <f t="shared" si="111"/>
        <v>0</v>
      </c>
      <c r="DW119" s="161">
        <f t="shared" si="112"/>
        <v>0</v>
      </c>
      <c r="DX119" s="161">
        <f t="shared" si="113"/>
        <v>0</v>
      </c>
      <c r="DY119" s="161">
        <f t="shared" si="114"/>
        <v>0</v>
      </c>
      <c r="DZ119" s="161">
        <f t="shared" si="115"/>
        <v>0</v>
      </c>
      <c r="EA119" s="161">
        <f t="shared" si="116"/>
        <v>0</v>
      </c>
      <c r="EB119" s="161">
        <f t="shared" si="117"/>
        <v>0</v>
      </c>
      <c r="EC119" s="161">
        <f t="shared" si="118"/>
        <v>0</v>
      </c>
      <c r="ED119" s="161">
        <f t="shared" si="119"/>
        <v>0</v>
      </c>
      <c r="EE119" s="161">
        <f t="shared" si="120"/>
        <v>0</v>
      </c>
      <c r="EF119" s="161">
        <f t="shared" si="121"/>
        <v>0</v>
      </c>
      <c r="EG119" s="161">
        <f t="shared" si="122"/>
        <v>0</v>
      </c>
      <c r="EH119" s="161">
        <f t="shared" si="123"/>
        <v>0</v>
      </c>
      <c r="EI119" s="161">
        <f t="shared" si="124"/>
        <v>0</v>
      </c>
      <c r="EJ119" s="161">
        <f t="shared" si="125"/>
        <v>0</v>
      </c>
      <c r="EK119" s="147">
        <f t="shared" si="55"/>
        <v>1184.8958333333333</v>
      </c>
      <c r="EL119" s="149"/>
      <c r="EN119" s="146"/>
      <c r="EO119" s="146"/>
      <c r="EP119" s="139">
        <f t="shared" si="56"/>
        <v>0</v>
      </c>
      <c r="EQ119" s="139">
        <f t="shared" si="57"/>
        <v>1.9762968749999998</v>
      </c>
      <c r="ER119" s="139">
        <f t="shared" si="58"/>
        <v>34.032404502195384</v>
      </c>
      <c r="ES119" s="139">
        <f t="shared" si="59"/>
        <v>12.666721608513697</v>
      </c>
      <c r="ET119" s="139">
        <f t="shared" si="60"/>
        <v>27.470993482152902</v>
      </c>
      <c r="EU119" s="139">
        <f t="shared" si="61"/>
        <v>0</v>
      </c>
      <c r="EV119" s="139">
        <f t="shared" si="62"/>
        <v>0</v>
      </c>
      <c r="EW119" s="139">
        <f t="shared" si="63"/>
        <v>0</v>
      </c>
      <c r="EX119" s="139">
        <f t="shared" si="64"/>
        <v>0</v>
      </c>
      <c r="EY119" s="139">
        <f t="shared" si="65"/>
        <v>0</v>
      </c>
      <c r="EZ119" s="139">
        <f t="shared" si="66"/>
        <v>0</v>
      </c>
      <c r="FA119" s="139">
        <f t="shared" si="67"/>
        <v>0</v>
      </c>
      <c r="FB119" s="139">
        <f t="shared" si="68"/>
        <v>0</v>
      </c>
      <c r="FC119" s="139">
        <f t="shared" si="69"/>
        <v>0</v>
      </c>
      <c r="FD119" s="139">
        <f t="shared" si="70"/>
        <v>0</v>
      </c>
      <c r="FE119" s="139">
        <f t="shared" si="71"/>
        <v>0</v>
      </c>
      <c r="FF119" s="139">
        <f t="shared" si="72"/>
        <v>0</v>
      </c>
      <c r="FG119" s="139">
        <f t="shared" si="73"/>
        <v>0</v>
      </c>
      <c r="FH119" s="139">
        <f t="shared" si="74"/>
        <v>0</v>
      </c>
      <c r="FI119" s="139">
        <f t="shared" si="75"/>
        <v>0</v>
      </c>
      <c r="FJ119" s="139">
        <f t="shared" si="76"/>
        <v>0</v>
      </c>
      <c r="FK119" s="139">
        <f t="shared" si="77"/>
        <v>0</v>
      </c>
      <c r="FL119" s="139">
        <f t="shared" si="78"/>
        <v>0</v>
      </c>
      <c r="FM119" s="139">
        <f t="shared" si="79"/>
        <v>0</v>
      </c>
      <c r="FN119" s="139">
        <f t="shared" si="80"/>
        <v>0</v>
      </c>
      <c r="FO119" s="139">
        <f t="shared" si="81"/>
        <v>0</v>
      </c>
      <c r="FP119" s="139">
        <f t="shared" si="82"/>
        <v>0</v>
      </c>
      <c r="FQ119" s="139">
        <f t="shared" si="83"/>
        <v>0</v>
      </c>
      <c r="FR119" s="139">
        <f t="shared" si="84"/>
        <v>0</v>
      </c>
      <c r="FS119" s="139">
        <f t="shared" si="85"/>
        <v>0</v>
      </c>
      <c r="FT119" s="139">
        <f t="shared" si="86"/>
        <v>0</v>
      </c>
      <c r="FU119" s="148">
        <f t="shared" si="87"/>
        <v>76.146416467861982</v>
      </c>
      <c r="FV119" s="149"/>
      <c r="FY119" s="213">
        <v>114</v>
      </c>
      <c r="FZ119">
        <v>39.062356284289031</v>
      </c>
      <c r="GA119">
        <v>38.330299967704818</v>
      </c>
      <c r="GB119">
        <v>24.419570695076406</v>
      </c>
      <c r="GC119">
        <v>10.578904222275494</v>
      </c>
      <c r="GD119">
        <v>3.9566875507045252</v>
      </c>
      <c r="GE119">
        <v>4.076872265497637</v>
      </c>
      <c r="GF119">
        <v>5.1042033793760151</v>
      </c>
      <c r="GG119">
        <v>5.5220934129110324</v>
      </c>
      <c r="GH119">
        <v>4.9846733763771658</v>
      </c>
      <c r="GI119">
        <v>15.720797979619396</v>
      </c>
      <c r="GJ119"/>
      <c r="GK119"/>
      <c r="GL119"/>
      <c r="GM119"/>
      <c r="GN119" s="208"/>
      <c r="GO119" s="208"/>
      <c r="GP119" s="208"/>
      <c r="GQ119" s="208"/>
      <c r="GR119" s="208"/>
      <c r="GS119" s="208"/>
      <c r="GT119" s="208"/>
      <c r="GU119" s="213">
        <v>114</v>
      </c>
    </row>
    <row r="120" spans="1:203" s="7" customFormat="1">
      <c r="A120" s="1"/>
      <c r="B120" s="76">
        <f ca="1">IF(C120="", "", RAND())</f>
        <v>0.336867770951363</v>
      </c>
      <c r="C120">
        <v>3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301.21417444400583</v>
      </c>
      <c r="AO120">
        <v>30.54402246532144</v>
      </c>
      <c r="AP120">
        <v>34.314165973940476</v>
      </c>
      <c r="AQ120">
        <v>223.66944582958118</v>
      </c>
      <c r="AR120">
        <v>30.54166801170599</v>
      </c>
      <c r="AS120">
        <v>422.42804806198501</v>
      </c>
      <c r="AT120">
        <v>19.115835976371351</v>
      </c>
      <c r="AU120">
        <v>-32.478661892184896</v>
      </c>
      <c r="AV120"/>
      <c r="AW120"/>
      <c r="AX120" s="146"/>
      <c r="AY120" s="76">
        <f t="shared" ca="1" si="88"/>
        <v>0.1401182308831741</v>
      </c>
      <c r="AZ120">
        <v>3</v>
      </c>
      <c r="BA120" s="129">
        <f t="shared" si="131"/>
        <v>39747</v>
      </c>
      <c r="BB120" s="207">
        <v>0</v>
      </c>
      <c r="BC120" s="207">
        <v>0</v>
      </c>
      <c r="BD120" s="207">
        <v>0</v>
      </c>
      <c r="BE120" s="207">
        <v>0</v>
      </c>
      <c r="BF120" s="207">
        <v>0</v>
      </c>
      <c r="BG120" s="207">
        <v>0</v>
      </c>
      <c r="BH120" s="207">
        <v>0</v>
      </c>
      <c r="BI120" s="207">
        <v>0</v>
      </c>
      <c r="BJ120" s="207">
        <v>0</v>
      </c>
      <c r="BK120" s="207">
        <v>0</v>
      </c>
      <c r="BL120" s="207">
        <v>0</v>
      </c>
      <c r="BM120" s="207">
        <v>0</v>
      </c>
      <c r="BN120" s="207">
        <v>0</v>
      </c>
      <c r="BO120" s="207">
        <v>0</v>
      </c>
      <c r="BP120" s="207">
        <v>0</v>
      </c>
      <c r="BQ120" s="207">
        <v>0</v>
      </c>
      <c r="BR120" s="207">
        <v>0</v>
      </c>
      <c r="BS120" s="207">
        <v>0</v>
      </c>
      <c r="BT120" s="207">
        <v>0</v>
      </c>
      <c r="BU120" s="207">
        <v>0</v>
      </c>
      <c r="BV120" s="207">
        <v>0</v>
      </c>
      <c r="BW120" s="207">
        <v>0</v>
      </c>
      <c r="BX120" s="207">
        <v>0</v>
      </c>
      <c r="BY120" s="207">
        <v>0</v>
      </c>
      <c r="BZ120" s="207">
        <v>0</v>
      </c>
      <c r="CA120" s="207">
        <v>0</v>
      </c>
      <c r="CB120" s="207">
        <v>0</v>
      </c>
      <c r="CC120" s="207">
        <v>0</v>
      </c>
      <c r="CD120" s="207">
        <v>0</v>
      </c>
      <c r="CE120" s="207">
        <v>0</v>
      </c>
      <c r="CF120" s="207">
        <v>0</v>
      </c>
      <c r="CG120" s="147"/>
      <c r="CH120" s="176"/>
      <c r="CJ120" s="146"/>
      <c r="CK120" s="76">
        <f t="shared" ca="1" si="90"/>
        <v>0.91818583063903958</v>
      </c>
      <c r="CL120" s="179">
        <f t="shared" si="91"/>
        <v>3</v>
      </c>
      <c r="CM120" s="180">
        <f t="shared" si="92"/>
        <v>39747</v>
      </c>
      <c r="CN120" s="208">
        <v>0</v>
      </c>
      <c r="CO120" s="208">
        <v>0</v>
      </c>
      <c r="CP120" s="208">
        <v>0</v>
      </c>
      <c r="CQ120" s="208">
        <v>0</v>
      </c>
      <c r="CR120" s="208">
        <v>0</v>
      </c>
      <c r="CS120" s="208">
        <v>0</v>
      </c>
      <c r="CT120" s="208">
        <v>0</v>
      </c>
      <c r="CU120" s="208">
        <v>0</v>
      </c>
      <c r="CV120" s="160"/>
      <c r="CW120">
        <v>1</v>
      </c>
      <c r="CX120">
        <v>1</v>
      </c>
      <c r="CY120" s="160"/>
      <c r="CZ120" s="177">
        <f t="shared" si="93"/>
        <v>9.6000000000000002E-2</v>
      </c>
      <c r="DB120" s="146"/>
      <c r="DC120" s="76">
        <f t="shared" ca="1" si="51"/>
        <v>0.38696282100502177</v>
      </c>
      <c r="DD120">
        <f t="shared" si="94"/>
        <v>3</v>
      </c>
      <c r="DE120" s="129">
        <f t="shared" si="130"/>
        <v>39747</v>
      </c>
      <c r="DF120" s="161">
        <f t="shared" si="95"/>
        <v>0</v>
      </c>
      <c r="DG120" s="161">
        <f t="shared" si="96"/>
        <v>0</v>
      </c>
      <c r="DH120" s="161">
        <f t="shared" si="97"/>
        <v>0</v>
      </c>
      <c r="DI120" s="161">
        <f t="shared" si="98"/>
        <v>0</v>
      </c>
      <c r="DJ120" s="161">
        <f t="shared" si="99"/>
        <v>0</v>
      </c>
      <c r="DK120" s="161">
        <f t="shared" si="100"/>
        <v>0</v>
      </c>
      <c r="DL120" s="161">
        <f t="shared" si="101"/>
        <v>0</v>
      </c>
      <c r="DM120" s="161">
        <f t="shared" si="102"/>
        <v>0</v>
      </c>
      <c r="DN120" s="161">
        <f t="shared" si="103"/>
        <v>0</v>
      </c>
      <c r="DO120" s="161">
        <f t="shared" si="104"/>
        <v>0</v>
      </c>
      <c r="DP120" s="161">
        <f t="shared" si="105"/>
        <v>0</v>
      </c>
      <c r="DQ120" s="161">
        <f t="shared" si="106"/>
        <v>0</v>
      </c>
      <c r="DR120" s="161">
        <f t="shared" si="107"/>
        <v>0</v>
      </c>
      <c r="DS120" s="161">
        <f t="shared" si="108"/>
        <v>0</v>
      </c>
      <c r="DT120" s="161">
        <f t="shared" si="109"/>
        <v>0</v>
      </c>
      <c r="DU120" s="161">
        <f t="shared" si="110"/>
        <v>0</v>
      </c>
      <c r="DV120" s="161">
        <f t="shared" si="111"/>
        <v>0</v>
      </c>
      <c r="DW120" s="161">
        <f t="shared" si="112"/>
        <v>0</v>
      </c>
      <c r="DX120" s="161">
        <f t="shared" si="113"/>
        <v>0</v>
      </c>
      <c r="DY120" s="161">
        <f t="shared" si="114"/>
        <v>0</v>
      </c>
      <c r="DZ120" s="161">
        <f t="shared" si="115"/>
        <v>0</v>
      </c>
      <c r="EA120" s="161">
        <f t="shared" si="116"/>
        <v>0</v>
      </c>
      <c r="EB120" s="161">
        <f t="shared" si="117"/>
        <v>0</v>
      </c>
      <c r="EC120" s="161">
        <f t="shared" si="118"/>
        <v>0</v>
      </c>
      <c r="ED120" s="161">
        <f t="shared" si="119"/>
        <v>0</v>
      </c>
      <c r="EE120" s="161">
        <f t="shared" si="120"/>
        <v>0</v>
      </c>
      <c r="EF120" s="161">
        <f t="shared" si="121"/>
        <v>0</v>
      </c>
      <c r="EG120" s="161">
        <f t="shared" si="122"/>
        <v>0</v>
      </c>
      <c r="EH120" s="161">
        <f t="shared" si="123"/>
        <v>0</v>
      </c>
      <c r="EI120" s="161">
        <f t="shared" si="124"/>
        <v>0</v>
      </c>
      <c r="EJ120" s="161">
        <f t="shared" si="125"/>
        <v>0</v>
      </c>
      <c r="EK120" s="147">
        <f t="shared" ref="EK120:EK151" si="132">IF(DF120="", "", SUM(DF120:EJ120))</f>
        <v>0</v>
      </c>
      <c r="EL120" s="149"/>
      <c r="EN120" s="146"/>
      <c r="EO120" s="146"/>
      <c r="EP120" s="139">
        <f t="shared" ref="EP120:EP151" si="133">IF(DF120="", "", DF120*G$36)</f>
        <v>0</v>
      </c>
      <c r="EQ120" s="139">
        <f t="shared" ref="EQ120:EQ151" si="134">IF(DG120="", "", DG120*H$36)</f>
        <v>0</v>
      </c>
      <c r="ER120" s="139">
        <f t="shared" ref="ER120:ER151" si="135">IF(DH120="", "", DH120*I$36)</f>
        <v>0</v>
      </c>
      <c r="ES120" s="139">
        <f t="shared" ref="ES120:ES151" si="136">IF(DI120="", "", DI120*J$36)</f>
        <v>0</v>
      </c>
      <c r="ET120" s="139">
        <f t="shared" ref="ET120:ET151" si="137">IF(DJ120="", "", DJ120*K$36)</f>
        <v>0</v>
      </c>
      <c r="EU120" s="139">
        <f t="shared" ref="EU120:EU151" si="138">IF(DK120="", "", DK120*L$36)</f>
        <v>0</v>
      </c>
      <c r="EV120" s="139">
        <f t="shared" ref="EV120:EV151" si="139">IF(DL120="", "", DL120*M$36)</f>
        <v>0</v>
      </c>
      <c r="EW120" s="139">
        <f t="shared" ref="EW120:EW151" si="140">IF(DM120="", "", DM120*N$36)</f>
        <v>0</v>
      </c>
      <c r="EX120" s="139">
        <f t="shared" ref="EX120:EX151" si="141">IF(DN120="", "", DN120*O$36)</f>
        <v>0</v>
      </c>
      <c r="EY120" s="139">
        <f t="shared" ref="EY120:EY151" si="142">IF(DO120="", "", DO120*P$36)</f>
        <v>0</v>
      </c>
      <c r="EZ120" s="139">
        <f t="shared" ref="EZ120:EZ151" si="143">IF(DP120="", "", DP120*Q$36)</f>
        <v>0</v>
      </c>
      <c r="FA120" s="139">
        <f t="shared" ref="FA120:FA151" si="144">IF(DQ120="", "", DQ120*R$36)</f>
        <v>0</v>
      </c>
      <c r="FB120" s="139">
        <f t="shared" ref="FB120:FB151" si="145">IF(DR120="", "", DR120*S$36)</f>
        <v>0</v>
      </c>
      <c r="FC120" s="139">
        <f t="shared" ref="FC120:FC151" si="146">IF(DS120="", "", DS120*T$36)</f>
        <v>0</v>
      </c>
      <c r="FD120" s="139">
        <f t="shared" ref="FD120:FD151" si="147">IF(DT120="", "", DT120*U$36)</f>
        <v>0</v>
      </c>
      <c r="FE120" s="139">
        <f t="shared" ref="FE120:FE151" si="148">IF(DU120="", "", DU120*V$36)</f>
        <v>0</v>
      </c>
      <c r="FF120" s="139">
        <f t="shared" ref="FF120:FF151" si="149">IF(DV120="", "", DV120*W$36)</f>
        <v>0</v>
      </c>
      <c r="FG120" s="139">
        <f t="shared" ref="FG120:FG151" si="150">IF(DW120="", "", DW120*X$36)</f>
        <v>0</v>
      </c>
      <c r="FH120" s="139">
        <f t="shared" ref="FH120:FH151" si="151">IF(DX120="", "", DX120*Y$36)</f>
        <v>0</v>
      </c>
      <c r="FI120" s="139">
        <f t="shared" ref="FI120:FI151" si="152">IF(DY120="", "", DY120*Z$36)</f>
        <v>0</v>
      </c>
      <c r="FJ120" s="139">
        <f t="shared" ref="FJ120:FJ151" si="153">IF(DZ120="", "", DZ120*AA$36)</f>
        <v>0</v>
      </c>
      <c r="FK120" s="139">
        <f t="shared" ref="FK120:FK151" si="154">IF(EA120="", "", EA120*AB$36)</f>
        <v>0</v>
      </c>
      <c r="FL120" s="139">
        <f t="shared" ref="FL120:FL151" si="155">IF(EB120="", "", EB120*AC$36)</f>
        <v>0</v>
      </c>
      <c r="FM120" s="139">
        <f t="shared" ref="FM120:FM151" si="156">IF(EC120="", "", EC120*AD$36)</f>
        <v>0</v>
      </c>
      <c r="FN120" s="139">
        <f t="shared" ref="FN120:FN151" si="157">IF(ED120="", "", ED120*AE$36)</f>
        <v>0</v>
      </c>
      <c r="FO120" s="139">
        <f t="shared" ref="FO120:FO151" si="158">IF(EE120="", "", EE120*AF$36)</f>
        <v>0</v>
      </c>
      <c r="FP120" s="139">
        <f t="shared" ref="FP120:FP151" si="159">IF(EF120="", "", EF120*AG$36)</f>
        <v>0</v>
      </c>
      <c r="FQ120" s="139">
        <f t="shared" ref="FQ120:FQ151" si="160">IF(EG120="", "", EG120*AH$36)</f>
        <v>0</v>
      </c>
      <c r="FR120" s="139">
        <f t="shared" ref="FR120:FR151" si="161">IF(EH120="", "", EH120*AI$36)</f>
        <v>0</v>
      </c>
      <c r="FS120" s="139">
        <f t="shared" ref="FS120:FS151" si="162">IF(EI120="", "", EI120*AJ$36)</f>
        <v>0</v>
      </c>
      <c r="FT120" s="139">
        <f t="shared" ref="FT120:FT151" si="163">IF(EJ120="", "", EJ120*AK$36)</f>
        <v>0</v>
      </c>
      <c r="FU120" s="148">
        <f t="shared" ref="FU120:FU151" si="164">IF(EP120="","",SUM(EP120:FT120))</f>
        <v>0</v>
      </c>
      <c r="FV120" s="149"/>
      <c r="FY120" s="213">
        <v>115</v>
      </c>
      <c r="FZ120">
        <v>41.744013329641199</v>
      </c>
      <c r="GA120">
        <v>29.462152256229174</v>
      </c>
      <c r="GB120">
        <v>26.792537733971358</v>
      </c>
      <c r="GC120">
        <v>13.400341563413322</v>
      </c>
      <c r="GD120">
        <v>2.75353207099556</v>
      </c>
      <c r="GE120">
        <v>3.787643168015391</v>
      </c>
      <c r="GF120">
        <v>6.5162818708938204</v>
      </c>
      <c r="GG120">
        <v>5.1181095010611042</v>
      </c>
      <c r="GH120">
        <v>5.1475738830164905</v>
      </c>
      <c r="GI120">
        <v>16.30621176902067</v>
      </c>
      <c r="GJ120"/>
      <c r="GK120"/>
      <c r="GL120"/>
      <c r="GM120"/>
      <c r="GN120" s="208"/>
      <c r="GO120" s="208"/>
      <c r="GP120" s="208"/>
      <c r="GQ120" s="208"/>
      <c r="GR120" s="208"/>
      <c r="GS120" s="208"/>
      <c r="GT120" s="208"/>
      <c r="GU120" s="213">
        <v>115</v>
      </c>
    </row>
    <row r="121" spans="1:203" s="7" customFormat="1">
      <c r="A121" s="1"/>
      <c r="B121" s="76">
        <f ca="1">IF(C121="", "", RAND())</f>
        <v>0.49916558474536155</v>
      </c>
      <c r="C121">
        <v>4</v>
      </c>
      <c r="D121">
        <v>39747</v>
      </c>
      <c r="E121">
        <v>0</v>
      </c>
      <c r="F121">
        <v>314.29597701149424</v>
      </c>
      <c r="G121">
        <v>691.45114942528733</v>
      </c>
      <c r="H121">
        <v>314.29597701149424</v>
      </c>
      <c r="I121">
        <v>0</v>
      </c>
      <c r="J121">
        <v>28.409090909090907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276.12597725997409</v>
      </c>
      <c r="AO121">
        <v>23.177215797197686</v>
      </c>
      <c r="AP121">
        <v>39.257392603205076</v>
      </c>
      <c r="AQ121">
        <v>162.44696306068403</v>
      </c>
      <c r="AR121">
        <v>24.575581183863097</v>
      </c>
      <c r="AS121">
        <v>366.43687628384424</v>
      </c>
      <c r="AT121" t="e">
        <v>#DIV/0!</v>
      </c>
      <c r="AU121" t="e">
        <v>#DIV/0!</v>
      </c>
      <c r="AV121"/>
      <c r="AW121"/>
      <c r="AX121" s="146"/>
      <c r="AY121" s="76">
        <f t="shared" ca="1" si="88"/>
        <v>0.24222687383911357</v>
      </c>
      <c r="AZ121">
        <v>4</v>
      </c>
      <c r="BA121" s="129">
        <f t="shared" si="131"/>
        <v>39747</v>
      </c>
      <c r="BB121" s="207">
        <v>0</v>
      </c>
      <c r="BC121" s="207">
        <v>0</v>
      </c>
      <c r="BD121" s="207">
        <v>0</v>
      </c>
      <c r="BE121" s="207">
        <v>0</v>
      </c>
      <c r="BF121" s="207">
        <v>0</v>
      </c>
      <c r="BG121" s="207">
        <v>1</v>
      </c>
      <c r="BH121" s="207">
        <v>0</v>
      </c>
      <c r="BI121" s="207">
        <v>0</v>
      </c>
      <c r="BJ121" s="207">
        <v>0</v>
      </c>
      <c r="BK121" s="207">
        <v>0</v>
      </c>
      <c r="BL121" s="207">
        <v>0</v>
      </c>
      <c r="BM121" s="207">
        <v>0</v>
      </c>
      <c r="BN121" s="207">
        <v>0</v>
      </c>
      <c r="BO121" s="207">
        <v>0</v>
      </c>
      <c r="BP121" s="207">
        <v>0</v>
      </c>
      <c r="BQ121" s="207">
        <v>0</v>
      </c>
      <c r="BR121" s="207">
        <v>0</v>
      </c>
      <c r="BS121" s="207">
        <v>0</v>
      </c>
      <c r="BT121" s="207">
        <v>0</v>
      </c>
      <c r="BU121" s="207">
        <v>0</v>
      </c>
      <c r="BV121" s="207">
        <v>0</v>
      </c>
      <c r="BW121" s="207">
        <v>0</v>
      </c>
      <c r="BX121" s="207">
        <v>0</v>
      </c>
      <c r="BY121" s="207">
        <v>0</v>
      </c>
      <c r="BZ121" s="207">
        <v>0</v>
      </c>
      <c r="CA121" s="207">
        <v>0</v>
      </c>
      <c r="CB121" s="207">
        <v>0</v>
      </c>
      <c r="CC121" s="207">
        <v>0</v>
      </c>
      <c r="CD121" s="207">
        <v>0</v>
      </c>
      <c r="CE121" s="207">
        <v>0</v>
      </c>
      <c r="CF121" s="207">
        <v>0</v>
      </c>
      <c r="CG121" s="147"/>
      <c r="CH121" s="176"/>
      <c r="CJ121" s="146"/>
      <c r="CK121" s="76">
        <f t="shared" ca="1" si="90"/>
        <v>0.52713399869163546</v>
      </c>
      <c r="CL121" s="179">
        <f t="shared" si="91"/>
        <v>4</v>
      </c>
      <c r="CM121" s="180">
        <f t="shared" si="92"/>
        <v>39747</v>
      </c>
      <c r="CN121" s="208">
        <v>0</v>
      </c>
      <c r="CO121" s="208">
        <v>5</v>
      </c>
      <c r="CP121" s="208">
        <v>11</v>
      </c>
      <c r="CQ121" s="208">
        <v>5</v>
      </c>
      <c r="CR121" s="208">
        <v>0</v>
      </c>
      <c r="CS121" s="208">
        <v>0</v>
      </c>
      <c r="CT121" s="208">
        <v>0</v>
      </c>
      <c r="CU121" s="208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3"/>
        <v>9.6000000000000002E-2</v>
      </c>
      <c r="DB121" s="146"/>
      <c r="DC121" s="76">
        <f t="shared" ca="1" si="51"/>
        <v>0.90856303888313339</v>
      </c>
      <c r="DD121">
        <f t="shared" si="94"/>
        <v>4</v>
      </c>
      <c r="DE121" s="129">
        <f t="shared" si="130"/>
        <v>39747</v>
      </c>
      <c r="DF121" s="161">
        <f t="shared" si="95"/>
        <v>0</v>
      </c>
      <c r="DG121" s="161">
        <f t="shared" si="96"/>
        <v>314.29597701149424</v>
      </c>
      <c r="DH121" s="161">
        <f t="shared" si="97"/>
        <v>691.45114942528733</v>
      </c>
      <c r="DI121" s="161">
        <f t="shared" si="98"/>
        <v>314.29597701149424</v>
      </c>
      <c r="DJ121" s="161">
        <f t="shared" si="99"/>
        <v>0</v>
      </c>
      <c r="DK121" s="161">
        <f t="shared" si="100"/>
        <v>28.409090909090907</v>
      </c>
      <c r="DL121" s="161">
        <f t="shared" si="101"/>
        <v>0</v>
      </c>
      <c r="DM121" s="161">
        <f t="shared" si="102"/>
        <v>0</v>
      </c>
      <c r="DN121" s="161">
        <f t="shared" si="103"/>
        <v>0</v>
      </c>
      <c r="DO121" s="161">
        <f t="shared" si="104"/>
        <v>0</v>
      </c>
      <c r="DP121" s="161">
        <f t="shared" si="105"/>
        <v>0</v>
      </c>
      <c r="DQ121" s="161">
        <f t="shared" si="106"/>
        <v>0</v>
      </c>
      <c r="DR121" s="161">
        <f t="shared" si="107"/>
        <v>0</v>
      </c>
      <c r="DS121" s="161">
        <f t="shared" si="108"/>
        <v>0</v>
      </c>
      <c r="DT121" s="161">
        <f t="shared" si="109"/>
        <v>0</v>
      </c>
      <c r="DU121" s="161">
        <f t="shared" si="110"/>
        <v>0</v>
      </c>
      <c r="DV121" s="161">
        <f t="shared" si="111"/>
        <v>0</v>
      </c>
      <c r="DW121" s="161">
        <f t="shared" si="112"/>
        <v>0</v>
      </c>
      <c r="DX121" s="161">
        <f t="shared" si="113"/>
        <v>0</v>
      </c>
      <c r="DY121" s="161">
        <f t="shared" si="114"/>
        <v>0</v>
      </c>
      <c r="DZ121" s="161">
        <f t="shared" si="115"/>
        <v>0</v>
      </c>
      <c r="EA121" s="161">
        <f t="shared" si="116"/>
        <v>0</v>
      </c>
      <c r="EB121" s="161">
        <f t="shared" si="117"/>
        <v>0</v>
      </c>
      <c r="EC121" s="161">
        <f t="shared" si="118"/>
        <v>0</v>
      </c>
      <c r="ED121" s="161">
        <f t="shared" si="119"/>
        <v>0</v>
      </c>
      <c r="EE121" s="161">
        <f t="shared" si="120"/>
        <v>0</v>
      </c>
      <c r="EF121" s="161">
        <f t="shared" si="121"/>
        <v>0</v>
      </c>
      <c r="EG121" s="161">
        <f t="shared" si="122"/>
        <v>0</v>
      </c>
      <c r="EH121" s="161">
        <f t="shared" si="123"/>
        <v>0</v>
      </c>
      <c r="EI121" s="161">
        <f t="shared" si="124"/>
        <v>0</v>
      </c>
      <c r="EJ121" s="161">
        <f t="shared" si="125"/>
        <v>0</v>
      </c>
      <c r="EK121" s="147">
        <f t="shared" si="132"/>
        <v>1348.4521943573668</v>
      </c>
      <c r="EL121" s="149"/>
      <c r="EN121" s="146"/>
      <c r="EO121" s="146"/>
      <c r="EP121" s="139">
        <f t="shared" si="133"/>
        <v>0</v>
      </c>
      <c r="EQ121" s="139">
        <f t="shared" si="134"/>
        <v>2.2716056034482759</v>
      </c>
      <c r="ER121" s="139">
        <f t="shared" si="135"/>
        <v>32.27210771759907</v>
      </c>
      <c r="ES121" s="139">
        <f t="shared" si="136"/>
        <v>43.678350374185165</v>
      </c>
      <c r="ET121" s="139">
        <f t="shared" si="137"/>
        <v>0</v>
      </c>
      <c r="EU121" s="139">
        <f t="shared" si="138"/>
        <v>15.609167011502043</v>
      </c>
      <c r="EV121" s="139">
        <f t="shared" si="139"/>
        <v>0</v>
      </c>
      <c r="EW121" s="139">
        <f t="shared" si="140"/>
        <v>0</v>
      </c>
      <c r="EX121" s="139">
        <f t="shared" si="141"/>
        <v>0</v>
      </c>
      <c r="EY121" s="139">
        <f t="shared" si="142"/>
        <v>0</v>
      </c>
      <c r="EZ121" s="139">
        <f t="shared" si="143"/>
        <v>0</v>
      </c>
      <c r="FA121" s="139">
        <f t="shared" si="144"/>
        <v>0</v>
      </c>
      <c r="FB121" s="139">
        <f t="shared" si="145"/>
        <v>0</v>
      </c>
      <c r="FC121" s="139">
        <f t="shared" si="146"/>
        <v>0</v>
      </c>
      <c r="FD121" s="139">
        <f t="shared" si="147"/>
        <v>0</v>
      </c>
      <c r="FE121" s="139">
        <f t="shared" si="148"/>
        <v>0</v>
      </c>
      <c r="FF121" s="139">
        <f t="shared" si="149"/>
        <v>0</v>
      </c>
      <c r="FG121" s="139">
        <f t="shared" si="150"/>
        <v>0</v>
      </c>
      <c r="FH121" s="139">
        <f t="shared" si="151"/>
        <v>0</v>
      </c>
      <c r="FI121" s="139">
        <f t="shared" si="152"/>
        <v>0</v>
      </c>
      <c r="FJ121" s="139">
        <f t="shared" si="153"/>
        <v>0</v>
      </c>
      <c r="FK121" s="139">
        <f t="shared" si="154"/>
        <v>0</v>
      </c>
      <c r="FL121" s="139">
        <f t="shared" si="155"/>
        <v>0</v>
      </c>
      <c r="FM121" s="139">
        <f t="shared" si="156"/>
        <v>0</v>
      </c>
      <c r="FN121" s="139">
        <f t="shared" si="157"/>
        <v>0</v>
      </c>
      <c r="FO121" s="139">
        <f t="shared" si="158"/>
        <v>0</v>
      </c>
      <c r="FP121" s="139">
        <f t="shared" si="159"/>
        <v>0</v>
      </c>
      <c r="FQ121" s="139">
        <f t="shared" si="160"/>
        <v>0</v>
      </c>
      <c r="FR121" s="139">
        <f t="shared" si="161"/>
        <v>0</v>
      </c>
      <c r="FS121" s="139">
        <f t="shared" si="162"/>
        <v>0</v>
      </c>
      <c r="FT121" s="139">
        <f t="shared" si="163"/>
        <v>0</v>
      </c>
      <c r="FU121" s="148">
        <f t="shared" si="164"/>
        <v>93.831230706734559</v>
      </c>
      <c r="FV121" s="149"/>
      <c r="FY121" s="213">
        <v>116</v>
      </c>
      <c r="FZ121">
        <v>38.868589815583306</v>
      </c>
      <c r="GA121">
        <v>23.95847875548878</v>
      </c>
      <c r="GB121">
        <v>29.542839924841349</v>
      </c>
      <c r="GC121">
        <v>13.634797204086681</v>
      </c>
      <c r="GD121">
        <v>4.2309579486671778</v>
      </c>
      <c r="GE121">
        <v>6.1386747541832065</v>
      </c>
      <c r="GF121">
        <v>2.51252964321358</v>
      </c>
      <c r="GG121">
        <v>4.8472602738075796</v>
      </c>
      <c r="GH121">
        <v>10.025762530434738</v>
      </c>
      <c r="GI121">
        <v>17.443691724741416</v>
      </c>
      <c r="GJ121"/>
      <c r="GK121"/>
      <c r="GL121"/>
      <c r="GM121"/>
      <c r="GN121" s="208"/>
      <c r="GO121" s="208"/>
      <c r="GP121" s="208"/>
      <c r="GQ121" s="208"/>
      <c r="GR121" s="208"/>
      <c r="GS121" s="208"/>
      <c r="GT121" s="208"/>
      <c r="GU121" s="213">
        <v>116</v>
      </c>
    </row>
    <row r="122" spans="1:203" s="7" customFormat="1">
      <c r="A122" s="1"/>
      <c r="B122" s="76">
        <f ca="1">IF(C122="", "", RAND())</f>
        <v>0.15103163141756504</v>
      </c>
      <c r="C122">
        <v>5</v>
      </c>
      <c r="D122">
        <v>39747</v>
      </c>
      <c r="E122">
        <v>0</v>
      </c>
      <c r="F122">
        <v>0</v>
      </c>
      <c r="G122">
        <v>662.87878787878788</v>
      </c>
      <c r="H122">
        <v>441.91919191919186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249.84757224962738</v>
      </c>
      <c r="AO122">
        <v>24.816894450164757</v>
      </c>
      <c r="AP122">
        <v>13.277565763811889</v>
      </c>
      <c r="AQ122">
        <v>193.61077338215821</v>
      </c>
      <c r="AR122">
        <v>24.888995898999173</v>
      </c>
      <c r="AS122">
        <v>364.26926906110134</v>
      </c>
      <c r="AT122">
        <v>15.133048200742261</v>
      </c>
      <c r="AU122">
        <v>-36.097875996938086</v>
      </c>
      <c r="AV122"/>
      <c r="AW122"/>
      <c r="AX122" s="146"/>
      <c r="AY122" s="76">
        <f t="shared" ca="1" si="88"/>
        <v>0.81591392765949955</v>
      </c>
      <c r="AZ122">
        <v>5</v>
      </c>
      <c r="BA122" s="129">
        <f t="shared" si="131"/>
        <v>39747</v>
      </c>
      <c r="BB122" s="207">
        <v>0</v>
      </c>
      <c r="BC122" s="207">
        <v>0</v>
      </c>
      <c r="BD122" s="207">
        <v>0</v>
      </c>
      <c r="BE122" s="207">
        <v>0</v>
      </c>
      <c r="BF122" s="207">
        <v>0</v>
      </c>
      <c r="BG122" s="207">
        <v>0</v>
      </c>
      <c r="BH122" s="207">
        <v>0</v>
      </c>
      <c r="BI122" s="207">
        <v>0</v>
      </c>
      <c r="BJ122" s="207">
        <v>0</v>
      </c>
      <c r="BK122" s="207">
        <v>0</v>
      </c>
      <c r="BL122" s="207">
        <v>0</v>
      </c>
      <c r="BM122" s="207">
        <v>0</v>
      </c>
      <c r="BN122" s="207">
        <v>0</v>
      </c>
      <c r="BO122" s="207">
        <v>0</v>
      </c>
      <c r="BP122" s="207">
        <v>0</v>
      </c>
      <c r="BQ122" s="207">
        <v>0</v>
      </c>
      <c r="BR122" s="207">
        <v>0</v>
      </c>
      <c r="BS122" s="207">
        <v>0</v>
      </c>
      <c r="BT122" s="207">
        <v>0</v>
      </c>
      <c r="BU122" s="207">
        <v>0</v>
      </c>
      <c r="BV122" s="207">
        <v>0</v>
      </c>
      <c r="BW122" s="207">
        <v>0</v>
      </c>
      <c r="BX122" s="207">
        <v>0</v>
      </c>
      <c r="BY122" s="207">
        <v>0</v>
      </c>
      <c r="BZ122" s="207">
        <v>0</v>
      </c>
      <c r="CA122" s="207">
        <v>0</v>
      </c>
      <c r="CB122" s="207">
        <v>0</v>
      </c>
      <c r="CC122" s="207">
        <v>0</v>
      </c>
      <c r="CD122" s="207">
        <v>0</v>
      </c>
      <c r="CE122" s="207">
        <v>0</v>
      </c>
      <c r="CF122" s="207">
        <v>0</v>
      </c>
      <c r="CG122" s="147"/>
      <c r="CH122" s="176"/>
      <c r="CJ122" s="146"/>
      <c r="CK122" s="76">
        <f t="shared" ca="1" si="90"/>
        <v>0.89867359168649008</v>
      </c>
      <c r="CL122" s="179">
        <f t="shared" si="91"/>
        <v>5</v>
      </c>
      <c r="CM122" s="180">
        <f t="shared" si="92"/>
        <v>39747</v>
      </c>
      <c r="CN122" s="208">
        <v>0</v>
      </c>
      <c r="CO122" s="208">
        <v>0</v>
      </c>
      <c r="CP122" s="208">
        <v>6</v>
      </c>
      <c r="CQ122" s="208">
        <v>4</v>
      </c>
      <c r="CR122" s="208">
        <v>0</v>
      </c>
      <c r="CS122" s="208">
        <v>0</v>
      </c>
      <c r="CT122" s="208">
        <v>0</v>
      </c>
      <c r="CU122" s="208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3"/>
        <v>9.6000000000000002E-2</v>
      </c>
      <c r="DB122" s="146"/>
      <c r="DC122" s="76">
        <f t="shared" ca="1" si="51"/>
        <v>0.1771978460637933</v>
      </c>
      <c r="DD122">
        <f t="shared" si="94"/>
        <v>5</v>
      </c>
      <c r="DE122" s="129">
        <f t="shared" si="130"/>
        <v>39747</v>
      </c>
      <c r="DF122" s="161">
        <f t="shared" si="95"/>
        <v>0</v>
      </c>
      <c r="DG122" s="161">
        <f t="shared" si="96"/>
        <v>0</v>
      </c>
      <c r="DH122" s="161">
        <f t="shared" si="97"/>
        <v>662.87878787878788</v>
      </c>
      <c r="DI122" s="161">
        <f t="shared" si="98"/>
        <v>441.91919191919186</v>
      </c>
      <c r="DJ122" s="161">
        <f t="shared" si="99"/>
        <v>0</v>
      </c>
      <c r="DK122" s="161">
        <f t="shared" si="100"/>
        <v>0</v>
      </c>
      <c r="DL122" s="161">
        <f t="shared" si="101"/>
        <v>0</v>
      </c>
      <c r="DM122" s="161">
        <f t="shared" si="102"/>
        <v>0</v>
      </c>
      <c r="DN122" s="161">
        <f t="shared" si="103"/>
        <v>0</v>
      </c>
      <c r="DO122" s="161">
        <f t="shared" si="104"/>
        <v>0</v>
      </c>
      <c r="DP122" s="161">
        <f t="shared" si="105"/>
        <v>0</v>
      </c>
      <c r="DQ122" s="161">
        <f t="shared" si="106"/>
        <v>0</v>
      </c>
      <c r="DR122" s="161">
        <f t="shared" si="107"/>
        <v>0</v>
      </c>
      <c r="DS122" s="161">
        <f t="shared" si="108"/>
        <v>0</v>
      </c>
      <c r="DT122" s="161">
        <f t="shared" si="109"/>
        <v>0</v>
      </c>
      <c r="DU122" s="161">
        <f t="shared" si="110"/>
        <v>0</v>
      </c>
      <c r="DV122" s="161">
        <f t="shared" si="111"/>
        <v>0</v>
      </c>
      <c r="DW122" s="161">
        <f t="shared" si="112"/>
        <v>0</v>
      </c>
      <c r="DX122" s="161">
        <f t="shared" si="113"/>
        <v>0</v>
      </c>
      <c r="DY122" s="161">
        <f t="shared" si="114"/>
        <v>0</v>
      </c>
      <c r="DZ122" s="161">
        <f t="shared" si="115"/>
        <v>0</v>
      </c>
      <c r="EA122" s="161">
        <f t="shared" si="116"/>
        <v>0</v>
      </c>
      <c r="EB122" s="161">
        <f t="shared" si="117"/>
        <v>0</v>
      </c>
      <c r="EC122" s="161">
        <f t="shared" si="118"/>
        <v>0</v>
      </c>
      <c r="ED122" s="161">
        <f t="shared" si="119"/>
        <v>0</v>
      </c>
      <c r="EE122" s="161">
        <f t="shared" si="120"/>
        <v>0</v>
      </c>
      <c r="EF122" s="161">
        <f t="shared" si="121"/>
        <v>0</v>
      </c>
      <c r="EG122" s="161">
        <f t="shared" si="122"/>
        <v>0</v>
      </c>
      <c r="EH122" s="161">
        <f t="shared" si="123"/>
        <v>0</v>
      </c>
      <c r="EI122" s="161">
        <f t="shared" si="124"/>
        <v>0</v>
      </c>
      <c r="EJ122" s="161">
        <f t="shared" si="125"/>
        <v>0</v>
      </c>
      <c r="EK122" s="147">
        <f t="shared" si="132"/>
        <v>1104.7979797979797</v>
      </c>
      <c r="EL122" s="149"/>
      <c r="EN122" s="146"/>
      <c r="EO122" s="146"/>
      <c r="EP122" s="139">
        <f t="shared" si="133"/>
        <v>0</v>
      </c>
      <c r="EQ122" s="139">
        <f t="shared" si="134"/>
        <v>0</v>
      </c>
      <c r="ER122" s="139">
        <f t="shared" si="135"/>
        <v>30.93854954745035</v>
      </c>
      <c r="ES122" s="139">
        <f t="shared" si="136"/>
        <v>61.414407798854285</v>
      </c>
      <c r="ET122" s="139">
        <f t="shared" si="137"/>
        <v>0</v>
      </c>
      <c r="EU122" s="139">
        <f t="shared" si="138"/>
        <v>0</v>
      </c>
      <c r="EV122" s="139">
        <f t="shared" si="139"/>
        <v>0</v>
      </c>
      <c r="EW122" s="139">
        <f t="shared" si="140"/>
        <v>0</v>
      </c>
      <c r="EX122" s="139">
        <f t="shared" si="141"/>
        <v>0</v>
      </c>
      <c r="EY122" s="139">
        <f t="shared" si="142"/>
        <v>0</v>
      </c>
      <c r="EZ122" s="139">
        <f t="shared" si="143"/>
        <v>0</v>
      </c>
      <c r="FA122" s="139">
        <f t="shared" si="144"/>
        <v>0</v>
      </c>
      <c r="FB122" s="139">
        <f t="shared" si="145"/>
        <v>0</v>
      </c>
      <c r="FC122" s="139">
        <f t="shared" si="146"/>
        <v>0</v>
      </c>
      <c r="FD122" s="139">
        <f t="shared" si="147"/>
        <v>0</v>
      </c>
      <c r="FE122" s="139">
        <f t="shared" si="148"/>
        <v>0</v>
      </c>
      <c r="FF122" s="139">
        <f t="shared" si="149"/>
        <v>0</v>
      </c>
      <c r="FG122" s="139">
        <f t="shared" si="150"/>
        <v>0</v>
      </c>
      <c r="FH122" s="139">
        <f t="shared" si="151"/>
        <v>0</v>
      </c>
      <c r="FI122" s="139">
        <f t="shared" si="152"/>
        <v>0</v>
      </c>
      <c r="FJ122" s="139">
        <f t="shared" si="153"/>
        <v>0</v>
      </c>
      <c r="FK122" s="139">
        <f t="shared" si="154"/>
        <v>0</v>
      </c>
      <c r="FL122" s="139">
        <f t="shared" si="155"/>
        <v>0</v>
      </c>
      <c r="FM122" s="139">
        <f t="shared" si="156"/>
        <v>0</v>
      </c>
      <c r="FN122" s="139">
        <f t="shared" si="157"/>
        <v>0</v>
      </c>
      <c r="FO122" s="139">
        <f t="shared" si="158"/>
        <v>0</v>
      </c>
      <c r="FP122" s="139">
        <f t="shared" si="159"/>
        <v>0</v>
      </c>
      <c r="FQ122" s="139">
        <f t="shared" si="160"/>
        <v>0</v>
      </c>
      <c r="FR122" s="139">
        <f t="shared" si="161"/>
        <v>0</v>
      </c>
      <c r="FS122" s="139">
        <f t="shared" si="162"/>
        <v>0</v>
      </c>
      <c r="FT122" s="139">
        <f t="shared" si="163"/>
        <v>0</v>
      </c>
      <c r="FU122" s="148">
        <f t="shared" si="164"/>
        <v>92.352957346304635</v>
      </c>
      <c r="FV122" s="149"/>
      <c r="FY122" s="213">
        <v>117</v>
      </c>
      <c r="FZ122">
        <v>62.06029713012294</v>
      </c>
      <c r="GA122">
        <v>72.451606768937623</v>
      </c>
      <c r="GB122">
        <v>26.812434537078257</v>
      </c>
      <c r="GC122">
        <v>7.0872220282342555</v>
      </c>
      <c r="GD122">
        <v>1.4880067474036751</v>
      </c>
      <c r="GE122">
        <v>1.6178977281419951</v>
      </c>
      <c r="GF122">
        <v>3.8240185000590707</v>
      </c>
      <c r="GG122">
        <v>5.0624950412169252</v>
      </c>
      <c r="GH122">
        <v>7.1201802643634355</v>
      </c>
      <c r="GI122">
        <v>18.387494102329903</v>
      </c>
      <c r="GJ122"/>
      <c r="GK122"/>
      <c r="GL122"/>
      <c r="GM122"/>
      <c r="GN122" s="208"/>
      <c r="GO122" s="208"/>
      <c r="GP122" s="208"/>
      <c r="GQ122" s="208"/>
      <c r="GR122" s="208"/>
      <c r="GS122" s="208"/>
      <c r="GT122" s="208"/>
      <c r="GU122" s="213">
        <v>117</v>
      </c>
    </row>
    <row r="123" spans="1:203" s="7" customFormat="1">
      <c r="A123" s="1"/>
      <c r="B123" s="76">
        <f ca="1">IF(C123="", "", RAND())</f>
        <v>0.89917231750165061</v>
      </c>
      <c r="C123">
        <v>7</v>
      </c>
      <c r="D123">
        <v>39747</v>
      </c>
      <c r="E123">
        <v>0</v>
      </c>
      <c r="F123">
        <v>744.04761904761904</v>
      </c>
      <c r="G123">
        <v>223.21428571428572</v>
      </c>
      <c r="H123">
        <v>74.404761904761912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262.8685255738618</v>
      </c>
      <c r="AO123">
        <v>23.812199527416219</v>
      </c>
      <c r="AP123">
        <v>35.683936675671319</v>
      </c>
      <c r="AQ123">
        <v>179.70757645646196</v>
      </c>
      <c r="AR123">
        <v>24.89347593271064</v>
      </c>
      <c r="AS123">
        <v>338.41277296733006</v>
      </c>
      <c r="AT123">
        <v>15.083914808988473</v>
      </c>
      <c r="AU123">
        <v>27.349569664328932</v>
      </c>
      <c r="AV123"/>
      <c r="AW123"/>
      <c r="AX123" s="146"/>
      <c r="AY123" s="76">
        <f t="shared" ca="1" si="88"/>
        <v>0.81299928067677651</v>
      </c>
      <c r="AZ123">
        <v>6</v>
      </c>
      <c r="BA123" s="129">
        <f t="shared" si="131"/>
        <v>39747</v>
      </c>
      <c r="BB123" s="207">
        <v>0</v>
      </c>
      <c r="BC123" s="207">
        <v>0</v>
      </c>
      <c r="BD123" s="207">
        <v>0</v>
      </c>
      <c r="BE123" s="207">
        <v>1</v>
      </c>
      <c r="BF123" s="207">
        <v>0</v>
      </c>
      <c r="BG123" s="207">
        <v>0</v>
      </c>
      <c r="BH123" s="207">
        <v>0</v>
      </c>
      <c r="BI123" s="207">
        <v>0</v>
      </c>
      <c r="BJ123" s="207">
        <v>0</v>
      </c>
      <c r="BK123" s="207">
        <v>0</v>
      </c>
      <c r="BL123" s="207">
        <v>0</v>
      </c>
      <c r="BM123" s="207">
        <v>0</v>
      </c>
      <c r="BN123" s="207">
        <v>0</v>
      </c>
      <c r="BO123" s="207">
        <v>0</v>
      </c>
      <c r="BP123" s="207">
        <v>0</v>
      </c>
      <c r="BQ123" s="207">
        <v>0</v>
      </c>
      <c r="BR123" s="207">
        <v>0</v>
      </c>
      <c r="BS123" s="207">
        <v>0</v>
      </c>
      <c r="BT123" s="207">
        <v>0</v>
      </c>
      <c r="BU123" s="207">
        <v>0</v>
      </c>
      <c r="BV123" s="207">
        <v>0</v>
      </c>
      <c r="BW123" s="207">
        <v>0</v>
      </c>
      <c r="BX123" s="207">
        <v>0</v>
      </c>
      <c r="BY123" s="207">
        <v>0</v>
      </c>
      <c r="BZ123" s="207">
        <v>0</v>
      </c>
      <c r="CA123" s="207">
        <v>0</v>
      </c>
      <c r="CB123" s="207">
        <v>0</v>
      </c>
      <c r="CC123" s="207">
        <v>0</v>
      </c>
      <c r="CD123" s="207">
        <v>0</v>
      </c>
      <c r="CE123" s="207">
        <v>0</v>
      </c>
      <c r="CF123" s="207">
        <v>0</v>
      </c>
      <c r="CG123" s="147"/>
      <c r="CH123" s="176"/>
      <c r="CJ123" s="146"/>
      <c r="CK123" s="76">
        <f t="shared" ca="1" si="90"/>
        <v>0.7725720223428596</v>
      </c>
      <c r="CL123" s="179">
        <f t="shared" si="91"/>
        <v>6</v>
      </c>
      <c r="CM123" s="180">
        <f t="shared" si="92"/>
        <v>39747</v>
      </c>
      <c r="CN123" s="208">
        <v>0</v>
      </c>
      <c r="CO123" s="208">
        <v>1</v>
      </c>
      <c r="CP123" s="208">
        <v>6</v>
      </c>
      <c r="CQ123" s="208">
        <v>7</v>
      </c>
      <c r="CR123" s="208">
        <v>0</v>
      </c>
      <c r="CS123" s="208">
        <v>0</v>
      </c>
      <c r="CT123" s="208">
        <v>0</v>
      </c>
      <c r="CU123" s="208">
        <v>0</v>
      </c>
      <c r="CV123" s="160"/>
      <c r="CW123" s="178">
        <v>1</v>
      </c>
      <c r="CX123">
        <f>375/60</f>
        <v>6.25</v>
      </c>
      <c r="CY123" s="160"/>
      <c r="CZ123" s="177">
        <f t="shared" si="93"/>
        <v>9.6000000000000002E-2</v>
      </c>
      <c r="DB123" s="146"/>
      <c r="DC123" s="76">
        <f t="shared" ca="1" si="51"/>
        <v>0.70970754332408248</v>
      </c>
      <c r="DD123">
        <f t="shared" si="94"/>
        <v>6</v>
      </c>
      <c r="DE123" s="129">
        <f t="shared" si="130"/>
        <v>39747</v>
      </c>
      <c r="DF123" s="161">
        <f t="shared" si="95"/>
        <v>0</v>
      </c>
      <c r="DG123" s="161">
        <f t="shared" si="96"/>
        <v>65.104166666666671</v>
      </c>
      <c r="DH123" s="161">
        <f t="shared" si="97"/>
        <v>390.625</v>
      </c>
      <c r="DI123" s="161">
        <f t="shared" si="98"/>
        <v>466.14583333333331</v>
      </c>
      <c r="DJ123" s="161">
        <f t="shared" si="99"/>
        <v>0</v>
      </c>
      <c r="DK123" s="161">
        <f t="shared" si="100"/>
        <v>0</v>
      </c>
      <c r="DL123" s="161">
        <f t="shared" si="101"/>
        <v>0</v>
      </c>
      <c r="DM123" s="161">
        <f t="shared" si="102"/>
        <v>0</v>
      </c>
      <c r="DN123" s="161">
        <f t="shared" si="103"/>
        <v>0</v>
      </c>
      <c r="DO123" s="161">
        <f t="shared" si="104"/>
        <v>0</v>
      </c>
      <c r="DP123" s="161">
        <f t="shared" si="105"/>
        <v>0</v>
      </c>
      <c r="DQ123" s="161">
        <f t="shared" si="106"/>
        <v>0</v>
      </c>
      <c r="DR123" s="161">
        <f t="shared" si="107"/>
        <v>0</v>
      </c>
      <c r="DS123" s="161">
        <f t="shared" si="108"/>
        <v>0</v>
      </c>
      <c r="DT123" s="161">
        <f t="shared" si="109"/>
        <v>0</v>
      </c>
      <c r="DU123" s="161">
        <f t="shared" si="110"/>
        <v>0</v>
      </c>
      <c r="DV123" s="161">
        <f t="shared" si="111"/>
        <v>0</v>
      </c>
      <c r="DW123" s="161">
        <f t="shared" si="112"/>
        <v>0</v>
      </c>
      <c r="DX123" s="161">
        <f t="shared" si="113"/>
        <v>0</v>
      </c>
      <c r="DY123" s="161">
        <f t="shared" si="114"/>
        <v>0</v>
      </c>
      <c r="DZ123" s="161">
        <f t="shared" si="115"/>
        <v>0</v>
      </c>
      <c r="EA123" s="161">
        <f t="shared" si="116"/>
        <v>0</v>
      </c>
      <c r="EB123" s="161">
        <f t="shared" si="117"/>
        <v>0</v>
      </c>
      <c r="EC123" s="161">
        <f t="shared" si="118"/>
        <v>0</v>
      </c>
      <c r="ED123" s="161">
        <f t="shared" si="119"/>
        <v>0</v>
      </c>
      <c r="EE123" s="161">
        <f t="shared" si="120"/>
        <v>0</v>
      </c>
      <c r="EF123" s="161">
        <f t="shared" si="121"/>
        <v>0</v>
      </c>
      <c r="EG123" s="161">
        <f t="shared" si="122"/>
        <v>0</v>
      </c>
      <c r="EH123" s="161">
        <f t="shared" si="123"/>
        <v>0</v>
      </c>
      <c r="EI123" s="161">
        <f t="shared" si="124"/>
        <v>0</v>
      </c>
      <c r="EJ123" s="161">
        <f t="shared" si="125"/>
        <v>0</v>
      </c>
      <c r="EK123" s="147">
        <f t="shared" si="132"/>
        <v>921.875</v>
      </c>
      <c r="EL123" s="149"/>
      <c r="EN123" s="146"/>
      <c r="EO123" s="146"/>
      <c r="EP123" s="139">
        <f t="shared" si="133"/>
        <v>0</v>
      </c>
      <c r="EQ123" s="139">
        <f t="shared" si="134"/>
        <v>0.47054687500000003</v>
      </c>
      <c r="ER123" s="139">
        <f t="shared" si="135"/>
        <v>18.231645269033244</v>
      </c>
      <c r="ES123" s="139">
        <f t="shared" si="136"/>
        <v>64.781233369255773</v>
      </c>
      <c r="ET123" s="139">
        <f t="shared" si="137"/>
        <v>0</v>
      </c>
      <c r="EU123" s="139">
        <f t="shared" si="138"/>
        <v>0</v>
      </c>
      <c r="EV123" s="139">
        <f t="shared" si="139"/>
        <v>0</v>
      </c>
      <c r="EW123" s="139">
        <f t="shared" si="140"/>
        <v>0</v>
      </c>
      <c r="EX123" s="139">
        <f t="shared" si="141"/>
        <v>0</v>
      </c>
      <c r="EY123" s="139">
        <f t="shared" si="142"/>
        <v>0</v>
      </c>
      <c r="EZ123" s="139">
        <f t="shared" si="143"/>
        <v>0</v>
      </c>
      <c r="FA123" s="139">
        <f t="shared" si="144"/>
        <v>0</v>
      </c>
      <c r="FB123" s="139">
        <f t="shared" si="145"/>
        <v>0</v>
      </c>
      <c r="FC123" s="139">
        <f t="shared" si="146"/>
        <v>0</v>
      </c>
      <c r="FD123" s="139">
        <f t="shared" si="147"/>
        <v>0</v>
      </c>
      <c r="FE123" s="139">
        <f t="shared" si="148"/>
        <v>0</v>
      </c>
      <c r="FF123" s="139">
        <f t="shared" si="149"/>
        <v>0</v>
      </c>
      <c r="FG123" s="139">
        <f t="shared" si="150"/>
        <v>0</v>
      </c>
      <c r="FH123" s="139">
        <f t="shared" si="151"/>
        <v>0</v>
      </c>
      <c r="FI123" s="139">
        <f t="shared" si="152"/>
        <v>0</v>
      </c>
      <c r="FJ123" s="139">
        <f t="shared" si="153"/>
        <v>0</v>
      </c>
      <c r="FK123" s="139">
        <f t="shared" si="154"/>
        <v>0</v>
      </c>
      <c r="FL123" s="139">
        <f t="shared" si="155"/>
        <v>0</v>
      </c>
      <c r="FM123" s="139">
        <f t="shared" si="156"/>
        <v>0</v>
      </c>
      <c r="FN123" s="139">
        <f t="shared" si="157"/>
        <v>0</v>
      </c>
      <c r="FO123" s="139">
        <f t="shared" si="158"/>
        <v>0</v>
      </c>
      <c r="FP123" s="139">
        <f t="shared" si="159"/>
        <v>0</v>
      </c>
      <c r="FQ123" s="139">
        <f t="shared" si="160"/>
        <v>0</v>
      </c>
      <c r="FR123" s="139">
        <f t="shared" si="161"/>
        <v>0</v>
      </c>
      <c r="FS123" s="139">
        <f t="shared" si="162"/>
        <v>0</v>
      </c>
      <c r="FT123" s="139">
        <f t="shared" si="163"/>
        <v>0</v>
      </c>
      <c r="FU123" s="148">
        <f t="shared" si="164"/>
        <v>83.483425513289021</v>
      </c>
      <c r="FV123" s="149"/>
      <c r="FY123" s="213">
        <v>118</v>
      </c>
      <c r="FZ123">
        <v>56.026871923247278</v>
      </c>
      <c r="GA123">
        <v>67.456454416411944</v>
      </c>
      <c r="GB123">
        <v>31.431845541189155</v>
      </c>
      <c r="GC123">
        <v>10.232510745281795</v>
      </c>
      <c r="GD123">
        <v>3.1919489953654612</v>
      </c>
      <c r="GE123">
        <v>7.0066407299339168</v>
      </c>
      <c r="GF123">
        <v>4.2674268109321583</v>
      </c>
      <c r="GG123">
        <v>2.0307659514332452</v>
      </c>
      <c r="GH123">
        <v>6.4190240582711553</v>
      </c>
      <c r="GI123">
        <v>19.569119970170487</v>
      </c>
      <c r="GJ123"/>
      <c r="GK123"/>
      <c r="GL123"/>
      <c r="GM123"/>
      <c r="GN123" s="208"/>
      <c r="GO123" s="208"/>
      <c r="GP123" s="208"/>
      <c r="GQ123" s="208"/>
      <c r="GR123" s="208"/>
      <c r="GS123" s="208"/>
      <c r="GT123" s="208"/>
      <c r="GU123" s="213">
        <v>118</v>
      </c>
    </row>
    <row r="124" spans="1:203" s="7" customFormat="1">
      <c r="A124" s="1"/>
      <c r="B124" s="76">
        <f ca="1">IF(C124="", "", RAND())</f>
        <v>0.74443584604782331</v>
      </c>
      <c r="C124">
        <v>10</v>
      </c>
      <c r="D124">
        <v>39747</v>
      </c>
      <c r="E124">
        <v>0</v>
      </c>
      <c r="F124">
        <v>195.3125</v>
      </c>
      <c r="G124">
        <v>65.104166666666671</v>
      </c>
      <c r="H124">
        <v>130.20833333333334</v>
      </c>
      <c r="I124">
        <v>130.20833333333334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259.11520989147505</v>
      </c>
      <c r="AO124">
        <v>21.381996133748324</v>
      </c>
      <c r="AP124">
        <v>43.662475522422739</v>
      </c>
      <c r="AQ124">
        <v>142.40755025594342</v>
      </c>
      <c r="AR124">
        <v>21.699477348447033</v>
      </c>
      <c r="AS124">
        <v>330.28283261477054</v>
      </c>
      <c r="AT124">
        <v>13.562519784218532</v>
      </c>
      <c r="AU124">
        <v>3.3986931731542676</v>
      </c>
      <c r="AV124"/>
      <c r="AW124"/>
      <c r="AX124" s="146"/>
      <c r="AY124" s="76">
        <f t="shared" ca="1" si="88"/>
        <v>0.46669439106191302</v>
      </c>
      <c r="AZ124">
        <v>7</v>
      </c>
      <c r="BA124" s="129">
        <f t="shared" si="131"/>
        <v>39747</v>
      </c>
      <c r="BB124" s="207">
        <v>0</v>
      </c>
      <c r="BC124" s="207">
        <v>0</v>
      </c>
      <c r="BD124" s="207">
        <v>0</v>
      </c>
      <c r="BE124" s="207">
        <v>0</v>
      </c>
      <c r="BF124" s="207">
        <v>0</v>
      </c>
      <c r="BG124" s="207">
        <v>0</v>
      </c>
      <c r="BH124" s="207">
        <v>0</v>
      </c>
      <c r="BI124" s="207">
        <v>0</v>
      </c>
      <c r="BJ124" s="207">
        <v>0</v>
      </c>
      <c r="BK124" s="207">
        <v>0</v>
      </c>
      <c r="BL124" s="207">
        <v>0</v>
      </c>
      <c r="BM124" s="207">
        <v>0</v>
      </c>
      <c r="BN124" s="207">
        <v>0</v>
      </c>
      <c r="BO124" s="207">
        <v>0</v>
      </c>
      <c r="BP124" s="207">
        <v>0</v>
      </c>
      <c r="BQ124" s="207">
        <v>0</v>
      </c>
      <c r="BR124" s="207">
        <v>0</v>
      </c>
      <c r="BS124" s="207">
        <v>0</v>
      </c>
      <c r="BT124" s="207">
        <v>0</v>
      </c>
      <c r="BU124" s="207">
        <v>0</v>
      </c>
      <c r="BV124" s="207">
        <v>0</v>
      </c>
      <c r="BW124" s="207">
        <v>0</v>
      </c>
      <c r="BX124" s="207">
        <v>0</v>
      </c>
      <c r="BY124" s="207">
        <v>0</v>
      </c>
      <c r="BZ124" s="207">
        <v>0</v>
      </c>
      <c r="CA124" s="207">
        <v>0</v>
      </c>
      <c r="CB124" s="207">
        <v>0</v>
      </c>
      <c r="CC124" s="207">
        <v>0</v>
      </c>
      <c r="CD124" s="207">
        <v>0</v>
      </c>
      <c r="CE124" s="207">
        <v>0</v>
      </c>
      <c r="CF124" s="207">
        <v>0</v>
      </c>
      <c r="CG124" s="147"/>
      <c r="CH124" s="176"/>
      <c r="CJ124" s="146"/>
      <c r="CK124" s="76">
        <f t="shared" ca="1" si="90"/>
        <v>0.15836727695158848</v>
      </c>
      <c r="CL124" s="179">
        <f t="shared" si="91"/>
        <v>7</v>
      </c>
      <c r="CM124" s="180">
        <f t="shared" si="92"/>
        <v>39747</v>
      </c>
      <c r="CN124" s="208">
        <v>0</v>
      </c>
      <c r="CO124" s="208">
        <v>10</v>
      </c>
      <c r="CP124" s="208">
        <v>3</v>
      </c>
      <c r="CQ124" s="208">
        <v>1</v>
      </c>
      <c r="CR124" s="208">
        <v>0</v>
      </c>
      <c r="CS124" s="208">
        <v>0</v>
      </c>
      <c r="CT124" s="208">
        <v>0</v>
      </c>
      <c r="CU124" s="208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3"/>
        <v>9.6000000000000002E-2</v>
      </c>
      <c r="DB124" s="146"/>
      <c r="DC124" s="76">
        <f t="shared" ca="1" si="51"/>
        <v>0.14496455878184489</v>
      </c>
      <c r="DD124">
        <f t="shared" si="94"/>
        <v>7</v>
      </c>
      <c r="DE124" s="129">
        <f t="shared" si="130"/>
        <v>39747</v>
      </c>
      <c r="DF124" s="161">
        <f t="shared" si="95"/>
        <v>0</v>
      </c>
      <c r="DG124" s="161">
        <f t="shared" si="96"/>
        <v>744.04761904761904</v>
      </c>
      <c r="DH124" s="161">
        <f t="shared" si="97"/>
        <v>223.21428571428572</v>
      </c>
      <c r="DI124" s="161">
        <f t="shared" si="98"/>
        <v>74.404761904761912</v>
      </c>
      <c r="DJ124" s="161">
        <f t="shared" si="99"/>
        <v>0</v>
      </c>
      <c r="DK124" s="161">
        <f t="shared" si="100"/>
        <v>0</v>
      </c>
      <c r="DL124" s="161">
        <f t="shared" si="101"/>
        <v>0</v>
      </c>
      <c r="DM124" s="161">
        <f t="shared" si="102"/>
        <v>0</v>
      </c>
      <c r="DN124" s="161">
        <f t="shared" si="103"/>
        <v>0</v>
      </c>
      <c r="DO124" s="161">
        <f t="shared" si="104"/>
        <v>0</v>
      </c>
      <c r="DP124" s="161">
        <f t="shared" si="105"/>
        <v>0</v>
      </c>
      <c r="DQ124" s="161">
        <f t="shared" si="106"/>
        <v>0</v>
      </c>
      <c r="DR124" s="161">
        <f t="shared" si="107"/>
        <v>0</v>
      </c>
      <c r="DS124" s="161">
        <f t="shared" si="108"/>
        <v>0</v>
      </c>
      <c r="DT124" s="161">
        <f t="shared" si="109"/>
        <v>0</v>
      </c>
      <c r="DU124" s="161">
        <f t="shared" si="110"/>
        <v>0</v>
      </c>
      <c r="DV124" s="161">
        <f t="shared" si="111"/>
        <v>0</v>
      </c>
      <c r="DW124" s="161">
        <f t="shared" si="112"/>
        <v>0</v>
      </c>
      <c r="DX124" s="161">
        <f t="shared" si="113"/>
        <v>0</v>
      </c>
      <c r="DY124" s="161">
        <f t="shared" si="114"/>
        <v>0</v>
      </c>
      <c r="DZ124" s="161">
        <f t="shared" si="115"/>
        <v>0</v>
      </c>
      <c r="EA124" s="161">
        <f t="shared" si="116"/>
        <v>0</v>
      </c>
      <c r="EB124" s="161">
        <f t="shared" si="117"/>
        <v>0</v>
      </c>
      <c r="EC124" s="161">
        <f t="shared" si="118"/>
        <v>0</v>
      </c>
      <c r="ED124" s="161">
        <f t="shared" si="119"/>
        <v>0</v>
      </c>
      <c r="EE124" s="161">
        <f t="shared" si="120"/>
        <v>0</v>
      </c>
      <c r="EF124" s="161">
        <f t="shared" si="121"/>
        <v>0</v>
      </c>
      <c r="EG124" s="161">
        <f t="shared" si="122"/>
        <v>0</v>
      </c>
      <c r="EH124" s="161">
        <f t="shared" si="123"/>
        <v>0</v>
      </c>
      <c r="EI124" s="161">
        <f t="shared" si="124"/>
        <v>0</v>
      </c>
      <c r="EJ124" s="161">
        <f t="shared" si="125"/>
        <v>0</v>
      </c>
      <c r="EK124" s="147">
        <f t="shared" si="132"/>
        <v>1041.6666666666667</v>
      </c>
      <c r="EL124" s="149"/>
      <c r="EN124" s="146"/>
      <c r="EO124" s="146"/>
      <c r="EP124" s="139">
        <f t="shared" si="133"/>
        <v>0</v>
      </c>
      <c r="EQ124" s="139">
        <f t="shared" si="134"/>
        <v>5.3776785714285715</v>
      </c>
      <c r="ER124" s="139">
        <f t="shared" si="135"/>
        <v>10.418083010876138</v>
      </c>
      <c r="ES124" s="139">
        <f t="shared" si="136"/>
        <v>10.340180904909142</v>
      </c>
      <c r="ET124" s="139">
        <f t="shared" si="137"/>
        <v>0</v>
      </c>
      <c r="EU124" s="139">
        <f t="shared" si="138"/>
        <v>0</v>
      </c>
      <c r="EV124" s="139">
        <f t="shared" si="139"/>
        <v>0</v>
      </c>
      <c r="EW124" s="139">
        <f t="shared" si="140"/>
        <v>0</v>
      </c>
      <c r="EX124" s="139">
        <f t="shared" si="141"/>
        <v>0</v>
      </c>
      <c r="EY124" s="139">
        <f t="shared" si="142"/>
        <v>0</v>
      </c>
      <c r="EZ124" s="139">
        <f t="shared" si="143"/>
        <v>0</v>
      </c>
      <c r="FA124" s="139">
        <f t="shared" si="144"/>
        <v>0</v>
      </c>
      <c r="FB124" s="139">
        <f t="shared" si="145"/>
        <v>0</v>
      </c>
      <c r="FC124" s="139">
        <f t="shared" si="146"/>
        <v>0</v>
      </c>
      <c r="FD124" s="139">
        <f t="shared" si="147"/>
        <v>0</v>
      </c>
      <c r="FE124" s="139">
        <f t="shared" si="148"/>
        <v>0</v>
      </c>
      <c r="FF124" s="139">
        <f t="shared" si="149"/>
        <v>0</v>
      </c>
      <c r="FG124" s="139">
        <f t="shared" si="150"/>
        <v>0</v>
      </c>
      <c r="FH124" s="139">
        <f t="shared" si="151"/>
        <v>0</v>
      </c>
      <c r="FI124" s="139">
        <f t="shared" si="152"/>
        <v>0</v>
      </c>
      <c r="FJ124" s="139">
        <f t="shared" si="153"/>
        <v>0</v>
      </c>
      <c r="FK124" s="139">
        <f t="shared" si="154"/>
        <v>0</v>
      </c>
      <c r="FL124" s="139">
        <f t="shared" si="155"/>
        <v>0</v>
      </c>
      <c r="FM124" s="139">
        <f t="shared" si="156"/>
        <v>0</v>
      </c>
      <c r="FN124" s="139">
        <f t="shared" si="157"/>
        <v>0</v>
      </c>
      <c r="FO124" s="139">
        <f t="shared" si="158"/>
        <v>0</v>
      </c>
      <c r="FP124" s="139">
        <f t="shared" si="159"/>
        <v>0</v>
      </c>
      <c r="FQ124" s="139">
        <f t="shared" si="160"/>
        <v>0</v>
      </c>
      <c r="FR124" s="139">
        <f t="shared" si="161"/>
        <v>0</v>
      </c>
      <c r="FS124" s="139">
        <f t="shared" si="162"/>
        <v>0</v>
      </c>
      <c r="FT124" s="139">
        <f t="shared" si="163"/>
        <v>0</v>
      </c>
      <c r="FU124" s="148">
        <f t="shared" si="164"/>
        <v>26.135942487213853</v>
      </c>
      <c r="FV124" s="149"/>
      <c r="FY124" s="213">
        <v>119</v>
      </c>
      <c r="FZ124">
        <v>38.214717831077145</v>
      </c>
      <c r="GA124">
        <v>18.450399258972872</v>
      </c>
      <c r="GB124">
        <v>25.247870113146408</v>
      </c>
      <c r="GC124">
        <v>14.142547864350853</v>
      </c>
      <c r="GD124">
        <v>3.1653826050196141</v>
      </c>
      <c r="GE124">
        <v>4.7548922203232475</v>
      </c>
      <c r="GF124">
        <v>4.3084971278280708</v>
      </c>
      <c r="GG124">
        <v>3.4814513594902348</v>
      </c>
      <c r="GH124">
        <v>6.1846528244043384</v>
      </c>
      <c r="GI124">
        <v>15.412054383866954</v>
      </c>
      <c r="GJ124"/>
      <c r="GK124"/>
      <c r="GL124"/>
      <c r="GM124"/>
      <c r="GN124" s="208"/>
      <c r="GO124" s="208"/>
      <c r="GP124" s="208"/>
      <c r="GQ124" s="208"/>
      <c r="GR124" s="208"/>
      <c r="GS124" s="208"/>
      <c r="GT124" s="208"/>
      <c r="GU124" s="213">
        <v>119</v>
      </c>
    </row>
    <row r="125" spans="1:203" s="7" customFormat="1">
      <c r="A125" s="1"/>
      <c r="B125" s="76">
        <f ca="1">IF(C125="", "", RAND())</f>
        <v>0.57177836402422777</v>
      </c>
      <c r="C125">
        <v>2</v>
      </c>
      <c r="D125">
        <v>39747</v>
      </c>
      <c r="E125">
        <v>0</v>
      </c>
      <c r="F125">
        <v>273.4375</v>
      </c>
      <c r="G125">
        <v>729.16666666666663</v>
      </c>
      <c r="H125">
        <v>91.145833333333329</v>
      </c>
      <c r="I125">
        <v>91.145833333333329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207.77624975979816</v>
      </c>
      <c r="AO125">
        <v>19.557476144232975</v>
      </c>
      <c r="AP125">
        <v>35.031514530653439</v>
      </c>
      <c r="AQ125">
        <v>136.21547596728473</v>
      </c>
      <c r="AR125">
        <v>21.782954231903446</v>
      </c>
      <c r="AS125">
        <v>305.42625320615048</v>
      </c>
      <c r="AT125">
        <v>13.614237264946333</v>
      </c>
      <c r="AU125">
        <v>23.18012402041153</v>
      </c>
      <c r="AV125"/>
      <c r="AW125"/>
      <c r="AX125" s="146"/>
      <c r="AY125" s="76">
        <f t="shared" ca="1" si="88"/>
        <v>0.8684645978191694</v>
      </c>
      <c r="AZ125">
        <v>8</v>
      </c>
      <c r="BA125" s="129">
        <f t="shared" si="131"/>
        <v>39747</v>
      </c>
      <c r="BB125" s="207">
        <v>0</v>
      </c>
      <c r="BC125" s="207">
        <v>0</v>
      </c>
      <c r="BD125" s="207">
        <v>0</v>
      </c>
      <c r="BE125" s="207">
        <v>0</v>
      </c>
      <c r="BF125" s="207">
        <v>0</v>
      </c>
      <c r="BG125" s="207">
        <v>0</v>
      </c>
      <c r="BH125" s="207">
        <v>0</v>
      </c>
      <c r="BI125" s="207">
        <v>0</v>
      </c>
      <c r="BJ125" s="207">
        <v>0</v>
      </c>
      <c r="BK125" s="207">
        <v>0</v>
      </c>
      <c r="BL125" s="207">
        <v>0</v>
      </c>
      <c r="BM125" s="207">
        <v>0</v>
      </c>
      <c r="BN125" s="207">
        <v>0</v>
      </c>
      <c r="BO125" s="207">
        <v>0</v>
      </c>
      <c r="BP125" s="207">
        <v>0</v>
      </c>
      <c r="BQ125" s="207">
        <v>0</v>
      </c>
      <c r="BR125" s="207">
        <v>0</v>
      </c>
      <c r="BS125" s="207">
        <v>0</v>
      </c>
      <c r="BT125" s="207">
        <v>0</v>
      </c>
      <c r="BU125" s="207">
        <v>0</v>
      </c>
      <c r="BV125" s="207">
        <v>0</v>
      </c>
      <c r="BW125" s="207">
        <v>0</v>
      </c>
      <c r="BX125" s="207">
        <v>0</v>
      </c>
      <c r="BY125" s="207">
        <v>0</v>
      </c>
      <c r="BZ125" s="207">
        <v>0</v>
      </c>
      <c r="CA125" s="207">
        <v>0</v>
      </c>
      <c r="CB125" s="207">
        <v>0</v>
      </c>
      <c r="CC125" s="207">
        <v>0</v>
      </c>
      <c r="CD125" s="207">
        <v>0</v>
      </c>
      <c r="CE125" s="207">
        <v>0</v>
      </c>
      <c r="CF125" s="207">
        <v>0</v>
      </c>
      <c r="CG125" s="147"/>
      <c r="CH125" s="176"/>
      <c r="CJ125" s="146"/>
      <c r="CK125" s="76">
        <f t="shared" ca="1" si="90"/>
        <v>0.58544243049353017</v>
      </c>
      <c r="CL125" s="179">
        <f t="shared" si="91"/>
        <v>8</v>
      </c>
      <c r="CM125" s="180">
        <f t="shared" si="92"/>
        <v>39747</v>
      </c>
      <c r="CN125" s="208">
        <v>0</v>
      </c>
      <c r="CO125" s="208">
        <v>1</v>
      </c>
      <c r="CP125" s="208">
        <v>6</v>
      </c>
      <c r="CQ125" s="208">
        <v>2</v>
      </c>
      <c r="CR125" s="208">
        <v>0</v>
      </c>
      <c r="CS125" s="208">
        <v>0</v>
      </c>
      <c r="CT125" s="208">
        <v>0</v>
      </c>
      <c r="CU125" s="208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3"/>
        <v>9.6000000000000002E-2</v>
      </c>
      <c r="DB125" s="146"/>
      <c r="DC125" s="76">
        <f t="shared" ca="1" si="51"/>
        <v>0.36793001605493036</v>
      </c>
      <c r="DD125">
        <f t="shared" si="94"/>
        <v>8</v>
      </c>
      <c r="DE125" s="129">
        <f t="shared" si="130"/>
        <v>39747</v>
      </c>
      <c r="DF125" s="161">
        <f t="shared" si="95"/>
        <v>0</v>
      </c>
      <c r="DG125" s="161">
        <f t="shared" si="96"/>
        <v>70.112179487179489</v>
      </c>
      <c r="DH125" s="161">
        <f t="shared" si="97"/>
        <v>420.67307692307696</v>
      </c>
      <c r="DI125" s="161">
        <f t="shared" si="98"/>
        <v>140.22435897435898</v>
      </c>
      <c r="DJ125" s="161">
        <f t="shared" si="99"/>
        <v>0</v>
      </c>
      <c r="DK125" s="161">
        <f t="shared" si="100"/>
        <v>0</v>
      </c>
      <c r="DL125" s="161">
        <f t="shared" si="101"/>
        <v>0</v>
      </c>
      <c r="DM125" s="161">
        <f t="shared" si="102"/>
        <v>0</v>
      </c>
      <c r="DN125" s="161">
        <f t="shared" si="103"/>
        <v>0</v>
      </c>
      <c r="DO125" s="161">
        <f t="shared" si="104"/>
        <v>0</v>
      </c>
      <c r="DP125" s="161">
        <f t="shared" si="105"/>
        <v>0</v>
      </c>
      <c r="DQ125" s="161">
        <f t="shared" si="106"/>
        <v>0</v>
      </c>
      <c r="DR125" s="161">
        <f t="shared" si="107"/>
        <v>0</v>
      </c>
      <c r="DS125" s="161">
        <f t="shared" si="108"/>
        <v>0</v>
      </c>
      <c r="DT125" s="161">
        <f t="shared" si="109"/>
        <v>0</v>
      </c>
      <c r="DU125" s="161">
        <f t="shared" si="110"/>
        <v>0</v>
      </c>
      <c r="DV125" s="161">
        <f t="shared" si="111"/>
        <v>0</v>
      </c>
      <c r="DW125" s="161">
        <f t="shared" si="112"/>
        <v>0</v>
      </c>
      <c r="DX125" s="161">
        <f t="shared" si="113"/>
        <v>0</v>
      </c>
      <c r="DY125" s="161">
        <f t="shared" si="114"/>
        <v>0</v>
      </c>
      <c r="DZ125" s="161">
        <f t="shared" si="115"/>
        <v>0</v>
      </c>
      <c r="EA125" s="161">
        <f t="shared" si="116"/>
        <v>0</v>
      </c>
      <c r="EB125" s="161">
        <f t="shared" si="117"/>
        <v>0</v>
      </c>
      <c r="EC125" s="161">
        <f t="shared" si="118"/>
        <v>0</v>
      </c>
      <c r="ED125" s="161">
        <f t="shared" si="119"/>
        <v>0</v>
      </c>
      <c r="EE125" s="161">
        <f t="shared" si="120"/>
        <v>0</v>
      </c>
      <c r="EF125" s="161">
        <f t="shared" si="121"/>
        <v>0</v>
      </c>
      <c r="EG125" s="161">
        <f t="shared" si="122"/>
        <v>0</v>
      </c>
      <c r="EH125" s="161">
        <f t="shared" si="123"/>
        <v>0</v>
      </c>
      <c r="EI125" s="161">
        <f t="shared" si="124"/>
        <v>0</v>
      </c>
      <c r="EJ125" s="161">
        <f t="shared" si="125"/>
        <v>0</v>
      </c>
      <c r="EK125" s="147">
        <f t="shared" si="132"/>
        <v>631.00961538461547</v>
      </c>
      <c r="EL125" s="149"/>
      <c r="EN125" s="146"/>
      <c r="EO125" s="146"/>
      <c r="EP125" s="139">
        <f t="shared" si="133"/>
        <v>0</v>
      </c>
      <c r="EQ125" s="139">
        <f t="shared" si="134"/>
        <v>0.50674278846153842</v>
      </c>
      <c r="ER125" s="139">
        <f t="shared" si="135"/>
        <v>19.634079520497341</v>
      </c>
      <c r="ES125" s="139">
        <f t="shared" si="136"/>
        <v>19.487264013097999</v>
      </c>
      <c r="ET125" s="139">
        <f t="shared" si="137"/>
        <v>0</v>
      </c>
      <c r="EU125" s="139">
        <f t="shared" si="138"/>
        <v>0</v>
      </c>
      <c r="EV125" s="139">
        <f t="shared" si="139"/>
        <v>0</v>
      </c>
      <c r="EW125" s="139">
        <f t="shared" si="140"/>
        <v>0</v>
      </c>
      <c r="EX125" s="139">
        <f t="shared" si="141"/>
        <v>0</v>
      </c>
      <c r="EY125" s="139">
        <f t="shared" si="142"/>
        <v>0</v>
      </c>
      <c r="EZ125" s="139">
        <f t="shared" si="143"/>
        <v>0</v>
      </c>
      <c r="FA125" s="139">
        <f t="shared" si="144"/>
        <v>0</v>
      </c>
      <c r="FB125" s="139">
        <f t="shared" si="145"/>
        <v>0</v>
      </c>
      <c r="FC125" s="139">
        <f t="shared" si="146"/>
        <v>0</v>
      </c>
      <c r="FD125" s="139">
        <f t="shared" si="147"/>
        <v>0</v>
      </c>
      <c r="FE125" s="139">
        <f t="shared" si="148"/>
        <v>0</v>
      </c>
      <c r="FF125" s="139">
        <f t="shared" si="149"/>
        <v>0</v>
      </c>
      <c r="FG125" s="139">
        <f t="shared" si="150"/>
        <v>0</v>
      </c>
      <c r="FH125" s="139">
        <f t="shared" si="151"/>
        <v>0</v>
      </c>
      <c r="FI125" s="139">
        <f t="shared" si="152"/>
        <v>0</v>
      </c>
      <c r="FJ125" s="139">
        <f t="shared" si="153"/>
        <v>0</v>
      </c>
      <c r="FK125" s="139">
        <f t="shared" si="154"/>
        <v>0</v>
      </c>
      <c r="FL125" s="139">
        <f t="shared" si="155"/>
        <v>0</v>
      </c>
      <c r="FM125" s="139">
        <f t="shared" si="156"/>
        <v>0</v>
      </c>
      <c r="FN125" s="139">
        <f t="shared" si="157"/>
        <v>0</v>
      </c>
      <c r="FO125" s="139">
        <f t="shared" si="158"/>
        <v>0</v>
      </c>
      <c r="FP125" s="139">
        <f t="shared" si="159"/>
        <v>0</v>
      </c>
      <c r="FQ125" s="139">
        <f t="shared" si="160"/>
        <v>0</v>
      </c>
      <c r="FR125" s="139">
        <f t="shared" si="161"/>
        <v>0</v>
      </c>
      <c r="FS125" s="139">
        <f t="shared" si="162"/>
        <v>0</v>
      </c>
      <c r="FT125" s="139">
        <f t="shared" si="163"/>
        <v>0</v>
      </c>
      <c r="FU125" s="148">
        <f t="shared" si="164"/>
        <v>39.628086322056873</v>
      </c>
      <c r="FV125" s="149"/>
      <c r="FY125" s="213">
        <v>120</v>
      </c>
      <c r="FZ125">
        <v>79.234545446027099</v>
      </c>
      <c r="GA125">
        <v>76.834796135255559</v>
      </c>
      <c r="GB125">
        <v>33.159908490415724</v>
      </c>
      <c r="GC125">
        <v>14.732653060013451</v>
      </c>
      <c r="GD125">
        <v>3.4222268766081303</v>
      </c>
      <c r="GE125">
        <v>2.4742926342662415</v>
      </c>
      <c r="GF125">
        <v>4.497450423033003</v>
      </c>
      <c r="GG125">
        <v>4.1873811477132055</v>
      </c>
      <c r="GH125">
        <v>1.9496084572378807</v>
      </c>
      <c r="GI125">
        <v>22.904802248553416</v>
      </c>
      <c r="GJ125"/>
      <c r="GK125"/>
      <c r="GL125"/>
      <c r="GM125"/>
      <c r="GN125" s="208"/>
      <c r="GO125" s="208"/>
      <c r="GP125" s="208"/>
      <c r="GQ125" s="208"/>
      <c r="GR125" s="208"/>
      <c r="GS125" s="208"/>
      <c r="GT125" s="208"/>
      <c r="GU125" s="213">
        <v>120</v>
      </c>
    </row>
    <row r="126" spans="1:203" s="7" customFormat="1">
      <c r="A126" s="1"/>
      <c r="B126" s="76">
        <f ca="1">IF(C126="", "", RAND())</f>
        <v>0.81841501062524458</v>
      </c>
      <c r="C126">
        <v>8</v>
      </c>
      <c r="D126">
        <v>39747</v>
      </c>
      <c r="E126">
        <v>0</v>
      </c>
      <c r="F126">
        <v>70.112179487179489</v>
      </c>
      <c r="G126">
        <v>420.67307692307696</v>
      </c>
      <c r="H126">
        <v>140.22435897435898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169.95557800993535</v>
      </c>
      <c r="AO126">
        <v>19.960659565409269</v>
      </c>
      <c r="AP126">
        <v>15.510052187536143</v>
      </c>
      <c r="AQ126">
        <v>146.7469745076402</v>
      </c>
      <c r="AR126">
        <v>21.850400858940532</v>
      </c>
      <c r="AS126">
        <v>315.17698347593432</v>
      </c>
      <c r="AT126">
        <v>12.835303334368492</v>
      </c>
      <c r="AU126">
        <v>22.174576372755094</v>
      </c>
      <c r="AV126"/>
      <c r="AW126"/>
      <c r="AX126" s="146"/>
      <c r="AY126" s="76">
        <f t="shared" ca="1" si="88"/>
        <v>0.71663536646059356</v>
      </c>
      <c r="AZ126">
        <v>9</v>
      </c>
      <c r="BA126" s="129">
        <f t="shared" si="131"/>
        <v>39747</v>
      </c>
      <c r="BB126" s="207">
        <v>0</v>
      </c>
      <c r="BC126" s="207">
        <v>0</v>
      </c>
      <c r="BD126" s="207">
        <v>0</v>
      </c>
      <c r="BE126" s="207">
        <v>0</v>
      </c>
      <c r="BF126" s="207">
        <v>0</v>
      </c>
      <c r="BG126" s="207">
        <v>0</v>
      </c>
      <c r="BH126" s="207">
        <v>0</v>
      </c>
      <c r="BI126" s="207">
        <v>0</v>
      </c>
      <c r="BJ126" s="207">
        <v>0</v>
      </c>
      <c r="BK126" s="207">
        <v>0</v>
      </c>
      <c r="BL126" s="207">
        <v>0</v>
      </c>
      <c r="BM126" s="207">
        <v>0</v>
      </c>
      <c r="BN126" s="207">
        <v>0</v>
      </c>
      <c r="BO126" s="207">
        <v>0</v>
      </c>
      <c r="BP126" s="207">
        <v>0</v>
      </c>
      <c r="BQ126" s="207">
        <v>0</v>
      </c>
      <c r="BR126" s="207">
        <v>0</v>
      </c>
      <c r="BS126" s="207">
        <v>0</v>
      </c>
      <c r="BT126" s="207">
        <v>0</v>
      </c>
      <c r="BU126" s="207">
        <v>0</v>
      </c>
      <c r="BV126" s="207">
        <v>0</v>
      </c>
      <c r="BW126" s="207">
        <v>0</v>
      </c>
      <c r="BX126" s="207">
        <v>0</v>
      </c>
      <c r="BY126" s="207">
        <v>0</v>
      </c>
      <c r="BZ126" s="207">
        <v>0</v>
      </c>
      <c r="CA126" s="207">
        <v>0</v>
      </c>
      <c r="CB126" s="207">
        <v>0</v>
      </c>
      <c r="CC126" s="207">
        <v>0</v>
      </c>
      <c r="CD126" s="207">
        <v>0</v>
      </c>
      <c r="CE126" s="207">
        <v>0</v>
      </c>
      <c r="CF126" s="207">
        <v>0</v>
      </c>
      <c r="CG126" s="147"/>
      <c r="CH126" s="176"/>
      <c r="CJ126" s="146"/>
      <c r="CK126" s="76">
        <f t="shared" ca="1" si="90"/>
        <v>0.62879660187039232</v>
      </c>
      <c r="CL126" s="179">
        <f t="shared" si="91"/>
        <v>9</v>
      </c>
      <c r="CM126" s="180">
        <f t="shared" si="92"/>
        <v>39747</v>
      </c>
      <c r="CN126" s="208">
        <v>0</v>
      </c>
      <c r="CO126" s="208">
        <v>2</v>
      </c>
      <c r="CP126" s="208">
        <v>0</v>
      </c>
      <c r="CQ126" s="208">
        <v>4</v>
      </c>
      <c r="CR126" s="208">
        <v>0</v>
      </c>
      <c r="CS126" s="208">
        <v>0</v>
      </c>
      <c r="CT126" s="208">
        <v>0</v>
      </c>
      <c r="CU126" s="208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3"/>
        <v>9.6000000000000002E-2</v>
      </c>
      <c r="DB126" s="146"/>
      <c r="DC126" s="76">
        <f t="shared" ca="1" si="51"/>
        <v>0.38264094745640898</v>
      </c>
      <c r="DD126">
        <f t="shared" si="94"/>
        <v>9</v>
      </c>
      <c r="DE126" s="129">
        <f t="shared" si="130"/>
        <v>39747</v>
      </c>
      <c r="DF126" s="161">
        <f t="shared" si="95"/>
        <v>0</v>
      </c>
      <c r="DG126" s="161">
        <f t="shared" si="96"/>
        <v>177.84552845528455</v>
      </c>
      <c r="DH126" s="161">
        <f t="shared" si="97"/>
        <v>0</v>
      </c>
      <c r="DI126" s="161">
        <f t="shared" si="98"/>
        <v>355.6910569105691</v>
      </c>
      <c r="DJ126" s="161">
        <f t="shared" si="99"/>
        <v>0</v>
      </c>
      <c r="DK126" s="161">
        <f t="shared" si="100"/>
        <v>0</v>
      </c>
      <c r="DL126" s="161">
        <f t="shared" si="101"/>
        <v>0</v>
      </c>
      <c r="DM126" s="161">
        <f t="shared" si="102"/>
        <v>0</v>
      </c>
      <c r="DN126" s="161">
        <f t="shared" si="103"/>
        <v>0</v>
      </c>
      <c r="DO126" s="161">
        <f t="shared" si="104"/>
        <v>0</v>
      </c>
      <c r="DP126" s="161">
        <f t="shared" si="105"/>
        <v>0</v>
      </c>
      <c r="DQ126" s="161">
        <f t="shared" si="106"/>
        <v>0</v>
      </c>
      <c r="DR126" s="161">
        <f t="shared" si="107"/>
        <v>0</v>
      </c>
      <c r="DS126" s="161">
        <f t="shared" si="108"/>
        <v>0</v>
      </c>
      <c r="DT126" s="161">
        <f t="shared" si="109"/>
        <v>0</v>
      </c>
      <c r="DU126" s="161">
        <f t="shared" si="110"/>
        <v>0</v>
      </c>
      <c r="DV126" s="161">
        <f t="shared" si="111"/>
        <v>0</v>
      </c>
      <c r="DW126" s="161">
        <f t="shared" si="112"/>
        <v>0</v>
      </c>
      <c r="DX126" s="161">
        <f t="shared" si="113"/>
        <v>0</v>
      </c>
      <c r="DY126" s="161">
        <f t="shared" si="114"/>
        <v>0</v>
      </c>
      <c r="DZ126" s="161">
        <f t="shared" si="115"/>
        <v>0</v>
      </c>
      <c r="EA126" s="161">
        <f t="shared" si="116"/>
        <v>0</v>
      </c>
      <c r="EB126" s="161">
        <f t="shared" si="117"/>
        <v>0</v>
      </c>
      <c r="EC126" s="161">
        <f t="shared" si="118"/>
        <v>0</v>
      </c>
      <c r="ED126" s="161">
        <f t="shared" si="119"/>
        <v>0</v>
      </c>
      <c r="EE126" s="161">
        <f t="shared" si="120"/>
        <v>0</v>
      </c>
      <c r="EF126" s="161">
        <f t="shared" si="121"/>
        <v>0</v>
      </c>
      <c r="EG126" s="161">
        <f t="shared" si="122"/>
        <v>0</v>
      </c>
      <c r="EH126" s="161">
        <f t="shared" si="123"/>
        <v>0</v>
      </c>
      <c r="EI126" s="161">
        <f t="shared" si="124"/>
        <v>0</v>
      </c>
      <c r="EJ126" s="161">
        <f t="shared" si="125"/>
        <v>0</v>
      </c>
      <c r="EK126" s="147">
        <f t="shared" si="132"/>
        <v>533.53658536585363</v>
      </c>
      <c r="EL126" s="149"/>
      <c r="EN126" s="146"/>
      <c r="EO126" s="146"/>
      <c r="EP126" s="139">
        <f t="shared" si="133"/>
        <v>0</v>
      </c>
      <c r="EQ126" s="139">
        <f t="shared" si="134"/>
        <v>1.2853963414634146</v>
      </c>
      <c r="ER126" s="139">
        <f t="shared" si="135"/>
        <v>0</v>
      </c>
      <c r="ES126" s="139">
        <f t="shared" si="136"/>
        <v>49.431108716151016</v>
      </c>
      <c r="ET126" s="139">
        <f t="shared" si="137"/>
        <v>0</v>
      </c>
      <c r="EU126" s="139">
        <f t="shared" si="138"/>
        <v>0</v>
      </c>
      <c r="EV126" s="139">
        <f t="shared" si="139"/>
        <v>0</v>
      </c>
      <c r="EW126" s="139">
        <f t="shared" si="140"/>
        <v>0</v>
      </c>
      <c r="EX126" s="139">
        <f t="shared" si="141"/>
        <v>0</v>
      </c>
      <c r="EY126" s="139">
        <f t="shared" si="142"/>
        <v>0</v>
      </c>
      <c r="EZ126" s="139">
        <f t="shared" si="143"/>
        <v>0</v>
      </c>
      <c r="FA126" s="139">
        <f t="shared" si="144"/>
        <v>0</v>
      </c>
      <c r="FB126" s="139">
        <f t="shared" si="145"/>
        <v>0</v>
      </c>
      <c r="FC126" s="139">
        <f t="shared" si="146"/>
        <v>0</v>
      </c>
      <c r="FD126" s="139">
        <f t="shared" si="147"/>
        <v>0</v>
      </c>
      <c r="FE126" s="139">
        <f t="shared" si="148"/>
        <v>0</v>
      </c>
      <c r="FF126" s="139">
        <f t="shared" si="149"/>
        <v>0</v>
      </c>
      <c r="FG126" s="139">
        <f t="shared" si="150"/>
        <v>0</v>
      </c>
      <c r="FH126" s="139">
        <f t="shared" si="151"/>
        <v>0</v>
      </c>
      <c r="FI126" s="139">
        <f t="shared" si="152"/>
        <v>0</v>
      </c>
      <c r="FJ126" s="139">
        <f t="shared" si="153"/>
        <v>0</v>
      </c>
      <c r="FK126" s="139">
        <f t="shared" si="154"/>
        <v>0</v>
      </c>
      <c r="FL126" s="139">
        <f t="shared" si="155"/>
        <v>0</v>
      </c>
      <c r="FM126" s="139">
        <f t="shared" si="156"/>
        <v>0</v>
      </c>
      <c r="FN126" s="139">
        <f t="shared" si="157"/>
        <v>0</v>
      </c>
      <c r="FO126" s="139">
        <f t="shared" si="158"/>
        <v>0</v>
      </c>
      <c r="FP126" s="139">
        <f t="shared" si="159"/>
        <v>0</v>
      </c>
      <c r="FQ126" s="139">
        <f t="shared" si="160"/>
        <v>0</v>
      </c>
      <c r="FR126" s="139">
        <f t="shared" si="161"/>
        <v>0</v>
      </c>
      <c r="FS126" s="139">
        <f t="shared" si="162"/>
        <v>0</v>
      </c>
      <c r="FT126" s="139">
        <f t="shared" si="163"/>
        <v>0</v>
      </c>
      <c r="FU126" s="148">
        <f t="shared" si="164"/>
        <v>50.716505057614434</v>
      </c>
      <c r="FV126" s="149"/>
      <c r="FY126" s="213">
        <v>121</v>
      </c>
      <c r="FZ126">
        <v>39.111686692856232</v>
      </c>
      <c r="GA126">
        <v>27.574421659496995</v>
      </c>
      <c r="GB126">
        <v>30.011863460257292</v>
      </c>
      <c r="GC126">
        <v>14.199775377296412</v>
      </c>
      <c r="GD126">
        <v>3.7296871965951728</v>
      </c>
      <c r="GE126">
        <v>6.8303774678648228</v>
      </c>
      <c r="GF126">
        <v>5.3985529133479719</v>
      </c>
      <c r="GG126">
        <v>5.7198958650890095</v>
      </c>
      <c r="GH126">
        <v>11.549806184088421</v>
      </c>
      <c r="GI126">
        <v>18.079422251966555</v>
      </c>
      <c r="GJ126"/>
      <c r="GK126"/>
      <c r="GL126"/>
      <c r="GM126"/>
      <c r="GN126" s="208"/>
      <c r="GO126" s="208"/>
      <c r="GP126" s="208"/>
      <c r="GQ126" s="208"/>
      <c r="GR126" s="208"/>
      <c r="GS126" s="208"/>
      <c r="GT126" s="208"/>
      <c r="GU126" s="213">
        <v>121</v>
      </c>
    </row>
    <row r="127" spans="1:203" s="7" customFormat="1">
      <c r="A127" s="1"/>
      <c r="B127" s="76">
        <f ca="1">IF(C127="", "", RAND())</f>
        <v>0.42580237898306539</v>
      </c>
      <c r="C127">
        <v>1</v>
      </c>
      <c r="D127">
        <v>39747</v>
      </c>
      <c r="E127">
        <v>0</v>
      </c>
      <c r="F127">
        <v>173.61111111111111</v>
      </c>
      <c r="G127">
        <v>607.63888888888891</v>
      </c>
      <c r="H127">
        <v>434.02777777777783</v>
      </c>
      <c r="I127">
        <v>347.22222222222223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271.81491177431485</v>
      </c>
      <c r="AO127">
        <v>23.629080176124351</v>
      </c>
      <c r="AP127">
        <v>27.421366230648587</v>
      </c>
      <c r="AQ127">
        <v>174.08528536983775</v>
      </c>
      <c r="AR127">
        <v>23.968993076821739</v>
      </c>
      <c r="AS127">
        <v>387.03742213756021</v>
      </c>
      <c r="AT127">
        <v>14.387218229530065</v>
      </c>
      <c r="AU127">
        <v>3.7341702446760578</v>
      </c>
      <c r="AV127"/>
      <c r="AW127"/>
      <c r="AX127" s="146"/>
      <c r="AY127" s="76">
        <f t="shared" ca="1" si="88"/>
        <v>0.11908661262010711</v>
      </c>
      <c r="AZ127">
        <v>10</v>
      </c>
      <c r="BA127" s="129">
        <f t="shared" si="131"/>
        <v>39747</v>
      </c>
      <c r="BB127" s="207">
        <v>0</v>
      </c>
      <c r="BC127" s="207">
        <v>0</v>
      </c>
      <c r="BD127" s="207">
        <v>0</v>
      </c>
      <c r="BE127" s="207">
        <v>0</v>
      </c>
      <c r="BF127" s="207">
        <v>0</v>
      </c>
      <c r="BG127" s="207">
        <v>0</v>
      </c>
      <c r="BH127" s="207">
        <v>0</v>
      </c>
      <c r="BI127" s="207">
        <v>0</v>
      </c>
      <c r="BJ127" s="207">
        <v>0</v>
      </c>
      <c r="BK127" s="207">
        <v>0</v>
      </c>
      <c r="BL127" s="207">
        <v>0</v>
      </c>
      <c r="BM127" s="207">
        <v>0</v>
      </c>
      <c r="BN127" s="207">
        <v>0</v>
      </c>
      <c r="BO127" s="207">
        <v>0</v>
      </c>
      <c r="BP127" s="207">
        <v>0</v>
      </c>
      <c r="BQ127" s="207">
        <v>0</v>
      </c>
      <c r="BR127" s="207">
        <v>0</v>
      </c>
      <c r="BS127" s="207">
        <v>0</v>
      </c>
      <c r="BT127" s="207">
        <v>0</v>
      </c>
      <c r="BU127" s="207">
        <v>0</v>
      </c>
      <c r="BV127" s="207">
        <v>0</v>
      </c>
      <c r="BW127" s="207">
        <v>0</v>
      </c>
      <c r="BX127" s="207">
        <v>0</v>
      </c>
      <c r="BY127" s="207">
        <v>0</v>
      </c>
      <c r="BZ127" s="207">
        <v>0</v>
      </c>
      <c r="CA127" s="207">
        <v>0</v>
      </c>
      <c r="CB127" s="207">
        <v>0</v>
      </c>
      <c r="CC127" s="207">
        <v>0</v>
      </c>
      <c r="CD127" s="207">
        <v>0</v>
      </c>
      <c r="CE127" s="207">
        <v>0</v>
      </c>
      <c r="CF127" s="207">
        <v>0</v>
      </c>
      <c r="CG127" s="147"/>
      <c r="CH127" s="176"/>
      <c r="CJ127" s="146"/>
      <c r="CK127" s="76">
        <f t="shared" ca="1" si="90"/>
        <v>0.91471145519822095</v>
      </c>
      <c r="CL127" s="179">
        <f t="shared" si="91"/>
        <v>10</v>
      </c>
      <c r="CM127" s="180">
        <f t="shared" si="92"/>
        <v>39747</v>
      </c>
      <c r="CN127" s="208">
        <v>0</v>
      </c>
      <c r="CO127" s="208">
        <v>3</v>
      </c>
      <c r="CP127" s="208">
        <v>1</v>
      </c>
      <c r="CQ127" s="208">
        <v>2</v>
      </c>
      <c r="CR127" s="208">
        <v>2</v>
      </c>
      <c r="CS127" s="208">
        <v>0</v>
      </c>
      <c r="CT127" s="208">
        <v>0</v>
      </c>
      <c r="CU127" s="208">
        <v>0</v>
      </c>
      <c r="CV127" s="160"/>
      <c r="CW127" s="178">
        <v>1</v>
      </c>
      <c r="CX127">
        <f>350/56</f>
        <v>6.25</v>
      </c>
      <c r="CY127" s="164"/>
      <c r="CZ127" s="177">
        <f t="shared" si="93"/>
        <v>9.6000000000000002E-2</v>
      </c>
      <c r="DB127" s="146"/>
      <c r="DC127" s="76">
        <f t="shared" ca="1" si="51"/>
        <v>0.55697093950657628</v>
      </c>
      <c r="DD127">
        <f t="shared" si="94"/>
        <v>10</v>
      </c>
      <c r="DE127" s="129">
        <f t="shared" si="130"/>
        <v>39747</v>
      </c>
      <c r="DF127" s="161">
        <f t="shared" si="95"/>
        <v>0</v>
      </c>
      <c r="DG127" s="161">
        <f t="shared" si="96"/>
        <v>195.3125</v>
      </c>
      <c r="DH127" s="161">
        <f t="shared" si="97"/>
        <v>65.104166666666671</v>
      </c>
      <c r="DI127" s="161">
        <f t="shared" si="98"/>
        <v>130.20833333333334</v>
      </c>
      <c r="DJ127" s="161">
        <f t="shared" si="99"/>
        <v>130.20833333333334</v>
      </c>
      <c r="DK127" s="161">
        <f t="shared" si="100"/>
        <v>0</v>
      </c>
      <c r="DL127" s="161">
        <f t="shared" si="101"/>
        <v>0</v>
      </c>
      <c r="DM127" s="161">
        <f t="shared" si="102"/>
        <v>0</v>
      </c>
      <c r="DN127" s="161">
        <f t="shared" si="103"/>
        <v>0</v>
      </c>
      <c r="DO127" s="161">
        <f t="shared" si="104"/>
        <v>0</v>
      </c>
      <c r="DP127" s="161">
        <f t="shared" si="105"/>
        <v>0</v>
      </c>
      <c r="DQ127" s="161">
        <f t="shared" si="106"/>
        <v>0</v>
      </c>
      <c r="DR127" s="161">
        <f t="shared" si="107"/>
        <v>0</v>
      </c>
      <c r="DS127" s="161">
        <f t="shared" si="108"/>
        <v>0</v>
      </c>
      <c r="DT127" s="161">
        <f t="shared" si="109"/>
        <v>0</v>
      </c>
      <c r="DU127" s="161">
        <f t="shared" si="110"/>
        <v>0</v>
      </c>
      <c r="DV127" s="161">
        <f t="shared" si="111"/>
        <v>0</v>
      </c>
      <c r="DW127" s="161">
        <f t="shared" si="112"/>
        <v>0</v>
      </c>
      <c r="DX127" s="161">
        <f t="shared" si="113"/>
        <v>0</v>
      </c>
      <c r="DY127" s="161">
        <f t="shared" si="114"/>
        <v>0</v>
      </c>
      <c r="DZ127" s="161">
        <f t="shared" si="115"/>
        <v>0</v>
      </c>
      <c r="EA127" s="161">
        <f t="shared" si="116"/>
        <v>0</v>
      </c>
      <c r="EB127" s="161">
        <f t="shared" si="117"/>
        <v>0</v>
      </c>
      <c r="EC127" s="161">
        <f t="shared" si="118"/>
        <v>0</v>
      </c>
      <c r="ED127" s="161">
        <f t="shared" si="119"/>
        <v>0</v>
      </c>
      <c r="EE127" s="161">
        <f t="shared" si="120"/>
        <v>0</v>
      </c>
      <c r="EF127" s="161">
        <f t="shared" si="121"/>
        <v>0</v>
      </c>
      <c r="EG127" s="161">
        <f t="shared" si="122"/>
        <v>0</v>
      </c>
      <c r="EH127" s="161">
        <f t="shared" si="123"/>
        <v>0</v>
      </c>
      <c r="EI127" s="161">
        <f t="shared" si="124"/>
        <v>0</v>
      </c>
      <c r="EJ127" s="161">
        <f t="shared" si="125"/>
        <v>0</v>
      </c>
      <c r="EK127" s="147">
        <f t="shared" si="132"/>
        <v>520.83333333333337</v>
      </c>
      <c r="EL127" s="149"/>
      <c r="EN127" s="146"/>
      <c r="EO127" s="146"/>
      <c r="EP127" s="139">
        <f t="shared" si="133"/>
        <v>0</v>
      </c>
      <c r="EQ127" s="139">
        <f t="shared" si="134"/>
        <v>1.411640625</v>
      </c>
      <c r="ER127" s="139">
        <f t="shared" si="135"/>
        <v>3.0386075448388739</v>
      </c>
      <c r="ES127" s="139">
        <f t="shared" si="136"/>
        <v>18.095316583591</v>
      </c>
      <c r="ET127" s="139">
        <f t="shared" si="137"/>
        <v>39.244276403075581</v>
      </c>
      <c r="EU127" s="139">
        <f t="shared" si="138"/>
        <v>0</v>
      </c>
      <c r="EV127" s="139">
        <f t="shared" si="139"/>
        <v>0</v>
      </c>
      <c r="EW127" s="139">
        <f t="shared" si="140"/>
        <v>0</v>
      </c>
      <c r="EX127" s="139">
        <f t="shared" si="141"/>
        <v>0</v>
      </c>
      <c r="EY127" s="139">
        <f t="shared" si="142"/>
        <v>0</v>
      </c>
      <c r="EZ127" s="139">
        <f t="shared" si="143"/>
        <v>0</v>
      </c>
      <c r="FA127" s="139">
        <f t="shared" si="144"/>
        <v>0</v>
      </c>
      <c r="FB127" s="139">
        <f t="shared" si="145"/>
        <v>0</v>
      </c>
      <c r="FC127" s="139">
        <f t="shared" si="146"/>
        <v>0</v>
      </c>
      <c r="FD127" s="139">
        <f t="shared" si="147"/>
        <v>0</v>
      </c>
      <c r="FE127" s="139">
        <f t="shared" si="148"/>
        <v>0</v>
      </c>
      <c r="FF127" s="139">
        <f t="shared" si="149"/>
        <v>0</v>
      </c>
      <c r="FG127" s="139">
        <f t="shared" si="150"/>
        <v>0</v>
      </c>
      <c r="FH127" s="139">
        <f t="shared" si="151"/>
        <v>0</v>
      </c>
      <c r="FI127" s="139">
        <f t="shared" si="152"/>
        <v>0</v>
      </c>
      <c r="FJ127" s="139">
        <f t="shared" si="153"/>
        <v>0</v>
      </c>
      <c r="FK127" s="139">
        <f t="shared" si="154"/>
        <v>0</v>
      </c>
      <c r="FL127" s="139">
        <f t="shared" si="155"/>
        <v>0</v>
      </c>
      <c r="FM127" s="139">
        <f t="shared" si="156"/>
        <v>0</v>
      </c>
      <c r="FN127" s="139">
        <f t="shared" si="157"/>
        <v>0</v>
      </c>
      <c r="FO127" s="139">
        <f t="shared" si="158"/>
        <v>0</v>
      </c>
      <c r="FP127" s="139">
        <f t="shared" si="159"/>
        <v>0</v>
      </c>
      <c r="FQ127" s="139">
        <f t="shared" si="160"/>
        <v>0</v>
      </c>
      <c r="FR127" s="139">
        <f t="shared" si="161"/>
        <v>0</v>
      </c>
      <c r="FS127" s="139">
        <f t="shared" si="162"/>
        <v>0</v>
      </c>
      <c r="FT127" s="139">
        <f t="shared" si="163"/>
        <v>0</v>
      </c>
      <c r="FU127" s="148">
        <f t="shared" si="164"/>
        <v>61.789841156505453</v>
      </c>
      <c r="FV127" s="149"/>
      <c r="FY127" s="213">
        <v>122</v>
      </c>
      <c r="FZ127">
        <v>48.578379340261918</v>
      </c>
      <c r="GA127">
        <v>64.141101435315605</v>
      </c>
      <c r="GB127">
        <v>39.251537895855776</v>
      </c>
      <c r="GC127">
        <v>12.543554208293317</v>
      </c>
      <c r="GD127">
        <v>5.2761177306183082</v>
      </c>
      <c r="GE127">
        <v>8.9637980737643268</v>
      </c>
      <c r="GF127">
        <v>6.7841195621572865</v>
      </c>
      <c r="GG127">
        <v>3.4379032150973678</v>
      </c>
      <c r="GH127">
        <v>5.5485677417807393</v>
      </c>
      <c r="GI127">
        <v>21.914324419480888</v>
      </c>
      <c r="GJ127"/>
      <c r="GK127"/>
      <c r="GL127"/>
      <c r="GM127"/>
      <c r="GN127" s="208"/>
      <c r="GO127" s="208"/>
      <c r="GP127" s="208"/>
      <c r="GQ127" s="208"/>
      <c r="GR127" s="208"/>
      <c r="GS127" s="208"/>
      <c r="GT127" s="208"/>
      <c r="GU127" s="213">
        <v>122</v>
      </c>
    </row>
    <row r="128" spans="1:203" s="7" customFormat="1">
      <c r="A128" s="128"/>
      <c r="B128" s="76">
        <f ca="1">IF(C128="", "", RAND())</f>
        <v>0.4989428279741015</v>
      </c>
      <c r="C128">
        <v>3</v>
      </c>
      <c r="D128">
        <v>39775</v>
      </c>
      <c r="E128">
        <v>0</v>
      </c>
      <c r="F128">
        <v>0</v>
      </c>
      <c r="G128">
        <v>52.083333333333336</v>
      </c>
      <c r="H128">
        <v>166.66666666666666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322.98533839293475</v>
      </c>
      <c r="AO128">
        <v>30.462325317121053</v>
      </c>
      <c r="AP128">
        <v>36.907680038163484</v>
      </c>
      <c r="AQ128">
        <v>221.32814101078279</v>
      </c>
      <c r="AR128">
        <v>30.485269088716407</v>
      </c>
      <c r="AS128">
        <v>467.28982429253176</v>
      </c>
      <c r="AT128">
        <v>19.003993693761895</v>
      </c>
      <c r="AU128">
        <v>-24.306232173379406</v>
      </c>
      <c r="AV128"/>
      <c r="AW128"/>
      <c r="AX128" s="128"/>
      <c r="AY128" s="76">
        <f t="shared" ca="1" si="88"/>
        <v>0.13950093978642508</v>
      </c>
      <c r="AZ128">
        <v>1</v>
      </c>
      <c r="BA128" s="129">
        <f>IF(AZ128="", "",$C$8)</f>
        <v>39775</v>
      </c>
      <c r="BB128" s="207">
        <v>0</v>
      </c>
      <c r="BC128" s="207">
        <v>0</v>
      </c>
      <c r="BD128" s="207">
        <v>0</v>
      </c>
      <c r="BE128" s="207">
        <v>1</v>
      </c>
      <c r="BF128" s="207">
        <v>1</v>
      </c>
      <c r="BG128" s="207">
        <v>0</v>
      </c>
      <c r="BH128" s="207">
        <v>0</v>
      </c>
      <c r="BI128" s="207">
        <v>0</v>
      </c>
      <c r="BJ128" s="207">
        <v>0</v>
      </c>
      <c r="BK128" s="207">
        <v>0</v>
      </c>
      <c r="BL128" s="207">
        <v>0</v>
      </c>
      <c r="BM128" s="207">
        <v>0</v>
      </c>
      <c r="BN128" s="207">
        <v>0</v>
      </c>
      <c r="BO128" s="207">
        <v>0</v>
      </c>
      <c r="BP128" s="207">
        <v>0</v>
      </c>
      <c r="BQ128" s="207">
        <v>0</v>
      </c>
      <c r="BR128" s="207">
        <v>0</v>
      </c>
      <c r="BS128" s="207">
        <v>0</v>
      </c>
      <c r="BT128" s="207">
        <v>0</v>
      </c>
      <c r="BU128" s="207">
        <v>0</v>
      </c>
      <c r="BV128" s="207">
        <v>0</v>
      </c>
      <c r="BW128" s="207">
        <v>0</v>
      </c>
      <c r="BX128" s="207">
        <v>0</v>
      </c>
      <c r="BY128" s="207">
        <v>0</v>
      </c>
      <c r="BZ128" s="207">
        <v>0</v>
      </c>
      <c r="CA128" s="207">
        <v>0</v>
      </c>
      <c r="CB128" s="207">
        <v>0</v>
      </c>
      <c r="CC128" s="207">
        <v>0</v>
      </c>
      <c r="CD128" s="207">
        <v>0</v>
      </c>
      <c r="CE128" s="207">
        <v>0</v>
      </c>
      <c r="CF128" s="207">
        <v>0</v>
      </c>
      <c r="CG128" s="147"/>
      <c r="CH128" s="176"/>
      <c r="CJ128" s="128"/>
      <c r="CK128" s="76">
        <f t="shared" ca="1" si="90"/>
        <v>2.4181630639740881E-2</v>
      </c>
      <c r="CL128" s="179">
        <f t="shared" si="91"/>
        <v>1</v>
      </c>
      <c r="CM128" s="180">
        <f t="shared" si="92"/>
        <v>39775</v>
      </c>
      <c r="CN128" s="208">
        <v>0</v>
      </c>
      <c r="CO128" s="208">
        <v>2</v>
      </c>
      <c r="CP128" s="208">
        <v>0</v>
      </c>
      <c r="CQ128" s="208">
        <v>0</v>
      </c>
      <c r="CR128" s="208">
        <v>0</v>
      </c>
      <c r="CS128" s="208">
        <v>0</v>
      </c>
      <c r="CT128" s="208">
        <v>0</v>
      </c>
      <c r="CU128" s="20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3"/>
        <v>9.6000000000000002E-2</v>
      </c>
      <c r="DB128" s="128"/>
      <c r="DC128" s="76">
        <f t="shared" ca="1" si="51"/>
        <v>0.47356172017265763</v>
      </c>
      <c r="DD128">
        <f t="shared" si="94"/>
        <v>1</v>
      </c>
      <c r="DE128" s="129">
        <f t="shared" ref="DE128:DE137" si="165">IF((DD128)="", "", $C$8)</f>
        <v>39775</v>
      </c>
      <c r="DF128" s="161">
        <f t="shared" si="95"/>
        <v>0</v>
      </c>
      <c r="DG128" s="161">
        <f t="shared" si="96"/>
        <v>43.75</v>
      </c>
      <c r="DH128" s="161">
        <f t="shared" si="97"/>
        <v>0</v>
      </c>
      <c r="DI128" s="161">
        <f t="shared" si="98"/>
        <v>32.051282051282051</v>
      </c>
      <c r="DJ128" s="161">
        <f t="shared" si="99"/>
        <v>32.051282051282051</v>
      </c>
      <c r="DK128" s="161">
        <f t="shared" si="100"/>
        <v>0</v>
      </c>
      <c r="DL128" s="161">
        <f t="shared" si="101"/>
        <v>0</v>
      </c>
      <c r="DM128" s="161">
        <f t="shared" si="102"/>
        <v>0</v>
      </c>
      <c r="DN128" s="161">
        <f t="shared" si="103"/>
        <v>0</v>
      </c>
      <c r="DO128" s="161">
        <f t="shared" si="104"/>
        <v>0</v>
      </c>
      <c r="DP128" s="161">
        <f t="shared" si="105"/>
        <v>0</v>
      </c>
      <c r="DQ128" s="161">
        <f t="shared" si="106"/>
        <v>0</v>
      </c>
      <c r="DR128" s="161">
        <f t="shared" si="107"/>
        <v>0</v>
      </c>
      <c r="DS128" s="161">
        <f t="shared" si="108"/>
        <v>0</v>
      </c>
      <c r="DT128" s="161">
        <f t="shared" si="109"/>
        <v>0</v>
      </c>
      <c r="DU128" s="161">
        <f t="shared" si="110"/>
        <v>0</v>
      </c>
      <c r="DV128" s="161">
        <f t="shared" si="111"/>
        <v>0</v>
      </c>
      <c r="DW128" s="161">
        <f t="shared" si="112"/>
        <v>0</v>
      </c>
      <c r="DX128" s="161">
        <f t="shared" si="113"/>
        <v>0</v>
      </c>
      <c r="DY128" s="161">
        <f t="shared" si="114"/>
        <v>0</v>
      </c>
      <c r="DZ128" s="161">
        <f t="shared" si="115"/>
        <v>0</v>
      </c>
      <c r="EA128" s="161">
        <f t="shared" si="116"/>
        <v>0</v>
      </c>
      <c r="EB128" s="161">
        <f t="shared" si="117"/>
        <v>0</v>
      </c>
      <c r="EC128" s="161">
        <f t="shared" si="118"/>
        <v>0</v>
      </c>
      <c r="ED128" s="161">
        <f t="shared" si="119"/>
        <v>0</v>
      </c>
      <c r="EE128" s="161">
        <f t="shared" si="120"/>
        <v>0</v>
      </c>
      <c r="EF128" s="161">
        <f t="shared" si="121"/>
        <v>0</v>
      </c>
      <c r="EG128" s="161">
        <f t="shared" si="122"/>
        <v>0</v>
      </c>
      <c r="EH128" s="161">
        <f t="shared" si="123"/>
        <v>0</v>
      </c>
      <c r="EI128" s="161">
        <f t="shared" si="124"/>
        <v>0</v>
      </c>
      <c r="EJ128" s="161">
        <f t="shared" si="125"/>
        <v>0</v>
      </c>
      <c r="EK128" s="147">
        <f t="shared" si="132"/>
        <v>107.85256410256409</v>
      </c>
      <c r="EL128" s="149"/>
      <c r="EN128" s="146"/>
      <c r="EO128" s="146"/>
      <c r="EP128" s="139">
        <f t="shared" si="133"/>
        <v>0</v>
      </c>
      <c r="EQ128" s="139">
        <f t="shared" si="134"/>
        <v>0.31620749999999997</v>
      </c>
      <c r="ER128" s="139">
        <f t="shared" si="135"/>
        <v>0</v>
      </c>
      <c r="ES128" s="139">
        <f t="shared" si="136"/>
        <v>4.4542317744223991</v>
      </c>
      <c r="ET128" s="139">
        <f t="shared" si="137"/>
        <v>9.6601295761416797</v>
      </c>
      <c r="EU128" s="139">
        <f t="shared" si="138"/>
        <v>0</v>
      </c>
      <c r="EV128" s="139">
        <f t="shared" si="139"/>
        <v>0</v>
      </c>
      <c r="EW128" s="139">
        <f t="shared" si="140"/>
        <v>0</v>
      </c>
      <c r="EX128" s="139">
        <f t="shared" si="141"/>
        <v>0</v>
      </c>
      <c r="EY128" s="139">
        <f t="shared" si="142"/>
        <v>0</v>
      </c>
      <c r="EZ128" s="139">
        <f t="shared" si="143"/>
        <v>0</v>
      </c>
      <c r="FA128" s="139">
        <f t="shared" si="144"/>
        <v>0</v>
      </c>
      <c r="FB128" s="139">
        <f t="shared" si="145"/>
        <v>0</v>
      </c>
      <c r="FC128" s="139">
        <f t="shared" si="146"/>
        <v>0</v>
      </c>
      <c r="FD128" s="139">
        <f t="shared" si="147"/>
        <v>0</v>
      </c>
      <c r="FE128" s="139">
        <f t="shared" si="148"/>
        <v>0</v>
      </c>
      <c r="FF128" s="139">
        <f t="shared" si="149"/>
        <v>0</v>
      </c>
      <c r="FG128" s="139">
        <f t="shared" si="150"/>
        <v>0</v>
      </c>
      <c r="FH128" s="139">
        <f t="shared" si="151"/>
        <v>0</v>
      </c>
      <c r="FI128" s="139">
        <f t="shared" si="152"/>
        <v>0</v>
      </c>
      <c r="FJ128" s="139">
        <f t="shared" si="153"/>
        <v>0</v>
      </c>
      <c r="FK128" s="139">
        <f t="shared" si="154"/>
        <v>0</v>
      </c>
      <c r="FL128" s="139">
        <f t="shared" si="155"/>
        <v>0</v>
      </c>
      <c r="FM128" s="139">
        <f t="shared" si="156"/>
        <v>0</v>
      </c>
      <c r="FN128" s="139">
        <f t="shared" si="157"/>
        <v>0</v>
      </c>
      <c r="FO128" s="139">
        <f t="shared" si="158"/>
        <v>0</v>
      </c>
      <c r="FP128" s="139">
        <f t="shared" si="159"/>
        <v>0</v>
      </c>
      <c r="FQ128" s="139">
        <f t="shared" si="160"/>
        <v>0</v>
      </c>
      <c r="FR128" s="139">
        <f t="shared" si="161"/>
        <v>0</v>
      </c>
      <c r="FS128" s="139">
        <f t="shared" si="162"/>
        <v>0</v>
      </c>
      <c r="FT128" s="139">
        <f t="shared" si="163"/>
        <v>0</v>
      </c>
      <c r="FU128" s="148">
        <f t="shared" si="164"/>
        <v>14.430568850564079</v>
      </c>
      <c r="FV128" s="149"/>
      <c r="FY128" s="213">
        <v>123</v>
      </c>
      <c r="FZ128">
        <v>66.333337405955731</v>
      </c>
      <c r="GA128">
        <v>62.784447762878912</v>
      </c>
      <c r="GB128">
        <v>42.676082412884384</v>
      </c>
      <c r="GC128">
        <v>17.35215630489504</v>
      </c>
      <c r="GD128">
        <v>3.1234589198532459</v>
      </c>
      <c r="GE128">
        <v>4.9747281993292471</v>
      </c>
      <c r="GF128">
        <v>0.93151250629356486</v>
      </c>
      <c r="GG128">
        <v>0.45405093095016613</v>
      </c>
      <c r="GH128">
        <v>7.9449227155926128</v>
      </c>
      <c r="GI128">
        <v>23.455490965511078</v>
      </c>
      <c r="GJ128"/>
      <c r="GK128"/>
      <c r="GL128"/>
      <c r="GM128"/>
      <c r="GN128" s="208"/>
      <c r="GO128" s="208"/>
      <c r="GP128" s="208"/>
      <c r="GQ128" s="208"/>
      <c r="GR128" s="208"/>
      <c r="GS128" s="208"/>
      <c r="GT128" s="208"/>
      <c r="GU128" s="213">
        <v>123</v>
      </c>
    </row>
    <row r="129" spans="1:203" s="7" customFormat="1">
      <c r="A129" s="1"/>
      <c r="B129" s="76">
        <f ca="1">IF(C129="", "", RAND())</f>
        <v>0.76298431625887631</v>
      </c>
      <c r="C129">
        <v>2</v>
      </c>
      <c r="D129">
        <v>39775</v>
      </c>
      <c r="E129">
        <v>0</v>
      </c>
      <c r="F129">
        <v>18.939393939393938</v>
      </c>
      <c r="G129">
        <v>132.57575757575756</v>
      </c>
      <c r="H129">
        <v>18.939393939393938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346.28440586770074</v>
      </c>
      <c r="AO129">
        <v>31.810362692832712</v>
      </c>
      <c r="AP129">
        <v>27.805277536598709</v>
      </c>
      <c r="AQ129">
        <v>230.92769932369424</v>
      </c>
      <c r="AR129">
        <v>32.46572404081811</v>
      </c>
      <c r="AS129">
        <v>475.54690737804634</v>
      </c>
      <c r="AT129">
        <v>20.061398114195914</v>
      </c>
      <c r="AU129">
        <v>-2.3818115215944715</v>
      </c>
      <c r="AV129"/>
      <c r="AW129"/>
      <c r="AX129" s="146"/>
      <c r="AY129" s="76">
        <f t="shared" ca="1" si="88"/>
        <v>3.8702117983291595E-2</v>
      </c>
      <c r="AZ129">
        <v>2</v>
      </c>
      <c r="BA129" s="129">
        <f t="shared" ref="BA129:BA137" si="166">IF(AZ129="", "",$C$8)</f>
        <v>39775</v>
      </c>
      <c r="BB129" s="207">
        <v>0</v>
      </c>
      <c r="BC129" s="207">
        <v>0</v>
      </c>
      <c r="BD129" s="207">
        <v>0</v>
      </c>
      <c r="BE129" s="207">
        <v>0</v>
      </c>
      <c r="BF129" s="207">
        <v>0</v>
      </c>
      <c r="BG129" s="207">
        <v>0</v>
      </c>
      <c r="BH129" s="207">
        <v>0</v>
      </c>
      <c r="BI129" s="207">
        <v>0</v>
      </c>
      <c r="BJ129" s="207">
        <v>0</v>
      </c>
      <c r="BK129" s="207">
        <v>0</v>
      </c>
      <c r="BL129" s="207">
        <v>0</v>
      </c>
      <c r="BM129" s="207">
        <v>0</v>
      </c>
      <c r="BN129" s="207">
        <v>0</v>
      </c>
      <c r="BO129" s="207">
        <v>0</v>
      </c>
      <c r="BP129" s="207">
        <v>0</v>
      </c>
      <c r="BQ129" s="207">
        <v>0</v>
      </c>
      <c r="BR129" s="207">
        <v>0</v>
      </c>
      <c r="BS129" s="207">
        <v>0</v>
      </c>
      <c r="BT129" s="207">
        <v>0</v>
      </c>
      <c r="BU129" s="207">
        <v>0</v>
      </c>
      <c r="BV129" s="207">
        <v>0</v>
      </c>
      <c r="BW129" s="207">
        <v>0</v>
      </c>
      <c r="BX129" s="207">
        <v>0</v>
      </c>
      <c r="BY129" s="207">
        <v>0</v>
      </c>
      <c r="BZ129" s="207">
        <v>0</v>
      </c>
      <c r="CA129" s="207">
        <v>0</v>
      </c>
      <c r="CB129" s="207">
        <v>0</v>
      </c>
      <c r="CC129" s="207">
        <v>0</v>
      </c>
      <c r="CD129" s="207">
        <v>0</v>
      </c>
      <c r="CE129" s="207">
        <v>0</v>
      </c>
      <c r="CF129" s="207">
        <v>0</v>
      </c>
      <c r="CG129" s="147"/>
      <c r="CH129" s="176"/>
      <c r="CJ129" s="146"/>
      <c r="CK129" s="76">
        <f t="shared" ca="1" si="90"/>
        <v>0.40061633669068186</v>
      </c>
      <c r="CL129" s="179">
        <f t="shared" si="91"/>
        <v>2</v>
      </c>
      <c r="CM129" s="180">
        <f t="shared" si="92"/>
        <v>39775</v>
      </c>
      <c r="CN129" s="208">
        <v>0</v>
      </c>
      <c r="CO129" s="208">
        <v>1</v>
      </c>
      <c r="CP129" s="208">
        <v>7</v>
      </c>
      <c r="CQ129" s="208">
        <v>1</v>
      </c>
      <c r="CR129" s="208">
        <v>0</v>
      </c>
      <c r="CS129" s="208">
        <v>0</v>
      </c>
      <c r="CT129" s="208">
        <v>0</v>
      </c>
      <c r="CU129" s="208">
        <v>0</v>
      </c>
      <c r="CV129" s="160"/>
      <c r="CW129">
        <v>1</v>
      </c>
      <c r="CX129">
        <f>20/11</f>
        <v>1.8181818181818181</v>
      </c>
      <c r="CY129" s="160"/>
      <c r="CZ129" s="177">
        <f t="shared" si="93"/>
        <v>9.6000000000000002E-2</v>
      </c>
      <c r="DB129" s="146"/>
      <c r="DC129" s="76">
        <f t="shared" ca="1" si="51"/>
        <v>0.10346350335260457</v>
      </c>
      <c r="DD129">
        <f t="shared" si="94"/>
        <v>2</v>
      </c>
      <c r="DE129" s="129">
        <f t="shared" si="165"/>
        <v>39775</v>
      </c>
      <c r="DF129" s="161">
        <f t="shared" si="95"/>
        <v>0</v>
      </c>
      <c r="DG129" s="161">
        <f t="shared" si="96"/>
        <v>18.939393939393938</v>
      </c>
      <c r="DH129" s="161">
        <f t="shared" si="97"/>
        <v>132.57575757575756</v>
      </c>
      <c r="DI129" s="161">
        <f t="shared" si="98"/>
        <v>18.939393939393938</v>
      </c>
      <c r="DJ129" s="161">
        <f t="shared" si="99"/>
        <v>0</v>
      </c>
      <c r="DK129" s="161">
        <f t="shared" si="100"/>
        <v>0</v>
      </c>
      <c r="DL129" s="161">
        <f t="shared" si="101"/>
        <v>0</v>
      </c>
      <c r="DM129" s="161">
        <f t="shared" si="102"/>
        <v>0</v>
      </c>
      <c r="DN129" s="161">
        <f t="shared" si="103"/>
        <v>0</v>
      </c>
      <c r="DO129" s="161">
        <f t="shared" si="104"/>
        <v>0</v>
      </c>
      <c r="DP129" s="161">
        <f t="shared" si="105"/>
        <v>0</v>
      </c>
      <c r="DQ129" s="161">
        <f t="shared" si="106"/>
        <v>0</v>
      </c>
      <c r="DR129" s="161">
        <f t="shared" si="107"/>
        <v>0</v>
      </c>
      <c r="DS129" s="161">
        <f t="shared" si="108"/>
        <v>0</v>
      </c>
      <c r="DT129" s="161">
        <f t="shared" si="109"/>
        <v>0</v>
      </c>
      <c r="DU129" s="161">
        <f t="shared" si="110"/>
        <v>0</v>
      </c>
      <c r="DV129" s="161">
        <f t="shared" si="111"/>
        <v>0</v>
      </c>
      <c r="DW129" s="161">
        <f t="shared" si="112"/>
        <v>0</v>
      </c>
      <c r="DX129" s="161">
        <f t="shared" si="113"/>
        <v>0</v>
      </c>
      <c r="DY129" s="161">
        <f t="shared" si="114"/>
        <v>0</v>
      </c>
      <c r="DZ129" s="161">
        <f t="shared" si="115"/>
        <v>0</v>
      </c>
      <c r="EA129" s="161">
        <f t="shared" si="116"/>
        <v>0</v>
      </c>
      <c r="EB129" s="161">
        <f t="shared" si="117"/>
        <v>0</v>
      </c>
      <c r="EC129" s="161">
        <f t="shared" si="118"/>
        <v>0</v>
      </c>
      <c r="ED129" s="161">
        <f t="shared" si="119"/>
        <v>0</v>
      </c>
      <c r="EE129" s="161">
        <f t="shared" si="120"/>
        <v>0</v>
      </c>
      <c r="EF129" s="161">
        <f t="shared" si="121"/>
        <v>0</v>
      </c>
      <c r="EG129" s="161">
        <f t="shared" si="122"/>
        <v>0</v>
      </c>
      <c r="EH129" s="161">
        <f t="shared" si="123"/>
        <v>0</v>
      </c>
      <c r="EI129" s="161">
        <f t="shared" si="124"/>
        <v>0</v>
      </c>
      <c r="EJ129" s="161">
        <f t="shared" si="125"/>
        <v>0</v>
      </c>
      <c r="EK129" s="147">
        <f t="shared" si="132"/>
        <v>170.45454545454544</v>
      </c>
      <c r="EL129" s="149"/>
      <c r="EN129" s="146"/>
      <c r="EO129" s="146"/>
      <c r="EP129" s="139">
        <f t="shared" si="133"/>
        <v>0</v>
      </c>
      <c r="EQ129" s="139">
        <f t="shared" si="134"/>
        <v>0.13688636363636361</v>
      </c>
      <c r="ER129" s="139">
        <f t="shared" si="135"/>
        <v>6.1877099094900698</v>
      </c>
      <c r="ES129" s="139">
        <f t="shared" si="136"/>
        <v>2.6320460485223265</v>
      </c>
      <c r="ET129" s="139">
        <f t="shared" si="137"/>
        <v>0</v>
      </c>
      <c r="EU129" s="139">
        <f t="shared" si="138"/>
        <v>0</v>
      </c>
      <c r="EV129" s="139">
        <f t="shared" si="139"/>
        <v>0</v>
      </c>
      <c r="EW129" s="139">
        <f t="shared" si="140"/>
        <v>0</v>
      </c>
      <c r="EX129" s="139">
        <f t="shared" si="141"/>
        <v>0</v>
      </c>
      <c r="EY129" s="139">
        <f t="shared" si="142"/>
        <v>0</v>
      </c>
      <c r="EZ129" s="139">
        <f t="shared" si="143"/>
        <v>0</v>
      </c>
      <c r="FA129" s="139">
        <f t="shared" si="144"/>
        <v>0</v>
      </c>
      <c r="FB129" s="139">
        <f t="shared" si="145"/>
        <v>0</v>
      </c>
      <c r="FC129" s="139">
        <f t="shared" si="146"/>
        <v>0</v>
      </c>
      <c r="FD129" s="139">
        <f t="shared" si="147"/>
        <v>0</v>
      </c>
      <c r="FE129" s="139">
        <f t="shared" si="148"/>
        <v>0</v>
      </c>
      <c r="FF129" s="139">
        <f t="shared" si="149"/>
        <v>0</v>
      </c>
      <c r="FG129" s="139">
        <f t="shared" si="150"/>
        <v>0</v>
      </c>
      <c r="FH129" s="139">
        <f t="shared" si="151"/>
        <v>0</v>
      </c>
      <c r="FI129" s="139">
        <f t="shared" si="152"/>
        <v>0</v>
      </c>
      <c r="FJ129" s="139">
        <f t="shared" si="153"/>
        <v>0</v>
      </c>
      <c r="FK129" s="139">
        <f t="shared" si="154"/>
        <v>0</v>
      </c>
      <c r="FL129" s="139">
        <f t="shared" si="155"/>
        <v>0</v>
      </c>
      <c r="FM129" s="139">
        <f t="shared" si="156"/>
        <v>0</v>
      </c>
      <c r="FN129" s="139">
        <f t="shared" si="157"/>
        <v>0</v>
      </c>
      <c r="FO129" s="139">
        <f t="shared" si="158"/>
        <v>0</v>
      </c>
      <c r="FP129" s="139">
        <f t="shared" si="159"/>
        <v>0</v>
      </c>
      <c r="FQ129" s="139">
        <f t="shared" si="160"/>
        <v>0</v>
      </c>
      <c r="FR129" s="139">
        <f t="shared" si="161"/>
        <v>0</v>
      </c>
      <c r="FS129" s="139">
        <f t="shared" si="162"/>
        <v>0</v>
      </c>
      <c r="FT129" s="139">
        <f t="shared" si="163"/>
        <v>0</v>
      </c>
      <c r="FU129" s="148">
        <f t="shared" si="164"/>
        <v>8.9566423216487596</v>
      </c>
      <c r="FV129" s="149"/>
      <c r="FY129" s="213">
        <v>124</v>
      </c>
      <c r="FZ129">
        <v>53.119287164216111</v>
      </c>
      <c r="GA129">
        <v>25.393866110401021</v>
      </c>
      <c r="GB129">
        <v>19.554647193558274</v>
      </c>
      <c r="GC129">
        <v>11.219946074705103</v>
      </c>
      <c r="GD129">
        <v>2.9250143167417542</v>
      </c>
      <c r="GE129">
        <v>3.7879590998151755</v>
      </c>
      <c r="GF129">
        <v>4.9444843015575675</v>
      </c>
      <c r="GG129">
        <v>9.4608330714752196</v>
      </c>
      <c r="GH129">
        <v>13.915633349492852</v>
      </c>
      <c r="GI129">
        <v>17.39465147204907</v>
      </c>
      <c r="GJ129"/>
      <c r="GK129"/>
      <c r="GL129"/>
      <c r="GM129"/>
      <c r="GN129" s="208"/>
      <c r="GO129" s="208"/>
      <c r="GP129" s="208"/>
      <c r="GQ129" s="208"/>
      <c r="GR129" s="208"/>
      <c r="GS129" s="208"/>
      <c r="GT129" s="208"/>
      <c r="GU129" s="213">
        <v>124</v>
      </c>
    </row>
    <row r="130" spans="1:203" s="7" customFormat="1">
      <c r="A130" s="1"/>
      <c r="B130" s="76">
        <f ca="1">IF(C130="", "", RAND())</f>
        <v>0.48152448788809643</v>
      </c>
      <c r="C130">
        <v>10</v>
      </c>
      <c r="D130">
        <v>39775</v>
      </c>
      <c r="E130">
        <v>10.416666666666666</v>
      </c>
      <c r="F130">
        <v>62.5</v>
      </c>
      <c r="G130">
        <v>83.333333333333329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223.38529187495587</v>
      </c>
      <c r="AO130">
        <v>20.998723682264135</v>
      </c>
      <c r="AP130">
        <v>21.586225889183712</v>
      </c>
      <c r="AQ130">
        <v>151.75645913383153</v>
      </c>
      <c r="AR130">
        <v>21.567925860130387</v>
      </c>
      <c r="AS130">
        <v>301.46163780545771</v>
      </c>
      <c r="AT130">
        <v>13.231593775774551</v>
      </c>
      <c r="AU130">
        <v>-6.1565786191269609</v>
      </c>
      <c r="AV130"/>
      <c r="AW130"/>
      <c r="AX130" s="146"/>
      <c r="AY130" s="76">
        <f t="shared" ca="1" si="88"/>
        <v>0.98140181714428909</v>
      </c>
      <c r="AZ130">
        <v>3</v>
      </c>
      <c r="BA130" s="129">
        <f t="shared" si="166"/>
        <v>39775</v>
      </c>
      <c r="BB130" s="207">
        <v>0</v>
      </c>
      <c r="BC130" s="207">
        <v>0</v>
      </c>
      <c r="BD130" s="207">
        <v>0</v>
      </c>
      <c r="BE130" s="207">
        <v>1</v>
      </c>
      <c r="BF130" s="207">
        <v>0</v>
      </c>
      <c r="BG130" s="207">
        <v>0</v>
      </c>
      <c r="BH130" s="207">
        <v>0</v>
      </c>
      <c r="BI130" s="207">
        <v>0</v>
      </c>
      <c r="BJ130" s="207">
        <v>0</v>
      </c>
      <c r="BK130" s="207">
        <v>0</v>
      </c>
      <c r="BL130" s="207">
        <v>0</v>
      </c>
      <c r="BM130" s="207">
        <v>0</v>
      </c>
      <c r="BN130" s="207">
        <v>0</v>
      </c>
      <c r="BO130" s="207">
        <v>0</v>
      </c>
      <c r="BP130" s="207">
        <v>0</v>
      </c>
      <c r="BQ130" s="207">
        <v>0</v>
      </c>
      <c r="BR130" s="207">
        <v>0</v>
      </c>
      <c r="BS130" s="207">
        <v>0</v>
      </c>
      <c r="BT130" s="207">
        <v>0</v>
      </c>
      <c r="BU130" s="207">
        <v>0</v>
      </c>
      <c r="BV130" s="207">
        <v>0</v>
      </c>
      <c r="BW130" s="207">
        <v>0</v>
      </c>
      <c r="BX130" s="207">
        <v>0</v>
      </c>
      <c r="BY130" s="207">
        <v>0</v>
      </c>
      <c r="BZ130" s="207">
        <v>0</v>
      </c>
      <c r="CA130" s="207">
        <v>0</v>
      </c>
      <c r="CB130" s="207">
        <v>0</v>
      </c>
      <c r="CC130" s="207">
        <v>0</v>
      </c>
      <c r="CD130" s="207">
        <v>0</v>
      </c>
      <c r="CE130" s="207">
        <v>0</v>
      </c>
      <c r="CF130" s="207">
        <v>0</v>
      </c>
      <c r="CG130" s="147"/>
      <c r="CH130" s="176"/>
      <c r="CJ130" s="146"/>
      <c r="CK130" s="76">
        <f t="shared" ca="1" si="90"/>
        <v>0.24130601444981004</v>
      </c>
      <c r="CL130" s="179">
        <f t="shared" si="91"/>
        <v>3</v>
      </c>
      <c r="CM130" s="180">
        <f t="shared" si="92"/>
        <v>39775</v>
      </c>
      <c r="CN130" s="208">
        <v>0</v>
      </c>
      <c r="CO130" s="208">
        <v>0</v>
      </c>
      <c r="CP130" s="208">
        <v>1</v>
      </c>
      <c r="CQ130" s="208">
        <v>3</v>
      </c>
      <c r="CR130" s="208">
        <v>0</v>
      </c>
      <c r="CS130" s="208">
        <v>0</v>
      </c>
      <c r="CT130" s="208">
        <v>0</v>
      </c>
      <c r="CU130" s="208">
        <v>0</v>
      </c>
      <c r="CV130" s="160"/>
      <c r="CW130">
        <v>1</v>
      </c>
      <c r="CX130">
        <f>50/10</f>
        <v>5</v>
      </c>
      <c r="CY130" s="160"/>
      <c r="CZ130" s="177">
        <f t="shared" si="93"/>
        <v>9.6000000000000002E-2</v>
      </c>
      <c r="DB130" s="146"/>
      <c r="DC130" s="76">
        <f t="shared" ca="1" si="51"/>
        <v>0.91102317944855393</v>
      </c>
      <c r="DD130">
        <f t="shared" si="94"/>
        <v>3</v>
      </c>
      <c r="DE130" s="129">
        <f t="shared" si="165"/>
        <v>39775</v>
      </c>
      <c r="DF130" s="161">
        <f t="shared" si="95"/>
        <v>0</v>
      </c>
      <c r="DG130" s="161">
        <f t="shared" si="96"/>
        <v>0</v>
      </c>
      <c r="DH130" s="161">
        <f t="shared" si="97"/>
        <v>52.083333333333336</v>
      </c>
      <c r="DI130" s="161">
        <f t="shared" si="98"/>
        <v>166.66666666666666</v>
      </c>
      <c r="DJ130" s="161">
        <f t="shared" si="99"/>
        <v>0</v>
      </c>
      <c r="DK130" s="161">
        <f t="shared" si="100"/>
        <v>0</v>
      </c>
      <c r="DL130" s="161">
        <f t="shared" si="101"/>
        <v>0</v>
      </c>
      <c r="DM130" s="161">
        <f t="shared" si="102"/>
        <v>0</v>
      </c>
      <c r="DN130" s="161">
        <f t="shared" si="103"/>
        <v>0</v>
      </c>
      <c r="DO130" s="161">
        <f t="shared" si="104"/>
        <v>0</v>
      </c>
      <c r="DP130" s="161">
        <f t="shared" si="105"/>
        <v>0</v>
      </c>
      <c r="DQ130" s="161">
        <f t="shared" si="106"/>
        <v>0</v>
      </c>
      <c r="DR130" s="161">
        <f t="shared" si="107"/>
        <v>0</v>
      </c>
      <c r="DS130" s="161">
        <f t="shared" si="108"/>
        <v>0</v>
      </c>
      <c r="DT130" s="161">
        <f t="shared" si="109"/>
        <v>0</v>
      </c>
      <c r="DU130" s="161">
        <f t="shared" si="110"/>
        <v>0</v>
      </c>
      <c r="DV130" s="161">
        <f t="shared" si="111"/>
        <v>0</v>
      </c>
      <c r="DW130" s="161">
        <f t="shared" si="112"/>
        <v>0</v>
      </c>
      <c r="DX130" s="161">
        <f t="shared" si="113"/>
        <v>0</v>
      </c>
      <c r="DY130" s="161">
        <f t="shared" si="114"/>
        <v>0</v>
      </c>
      <c r="DZ130" s="161">
        <f t="shared" si="115"/>
        <v>0</v>
      </c>
      <c r="EA130" s="161">
        <f t="shared" si="116"/>
        <v>0</v>
      </c>
      <c r="EB130" s="161">
        <f t="shared" si="117"/>
        <v>0</v>
      </c>
      <c r="EC130" s="161">
        <f t="shared" si="118"/>
        <v>0</v>
      </c>
      <c r="ED130" s="161">
        <f t="shared" si="119"/>
        <v>0</v>
      </c>
      <c r="EE130" s="161">
        <f t="shared" si="120"/>
        <v>0</v>
      </c>
      <c r="EF130" s="161">
        <f t="shared" si="121"/>
        <v>0</v>
      </c>
      <c r="EG130" s="161">
        <f t="shared" si="122"/>
        <v>0</v>
      </c>
      <c r="EH130" s="161">
        <f t="shared" si="123"/>
        <v>0</v>
      </c>
      <c r="EI130" s="161">
        <f t="shared" si="124"/>
        <v>0</v>
      </c>
      <c r="EJ130" s="161">
        <f t="shared" si="125"/>
        <v>0</v>
      </c>
      <c r="EK130" s="147">
        <f t="shared" si="132"/>
        <v>218.75</v>
      </c>
      <c r="EL130" s="149"/>
      <c r="EN130" s="146"/>
      <c r="EO130" s="146"/>
      <c r="EP130" s="139">
        <f t="shared" si="133"/>
        <v>0</v>
      </c>
      <c r="EQ130" s="139">
        <f t="shared" si="134"/>
        <v>0</v>
      </c>
      <c r="ER130" s="139">
        <f t="shared" si="135"/>
        <v>2.4308860358710991</v>
      </c>
      <c r="ES130" s="139">
        <f t="shared" si="136"/>
        <v>23.162005226996474</v>
      </c>
      <c r="ET130" s="139">
        <f t="shared" si="137"/>
        <v>0</v>
      </c>
      <c r="EU130" s="139">
        <f t="shared" si="138"/>
        <v>0</v>
      </c>
      <c r="EV130" s="139">
        <f t="shared" si="139"/>
        <v>0</v>
      </c>
      <c r="EW130" s="139">
        <f t="shared" si="140"/>
        <v>0</v>
      </c>
      <c r="EX130" s="139">
        <f t="shared" si="141"/>
        <v>0</v>
      </c>
      <c r="EY130" s="139">
        <f t="shared" si="142"/>
        <v>0</v>
      </c>
      <c r="EZ130" s="139">
        <f t="shared" si="143"/>
        <v>0</v>
      </c>
      <c r="FA130" s="139">
        <f t="shared" si="144"/>
        <v>0</v>
      </c>
      <c r="FB130" s="139">
        <f t="shared" si="145"/>
        <v>0</v>
      </c>
      <c r="FC130" s="139">
        <f t="shared" si="146"/>
        <v>0</v>
      </c>
      <c r="FD130" s="139">
        <f t="shared" si="147"/>
        <v>0</v>
      </c>
      <c r="FE130" s="139">
        <f t="shared" si="148"/>
        <v>0</v>
      </c>
      <c r="FF130" s="139">
        <f t="shared" si="149"/>
        <v>0</v>
      </c>
      <c r="FG130" s="139">
        <f t="shared" si="150"/>
        <v>0</v>
      </c>
      <c r="FH130" s="139">
        <f t="shared" si="151"/>
        <v>0</v>
      </c>
      <c r="FI130" s="139">
        <f t="shared" si="152"/>
        <v>0</v>
      </c>
      <c r="FJ130" s="139">
        <f t="shared" si="153"/>
        <v>0</v>
      </c>
      <c r="FK130" s="139">
        <f t="shared" si="154"/>
        <v>0</v>
      </c>
      <c r="FL130" s="139">
        <f t="shared" si="155"/>
        <v>0</v>
      </c>
      <c r="FM130" s="139">
        <f t="shared" si="156"/>
        <v>0</v>
      </c>
      <c r="FN130" s="139">
        <f t="shared" si="157"/>
        <v>0</v>
      </c>
      <c r="FO130" s="139">
        <f t="shared" si="158"/>
        <v>0</v>
      </c>
      <c r="FP130" s="139">
        <f t="shared" si="159"/>
        <v>0</v>
      </c>
      <c r="FQ130" s="139">
        <f t="shared" si="160"/>
        <v>0</v>
      </c>
      <c r="FR130" s="139">
        <f t="shared" si="161"/>
        <v>0</v>
      </c>
      <c r="FS130" s="139">
        <f t="shared" si="162"/>
        <v>0</v>
      </c>
      <c r="FT130" s="139">
        <f t="shared" si="163"/>
        <v>0</v>
      </c>
      <c r="FU130" s="148">
        <f t="shared" si="164"/>
        <v>25.592891262867575</v>
      </c>
      <c r="FV130" s="149"/>
      <c r="FY130" s="213">
        <v>125</v>
      </c>
      <c r="FZ130">
        <v>58.952923328808694</v>
      </c>
      <c r="GA130">
        <v>56.284084987849006</v>
      </c>
      <c r="GB130">
        <v>33.790523058495964</v>
      </c>
      <c r="GC130">
        <v>14.041068033998542</v>
      </c>
      <c r="GD130">
        <v>4.0932200415587019</v>
      </c>
      <c r="GE130">
        <v>5.5794462939594904</v>
      </c>
      <c r="GF130">
        <v>4.5420213919917138</v>
      </c>
      <c r="GG130">
        <v>5.842510159677559</v>
      </c>
      <c r="GH130">
        <v>5.3968313251539346</v>
      </c>
      <c r="GI130">
        <v>20.997702558283752</v>
      </c>
      <c r="GJ130"/>
      <c r="GK130"/>
      <c r="GL130"/>
      <c r="GM130"/>
      <c r="GN130" s="208"/>
      <c r="GO130" s="208"/>
      <c r="GP130" s="208"/>
      <c r="GQ130" s="208"/>
      <c r="GR130" s="208"/>
      <c r="GS130" s="208"/>
      <c r="GT130" s="208"/>
      <c r="GU130" s="213">
        <v>125</v>
      </c>
    </row>
    <row r="131" spans="1:203" s="7" customFormat="1">
      <c r="A131" s="1"/>
      <c r="B131" s="76">
        <f ca="1">IF(C131="", "", RAND())</f>
        <v>0.64881142448824214</v>
      </c>
      <c r="C131">
        <v>8</v>
      </c>
      <c r="D131">
        <v>39775</v>
      </c>
      <c r="E131">
        <v>0</v>
      </c>
      <c r="F131">
        <v>52.083333333333336</v>
      </c>
      <c r="G131">
        <v>52.083333333333336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235.69462996237016</v>
      </c>
      <c r="AO131">
        <v>21.437528631599527</v>
      </c>
      <c r="AP131">
        <v>22.018006493610166</v>
      </c>
      <c r="AQ131">
        <v>151.0283971462581</v>
      </c>
      <c r="AR131">
        <v>22.366865250574591</v>
      </c>
      <c r="AS131">
        <v>322.43648607094025</v>
      </c>
      <c r="AT131">
        <v>12.941641344044848</v>
      </c>
      <c r="AU131">
        <v>5.3381398421880775</v>
      </c>
      <c r="AV131"/>
      <c r="AW131"/>
      <c r="AX131" s="146"/>
      <c r="AY131" s="76">
        <f t="shared" ca="1" si="88"/>
        <v>0.31225596655472909</v>
      </c>
      <c r="AZ131">
        <v>4</v>
      </c>
      <c r="BA131" s="129">
        <f t="shared" si="166"/>
        <v>39775</v>
      </c>
      <c r="BB131" s="207">
        <v>0</v>
      </c>
      <c r="BC131" s="207">
        <v>0</v>
      </c>
      <c r="BD131" s="207">
        <v>0</v>
      </c>
      <c r="BE131" s="207">
        <v>0</v>
      </c>
      <c r="BF131" s="207">
        <v>0</v>
      </c>
      <c r="BG131" s="207">
        <v>0</v>
      </c>
      <c r="BH131" s="207">
        <v>0</v>
      </c>
      <c r="BI131" s="207">
        <v>0</v>
      </c>
      <c r="BJ131" s="207">
        <v>0</v>
      </c>
      <c r="BK131" s="207">
        <v>0</v>
      </c>
      <c r="BL131" s="207">
        <v>0</v>
      </c>
      <c r="BM131" s="207">
        <v>0</v>
      </c>
      <c r="BN131" s="207">
        <v>0</v>
      </c>
      <c r="BO131" s="207">
        <v>0</v>
      </c>
      <c r="BP131" s="207">
        <v>0</v>
      </c>
      <c r="BQ131" s="207">
        <v>0</v>
      </c>
      <c r="BR131" s="207">
        <v>0</v>
      </c>
      <c r="BS131" s="207">
        <v>0</v>
      </c>
      <c r="BT131" s="207">
        <v>0</v>
      </c>
      <c r="BU131" s="207">
        <v>0</v>
      </c>
      <c r="BV131" s="207">
        <v>0</v>
      </c>
      <c r="BW131" s="207">
        <v>0</v>
      </c>
      <c r="BX131" s="207">
        <v>0</v>
      </c>
      <c r="BY131" s="207">
        <v>0</v>
      </c>
      <c r="BZ131" s="207">
        <v>0</v>
      </c>
      <c r="CA131" s="207">
        <v>0</v>
      </c>
      <c r="CB131" s="207">
        <v>0</v>
      </c>
      <c r="CC131" s="207">
        <v>0</v>
      </c>
      <c r="CD131" s="207">
        <v>0</v>
      </c>
      <c r="CE131" s="207">
        <v>0</v>
      </c>
      <c r="CF131" s="207">
        <v>0</v>
      </c>
      <c r="CG131" s="147"/>
      <c r="CH131" s="176"/>
      <c r="CJ131" s="146"/>
      <c r="CK131" s="76">
        <f t="shared" ca="1" si="90"/>
        <v>0.66465457590526356</v>
      </c>
      <c r="CL131" s="179">
        <f t="shared" si="91"/>
        <v>4</v>
      </c>
      <c r="CM131" s="180">
        <f t="shared" si="92"/>
        <v>39775</v>
      </c>
      <c r="CN131" s="208">
        <v>0</v>
      </c>
      <c r="CO131" s="208">
        <v>6</v>
      </c>
      <c r="CP131" s="208">
        <v>5</v>
      </c>
      <c r="CQ131" s="208">
        <v>0</v>
      </c>
      <c r="CR131" s="208">
        <v>0</v>
      </c>
      <c r="CS131" s="208">
        <v>0</v>
      </c>
      <c r="CT131" s="208">
        <v>0</v>
      </c>
      <c r="CU131" s="208">
        <v>0</v>
      </c>
      <c r="CV131" s="160"/>
      <c r="CW131">
        <v>1</v>
      </c>
      <c r="CX131">
        <v>1</v>
      </c>
      <c r="CY131" s="160"/>
      <c r="CZ131" s="177">
        <f t="shared" si="93"/>
        <v>9.6000000000000002E-2</v>
      </c>
      <c r="DB131" s="146"/>
      <c r="DC131" s="76">
        <f t="shared" ca="1" si="51"/>
        <v>0.80277453107074326</v>
      </c>
      <c r="DD131">
        <f t="shared" si="94"/>
        <v>4</v>
      </c>
      <c r="DE131" s="129">
        <f t="shared" si="165"/>
        <v>39775</v>
      </c>
      <c r="DF131" s="161">
        <f t="shared" si="95"/>
        <v>0</v>
      </c>
      <c r="DG131" s="161">
        <f t="shared" si="96"/>
        <v>62.5</v>
      </c>
      <c r="DH131" s="161">
        <f t="shared" si="97"/>
        <v>52.083333333333336</v>
      </c>
      <c r="DI131" s="161">
        <f t="shared" si="98"/>
        <v>0</v>
      </c>
      <c r="DJ131" s="161">
        <f t="shared" si="99"/>
        <v>0</v>
      </c>
      <c r="DK131" s="161">
        <f t="shared" si="100"/>
        <v>0</v>
      </c>
      <c r="DL131" s="161">
        <f t="shared" si="101"/>
        <v>0</v>
      </c>
      <c r="DM131" s="161">
        <f t="shared" si="102"/>
        <v>0</v>
      </c>
      <c r="DN131" s="161">
        <f t="shared" si="103"/>
        <v>0</v>
      </c>
      <c r="DO131" s="161">
        <f t="shared" si="104"/>
        <v>0</v>
      </c>
      <c r="DP131" s="161">
        <f t="shared" si="105"/>
        <v>0</v>
      </c>
      <c r="DQ131" s="161">
        <f t="shared" si="106"/>
        <v>0</v>
      </c>
      <c r="DR131" s="161">
        <f t="shared" si="107"/>
        <v>0</v>
      </c>
      <c r="DS131" s="161">
        <f t="shared" si="108"/>
        <v>0</v>
      </c>
      <c r="DT131" s="161">
        <f t="shared" si="109"/>
        <v>0</v>
      </c>
      <c r="DU131" s="161">
        <f t="shared" si="110"/>
        <v>0</v>
      </c>
      <c r="DV131" s="161">
        <f t="shared" si="111"/>
        <v>0</v>
      </c>
      <c r="DW131" s="161">
        <f t="shared" si="112"/>
        <v>0</v>
      </c>
      <c r="DX131" s="161">
        <f t="shared" si="113"/>
        <v>0</v>
      </c>
      <c r="DY131" s="161">
        <f t="shared" si="114"/>
        <v>0</v>
      </c>
      <c r="DZ131" s="161">
        <f t="shared" si="115"/>
        <v>0</v>
      </c>
      <c r="EA131" s="161">
        <f t="shared" si="116"/>
        <v>0</v>
      </c>
      <c r="EB131" s="161">
        <f t="shared" si="117"/>
        <v>0</v>
      </c>
      <c r="EC131" s="161">
        <f t="shared" si="118"/>
        <v>0</v>
      </c>
      <c r="ED131" s="161">
        <f t="shared" si="119"/>
        <v>0</v>
      </c>
      <c r="EE131" s="161">
        <f t="shared" si="120"/>
        <v>0</v>
      </c>
      <c r="EF131" s="161">
        <f t="shared" si="121"/>
        <v>0</v>
      </c>
      <c r="EG131" s="161">
        <f t="shared" si="122"/>
        <v>0</v>
      </c>
      <c r="EH131" s="161">
        <f t="shared" si="123"/>
        <v>0</v>
      </c>
      <c r="EI131" s="161">
        <f t="shared" si="124"/>
        <v>0</v>
      </c>
      <c r="EJ131" s="161">
        <f t="shared" si="125"/>
        <v>0</v>
      </c>
      <c r="EK131" s="147">
        <f t="shared" si="132"/>
        <v>114.58333333333334</v>
      </c>
      <c r="EL131" s="149"/>
      <c r="EN131" s="146"/>
      <c r="EO131" s="146"/>
      <c r="EP131" s="139">
        <f t="shared" si="133"/>
        <v>0</v>
      </c>
      <c r="EQ131" s="139">
        <f t="shared" si="134"/>
        <v>0.45172499999999999</v>
      </c>
      <c r="ER131" s="139">
        <f t="shared" si="135"/>
        <v>2.4308860358710991</v>
      </c>
      <c r="ES131" s="139">
        <f t="shared" si="136"/>
        <v>0</v>
      </c>
      <c r="ET131" s="139">
        <f t="shared" si="137"/>
        <v>0</v>
      </c>
      <c r="EU131" s="139">
        <f t="shared" si="138"/>
        <v>0</v>
      </c>
      <c r="EV131" s="139">
        <f t="shared" si="139"/>
        <v>0</v>
      </c>
      <c r="EW131" s="139">
        <f t="shared" si="140"/>
        <v>0</v>
      </c>
      <c r="EX131" s="139">
        <f t="shared" si="141"/>
        <v>0</v>
      </c>
      <c r="EY131" s="139">
        <f t="shared" si="142"/>
        <v>0</v>
      </c>
      <c r="EZ131" s="139">
        <f t="shared" si="143"/>
        <v>0</v>
      </c>
      <c r="FA131" s="139">
        <f t="shared" si="144"/>
        <v>0</v>
      </c>
      <c r="FB131" s="139">
        <f t="shared" si="145"/>
        <v>0</v>
      </c>
      <c r="FC131" s="139">
        <f t="shared" si="146"/>
        <v>0</v>
      </c>
      <c r="FD131" s="139">
        <f t="shared" si="147"/>
        <v>0</v>
      </c>
      <c r="FE131" s="139">
        <f t="shared" si="148"/>
        <v>0</v>
      </c>
      <c r="FF131" s="139">
        <f t="shared" si="149"/>
        <v>0</v>
      </c>
      <c r="FG131" s="139">
        <f t="shared" si="150"/>
        <v>0</v>
      </c>
      <c r="FH131" s="139">
        <f t="shared" si="151"/>
        <v>0</v>
      </c>
      <c r="FI131" s="139">
        <f t="shared" si="152"/>
        <v>0</v>
      </c>
      <c r="FJ131" s="139">
        <f t="shared" si="153"/>
        <v>0</v>
      </c>
      <c r="FK131" s="139">
        <f t="shared" si="154"/>
        <v>0</v>
      </c>
      <c r="FL131" s="139">
        <f t="shared" si="155"/>
        <v>0</v>
      </c>
      <c r="FM131" s="139">
        <f t="shared" si="156"/>
        <v>0</v>
      </c>
      <c r="FN131" s="139">
        <f t="shared" si="157"/>
        <v>0</v>
      </c>
      <c r="FO131" s="139">
        <f t="shared" si="158"/>
        <v>0</v>
      </c>
      <c r="FP131" s="139">
        <f t="shared" si="159"/>
        <v>0</v>
      </c>
      <c r="FQ131" s="139">
        <f t="shared" si="160"/>
        <v>0</v>
      </c>
      <c r="FR131" s="139">
        <f t="shared" si="161"/>
        <v>0</v>
      </c>
      <c r="FS131" s="139">
        <f t="shared" si="162"/>
        <v>0</v>
      </c>
      <c r="FT131" s="139">
        <f t="shared" si="163"/>
        <v>0</v>
      </c>
      <c r="FU131" s="148">
        <f t="shared" si="164"/>
        <v>2.8826110358710992</v>
      </c>
      <c r="FV131" s="149"/>
      <c r="FY131" s="213">
        <v>126</v>
      </c>
      <c r="FZ131">
        <v>41.528111286486258</v>
      </c>
      <c r="GA131">
        <v>57.141584112339409</v>
      </c>
      <c r="GB131">
        <v>43.229904150415585</v>
      </c>
      <c r="GC131">
        <v>14.61290256229891</v>
      </c>
      <c r="GD131">
        <v>3.3902971338433363</v>
      </c>
      <c r="GE131">
        <v>5.7903593118011347</v>
      </c>
      <c r="GF131">
        <v>1.5902511737784342</v>
      </c>
      <c r="GG131">
        <v>3.5758446082516291</v>
      </c>
      <c r="GH131">
        <v>5.9652601474613274</v>
      </c>
      <c r="GI131">
        <v>19.876535949132069</v>
      </c>
      <c r="GJ131"/>
      <c r="GK131"/>
      <c r="GL131"/>
      <c r="GM131"/>
      <c r="GN131" s="208"/>
      <c r="GO131" s="208"/>
      <c r="GP131" s="208"/>
      <c r="GQ131" s="208"/>
      <c r="GR131" s="208"/>
      <c r="GS131" s="208"/>
      <c r="GT131" s="208"/>
      <c r="GU131" s="213">
        <v>126</v>
      </c>
    </row>
    <row r="132" spans="1:203" s="7" customFormat="1">
      <c r="A132" s="1"/>
      <c r="B132" s="76">
        <f ca="1">IF(C132="", "", RAND())</f>
        <v>0.90813039434912657</v>
      </c>
      <c r="C132">
        <v>5</v>
      </c>
      <c r="D132">
        <v>39775</v>
      </c>
      <c r="E132">
        <v>0</v>
      </c>
      <c r="F132">
        <v>148.80952380952382</v>
      </c>
      <c r="G132">
        <v>0</v>
      </c>
      <c r="H132">
        <v>10.416666666666666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263.48558846223557</v>
      </c>
      <c r="AO132">
        <v>22.262214379844824</v>
      </c>
      <c r="AP132">
        <v>24.419884304112855</v>
      </c>
      <c r="AQ132">
        <v>151.20358257504782</v>
      </c>
      <c r="AR132">
        <v>23.824543670520644</v>
      </c>
      <c r="AS132">
        <v>378.67968790619926</v>
      </c>
      <c r="AT132">
        <v>15.297548812971835</v>
      </c>
      <c r="AU132">
        <v>13.901278398514236</v>
      </c>
      <c r="AV132"/>
      <c r="AW132"/>
      <c r="AX132" s="146"/>
      <c r="AY132" s="76">
        <f t="shared" ca="1" si="88"/>
        <v>0.19219842921521924</v>
      </c>
      <c r="AZ132">
        <v>5</v>
      </c>
      <c r="BA132" s="129">
        <f t="shared" si="166"/>
        <v>39775</v>
      </c>
      <c r="BB132" s="207">
        <v>0</v>
      </c>
      <c r="BC132" s="207">
        <v>0</v>
      </c>
      <c r="BD132" s="207">
        <v>0</v>
      </c>
      <c r="BE132" s="207">
        <v>1</v>
      </c>
      <c r="BF132" s="207">
        <v>0</v>
      </c>
      <c r="BG132" s="207">
        <v>0</v>
      </c>
      <c r="BH132" s="207">
        <v>0</v>
      </c>
      <c r="BI132" s="207">
        <v>0</v>
      </c>
      <c r="BJ132" s="207">
        <v>0</v>
      </c>
      <c r="BK132" s="207">
        <v>0</v>
      </c>
      <c r="BL132" s="207">
        <v>0</v>
      </c>
      <c r="BM132" s="207">
        <v>0</v>
      </c>
      <c r="BN132" s="207">
        <v>0</v>
      </c>
      <c r="BO132" s="207">
        <v>0</v>
      </c>
      <c r="BP132" s="207">
        <v>0</v>
      </c>
      <c r="BQ132" s="207">
        <v>0</v>
      </c>
      <c r="BR132" s="207">
        <v>0</v>
      </c>
      <c r="BS132" s="207">
        <v>0</v>
      </c>
      <c r="BT132" s="207">
        <v>0</v>
      </c>
      <c r="BU132" s="207">
        <v>0</v>
      </c>
      <c r="BV132" s="207">
        <v>0</v>
      </c>
      <c r="BW132" s="207">
        <v>0</v>
      </c>
      <c r="BX132" s="207">
        <v>0</v>
      </c>
      <c r="BY132" s="207">
        <v>0</v>
      </c>
      <c r="BZ132" s="207">
        <v>0</v>
      </c>
      <c r="CA132" s="207">
        <v>0</v>
      </c>
      <c r="CB132" s="207">
        <v>0</v>
      </c>
      <c r="CC132" s="207">
        <v>0</v>
      </c>
      <c r="CD132" s="207">
        <v>0</v>
      </c>
      <c r="CE132" s="207">
        <v>0</v>
      </c>
      <c r="CF132" s="207">
        <v>0</v>
      </c>
      <c r="CG132" s="147"/>
      <c r="CH132" s="176"/>
      <c r="CJ132" s="146"/>
      <c r="CK132" s="76">
        <f t="shared" ca="1" si="90"/>
        <v>0.7785347648963592</v>
      </c>
      <c r="CL132" s="179">
        <f t="shared" si="91"/>
        <v>5</v>
      </c>
      <c r="CM132" s="180">
        <f t="shared" si="92"/>
        <v>39775</v>
      </c>
      <c r="CN132" s="208">
        <v>0</v>
      </c>
      <c r="CO132" s="208">
        <v>5</v>
      </c>
      <c r="CP132" s="208">
        <v>0</v>
      </c>
      <c r="CQ132" s="208">
        <v>0</v>
      </c>
      <c r="CR132" s="208">
        <v>0</v>
      </c>
      <c r="CS132" s="208">
        <v>0</v>
      </c>
      <c r="CT132" s="208">
        <v>0</v>
      </c>
      <c r="CU132" s="208">
        <v>0</v>
      </c>
      <c r="CV132" s="160"/>
      <c r="CW132">
        <v>1</v>
      </c>
      <c r="CX132">
        <f>20/7</f>
        <v>2.8571428571428572</v>
      </c>
      <c r="CY132" s="160"/>
      <c r="CZ132" s="177">
        <f t="shared" si="93"/>
        <v>9.6000000000000002E-2</v>
      </c>
      <c r="DB132" s="146"/>
      <c r="DC132" s="76">
        <f t="shared" ca="1" si="51"/>
        <v>0.61095180012732442</v>
      </c>
      <c r="DD132">
        <f t="shared" si="94"/>
        <v>5</v>
      </c>
      <c r="DE132" s="129">
        <f t="shared" si="165"/>
        <v>39775</v>
      </c>
      <c r="DF132" s="161">
        <f t="shared" si="95"/>
        <v>0</v>
      </c>
      <c r="DG132" s="161">
        <f t="shared" si="96"/>
        <v>148.80952380952382</v>
      </c>
      <c r="DH132" s="161">
        <f t="shared" si="97"/>
        <v>0</v>
      </c>
      <c r="DI132" s="161">
        <f t="shared" si="98"/>
        <v>10.416666666666666</v>
      </c>
      <c r="DJ132" s="161">
        <f t="shared" si="99"/>
        <v>0</v>
      </c>
      <c r="DK132" s="161">
        <f t="shared" si="100"/>
        <v>0</v>
      </c>
      <c r="DL132" s="161">
        <f t="shared" si="101"/>
        <v>0</v>
      </c>
      <c r="DM132" s="161">
        <f t="shared" si="102"/>
        <v>0</v>
      </c>
      <c r="DN132" s="161">
        <f t="shared" si="103"/>
        <v>0</v>
      </c>
      <c r="DO132" s="161">
        <f t="shared" si="104"/>
        <v>0</v>
      </c>
      <c r="DP132" s="161">
        <f t="shared" si="105"/>
        <v>0</v>
      </c>
      <c r="DQ132" s="161">
        <f t="shared" si="106"/>
        <v>0</v>
      </c>
      <c r="DR132" s="161">
        <f t="shared" si="107"/>
        <v>0</v>
      </c>
      <c r="DS132" s="161">
        <f t="shared" si="108"/>
        <v>0</v>
      </c>
      <c r="DT132" s="161">
        <f t="shared" si="109"/>
        <v>0</v>
      </c>
      <c r="DU132" s="161">
        <f t="shared" si="110"/>
        <v>0</v>
      </c>
      <c r="DV132" s="161">
        <f t="shared" si="111"/>
        <v>0</v>
      </c>
      <c r="DW132" s="161">
        <f t="shared" si="112"/>
        <v>0</v>
      </c>
      <c r="DX132" s="161">
        <f t="shared" si="113"/>
        <v>0</v>
      </c>
      <c r="DY132" s="161">
        <f t="shared" si="114"/>
        <v>0</v>
      </c>
      <c r="DZ132" s="161">
        <f t="shared" si="115"/>
        <v>0</v>
      </c>
      <c r="EA132" s="161">
        <f t="shared" si="116"/>
        <v>0</v>
      </c>
      <c r="EB132" s="161">
        <f t="shared" si="117"/>
        <v>0</v>
      </c>
      <c r="EC132" s="161">
        <f t="shared" si="118"/>
        <v>0</v>
      </c>
      <c r="ED132" s="161">
        <f t="shared" si="119"/>
        <v>0</v>
      </c>
      <c r="EE132" s="161">
        <f t="shared" si="120"/>
        <v>0</v>
      </c>
      <c r="EF132" s="161">
        <f t="shared" si="121"/>
        <v>0</v>
      </c>
      <c r="EG132" s="161">
        <f t="shared" si="122"/>
        <v>0</v>
      </c>
      <c r="EH132" s="161">
        <f t="shared" si="123"/>
        <v>0</v>
      </c>
      <c r="EI132" s="161">
        <f t="shared" si="124"/>
        <v>0</v>
      </c>
      <c r="EJ132" s="161">
        <f t="shared" si="125"/>
        <v>0</v>
      </c>
      <c r="EK132" s="147">
        <f t="shared" si="132"/>
        <v>159.22619047619048</v>
      </c>
      <c r="EL132" s="149"/>
      <c r="EN132" s="146"/>
      <c r="EO132" s="146"/>
      <c r="EP132" s="139">
        <f t="shared" si="133"/>
        <v>0</v>
      </c>
      <c r="EQ132" s="139">
        <f t="shared" si="134"/>
        <v>1.0755357142857143</v>
      </c>
      <c r="ER132" s="139">
        <f t="shared" si="135"/>
        <v>0</v>
      </c>
      <c r="ES132" s="139">
        <f t="shared" si="136"/>
        <v>1.4476253266872796</v>
      </c>
      <c r="ET132" s="139">
        <f t="shared" si="137"/>
        <v>0</v>
      </c>
      <c r="EU132" s="139">
        <f t="shared" si="138"/>
        <v>0</v>
      </c>
      <c r="EV132" s="139">
        <f t="shared" si="139"/>
        <v>0</v>
      </c>
      <c r="EW132" s="139">
        <f t="shared" si="140"/>
        <v>0</v>
      </c>
      <c r="EX132" s="139">
        <f t="shared" si="141"/>
        <v>0</v>
      </c>
      <c r="EY132" s="139">
        <f t="shared" si="142"/>
        <v>0</v>
      </c>
      <c r="EZ132" s="139">
        <f t="shared" si="143"/>
        <v>0</v>
      </c>
      <c r="FA132" s="139">
        <f t="shared" si="144"/>
        <v>0</v>
      </c>
      <c r="FB132" s="139">
        <f t="shared" si="145"/>
        <v>0</v>
      </c>
      <c r="FC132" s="139">
        <f t="shared" si="146"/>
        <v>0</v>
      </c>
      <c r="FD132" s="139">
        <f t="shared" si="147"/>
        <v>0</v>
      </c>
      <c r="FE132" s="139">
        <f t="shared" si="148"/>
        <v>0</v>
      </c>
      <c r="FF132" s="139">
        <f t="shared" si="149"/>
        <v>0</v>
      </c>
      <c r="FG132" s="139">
        <f t="shared" si="150"/>
        <v>0</v>
      </c>
      <c r="FH132" s="139">
        <f t="shared" si="151"/>
        <v>0</v>
      </c>
      <c r="FI132" s="139">
        <f t="shared" si="152"/>
        <v>0</v>
      </c>
      <c r="FJ132" s="139">
        <f t="shared" si="153"/>
        <v>0</v>
      </c>
      <c r="FK132" s="139">
        <f t="shared" si="154"/>
        <v>0</v>
      </c>
      <c r="FL132" s="139">
        <f t="shared" si="155"/>
        <v>0</v>
      </c>
      <c r="FM132" s="139">
        <f t="shared" si="156"/>
        <v>0</v>
      </c>
      <c r="FN132" s="139">
        <f t="shared" si="157"/>
        <v>0</v>
      </c>
      <c r="FO132" s="139">
        <f t="shared" si="158"/>
        <v>0</v>
      </c>
      <c r="FP132" s="139">
        <f t="shared" si="159"/>
        <v>0</v>
      </c>
      <c r="FQ132" s="139">
        <f t="shared" si="160"/>
        <v>0</v>
      </c>
      <c r="FR132" s="139">
        <f t="shared" si="161"/>
        <v>0</v>
      </c>
      <c r="FS132" s="139">
        <f t="shared" si="162"/>
        <v>0</v>
      </c>
      <c r="FT132" s="139">
        <f t="shared" si="163"/>
        <v>0</v>
      </c>
      <c r="FU132" s="148">
        <f t="shared" si="164"/>
        <v>2.5231610409729939</v>
      </c>
      <c r="FV132" s="149"/>
      <c r="FY132" s="213">
        <v>127</v>
      </c>
      <c r="FZ132">
        <v>38.298399724472326</v>
      </c>
      <c r="GA132">
        <v>35.763733679650869</v>
      </c>
      <c r="GB132">
        <v>27.586778601400962</v>
      </c>
      <c r="GC132">
        <v>14.582475399078437</v>
      </c>
      <c r="GD132">
        <v>3.8640880785179301</v>
      </c>
      <c r="GE132">
        <v>5.1325130718717293</v>
      </c>
      <c r="GF132">
        <v>1.9303330060265573</v>
      </c>
      <c r="GG132">
        <v>2.2418073289486036</v>
      </c>
      <c r="GH132">
        <v>5.2048783105554985</v>
      </c>
      <c r="GI132">
        <v>15.792524962612324</v>
      </c>
      <c r="GJ132"/>
      <c r="GK132"/>
      <c r="GL132"/>
      <c r="GM132"/>
      <c r="GN132" s="208"/>
      <c r="GO132" s="208"/>
      <c r="GP132" s="208"/>
      <c r="GQ132" s="208"/>
      <c r="GR132" s="208"/>
      <c r="GS132" s="208"/>
      <c r="GT132" s="208"/>
      <c r="GU132" s="213">
        <v>127</v>
      </c>
    </row>
    <row r="133" spans="1:203" s="7" customFormat="1">
      <c r="A133" s="1"/>
      <c r="B133" s="76">
        <f ca="1">IF(C133="", "", RAND())</f>
        <v>0.53731986372991725</v>
      </c>
      <c r="C133">
        <v>7</v>
      </c>
      <c r="D133">
        <v>39775</v>
      </c>
      <c r="E133">
        <v>0</v>
      </c>
      <c r="F133">
        <v>92.592592592592595</v>
      </c>
      <c r="G133">
        <v>578.7037037037037</v>
      </c>
      <c r="H133">
        <v>162.03703703703704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201.75241950009578</v>
      </c>
      <c r="AO133">
        <v>24.676340177658304</v>
      </c>
      <c r="AP133">
        <v>39.770035765975251</v>
      </c>
      <c r="AQ133">
        <v>205.91165284788809</v>
      </c>
      <c r="AR133">
        <v>25.36768254365693</v>
      </c>
      <c r="AS133">
        <v>349.70992172387207</v>
      </c>
      <c r="AT133">
        <v>15.560648048317566</v>
      </c>
      <c r="AU133">
        <v>-28.524200187926184</v>
      </c>
      <c r="AV133"/>
      <c r="AW133"/>
      <c r="AX133" s="146"/>
      <c r="AY133" s="76">
        <f t="shared" ca="1" si="88"/>
        <v>9.0413962360799127E-2</v>
      </c>
      <c r="AZ133">
        <v>6</v>
      </c>
      <c r="BA133" s="129">
        <f t="shared" si="166"/>
        <v>39775</v>
      </c>
      <c r="BB133" s="207">
        <v>0</v>
      </c>
      <c r="BC133" s="207">
        <v>0</v>
      </c>
      <c r="BD133" s="207">
        <v>0</v>
      </c>
      <c r="BE133" s="207">
        <v>0</v>
      </c>
      <c r="BF133" s="207">
        <v>0</v>
      </c>
      <c r="BG133" s="207">
        <v>0</v>
      </c>
      <c r="BH133" s="207">
        <v>0</v>
      </c>
      <c r="BI133" s="207">
        <v>0</v>
      </c>
      <c r="BJ133" s="207">
        <v>0</v>
      </c>
      <c r="BK133" s="207">
        <v>0</v>
      </c>
      <c r="BL133" s="207">
        <v>0</v>
      </c>
      <c r="BM133" s="207">
        <v>0</v>
      </c>
      <c r="BN133" s="207">
        <v>0</v>
      </c>
      <c r="BO133" s="207">
        <v>0</v>
      </c>
      <c r="BP133" s="207">
        <v>0</v>
      </c>
      <c r="BQ133" s="207">
        <v>0</v>
      </c>
      <c r="BR133" s="207">
        <v>0</v>
      </c>
      <c r="BS133" s="207">
        <v>0</v>
      </c>
      <c r="BT133" s="207">
        <v>0</v>
      </c>
      <c r="BU133" s="207">
        <v>0</v>
      </c>
      <c r="BV133" s="207">
        <v>0</v>
      </c>
      <c r="BW133" s="207">
        <v>0</v>
      </c>
      <c r="BX133" s="207">
        <v>0</v>
      </c>
      <c r="BY133" s="207">
        <v>0</v>
      </c>
      <c r="BZ133" s="207">
        <v>0</v>
      </c>
      <c r="CA133" s="207">
        <v>0</v>
      </c>
      <c r="CB133" s="207">
        <v>0</v>
      </c>
      <c r="CC133" s="207">
        <v>0</v>
      </c>
      <c r="CD133" s="207">
        <v>0</v>
      </c>
      <c r="CE133" s="207">
        <v>0</v>
      </c>
      <c r="CF133" s="207">
        <v>0</v>
      </c>
      <c r="CG133" s="147"/>
      <c r="CH133" s="176"/>
      <c r="CJ133" s="146"/>
      <c r="CK133" s="76">
        <f t="shared" ca="1" si="90"/>
        <v>0.5797063769220232</v>
      </c>
      <c r="CL133" s="179">
        <f t="shared" si="91"/>
        <v>6</v>
      </c>
      <c r="CM133" s="180">
        <f t="shared" si="92"/>
        <v>39775</v>
      </c>
      <c r="CN133" s="208">
        <v>0</v>
      </c>
      <c r="CO133" s="208">
        <v>0</v>
      </c>
      <c r="CP133" s="208">
        <v>1</v>
      </c>
      <c r="CQ133" s="208">
        <v>0</v>
      </c>
      <c r="CR133" s="208">
        <v>0</v>
      </c>
      <c r="CS133" s="208">
        <v>0</v>
      </c>
      <c r="CT133" s="208">
        <v>0</v>
      </c>
      <c r="CU133" s="208">
        <v>0</v>
      </c>
      <c r="CV133" s="160"/>
      <c r="CW133">
        <v>1</v>
      </c>
      <c r="CX133">
        <v>1</v>
      </c>
      <c r="CY133" s="164"/>
      <c r="CZ133" s="177">
        <f t="shared" si="93"/>
        <v>9.6000000000000002E-2</v>
      </c>
      <c r="DB133" s="146"/>
      <c r="DC133" s="76">
        <f t="shared" ca="1" si="51"/>
        <v>0.21581844069415101</v>
      </c>
      <c r="DD133">
        <f t="shared" si="94"/>
        <v>6</v>
      </c>
      <c r="DE133" s="129">
        <f t="shared" si="165"/>
        <v>39775</v>
      </c>
      <c r="DF133" s="161">
        <f t="shared" si="95"/>
        <v>0</v>
      </c>
      <c r="DG133" s="161">
        <f t="shared" si="96"/>
        <v>0</v>
      </c>
      <c r="DH133" s="161">
        <f t="shared" si="97"/>
        <v>10.416666666666666</v>
      </c>
      <c r="DI133" s="161">
        <f t="shared" si="98"/>
        <v>0</v>
      </c>
      <c r="DJ133" s="161">
        <f t="shared" si="99"/>
        <v>0</v>
      </c>
      <c r="DK133" s="161">
        <f t="shared" si="100"/>
        <v>0</v>
      </c>
      <c r="DL133" s="161">
        <f t="shared" si="101"/>
        <v>0</v>
      </c>
      <c r="DM133" s="161">
        <f t="shared" si="102"/>
        <v>0</v>
      </c>
      <c r="DN133" s="161">
        <f t="shared" si="103"/>
        <v>0</v>
      </c>
      <c r="DO133" s="161">
        <f t="shared" si="104"/>
        <v>0</v>
      </c>
      <c r="DP133" s="161">
        <f t="shared" si="105"/>
        <v>0</v>
      </c>
      <c r="DQ133" s="161">
        <f t="shared" si="106"/>
        <v>0</v>
      </c>
      <c r="DR133" s="161">
        <f t="shared" si="107"/>
        <v>0</v>
      </c>
      <c r="DS133" s="161">
        <f t="shared" si="108"/>
        <v>0</v>
      </c>
      <c r="DT133" s="161">
        <f t="shared" si="109"/>
        <v>0</v>
      </c>
      <c r="DU133" s="161">
        <f t="shared" si="110"/>
        <v>0</v>
      </c>
      <c r="DV133" s="161">
        <f t="shared" si="111"/>
        <v>0</v>
      </c>
      <c r="DW133" s="161">
        <f t="shared" si="112"/>
        <v>0</v>
      </c>
      <c r="DX133" s="161">
        <f t="shared" si="113"/>
        <v>0</v>
      </c>
      <c r="DY133" s="161">
        <f t="shared" si="114"/>
        <v>0</v>
      </c>
      <c r="DZ133" s="161">
        <f t="shared" si="115"/>
        <v>0</v>
      </c>
      <c r="EA133" s="161">
        <f t="shared" si="116"/>
        <v>0</v>
      </c>
      <c r="EB133" s="161">
        <f t="shared" si="117"/>
        <v>0</v>
      </c>
      <c r="EC133" s="161">
        <f t="shared" si="118"/>
        <v>0</v>
      </c>
      <c r="ED133" s="161">
        <f t="shared" si="119"/>
        <v>0</v>
      </c>
      <c r="EE133" s="161">
        <f t="shared" si="120"/>
        <v>0</v>
      </c>
      <c r="EF133" s="161">
        <f t="shared" si="121"/>
        <v>0</v>
      </c>
      <c r="EG133" s="161">
        <f t="shared" si="122"/>
        <v>0</v>
      </c>
      <c r="EH133" s="161">
        <f t="shared" si="123"/>
        <v>0</v>
      </c>
      <c r="EI133" s="161">
        <f t="shared" si="124"/>
        <v>0</v>
      </c>
      <c r="EJ133" s="161">
        <f t="shared" si="125"/>
        <v>0</v>
      </c>
      <c r="EK133" s="147">
        <f t="shared" si="132"/>
        <v>10.416666666666666</v>
      </c>
      <c r="EL133" s="149"/>
      <c r="EN133" s="146"/>
      <c r="EO133" s="146"/>
      <c r="EP133" s="139">
        <f t="shared" si="133"/>
        <v>0</v>
      </c>
      <c r="EQ133" s="139">
        <f t="shared" si="134"/>
        <v>0</v>
      </c>
      <c r="ER133" s="139">
        <f t="shared" si="135"/>
        <v>0.48617720717421975</v>
      </c>
      <c r="ES133" s="139">
        <f t="shared" si="136"/>
        <v>0</v>
      </c>
      <c r="ET133" s="139">
        <f t="shared" si="137"/>
        <v>0</v>
      </c>
      <c r="EU133" s="139">
        <f t="shared" si="138"/>
        <v>0</v>
      </c>
      <c r="EV133" s="139">
        <f t="shared" si="139"/>
        <v>0</v>
      </c>
      <c r="EW133" s="139">
        <f t="shared" si="140"/>
        <v>0</v>
      </c>
      <c r="EX133" s="139">
        <f t="shared" si="141"/>
        <v>0</v>
      </c>
      <c r="EY133" s="139">
        <f t="shared" si="142"/>
        <v>0</v>
      </c>
      <c r="EZ133" s="139">
        <f t="shared" si="143"/>
        <v>0</v>
      </c>
      <c r="FA133" s="139">
        <f t="shared" si="144"/>
        <v>0</v>
      </c>
      <c r="FB133" s="139">
        <f t="shared" si="145"/>
        <v>0</v>
      </c>
      <c r="FC133" s="139">
        <f t="shared" si="146"/>
        <v>0</v>
      </c>
      <c r="FD133" s="139">
        <f t="shared" si="147"/>
        <v>0</v>
      </c>
      <c r="FE133" s="139">
        <f t="shared" si="148"/>
        <v>0</v>
      </c>
      <c r="FF133" s="139">
        <f t="shared" si="149"/>
        <v>0</v>
      </c>
      <c r="FG133" s="139">
        <f t="shared" si="150"/>
        <v>0</v>
      </c>
      <c r="FH133" s="139">
        <f t="shared" si="151"/>
        <v>0</v>
      </c>
      <c r="FI133" s="139">
        <f t="shared" si="152"/>
        <v>0</v>
      </c>
      <c r="FJ133" s="139">
        <f t="shared" si="153"/>
        <v>0</v>
      </c>
      <c r="FK133" s="139">
        <f t="shared" si="154"/>
        <v>0</v>
      </c>
      <c r="FL133" s="139">
        <f t="shared" si="155"/>
        <v>0</v>
      </c>
      <c r="FM133" s="139">
        <f t="shared" si="156"/>
        <v>0</v>
      </c>
      <c r="FN133" s="139">
        <f t="shared" si="157"/>
        <v>0</v>
      </c>
      <c r="FO133" s="139">
        <f t="shared" si="158"/>
        <v>0</v>
      </c>
      <c r="FP133" s="139">
        <f t="shared" si="159"/>
        <v>0</v>
      </c>
      <c r="FQ133" s="139">
        <f t="shared" si="160"/>
        <v>0</v>
      </c>
      <c r="FR133" s="139">
        <f t="shared" si="161"/>
        <v>0</v>
      </c>
      <c r="FS133" s="139">
        <f t="shared" si="162"/>
        <v>0</v>
      </c>
      <c r="FT133" s="139">
        <f t="shared" si="163"/>
        <v>0</v>
      </c>
      <c r="FU133" s="148">
        <f t="shared" si="164"/>
        <v>0.48617720717421975</v>
      </c>
      <c r="FV133" s="149"/>
      <c r="FY133" s="213">
        <v>128</v>
      </c>
      <c r="FZ133">
        <v>65.324955140612062</v>
      </c>
      <c r="GA133">
        <v>49.95247069181525</v>
      </c>
      <c r="GB133">
        <v>26.163508467991662</v>
      </c>
      <c r="GC133">
        <v>13.829568043830868</v>
      </c>
      <c r="GD133">
        <v>5.0277429759781027</v>
      </c>
      <c r="GE133">
        <v>7.4788640861824405</v>
      </c>
      <c r="GF133">
        <v>5.073793363397419</v>
      </c>
      <c r="GG133">
        <v>5.2234161903464962</v>
      </c>
      <c r="GH133">
        <v>5.7725357190544493</v>
      </c>
      <c r="GI133">
        <v>20.733188727943105</v>
      </c>
      <c r="GJ133"/>
      <c r="GK133"/>
      <c r="GL133"/>
      <c r="GM133"/>
      <c r="GN133" s="208"/>
      <c r="GO133" s="208"/>
      <c r="GP133" s="208"/>
      <c r="GQ133" s="208"/>
      <c r="GR133" s="208"/>
      <c r="GS133" s="208"/>
      <c r="GT133" s="208"/>
      <c r="GU133" s="213">
        <v>128</v>
      </c>
    </row>
    <row r="134" spans="1:203" s="7" customFormat="1">
      <c r="A134" s="1"/>
      <c r="B134" s="76">
        <f ca="1">IF(C134="", "", RAND())</f>
        <v>0.62113939670254048</v>
      </c>
      <c r="C134">
        <v>4</v>
      </c>
      <c r="D134">
        <v>39775</v>
      </c>
      <c r="E134">
        <v>0</v>
      </c>
      <c r="F134">
        <v>62.5</v>
      </c>
      <c r="G134">
        <v>52.083333333333336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316.56775853907664</v>
      </c>
      <c r="AO134">
        <v>26.592083521039733</v>
      </c>
      <c r="AP134">
        <v>25.414562894098665</v>
      </c>
      <c r="AQ134">
        <v>207.63260914223656</v>
      </c>
      <c r="AR134">
        <v>26.823640124294965</v>
      </c>
      <c r="AS134">
        <v>371.20624637541715</v>
      </c>
      <c r="AT134">
        <v>16.533520275334336</v>
      </c>
      <c r="AU134">
        <v>-49.62869336345728</v>
      </c>
      <c r="AV134"/>
      <c r="AW134"/>
      <c r="AX134" s="146"/>
      <c r="AY134" s="76">
        <f t="shared" ca="1" si="88"/>
        <v>0.37670030881229799</v>
      </c>
      <c r="AZ134">
        <v>7</v>
      </c>
      <c r="BA134" s="129">
        <f t="shared" si="166"/>
        <v>39775</v>
      </c>
      <c r="BB134" s="207">
        <v>0</v>
      </c>
      <c r="BC134" s="207">
        <v>0</v>
      </c>
      <c r="BD134" s="207">
        <v>0</v>
      </c>
      <c r="BE134" s="207">
        <v>0</v>
      </c>
      <c r="BF134" s="207">
        <v>0</v>
      </c>
      <c r="BG134" s="207">
        <v>0</v>
      </c>
      <c r="BH134" s="207">
        <v>0</v>
      </c>
      <c r="BI134" s="207">
        <v>0</v>
      </c>
      <c r="BJ134" s="207">
        <v>0</v>
      </c>
      <c r="BK134" s="207">
        <v>0</v>
      </c>
      <c r="BL134" s="207">
        <v>0</v>
      </c>
      <c r="BM134" s="207">
        <v>0</v>
      </c>
      <c r="BN134" s="207">
        <v>0</v>
      </c>
      <c r="BO134" s="207">
        <v>0</v>
      </c>
      <c r="BP134" s="207">
        <v>0</v>
      </c>
      <c r="BQ134" s="207">
        <v>0</v>
      </c>
      <c r="BR134" s="207">
        <v>0</v>
      </c>
      <c r="BS134" s="207">
        <v>0</v>
      </c>
      <c r="BT134" s="207">
        <v>0</v>
      </c>
      <c r="BU134" s="207">
        <v>0</v>
      </c>
      <c r="BV134" s="207">
        <v>0</v>
      </c>
      <c r="BW134" s="207">
        <v>0</v>
      </c>
      <c r="BX134" s="207">
        <v>0</v>
      </c>
      <c r="BY134" s="207">
        <v>0</v>
      </c>
      <c r="BZ134" s="207">
        <v>0</v>
      </c>
      <c r="CA134" s="207">
        <v>0</v>
      </c>
      <c r="CB134" s="207">
        <v>0</v>
      </c>
      <c r="CC134" s="207">
        <v>0</v>
      </c>
      <c r="CD134" s="207">
        <v>0</v>
      </c>
      <c r="CE134" s="207">
        <v>0</v>
      </c>
      <c r="CF134" s="207">
        <v>0</v>
      </c>
      <c r="CG134" s="147"/>
      <c r="CH134" s="176"/>
      <c r="CJ134" s="146"/>
      <c r="CK134" s="76">
        <f t="shared" ca="1" si="90"/>
        <v>0.19799961842553859</v>
      </c>
      <c r="CL134" s="179">
        <f t="shared" si="91"/>
        <v>7</v>
      </c>
      <c r="CM134" s="180">
        <f t="shared" si="92"/>
        <v>39775</v>
      </c>
      <c r="CN134" s="208">
        <v>0</v>
      </c>
      <c r="CO134" s="208">
        <v>4</v>
      </c>
      <c r="CP134" s="208">
        <v>25</v>
      </c>
      <c r="CQ134" s="208">
        <v>7</v>
      </c>
      <c r="CR134" s="208">
        <v>0</v>
      </c>
      <c r="CS134" s="208">
        <v>0</v>
      </c>
      <c r="CT134" s="208">
        <v>0</v>
      </c>
      <c r="CU134" s="208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3"/>
        <v>9.6000000000000002E-2</v>
      </c>
      <c r="DB134" s="146"/>
      <c r="DC134" s="76">
        <f t="shared" ca="1" si="51"/>
        <v>0.10461909479916098</v>
      </c>
      <c r="DD134">
        <f t="shared" si="94"/>
        <v>7</v>
      </c>
      <c r="DE134" s="129">
        <f t="shared" si="165"/>
        <v>39775</v>
      </c>
      <c r="DF134" s="161">
        <f t="shared" si="95"/>
        <v>0</v>
      </c>
      <c r="DG134" s="161">
        <f t="shared" si="96"/>
        <v>92.592592592592595</v>
      </c>
      <c r="DH134" s="161">
        <f t="shared" si="97"/>
        <v>578.7037037037037</v>
      </c>
      <c r="DI134" s="161">
        <f t="shared" si="98"/>
        <v>162.03703703703704</v>
      </c>
      <c r="DJ134" s="161">
        <f t="shared" si="99"/>
        <v>0</v>
      </c>
      <c r="DK134" s="161">
        <f t="shared" si="100"/>
        <v>0</v>
      </c>
      <c r="DL134" s="161">
        <f t="shared" si="101"/>
        <v>0</v>
      </c>
      <c r="DM134" s="161">
        <f t="shared" si="102"/>
        <v>0</v>
      </c>
      <c r="DN134" s="161">
        <f t="shared" si="103"/>
        <v>0</v>
      </c>
      <c r="DO134" s="161">
        <f t="shared" si="104"/>
        <v>0</v>
      </c>
      <c r="DP134" s="161">
        <f t="shared" si="105"/>
        <v>0</v>
      </c>
      <c r="DQ134" s="161">
        <f t="shared" si="106"/>
        <v>0</v>
      </c>
      <c r="DR134" s="161">
        <f t="shared" si="107"/>
        <v>0</v>
      </c>
      <c r="DS134" s="161">
        <f t="shared" si="108"/>
        <v>0</v>
      </c>
      <c r="DT134" s="161">
        <f t="shared" si="109"/>
        <v>0</v>
      </c>
      <c r="DU134" s="161">
        <f t="shared" si="110"/>
        <v>0</v>
      </c>
      <c r="DV134" s="161">
        <f t="shared" si="111"/>
        <v>0</v>
      </c>
      <c r="DW134" s="161">
        <f t="shared" si="112"/>
        <v>0</v>
      </c>
      <c r="DX134" s="161">
        <f t="shared" si="113"/>
        <v>0</v>
      </c>
      <c r="DY134" s="161">
        <f t="shared" si="114"/>
        <v>0</v>
      </c>
      <c r="DZ134" s="161">
        <f t="shared" si="115"/>
        <v>0</v>
      </c>
      <c r="EA134" s="161">
        <f t="shared" si="116"/>
        <v>0</v>
      </c>
      <c r="EB134" s="161">
        <f t="shared" si="117"/>
        <v>0</v>
      </c>
      <c r="EC134" s="161">
        <f t="shared" si="118"/>
        <v>0</v>
      </c>
      <c r="ED134" s="161">
        <f t="shared" si="119"/>
        <v>0</v>
      </c>
      <c r="EE134" s="161">
        <f t="shared" si="120"/>
        <v>0</v>
      </c>
      <c r="EF134" s="161">
        <f t="shared" si="121"/>
        <v>0</v>
      </c>
      <c r="EG134" s="161">
        <f t="shared" si="122"/>
        <v>0</v>
      </c>
      <c r="EH134" s="161">
        <f t="shared" si="123"/>
        <v>0</v>
      </c>
      <c r="EI134" s="161">
        <f t="shared" si="124"/>
        <v>0</v>
      </c>
      <c r="EJ134" s="161">
        <f t="shared" si="125"/>
        <v>0</v>
      </c>
      <c r="EK134" s="147">
        <f t="shared" si="132"/>
        <v>833.33333333333337</v>
      </c>
      <c r="EL134" s="149"/>
      <c r="EN134" s="146"/>
      <c r="EO134" s="146"/>
      <c r="EP134" s="139">
        <f t="shared" si="133"/>
        <v>0</v>
      </c>
      <c r="EQ134" s="139">
        <f t="shared" si="134"/>
        <v>0.66922222222222227</v>
      </c>
      <c r="ER134" s="139">
        <f t="shared" si="135"/>
        <v>27.00984484301221</v>
      </c>
      <c r="ES134" s="139">
        <f t="shared" si="136"/>
        <v>22.518616192913242</v>
      </c>
      <c r="ET134" s="139">
        <f t="shared" si="137"/>
        <v>0</v>
      </c>
      <c r="EU134" s="139">
        <f t="shared" si="138"/>
        <v>0</v>
      </c>
      <c r="EV134" s="139">
        <f t="shared" si="139"/>
        <v>0</v>
      </c>
      <c r="EW134" s="139">
        <f t="shared" si="140"/>
        <v>0</v>
      </c>
      <c r="EX134" s="139">
        <f t="shared" si="141"/>
        <v>0</v>
      </c>
      <c r="EY134" s="139">
        <f t="shared" si="142"/>
        <v>0</v>
      </c>
      <c r="EZ134" s="139">
        <f t="shared" si="143"/>
        <v>0</v>
      </c>
      <c r="FA134" s="139">
        <f t="shared" si="144"/>
        <v>0</v>
      </c>
      <c r="FB134" s="139">
        <f t="shared" si="145"/>
        <v>0</v>
      </c>
      <c r="FC134" s="139">
        <f t="shared" si="146"/>
        <v>0</v>
      </c>
      <c r="FD134" s="139">
        <f t="shared" si="147"/>
        <v>0</v>
      </c>
      <c r="FE134" s="139">
        <f t="shared" si="148"/>
        <v>0</v>
      </c>
      <c r="FF134" s="139">
        <f t="shared" si="149"/>
        <v>0</v>
      </c>
      <c r="FG134" s="139">
        <f t="shared" si="150"/>
        <v>0</v>
      </c>
      <c r="FH134" s="139">
        <f t="shared" si="151"/>
        <v>0</v>
      </c>
      <c r="FI134" s="139">
        <f t="shared" si="152"/>
        <v>0</v>
      </c>
      <c r="FJ134" s="139">
        <f t="shared" si="153"/>
        <v>0</v>
      </c>
      <c r="FK134" s="139">
        <f t="shared" si="154"/>
        <v>0</v>
      </c>
      <c r="FL134" s="139">
        <f t="shared" si="155"/>
        <v>0</v>
      </c>
      <c r="FM134" s="139">
        <f t="shared" si="156"/>
        <v>0</v>
      </c>
      <c r="FN134" s="139">
        <f t="shared" si="157"/>
        <v>0</v>
      </c>
      <c r="FO134" s="139">
        <f t="shared" si="158"/>
        <v>0</v>
      </c>
      <c r="FP134" s="139">
        <f t="shared" si="159"/>
        <v>0</v>
      </c>
      <c r="FQ134" s="139">
        <f t="shared" si="160"/>
        <v>0</v>
      </c>
      <c r="FR134" s="139">
        <f t="shared" si="161"/>
        <v>0</v>
      </c>
      <c r="FS134" s="139">
        <f t="shared" si="162"/>
        <v>0</v>
      </c>
      <c r="FT134" s="139">
        <f t="shared" si="163"/>
        <v>0</v>
      </c>
      <c r="FU134" s="148">
        <f t="shared" si="164"/>
        <v>50.197683258147677</v>
      </c>
      <c r="FV134" s="149"/>
      <c r="FY134" s="213">
        <v>129</v>
      </c>
      <c r="FZ134">
        <v>39.223480943724319</v>
      </c>
      <c r="GA134">
        <v>18.797292582011135</v>
      </c>
      <c r="GB134">
        <v>13.344715261368416</v>
      </c>
      <c r="GC134">
        <v>8.1493653570841822</v>
      </c>
      <c r="GD134">
        <v>3.0972932070222221</v>
      </c>
      <c r="GE134">
        <v>4.0672147038070436</v>
      </c>
      <c r="GF134">
        <v>7.5942464635756668</v>
      </c>
      <c r="GG134">
        <v>10.769939569314321</v>
      </c>
      <c r="GH134">
        <v>9.2964288447248364</v>
      </c>
      <c r="GI134">
        <v>13.677657325963027</v>
      </c>
      <c r="GJ134"/>
      <c r="GK134"/>
      <c r="GL134"/>
      <c r="GM134"/>
      <c r="GN134" s="208"/>
      <c r="GO134" s="208"/>
      <c r="GP134" s="208"/>
      <c r="GQ134" s="208"/>
      <c r="GR134" s="208"/>
      <c r="GS134" s="208"/>
      <c r="GT134" s="208"/>
      <c r="GU134" s="213">
        <v>129</v>
      </c>
    </row>
    <row r="135" spans="1:203" s="7" customFormat="1">
      <c r="A135" s="1"/>
      <c r="B135" s="76">
        <f ca="1">IF(C135="", "", RAND())</f>
        <v>0.7364408219578642</v>
      </c>
      <c r="C135">
        <v>9</v>
      </c>
      <c r="D135">
        <v>39775</v>
      </c>
      <c r="E135">
        <v>0</v>
      </c>
      <c r="F135">
        <v>31.25</v>
      </c>
      <c r="G135">
        <v>125</v>
      </c>
      <c r="H135">
        <v>20.833333333333332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216.41246679570889</v>
      </c>
      <c r="AO135">
        <v>20.006646177299739</v>
      </c>
      <c r="AP135">
        <v>22.462303377093107</v>
      </c>
      <c r="AQ135">
        <v>133.36246558847975</v>
      </c>
      <c r="AR135">
        <v>21.227733856222923</v>
      </c>
      <c r="AS135">
        <v>284.4705430461604</v>
      </c>
      <c r="AT135">
        <v>11.848382541053496</v>
      </c>
      <c r="AU135">
        <v>2.6817522921519483</v>
      </c>
      <c r="AV135"/>
      <c r="AW135"/>
      <c r="AX135" s="146"/>
      <c r="AY135" s="76">
        <f t="shared" ca="1" si="88"/>
        <v>0.40718221354258954</v>
      </c>
      <c r="AZ135">
        <v>8</v>
      </c>
      <c r="BA135" s="129">
        <f t="shared" si="166"/>
        <v>39775</v>
      </c>
      <c r="BB135" s="207">
        <v>0</v>
      </c>
      <c r="BC135" s="207">
        <v>0</v>
      </c>
      <c r="BD135" s="207">
        <v>0</v>
      </c>
      <c r="BE135" s="207">
        <v>0</v>
      </c>
      <c r="BF135" s="207">
        <v>0</v>
      </c>
      <c r="BG135" s="207">
        <v>0</v>
      </c>
      <c r="BH135" s="207">
        <v>0</v>
      </c>
      <c r="BI135" s="207">
        <v>0</v>
      </c>
      <c r="BJ135" s="207">
        <v>0</v>
      </c>
      <c r="BK135" s="207">
        <v>0</v>
      </c>
      <c r="BL135" s="207">
        <v>0</v>
      </c>
      <c r="BM135" s="207">
        <v>0</v>
      </c>
      <c r="BN135" s="207">
        <v>0</v>
      </c>
      <c r="BO135" s="207">
        <v>0</v>
      </c>
      <c r="BP135" s="207">
        <v>0</v>
      </c>
      <c r="BQ135" s="207">
        <v>0</v>
      </c>
      <c r="BR135" s="207">
        <v>0</v>
      </c>
      <c r="BS135" s="207">
        <v>0</v>
      </c>
      <c r="BT135" s="207">
        <v>0</v>
      </c>
      <c r="BU135" s="207">
        <v>0</v>
      </c>
      <c r="BV135" s="207">
        <v>0</v>
      </c>
      <c r="BW135" s="207">
        <v>0</v>
      </c>
      <c r="BX135" s="207">
        <v>0</v>
      </c>
      <c r="BY135" s="207">
        <v>0</v>
      </c>
      <c r="BZ135" s="207">
        <v>0</v>
      </c>
      <c r="CA135" s="207">
        <v>0</v>
      </c>
      <c r="CB135" s="207">
        <v>0</v>
      </c>
      <c r="CC135" s="207">
        <v>0</v>
      </c>
      <c r="CD135" s="207">
        <v>0</v>
      </c>
      <c r="CE135" s="207">
        <v>0</v>
      </c>
      <c r="CF135" s="207">
        <v>0</v>
      </c>
      <c r="CG135" s="147"/>
      <c r="CH135" s="176"/>
      <c r="CJ135" s="146"/>
      <c r="CK135" s="76">
        <f t="shared" ca="1" si="90"/>
        <v>0.76428228245598384</v>
      </c>
      <c r="CL135" s="179">
        <f t="shared" si="91"/>
        <v>8</v>
      </c>
      <c r="CM135" s="180">
        <f t="shared" si="92"/>
        <v>39775</v>
      </c>
      <c r="CN135" s="208">
        <v>0</v>
      </c>
      <c r="CO135" s="208">
        <v>1</v>
      </c>
      <c r="CP135" s="208">
        <v>1</v>
      </c>
      <c r="CQ135" s="208">
        <v>0</v>
      </c>
      <c r="CR135" s="208">
        <v>0</v>
      </c>
      <c r="CS135" s="208">
        <v>0</v>
      </c>
      <c r="CT135" s="208">
        <v>0</v>
      </c>
      <c r="CU135" s="208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3"/>
        <v>9.6000000000000002E-2</v>
      </c>
      <c r="DB135" s="146"/>
      <c r="DC135" s="76">
        <f t="shared" ca="1" si="51"/>
        <v>0.92034342923381462</v>
      </c>
      <c r="DD135">
        <f t="shared" si="94"/>
        <v>8</v>
      </c>
      <c r="DE135" s="129">
        <f t="shared" si="165"/>
        <v>39775</v>
      </c>
      <c r="DF135" s="161">
        <f t="shared" si="95"/>
        <v>0</v>
      </c>
      <c r="DG135" s="161">
        <f t="shared" si="96"/>
        <v>52.083333333333336</v>
      </c>
      <c r="DH135" s="161">
        <f t="shared" si="97"/>
        <v>52.083333333333336</v>
      </c>
      <c r="DI135" s="161">
        <f t="shared" si="98"/>
        <v>0</v>
      </c>
      <c r="DJ135" s="161">
        <f t="shared" si="99"/>
        <v>0</v>
      </c>
      <c r="DK135" s="161">
        <f t="shared" si="100"/>
        <v>0</v>
      </c>
      <c r="DL135" s="161">
        <f t="shared" si="101"/>
        <v>0</v>
      </c>
      <c r="DM135" s="161">
        <f t="shared" si="102"/>
        <v>0</v>
      </c>
      <c r="DN135" s="161">
        <f t="shared" si="103"/>
        <v>0</v>
      </c>
      <c r="DO135" s="161">
        <f t="shared" si="104"/>
        <v>0</v>
      </c>
      <c r="DP135" s="161">
        <f t="shared" si="105"/>
        <v>0</v>
      </c>
      <c r="DQ135" s="161">
        <f t="shared" si="106"/>
        <v>0</v>
      </c>
      <c r="DR135" s="161">
        <f t="shared" si="107"/>
        <v>0</v>
      </c>
      <c r="DS135" s="161">
        <f t="shared" si="108"/>
        <v>0</v>
      </c>
      <c r="DT135" s="161">
        <f t="shared" si="109"/>
        <v>0</v>
      </c>
      <c r="DU135" s="161">
        <f t="shared" si="110"/>
        <v>0</v>
      </c>
      <c r="DV135" s="161">
        <f t="shared" si="111"/>
        <v>0</v>
      </c>
      <c r="DW135" s="161">
        <f t="shared" si="112"/>
        <v>0</v>
      </c>
      <c r="DX135" s="161">
        <f t="shared" si="113"/>
        <v>0</v>
      </c>
      <c r="DY135" s="161">
        <f t="shared" si="114"/>
        <v>0</v>
      </c>
      <c r="DZ135" s="161">
        <f t="shared" si="115"/>
        <v>0</v>
      </c>
      <c r="EA135" s="161">
        <f t="shared" si="116"/>
        <v>0</v>
      </c>
      <c r="EB135" s="161">
        <f t="shared" si="117"/>
        <v>0</v>
      </c>
      <c r="EC135" s="161">
        <f t="shared" si="118"/>
        <v>0</v>
      </c>
      <c r="ED135" s="161">
        <f t="shared" si="119"/>
        <v>0</v>
      </c>
      <c r="EE135" s="161">
        <f t="shared" si="120"/>
        <v>0</v>
      </c>
      <c r="EF135" s="161">
        <f t="shared" si="121"/>
        <v>0</v>
      </c>
      <c r="EG135" s="161">
        <f t="shared" si="122"/>
        <v>0</v>
      </c>
      <c r="EH135" s="161">
        <f t="shared" si="123"/>
        <v>0</v>
      </c>
      <c r="EI135" s="161">
        <f t="shared" si="124"/>
        <v>0</v>
      </c>
      <c r="EJ135" s="161">
        <f t="shared" si="125"/>
        <v>0</v>
      </c>
      <c r="EK135" s="147">
        <f t="shared" si="132"/>
        <v>104.16666666666667</v>
      </c>
      <c r="EL135" s="149"/>
      <c r="EN135" s="146"/>
      <c r="EO135" s="146"/>
      <c r="EP135" s="139">
        <f t="shared" si="133"/>
        <v>0</v>
      </c>
      <c r="EQ135" s="139">
        <f t="shared" si="134"/>
        <v>0.37643749999999998</v>
      </c>
      <c r="ER135" s="139">
        <f t="shared" si="135"/>
        <v>2.4308860358710991</v>
      </c>
      <c r="ES135" s="139">
        <f t="shared" si="136"/>
        <v>0</v>
      </c>
      <c r="ET135" s="139">
        <f t="shared" si="137"/>
        <v>0</v>
      </c>
      <c r="EU135" s="139">
        <f t="shared" si="138"/>
        <v>0</v>
      </c>
      <c r="EV135" s="139">
        <f t="shared" si="139"/>
        <v>0</v>
      </c>
      <c r="EW135" s="139">
        <f t="shared" si="140"/>
        <v>0</v>
      </c>
      <c r="EX135" s="139">
        <f t="shared" si="141"/>
        <v>0</v>
      </c>
      <c r="EY135" s="139">
        <f t="shared" si="142"/>
        <v>0</v>
      </c>
      <c r="EZ135" s="139">
        <f t="shared" si="143"/>
        <v>0</v>
      </c>
      <c r="FA135" s="139">
        <f t="shared" si="144"/>
        <v>0</v>
      </c>
      <c r="FB135" s="139">
        <f t="shared" si="145"/>
        <v>0</v>
      </c>
      <c r="FC135" s="139">
        <f t="shared" si="146"/>
        <v>0</v>
      </c>
      <c r="FD135" s="139">
        <f t="shared" si="147"/>
        <v>0</v>
      </c>
      <c r="FE135" s="139">
        <f t="shared" si="148"/>
        <v>0</v>
      </c>
      <c r="FF135" s="139">
        <f t="shared" si="149"/>
        <v>0</v>
      </c>
      <c r="FG135" s="139">
        <f t="shared" si="150"/>
        <v>0</v>
      </c>
      <c r="FH135" s="139">
        <f t="shared" si="151"/>
        <v>0</v>
      </c>
      <c r="FI135" s="139">
        <f t="shared" si="152"/>
        <v>0</v>
      </c>
      <c r="FJ135" s="139">
        <f t="shared" si="153"/>
        <v>0</v>
      </c>
      <c r="FK135" s="139">
        <f t="shared" si="154"/>
        <v>0</v>
      </c>
      <c r="FL135" s="139">
        <f t="shared" si="155"/>
        <v>0</v>
      </c>
      <c r="FM135" s="139">
        <f t="shared" si="156"/>
        <v>0</v>
      </c>
      <c r="FN135" s="139">
        <f t="shared" si="157"/>
        <v>0</v>
      </c>
      <c r="FO135" s="139">
        <f t="shared" si="158"/>
        <v>0</v>
      </c>
      <c r="FP135" s="139">
        <f t="shared" si="159"/>
        <v>0</v>
      </c>
      <c r="FQ135" s="139">
        <f t="shared" si="160"/>
        <v>0</v>
      </c>
      <c r="FR135" s="139">
        <f t="shared" si="161"/>
        <v>0</v>
      </c>
      <c r="FS135" s="139">
        <f t="shared" si="162"/>
        <v>0</v>
      </c>
      <c r="FT135" s="139">
        <f t="shared" si="163"/>
        <v>0</v>
      </c>
      <c r="FU135" s="148">
        <f t="shared" si="164"/>
        <v>2.8073235358710988</v>
      </c>
      <c r="FV135" s="149"/>
      <c r="FY135" s="213">
        <v>130</v>
      </c>
      <c r="FZ135">
        <v>44.250084802620535</v>
      </c>
      <c r="GA135">
        <v>46.947497270222428</v>
      </c>
      <c r="GB135">
        <v>40.780562914564882</v>
      </c>
      <c r="GC135">
        <v>15.129049181198479</v>
      </c>
      <c r="GD135">
        <v>4.9405409857357014</v>
      </c>
      <c r="GE135">
        <v>7.624312033695511</v>
      </c>
      <c r="GF135">
        <v>2.1192863012314893</v>
      </c>
      <c r="GG135">
        <v>1.6015427025735163</v>
      </c>
      <c r="GH135">
        <v>4.9083936548223503</v>
      </c>
      <c r="GI135">
        <v>20.500686613745874</v>
      </c>
      <c r="GJ135"/>
      <c r="GK135"/>
      <c r="GL135"/>
      <c r="GM135"/>
      <c r="GN135" s="208"/>
      <c r="GO135" s="208"/>
      <c r="GP135" s="208"/>
      <c r="GQ135" s="208"/>
      <c r="GR135" s="208"/>
      <c r="GS135" s="208"/>
      <c r="GT135" s="208"/>
      <c r="GU135" s="213">
        <v>130</v>
      </c>
    </row>
    <row r="136" spans="1:203" s="7" customFormat="1">
      <c r="A136" s="1"/>
      <c r="B136" s="76">
        <f ca="1">IF(C136="", "", RAND())</f>
        <v>0.33640389523328307</v>
      </c>
      <c r="C136">
        <v>1</v>
      </c>
      <c r="D136">
        <v>39775</v>
      </c>
      <c r="E136">
        <v>0</v>
      </c>
      <c r="F136">
        <v>43.75</v>
      </c>
      <c r="G136">
        <v>0</v>
      </c>
      <c r="H136">
        <v>32.051282051282051</v>
      </c>
      <c r="I136">
        <v>32.051282051282051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255.83498104681559</v>
      </c>
      <c r="AO136">
        <v>31.032157079970766</v>
      </c>
      <c r="AP136">
        <v>85.774265079556983</v>
      </c>
      <c r="AQ136">
        <v>243.39766491912371</v>
      </c>
      <c r="AR136">
        <v>31.477769193132982</v>
      </c>
      <c r="AS136">
        <v>434.69087310727014</v>
      </c>
      <c r="AT136" t="e">
        <v>#DIV/0!</v>
      </c>
      <c r="AU136" t="e">
        <v>#DIV/0!</v>
      </c>
      <c r="AV136"/>
      <c r="AW136"/>
      <c r="AX136" s="146"/>
      <c r="AY136" s="76">
        <f t="shared" ca="1" si="88"/>
        <v>0.12078433243410114</v>
      </c>
      <c r="AZ136">
        <v>9</v>
      </c>
      <c r="BA136" s="129">
        <f t="shared" si="166"/>
        <v>39775</v>
      </c>
      <c r="BB136" s="207">
        <v>0</v>
      </c>
      <c r="BC136" s="207">
        <v>0</v>
      </c>
      <c r="BD136" s="207">
        <v>0</v>
      </c>
      <c r="BE136" s="207">
        <v>0</v>
      </c>
      <c r="BF136" s="207">
        <v>0</v>
      </c>
      <c r="BG136" s="207">
        <v>0</v>
      </c>
      <c r="BH136" s="207">
        <v>0</v>
      </c>
      <c r="BI136" s="207">
        <v>0</v>
      </c>
      <c r="BJ136" s="207">
        <v>0</v>
      </c>
      <c r="BK136" s="207">
        <v>0</v>
      </c>
      <c r="BL136" s="207">
        <v>0</v>
      </c>
      <c r="BM136" s="207">
        <v>0</v>
      </c>
      <c r="BN136" s="207">
        <v>0</v>
      </c>
      <c r="BO136" s="207">
        <v>0</v>
      </c>
      <c r="BP136" s="207">
        <v>0</v>
      </c>
      <c r="BQ136" s="207">
        <v>0</v>
      </c>
      <c r="BR136" s="207">
        <v>0</v>
      </c>
      <c r="BS136" s="207">
        <v>0</v>
      </c>
      <c r="BT136" s="207">
        <v>0</v>
      </c>
      <c r="BU136" s="207">
        <v>0</v>
      </c>
      <c r="BV136" s="207">
        <v>0</v>
      </c>
      <c r="BW136" s="207">
        <v>0</v>
      </c>
      <c r="BX136" s="207">
        <v>0</v>
      </c>
      <c r="BY136" s="207">
        <v>0</v>
      </c>
      <c r="BZ136" s="207">
        <v>0</v>
      </c>
      <c r="CA136" s="207">
        <v>0</v>
      </c>
      <c r="CB136" s="207">
        <v>0</v>
      </c>
      <c r="CC136" s="207">
        <v>0</v>
      </c>
      <c r="CD136" s="207">
        <v>0</v>
      </c>
      <c r="CE136" s="207">
        <v>0</v>
      </c>
      <c r="CF136" s="207">
        <v>0</v>
      </c>
      <c r="CG136" s="147"/>
      <c r="CH136" s="176"/>
      <c r="CJ136" s="146"/>
      <c r="CK136" s="76">
        <f t="shared" ca="1" si="90"/>
        <v>0.67104367953815558</v>
      </c>
      <c r="CL136" s="179">
        <f t="shared" si="91"/>
        <v>9</v>
      </c>
      <c r="CM136" s="180">
        <f t="shared" si="92"/>
        <v>39775</v>
      </c>
      <c r="CN136" s="208">
        <v>0</v>
      </c>
      <c r="CO136" s="208">
        <v>3</v>
      </c>
      <c r="CP136" s="208">
        <v>12</v>
      </c>
      <c r="CQ136" s="208">
        <v>2</v>
      </c>
      <c r="CR136" s="208">
        <v>0</v>
      </c>
      <c r="CS136" s="208">
        <v>0</v>
      </c>
      <c r="CT136" s="208">
        <v>0</v>
      </c>
      <c r="CU136" s="208">
        <v>0</v>
      </c>
      <c r="CV136" s="160"/>
      <c r="CW136">
        <v>1</v>
      </c>
      <c r="CX136">
        <v>1</v>
      </c>
      <c r="CY136" s="164"/>
      <c r="CZ136" s="177">
        <f t="shared" si="93"/>
        <v>9.6000000000000002E-2</v>
      </c>
      <c r="DB136" s="146"/>
      <c r="DC136" s="76">
        <f t="shared" ca="1" si="51"/>
        <v>0.70543021115834748</v>
      </c>
      <c r="DD136">
        <f t="shared" si="94"/>
        <v>9</v>
      </c>
      <c r="DE136" s="129">
        <f t="shared" si="165"/>
        <v>39775</v>
      </c>
      <c r="DF136" s="161">
        <f t="shared" si="95"/>
        <v>0</v>
      </c>
      <c r="DG136" s="161">
        <f t="shared" si="96"/>
        <v>31.25</v>
      </c>
      <c r="DH136" s="161">
        <f t="shared" si="97"/>
        <v>125</v>
      </c>
      <c r="DI136" s="161">
        <f t="shared" si="98"/>
        <v>20.833333333333332</v>
      </c>
      <c r="DJ136" s="161">
        <f t="shared" si="99"/>
        <v>0</v>
      </c>
      <c r="DK136" s="161">
        <f t="shared" si="100"/>
        <v>0</v>
      </c>
      <c r="DL136" s="161">
        <f t="shared" si="101"/>
        <v>0</v>
      </c>
      <c r="DM136" s="161">
        <f t="shared" si="102"/>
        <v>0</v>
      </c>
      <c r="DN136" s="161">
        <f t="shared" si="103"/>
        <v>0</v>
      </c>
      <c r="DO136" s="161">
        <f t="shared" si="104"/>
        <v>0</v>
      </c>
      <c r="DP136" s="161">
        <f t="shared" si="105"/>
        <v>0</v>
      </c>
      <c r="DQ136" s="161">
        <f t="shared" si="106"/>
        <v>0</v>
      </c>
      <c r="DR136" s="161">
        <f t="shared" si="107"/>
        <v>0</v>
      </c>
      <c r="DS136" s="161">
        <f t="shared" si="108"/>
        <v>0</v>
      </c>
      <c r="DT136" s="161">
        <f t="shared" si="109"/>
        <v>0</v>
      </c>
      <c r="DU136" s="161">
        <f t="shared" si="110"/>
        <v>0</v>
      </c>
      <c r="DV136" s="161">
        <f t="shared" si="111"/>
        <v>0</v>
      </c>
      <c r="DW136" s="161">
        <f t="shared" si="112"/>
        <v>0</v>
      </c>
      <c r="DX136" s="161">
        <f t="shared" si="113"/>
        <v>0</v>
      </c>
      <c r="DY136" s="161">
        <f t="shared" si="114"/>
        <v>0</v>
      </c>
      <c r="DZ136" s="161">
        <f t="shared" si="115"/>
        <v>0</v>
      </c>
      <c r="EA136" s="161">
        <f t="shared" si="116"/>
        <v>0</v>
      </c>
      <c r="EB136" s="161">
        <f t="shared" si="117"/>
        <v>0</v>
      </c>
      <c r="EC136" s="161">
        <f t="shared" si="118"/>
        <v>0</v>
      </c>
      <c r="ED136" s="161">
        <f t="shared" si="119"/>
        <v>0</v>
      </c>
      <c r="EE136" s="161">
        <f t="shared" si="120"/>
        <v>0</v>
      </c>
      <c r="EF136" s="161">
        <f t="shared" si="121"/>
        <v>0</v>
      </c>
      <c r="EG136" s="161">
        <f t="shared" si="122"/>
        <v>0</v>
      </c>
      <c r="EH136" s="161">
        <f t="shared" si="123"/>
        <v>0</v>
      </c>
      <c r="EI136" s="161">
        <f t="shared" si="124"/>
        <v>0</v>
      </c>
      <c r="EJ136" s="161">
        <f t="shared" si="125"/>
        <v>0</v>
      </c>
      <c r="EK136" s="147">
        <f t="shared" si="132"/>
        <v>177.08333333333334</v>
      </c>
      <c r="EL136" s="149"/>
      <c r="EN136" s="146"/>
      <c r="EO136" s="146"/>
      <c r="EP136" s="139">
        <f t="shared" si="133"/>
        <v>0</v>
      </c>
      <c r="EQ136" s="139">
        <f t="shared" si="134"/>
        <v>0.22586249999999999</v>
      </c>
      <c r="ER136" s="139">
        <f t="shared" si="135"/>
        <v>5.8341264860906374</v>
      </c>
      <c r="ES136" s="139">
        <f t="shared" si="136"/>
        <v>2.8952506533745592</v>
      </c>
      <c r="ET136" s="139">
        <f t="shared" si="137"/>
        <v>0</v>
      </c>
      <c r="EU136" s="139">
        <f t="shared" si="138"/>
        <v>0</v>
      </c>
      <c r="EV136" s="139">
        <f t="shared" si="139"/>
        <v>0</v>
      </c>
      <c r="EW136" s="139">
        <f t="shared" si="140"/>
        <v>0</v>
      </c>
      <c r="EX136" s="139">
        <f t="shared" si="141"/>
        <v>0</v>
      </c>
      <c r="EY136" s="139">
        <f t="shared" si="142"/>
        <v>0</v>
      </c>
      <c r="EZ136" s="139">
        <f t="shared" si="143"/>
        <v>0</v>
      </c>
      <c r="FA136" s="139">
        <f t="shared" si="144"/>
        <v>0</v>
      </c>
      <c r="FB136" s="139">
        <f t="shared" si="145"/>
        <v>0</v>
      </c>
      <c r="FC136" s="139">
        <f t="shared" si="146"/>
        <v>0</v>
      </c>
      <c r="FD136" s="139">
        <f t="shared" si="147"/>
        <v>0</v>
      </c>
      <c r="FE136" s="139">
        <f t="shared" si="148"/>
        <v>0</v>
      </c>
      <c r="FF136" s="139">
        <f t="shared" si="149"/>
        <v>0</v>
      </c>
      <c r="FG136" s="139">
        <f t="shared" si="150"/>
        <v>0</v>
      </c>
      <c r="FH136" s="139">
        <f t="shared" si="151"/>
        <v>0</v>
      </c>
      <c r="FI136" s="139">
        <f t="shared" si="152"/>
        <v>0</v>
      </c>
      <c r="FJ136" s="139">
        <f t="shared" si="153"/>
        <v>0</v>
      </c>
      <c r="FK136" s="139">
        <f t="shared" si="154"/>
        <v>0</v>
      </c>
      <c r="FL136" s="139">
        <f t="shared" si="155"/>
        <v>0</v>
      </c>
      <c r="FM136" s="139">
        <f t="shared" si="156"/>
        <v>0</v>
      </c>
      <c r="FN136" s="139">
        <f t="shared" si="157"/>
        <v>0</v>
      </c>
      <c r="FO136" s="139">
        <f t="shared" si="158"/>
        <v>0</v>
      </c>
      <c r="FP136" s="139">
        <f t="shared" si="159"/>
        <v>0</v>
      </c>
      <c r="FQ136" s="139">
        <f t="shared" si="160"/>
        <v>0</v>
      </c>
      <c r="FR136" s="139">
        <f t="shared" si="161"/>
        <v>0</v>
      </c>
      <c r="FS136" s="139">
        <f t="shared" si="162"/>
        <v>0</v>
      </c>
      <c r="FT136" s="139">
        <f t="shared" si="163"/>
        <v>0</v>
      </c>
      <c r="FU136" s="148">
        <f t="shared" si="164"/>
        <v>8.9552396394651961</v>
      </c>
      <c r="FV136" s="149"/>
      <c r="FY136" s="213">
        <v>131</v>
      </c>
      <c r="FZ136">
        <v>43.482956353306349</v>
      </c>
      <c r="GA136">
        <v>20.954998071698654</v>
      </c>
      <c r="GB136">
        <v>22.042816048117757</v>
      </c>
      <c r="GC136">
        <v>13.635875025991275</v>
      </c>
      <c r="GD136">
        <v>3.3559819646208089</v>
      </c>
      <c r="GE136">
        <v>4.3122946672373104</v>
      </c>
      <c r="GF136">
        <v>6.2446838306772339</v>
      </c>
      <c r="GG136">
        <v>5.7273931146958965</v>
      </c>
      <c r="GH136">
        <v>5.6777123996501349</v>
      </c>
      <c r="GI136">
        <v>15.76546051743958</v>
      </c>
      <c r="GJ136"/>
      <c r="GK136"/>
      <c r="GL136"/>
      <c r="GM136"/>
      <c r="GN136" s="208"/>
      <c r="GO136" s="208"/>
      <c r="GP136" s="208"/>
      <c r="GQ136" s="208"/>
      <c r="GR136" s="208"/>
      <c r="GS136" s="208"/>
      <c r="GT136" s="208"/>
      <c r="GU136" s="213">
        <v>131</v>
      </c>
    </row>
    <row r="137" spans="1:203" s="7" customFormat="1">
      <c r="A137" s="1"/>
      <c r="B137" s="76">
        <f ca="1">IF(C137="", "", RAND())</f>
        <v>0.83260737821886388</v>
      </c>
      <c r="C137">
        <v>6</v>
      </c>
      <c r="D137">
        <v>39775</v>
      </c>
      <c r="E137">
        <v>0</v>
      </c>
      <c r="F137">
        <v>0</v>
      </c>
      <c r="G137">
        <v>10.416666666666666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261.33900494705642</v>
      </c>
      <c r="AO137">
        <v>23.677113411550881</v>
      </c>
      <c r="AP137">
        <v>40.927770735961218</v>
      </c>
      <c r="AQ137">
        <v>162.2054890688589</v>
      </c>
      <c r="AR137">
        <v>24.824803310625335</v>
      </c>
      <c r="AS137">
        <v>357.80648305703068</v>
      </c>
      <c r="AT137">
        <v>15.022218553385351</v>
      </c>
      <c r="AU137">
        <v>3.5983242677573415</v>
      </c>
      <c r="AV137"/>
      <c r="AW137"/>
      <c r="AX137" s="146"/>
      <c r="AY137" s="76">
        <f t="shared" ca="1" si="88"/>
        <v>0.67248749504185135</v>
      </c>
      <c r="AZ137">
        <v>10</v>
      </c>
      <c r="BA137" s="129">
        <f t="shared" si="166"/>
        <v>39775</v>
      </c>
      <c r="BB137" s="207">
        <v>0</v>
      </c>
      <c r="BC137" s="207">
        <v>0</v>
      </c>
      <c r="BD137" s="207">
        <v>0</v>
      </c>
      <c r="BE137" s="207">
        <v>0</v>
      </c>
      <c r="BF137" s="207">
        <v>0</v>
      </c>
      <c r="BG137" s="207">
        <v>0</v>
      </c>
      <c r="BH137" s="207">
        <v>0</v>
      </c>
      <c r="BI137" s="207">
        <v>0</v>
      </c>
      <c r="BJ137" s="207">
        <v>0</v>
      </c>
      <c r="BK137" s="207">
        <v>0</v>
      </c>
      <c r="BL137" s="207">
        <v>0</v>
      </c>
      <c r="BM137" s="207">
        <v>0</v>
      </c>
      <c r="BN137" s="207">
        <v>0</v>
      </c>
      <c r="BO137" s="207">
        <v>0</v>
      </c>
      <c r="BP137" s="207">
        <v>0</v>
      </c>
      <c r="BQ137" s="207">
        <v>0</v>
      </c>
      <c r="BR137" s="207">
        <v>0</v>
      </c>
      <c r="BS137" s="207">
        <v>0</v>
      </c>
      <c r="BT137" s="207">
        <v>0</v>
      </c>
      <c r="BU137" s="207">
        <v>0</v>
      </c>
      <c r="BV137" s="207">
        <v>0</v>
      </c>
      <c r="BW137" s="207">
        <v>0</v>
      </c>
      <c r="BX137" s="207">
        <v>0</v>
      </c>
      <c r="BY137" s="207">
        <v>0</v>
      </c>
      <c r="BZ137" s="207">
        <v>0</v>
      </c>
      <c r="CA137" s="207">
        <v>0</v>
      </c>
      <c r="CB137" s="207">
        <v>0</v>
      </c>
      <c r="CC137" s="207">
        <v>0</v>
      </c>
      <c r="CD137" s="207">
        <v>0</v>
      </c>
      <c r="CE137" s="207">
        <v>0</v>
      </c>
      <c r="CF137" s="207">
        <v>0</v>
      </c>
      <c r="CG137" s="147"/>
      <c r="CH137" s="176"/>
      <c r="CJ137" s="146"/>
      <c r="CK137" s="76">
        <f t="shared" ca="1" si="90"/>
        <v>0.43251812407543344</v>
      </c>
      <c r="CL137" s="179">
        <f t="shared" si="91"/>
        <v>10</v>
      </c>
      <c r="CM137" s="180">
        <f t="shared" si="92"/>
        <v>39775</v>
      </c>
      <c r="CN137" s="208">
        <v>1</v>
      </c>
      <c r="CO137" s="208">
        <v>6</v>
      </c>
      <c r="CP137" s="208">
        <v>8</v>
      </c>
      <c r="CQ137" s="208">
        <v>0</v>
      </c>
      <c r="CR137" s="208">
        <v>0</v>
      </c>
      <c r="CS137" s="208">
        <v>0</v>
      </c>
      <c r="CT137" s="208">
        <v>0</v>
      </c>
      <c r="CU137" s="208">
        <v>0</v>
      </c>
      <c r="CV137" s="160"/>
      <c r="CW137">
        <v>1</v>
      </c>
      <c r="CX137">
        <v>1</v>
      </c>
      <c r="CY137" s="164"/>
      <c r="CZ137" s="177">
        <f t="shared" si="93"/>
        <v>9.6000000000000002E-2</v>
      </c>
      <c r="DB137" s="146"/>
      <c r="DC137" s="76">
        <f t="shared" ca="1" si="51"/>
        <v>0.37438960832368928</v>
      </c>
      <c r="DD137">
        <f t="shared" si="94"/>
        <v>10</v>
      </c>
      <c r="DE137" s="129">
        <f t="shared" si="165"/>
        <v>39775</v>
      </c>
      <c r="DF137" s="161">
        <f t="shared" si="95"/>
        <v>10.416666666666666</v>
      </c>
      <c r="DG137" s="161">
        <f t="shared" si="96"/>
        <v>62.5</v>
      </c>
      <c r="DH137" s="161">
        <f t="shared" si="97"/>
        <v>83.333333333333329</v>
      </c>
      <c r="DI137" s="161">
        <f t="shared" si="98"/>
        <v>0</v>
      </c>
      <c r="DJ137" s="161">
        <f t="shared" si="99"/>
        <v>0</v>
      </c>
      <c r="DK137" s="161">
        <f t="shared" si="100"/>
        <v>0</v>
      </c>
      <c r="DL137" s="161">
        <f t="shared" si="101"/>
        <v>0</v>
      </c>
      <c r="DM137" s="161">
        <f t="shared" si="102"/>
        <v>0</v>
      </c>
      <c r="DN137" s="161">
        <f t="shared" si="103"/>
        <v>0</v>
      </c>
      <c r="DO137" s="161">
        <f t="shared" si="104"/>
        <v>0</v>
      </c>
      <c r="DP137" s="161">
        <f t="shared" si="105"/>
        <v>0</v>
      </c>
      <c r="DQ137" s="161">
        <f t="shared" si="106"/>
        <v>0</v>
      </c>
      <c r="DR137" s="161">
        <f t="shared" si="107"/>
        <v>0</v>
      </c>
      <c r="DS137" s="161">
        <f t="shared" si="108"/>
        <v>0</v>
      </c>
      <c r="DT137" s="161">
        <f t="shared" si="109"/>
        <v>0</v>
      </c>
      <c r="DU137" s="161">
        <f t="shared" si="110"/>
        <v>0</v>
      </c>
      <c r="DV137" s="161">
        <f t="shared" si="111"/>
        <v>0</v>
      </c>
      <c r="DW137" s="161">
        <f t="shared" si="112"/>
        <v>0</v>
      </c>
      <c r="DX137" s="161">
        <f t="shared" si="113"/>
        <v>0</v>
      </c>
      <c r="DY137" s="161">
        <f t="shared" si="114"/>
        <v>0</v>
      </c>
      <c r="DZ137" s="161">
        <f t="shared" si="115"/>
        <v>0</v>
      </c>
      <c r="EA137" s="161">
        <f t="shared" si="116"/>
        <v>0</v>
      </c>
      <c r="EB137" s="161">
        <f t="shared" si="117"/>
        <v>0</v>
      </c>
      <c r="EC137" s="161">
        <f t="shared" si="118"/>
        <v>0</v>
      </c>
      <c r="ED137" s="161">
        <f t="shared" si="119"/>
        <v>0</v>
      </c>
      <c r="EE137" s="161">
        <f t="shared" si="120"/>
        <v>0</v>
      </c>
      <c r="EF137" s="161">
        <f t="shared" si="121"/>
        <v>0</v>
      </c>
      <c r="EG137" s="161">
        <f t="shared" si="122"/>
        <v>0</v>
      </c>
      <c r="EH137" s="161">
        <f t="shared" si="123"/>
        <v>0</v>
      </c>
      <c r="EI137" s="161">
        <f t="shared" si="124"/>
        <v>0</v>
      </c>
      <c r="EJ137" s="161">
        <f t="shared" si="125"/>
        <v>0</v>
      </c>
      <c r="EK137" s="147">
        <f t="shared" si="132"/>
        <v>156.25</v>
      </c>
      <c r="EL137" s="149"/>
      <c r="EN137" s="146"/>
      <c r="EO137" s="146"/>
      <c r="EP137" s="139">
        <f t="shared" si="133"/>
        <v>1.1658727666800754E-2</v>
      </c>
      <c r="EQ137" s="139">
        <f t="shared" si="134"/>
        <v>0.45172499999999999</v>
      </c>
      <c r="ER137" s="139">
        <f t="shared" si="135"/>
        <v>3.889417657393758</v>
      </c>
      <c r="ES137" s="139">
        <f t="shared" si="136"/>
        <v>0</v>
      </c>
      <c r="ET137" s="139">
        <f t="shared" si="137"/>
        <v>0</v>
      </c>
      <c r="EU137" s="139">
        <f t="shared" si="138"/>
        <v>0</v>
      </c>
      <c r="EV137" s="139">
        <f t="shared" si="139"/>
        <v>0</v>
      </c>
      <c r="EW137" s="139">
        <f t="shared" si="140"/>
        <v>0</v>
      </c>
      <c r="EX137" s="139">
        <f t="shared" si="141"/>
        <v>0</v>
      </c>
      <c r="EY137" s="139">
        <f t="shared" si="142"/>
        <v>0</v>
      </c>
      <c r="EZ137" s="139">
        <f t="shared" si="143"/>
        <v>0</v>
      </c>
      <c r="FA137" s="139">
        <f t="shared" si="144"/>
        <v>0</v>
      </c>
      <c r="FB137" s="139">
        <f t="shared" si="145"/>
        <v>0</v>
      </c>
      <c r="FC137" s="139">
        <f t="shared" si="146"/>
        <v>0</v>
      </c>
      <c r="FD137" s="139">
        <f t="shared" si="147"/>
        <v>0</v>
      </c>
      <c r="FE137" s="139">
        <f t="shared" si="148"/>
        <v>0</v>
      </c>
      <c r="FF137" s="139">
        <f t="shared" si="149"/>
        <v>0</v>
      </c>
      <c r="FG137" s="139">
        <f t="shared" si="150"/>
        <v>0</v>
      </c>
      <c r="FH137" s="139">
        <f t="shared" si="151"/>
        <v>0</v>
      </c>
      <c r="FI137" s="139">
        <f t="shared" si="152"/>
        <v>0</v>
      </c>
      <c r="FJ137" s="139">
        <f t="shared" si="153"/>
        <v>0</v>
      </c>
      <c r="FK137" s="139">
        <f t="shared" si="154"/>
        <v>0</v>
      </c>
      <c r="FL137" s="139">
        <f t="shared" si="155"/>
        <v>0</v>
      </c>
      <c r="FM137" s="139">
        <f t="shared" si="156"/>
        <v>0</v>
      </c>
      <c r="FN137" s="139">
        <f t="shared" si="157"/>
        <v>0</v>
      </c>
      <c r="FO137" s="139">
        <f t="shared" si="158"/>
        <v>0</v>
      </c>
      <c r="FP137" s="139">
        <f t="shared" si="159"/>
        <v>0</v>
      </c>
      <c r="FQ137" s="139">
        <f t="shared" si="160"/>
        <v>0</v>
      </c>
      <c r="FR137" s="139">
        <f t="shared" si="161"/>
        <v>0</v>
      </c>
      <c r="FS137" s="139">
        <f t="shared" si="162"/>
        <v>0</v>
      </c>
      <c r="FT137" s="139">
        <f t="shared" si="163"/>
        <v>0</v>
      </c>
      <c r="FU137" s="148">
        <f t="shared" si="164"/>
        <v>4.3528013850605589</v>
      </c>
      <c r="FV137" s="149"/>
      <c r="FY137" s="213">
        <v>132</v>
      </c>
      <c r="FZ137">
        <v>41.187785655488831</v>
      </c>
      <c r="GA137">
        <v>50.527338040474838</v>
      </c>
      <c r="GB137">
        <v>32.950405023184494</v>
      </c>
      <c r="GC137">
        <v>11.50458710965672</v>
      </c>
      <c r="GD137">
        <v>6.1822899432917557</v>
      </c>
      <c r="GE137">
        <v>11.457783346454717</v>
      </c>
      <c r="GF137">
        <v>6.7168115687178584</v>
      </c>
      <c r="GG137">
        <v>7.0676778941901022</v>
      </c>
      <c r="GH137">
        <v>8.0489423541274956</v>
      </c>
      <c r="GI137">
        <v>20.172261059291671</v>
      </c>
      <c r="GJ137"/>
      <c r="GK137"/>
      <c r="GL137"/>
      <c r="GM137"/>
      <c r="GN137" s="208"/>
      <c r="GO137" s="208"/>
      <c r="GP137" s="208"/>
      <c r="GQ137" s="208"/>
      <c r="GR137" s="208"/>
      <c r="GS137" s="208"/>
      <c r="GT137" s="208"/>
      <c r="GU137" s="213">
        <v>132</v>
      </c>
    </row>
    <row r="138" spans="1:203" s="7" customFormat="1">
      <c r="A138" s="128"/>
      <c r="B138" s="76">
        <f ca="1">IF(C138="", "", RAND())</f>
        <v>0.20786170095745149</v>
      </c>
      <c r="C138">
        <v>10</v>
      </c>
      <c r="D138">
        <v>39799</v>
      </c>
      <c r="E138">
        <v>0</v>
      </c>
      <c r="F138">
        <v>20.833333333333332</v>
      </c>
      <c r="G138">
        <v>104.16666666666667</v>
      </c>
      <c r="H138">
        <v>10.416666666666666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346.11099931906131</v>
      </c>
      <c r="AO138">
        <v>29.378276188051313</v>
      </c>
      <c r="AP138">
        <v>23.636300473204564</v>
      </c>
      <c r="AQ138">
        <v>216.43940362262555</v>
      </c>
      <c r="AR138">
        <v>29.905010815352423</v>
      </c>
      <c r="AS138">
        <v>485.50566605855369</v>
      </c>
      <c r="AT138">
        <v>18.685822022814644</v>
      </c>
      <c r="AU138">
        <v>-16.897745071137507</v>
      </c>
      <c r="AV138"/>
      <c r="AW138"/>
      <c r="AX138" s="128"/>
      <c r="AY138" s="76">
        <f t="shared" ca="1" si="88"/>
        <v>0.69486847010586761</v>
      </c>
      <c r="AZ138">
        <v>1</v>
      </c>
      <c r="BA138" s="129">
        <f>IF(AZ138="", "",$C$9)</f>
        <v>39799</v>
      </c>
      <c r="BB138" s="207">
        <v>0</v>
      </c>
      <c r="BC138" s="207">
        <v>0</v>
      </c>
      <c r="BD138" s="207">
        <v>0</v>
      </c>
      <c r="BE138" s="207">
        <v>0</v>
      </c>
      <c r="BF138" s="207">
        <v>0</v>
      </c>
      <c r="BG138" s="207">
        <v>0</v>
      </c>
      <c r="BH138" s="207">
        <v>0</v>
      </c>
      <c r="BI138" s="207">
        <v>0</v>
      </c>
      <c r="BJ138" s="207">
        <v>0</v>
      </c>
      <c r="BK138" s="207">
        <v>0</v>
      </c>
      <c r="BL138" s="207">
        <v>0</v>
      </c>
      <c r="BM138" s="207">
        <v>0</v>
      </c>
      <c r="BN138" s="207">
        <v>0</v>
      </c>
      <c r="BO138" s="207">
        <v>0</v>
      </c>
      <c r="BP138" s="207">
        <v>0</v>
      </c>
      <c r="BQ138" s="207">
        <v>0</v>
      </c>
      <c r="BR138" s="207">
        <v>0</v>
      </c>
      <c r="BS138" s="207">
        <v>0</v>
      </c>
      <c r="BT138" s="207">
        <v>0</v>
      </c>
      <c r="BU138" s="207">
        <v>0</v>
      </c>
      <c r="BV138" s="207">
        <v>0</v>
      </c>
      <c r="BW138" s="207">
        <v>0</v>
      </c>
      <c r="BX138" s="207">
        <v>0</v>
      </c>
      <c r="BY138" s="207">
        <v>0</v>
      </c>
      <c r="BZ138" s="207">
        <v>0</v>
      </c>
      <c r="CA138" s="207">
        <v>0</v>
      </c>
      <c r="CB138" s="207">
        <v>0</v>
      </c>
      <c r="CC138" s="207">
        <v>0</v>
      </c>
      <c r="CD138" s="207">
        <v>0</v>
      </c>
      <c r="CE138" s="207">
        <v>0</v>
      </c>
      <c r="CF138" s="207">
        <v>0</v>
      </c>
      <c r="CG138" s="147"/>
      <c r="CH138" s="176"/>
      <c r="CJ138" s="128"/>
      <c r="CK138" s="76">
        <f t="shared" ca="1" si="90"/>
        <v>0.61798284752456745</v>
      </c>
      <c r="CL138" s="179">
        <f t="shared" si="91"/>
        <v>1</v>
      </c>
      <c r="CM138" s="180">
        <f t="shared" si="92"/>
        <v>39799</v>
      </c>
      <c r="CN138" s="208">
        <v>0</v>
      </c>
      <c r="CO138" s="208">
        <v>0</v>
      </c>
      <c r="CP138" s="208">
        <v>0</v>
      </c>
      <c r="CQ138" s="208">
        <v>0</v>
      </c>
      <c r="CR138" s="208">
        <v>0</v>
      </c>
      <c r="CS138" s="208">
        <v>0</v>
      </c>
      <c r="CT138" s="208">
        <v>0</v>
      </c>
      <c r="CU138" s="208">
        <v>0</v>
      </c>
      <c r="CV138" s="160"/>
      <c r="CW138">
        <v>1</v>
      </c>
      <c r="CX138">
        <v>8</v>
      </c>
      <c r="CY138" s="160"/>
      <c r="CZ138" s="177">
        <f t="shared" si="93"/>
        <v>9.6000000000000002E-2</v>
      </c>
      <c r="DB138" s="128"/>
      <c r="DC138" s="76">
        <f t="shared" ca="1" si="51"/>
        <v>0.77551513052194476</v>
      </c>
      <c r="DD138">
        <f t="shared" si="94"/>
        <v>1</v>
      </c>
      <c r="DE138" s="129">
        <f t="shared" ref="DE138:DE147" si="167">IF((DD138)="","",$C$9)</f>
        <v>39799</v>
      </c>
      <c r="DF138" s="161">
        <f t="shared" si="95"/>
        <v>0</v>
      </c>
      <c r="DG138" s="161">
        <f t="shared" si="96"/>
        <v>0</v>
      </c>
      <c r="DH138" s="161">
        <f t="shared" si="97"/>
        <v>0</v>
      </c>
      <c r="DI138" s="161">
        <f t="shared" si="98"/>
        <v>0</v>
      </c>
      <c r="DJ138" s="161">
        <f t="shared" si="99"/>
        <v>0</v>
      </c>
      <c r="DK138" s="161">
        <f t="shared" si="100"/>
        <v>0</v>
      </c>
      <c r="DL138" s="161">
        <f t="shared" si="101"/>
        <v>0</v>
      </c>
      <c r="DM138" s="161">
        <f t="shared" si="102"/>
        <v>0</v>
      </c>
      <c r="DN138" s="161">
        <f t="shared" si="103"/>
        <v>0</v>
      </c>
      <c r="DO138" s="161">
        <f t="shared" si="104"/>
        <v>0</v>
      </c>
      <c r="DP138" s="161">
        <f t="shared" si="105"/>
        <v>0</v>
      </c>
      <c r="DQ138" s="161">
        <f t="shared" si="106"/>
        <v>0</v>
      </c>
      <c r="DR138" s="161">
        <f t="shared" si="107"/>
        <v>0</v>
      </c>
      <c r="DS138" s="161">
        <f t="shared" si="108"/>
        <v>0</v>
      </c>
      <c r="DT138" s="161">
        <f t="shared" si="109"/>
        <v>0</v>
      </c>
      <c r="DU138" s="161">
        <f t="shared" si="110"/>
        <v>0</v>
      </c>
      <c r="DV138" s="161">
        <f t="shared" si="111"/>
        <v>0</v>
      </c>
      <c r="DW138" s="161">
        <f t="shared" si="112"/>
        <v>0</v>
      </c>
      <c r="DX138" s="161">
        <f t="shared" si="113"/>
        <v>0</v>
      </c>
      <c r="DY138" s="161">
        <f t="shared" si="114"/>
        <v>0</v>
      </c>
      <c r="DZ138" s="161">
        <f t="shared" si="115"/>
        <v>0</v>
      </c>
      <c r="EA138" s="161">
        <f t="shared" si="116"/>
        <v>0</v>
      </c>
      <c r="EB138" s="161">
        <f t="shared" si="117"/>
        <v>0</v>
      </c>
      <c r="EC138" s="161">
        <f t="shared" si="118"/>
        <v>0</v>
      </c>
      <c r="ED138" s="161">
        <f t="shared" si="119"/>
        <v>0</v>
      </c>
      <c r="EE138" s="161">
        <f t="shared" si="120"/>
        <v>0</v>
      </c>
      <c r="EF138" s="161">
        <f t="shared" si="121"/>
        <v>0</v>
      </c>
      <c r="EG138" s="161">
        <f t="shared" si="122"/>
        <v>0</v>
      </c>
      <c r="EH138" s="161">
        <f t="shared" si="123"/>
        <v>0</v>
      </c>
      <c r="EI138" s="161">
        <f t="shared" si="124"/>
        <v>0</v>
      </c>
      <c r="EJ138" s="161">
        <f t="shared" si="125"/>
        <v>0</v>
      </c>
      <c r="EK138" s="147">
        <f t="shared" si="132"/>
        <v>0</v>
      </c>
      <c r="EL138" s="149"/>
      <c r="EN138" s="146"/>
      <c r="EO138" s="146"/>
      <c r="EP138" s="139">
        <f t="shared" si="133"/>
        <v>0</v>
      </c>
      <c r="EQ138" s="139">
        <f t="shared" si="134"/>
        <v>0</v>
      </c>
      <c r="ER138" s="139">
        <f t="shared" si="135"/>
        <v>0</v>
      </c>
      <c r="ES138" s="139">
        <f t="shared" si="136"/>
        <v>0</v>
      </c>
      <c r="ET138" s="139">
        <f t="shared" si="137"/>
        <v>0</v>
      </c>
      <c r="EU138" s="139">
        <f t="shared" si="138"/>
        <v>0</v>
      </c>
      <c r="EV138" s="139">
        <f t="shared" si="139"/>
        <v>0</v>
      </c>
      <c r="EW138" s="139">
        <f t="shared" si="140"/>
        <v>0</v>
      </c>
      <c r="EX138" s="139">
        <f t="shared" si="141"/>
        <v>0</v>
      </c>
      <c r="EY138" s="139">
        <f t="shared" si="142"/>
        <v>0</v>
      </c>
      <c r="EZ138" s="139">
        <f t="shared" si="143"/>
        <v>0</v>
      </c>
      <c r="FA138" s="139">
        <f t="shared" si="144"/>
        <v>0</v>
      </c>
      <c r="FB138" s="139">
        <f t="shared" si="145"/>
        <v>0</v>
      </c>
      <c r="FC138" s="139">
        <f t="shared" si="146"/>
        <v>0</v>
      </c>
      <c r="FD138" s="139">
        <f t="shared" si="147"/>
        <v>0</v>
      </c>
      <c r="FE138" s="139">
        <f t="shared" si="148"/>
        <v>0</v>
      </c>
      <c r="FF138" s="139">
        <f t="shared" si="149"/>
        <v>0</v>
      </c>
      <c r="FG138" s="139">
        <f t="shared" si="150"/>
        <v>0</v>
      </c>
      <c r="FH138" s="139">
        <f t="shared" si="151"/>
        <v>0</v>
      </c>
      <c r="FI138" s="139">
        <f t="shared" si="152"/>
        <v>0</v>
      </c>
      <c r="FJ138" s="139">
        <f t="shared" si="153"/>
        <v>0</v>
      </c>
      <c r="FK138" s="139">
        <f t="shared" si="154"/>
        <v>0</v>
      </c>
      <c r="FL138" s="139">
        <f t="shared" si="155"/>
        <v>0</v>
      </c>
      <c r="FM138" s="139">
        <f t="shared" si="156"/>
        <v>0</v>
      </c>
      <c r="FN138" s="139">
        <f t="shared" si="157"/>
        <v>0</v>
      </c>
      <c r="FO138" s="139">
        <f t="shared" si="158"/>
        <v>0</v>
      </c>
      <c r="FP138" s="139">
        <f t="shared" si="159"/>
        <v>0</v>
      </c>
      <c r="FQ138" s="139">
        <f t="shared" si="160"/>
        <v>0</v>
      </c>
      <c r="FR138" s="139">
        <f t="shared" si="161"/>
        <v>0</v>
      </c>
      <c r="FS138" s="139">
        <f t="shared" si="162"/>
        <v>0</v>
      </c>
      <c r="FT138" s="139">
        <f t="shared" si="163"/>
        <v>0</v>
      </c>
      <c r="FU138" s="148">
        <f t="shared" si="164"/>
        <v>0</v>
      </c>
      <c r="FV138" s="149"/>
      <c r="FY138" s="213">
        <v>133</v>
      </c>
      <c r="FZ138">
        <v>51.017527126431489</v>
      </c>
      <c r="GA138">
        <v>40.949062087633401</v>
      </c>
      <c r="GB138">
        <v>28.505087310783143</v>
      </c>
      <c r="GC138">
        <v>12.878785749376091</v>
      </c>
      <c r="GD138">
        <v>4.9701614442571342</v>
      </c>
      <c r="GE138">
        <v>9.415344387546595</v>
      </c>
      <c r="GF138">
        <v>3.3875147690120206</v>
      </c>
      <c r="GG138">
        <v>7.0473979248653329</v>
      </c>
      <c r="GH138">
        <v>9.7077099606627542</v>
      </c>
      <c r="GI138">
        <v>19.483998732273108</v>
      </c>
      <c r="GJ138"/>
      <c r="GK138"/>
      <c r="GL138"/>
      <c r="GM138"/>
      <c r="GN138" s="208"/>
      <c r="GO138" s="208"/>
      <c r="GP138" s="208"/>
      <c r="GQ138" s="208"/>
      <c r="GR138" s="208"/>
      <c r="GS138" s="208"/>
      <c r="GT138" s="208"/>
      <c r="GU138" s="213">
        <v>133</v>
      </c>
    </row>
    <row r="139" spans="1:203" s="7" customFormat="1">
      <c r="A139" s="1"/>
      <c r="B139" s="76">
        <f ca="1">IF(C139="", "", RAND())</f>
        <v>0.8872819656540214</v>
      </c>
      <c r="C139">
        <v>4</v>
      </c>
      <c r="D139">
        <v>39799</v>
      </c>
      <c r="E139">
        <v>0</v>
      </c>
      <c r="F139">
        <v>877.33957219251329</v>
      </c>
      <c r="G139">
        <v>1462.2326203208556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251.37845078326637</v>
      </c>
      <c r="AO139">
        <v>31.204653940581977</v>
      </c>
      <c r="AP139">
        <v>49.195946703755958</v>
      </c>
      <c r="AQ139">
        <v>230.03018812414396</v>
      </c>
      <c r="AR139">
        <v>32.447413731038246</v>
      </c>
      <c r="AS139">
        <v>421.32946715900403</v>
      </c>
      <c r="AT139" t="e">
        <v>#DIV/0!</v>
      </c>
      <c r="AU139" t="e">
        <v>#DIV/0!</v>
      </c>
      <c r="AV139"/>
      <c r="AW139"/>
      <c r="AX139" s="146"/>
      <c r="AY139" s="76">
        <f t="shared" ca="1" si="88"/>
        <v>0.92221998394277005</v>
      </c>
      <c r="AZ139">
        <v>2</v>
      </c>
      <c r="BA139" s="129">
        <f t="shared" ref="BA139:BA147" si="168">IF(AZ139="", "",$C$9)</f>
        <v>39799</v>
      </c>
      <c r="BB139" s="207">
        <v>0</v>
      </c>
      <c r="BC139" s="207">
        <v>0</v>
      </c>
      <c r="BD139" s="207">
        <v>0</v>
      </c>
      <c r="BE139" s="207">
        <v>0</v>
      </c>
      <c r="BF139" s="207">
        <v>0</v>
      </c>
      <c r="BG139" s="207">
        <v>0</v>
      </c>
      <c r="BH139" s="207">
        <v>0</v>
      </c>
      <c r="BI139" s="207">
        <v>0</v>
      </c>
      <c r="BJ139" s="207">
        <v>0</v>
      </c>
      <c r="BK139" s="207">
        <v>0</v>
      </c>
      <c r="BL139" s="207">
        <v>0</v>
      </c>
      <c r="BM139" s="207">
        <v>0</v>
      </c>
      <c r="BN139" s="207">
        <v>0</v>
      </c>
      <c r="BO139" s="207">
        <v>0</v>
      </c>
      <c r="BP139" s="207">
        <v>0</v>
      </c>
      <c r="BQ139" s="207">
        <v>0</v>
      </c>
      <c r="BR139" s="207">
        <v>0</v>
      </c>
      <c r="BS139" s="207">
        <v>0</v>
      </c>
      <c r="BT139" s="207">
        <v>0</v>
      </c>
      <c r="BU139" s="207">
        <v>0</v>
      </c>
      <c r="BV139" s="207">
        <v>0</v>
      </c>
      <c r="BW139" s="207">
        <v>0</v>
      </c>
      <c r="BX139" s="207">
        <v>0</v>
      </c>
      <c r="BY139" s="207">
        <v>0</v>
      </c>
      <c r="BZ139" s="207">
        <v>0</v>
      </c>
      <c r="CA139" s="207">
        <v>0</v>
      </c>
      <c r="CB139" s="207">
        <v>0</v>
      </c>
      <c r="CC139" s="207">
        <v>0</v>
      </c>
      <c r="CD139" s="207">
        <v>0</v>
      </c>
      <c r="CE139" s="207">
        <v>0</v>
      </c>
      <c r="CF139" s="207">
        <v>0</v>
      </c>
      <c r="CG139" s="147"/>
      <c r="CH139" s="176"/>
      <c r="CJ139" s="146"/>
      <c r="CK139" s="76">
        <f t="shared" ca="1" si="90"/>
        <v>0.99784781137292367</v>
      </c>
      <c r="CL139" s="179">
        <f t="shared" si="91"/>
        <v>2</v>
      </c>
      <c r="CM139" s="180">
        <f t="shared" si="92"/>
        <v>39799</v>
      </c>
      <c r="CN139" s="208">
        <v>0</v>
      </c>
      <c r="CO139" s="208">
        <v>1</v>
      </c>
      <c r="CP139" s="208">
        <v>3</v>
      </c>
      <c r="CQ139" s="208">
        <v>3</v>
      </c>
      <c r="CR139" s="208">
        <v>0</v>
      </c>
      <c r="CS139" s="208">
        <v>0</v>
      </c>
      <c r="CT139" s="208">
        <v>0</v>
      </c>
      <c r="CU139" s="208">
        <v>0</v>
      </c>
      <c r="CV139" s="160"/>
      <c r="CW139">
        <v>1</v>
      </c>
      <c r="CX139">
        <v>1</v>
      </c>
      <c r="CY139" s="160"/>
      <c r="CZ139" s="177">
        <f t="shared" si="93"/>
        <v>9.6000000000000002E-2</v>
      </c>
      <c r="DB139" s="146"/>
      <c r="DC139" s="76">
        <f t="shared" ca="1" si="51"/>
        <v>0.93399241549385903</v>
      </c>
      <c r="DD139">
        <f t="shared" si="94"/>
        <v>2</v>
      </c>
      <c r="DE139" s="129">
        <f t="shared" si="167"/>
        <v>39799</v>
      </c>
      <c r="DF139" s="161">
        <f t="shared" si="95"/>
        <v>0</v>
      </c>
      <c r="DG139" s="161">
        <f t="shared" si="96"/>
        <v>10.416666666666666</v>
      </c>
      <c r="DH139" s="161">
        <f t="shared" si="97"/>
        <v>31.25</v>
      </c>
      <c r="DI139" s="161">
        <f t="shared" si="98"/>
        <v>31.25</v>
      </c>
      <c r="DJ139" s="161">
        <f t="shared" si="99"/>
        <v>0</v>
      </c>
      <c r="DK139" s="161">
        <f t="shared" si="100"/>
        <v>0</v>
      </c>
      <c r="DL139" s="161">
        <f t="shared" si="101"/>
        <v>0</v>
      </c>
      <c r="DM139" s="161">
        <f t="shared" si="102"/>
        <v>0</v>
      </c>
      <c r="DN139" s="161">
        <f t="shared" si="103"/>
        <v>0</v>
      </c>
      <c r="DO139" s="161">
        <f t="shared" si="104"/>
        <v>0</v>
      </c>
      <c r="DP139" s="161">
        <f t="shared" si="105"/>
        <v>0</v>
      </c>
      <c r="DQ139" s="161">
        <f t="shared" si="106"/>
        <v>0</v>
      </c>
      <c r="DR139" s="161">
        <f t="shared" si="107"/>
        <v>0</v>
      </c>
      <c r="DS139" s="161">
        <f t="shared" si="108"/>
        <v>0</v>
      </c>
      <c r="DT139" s="161">
        <f t="shared" si="109"/>
        <v>0</v>
      </c>
      <c r="DU139" s="161">
        <f t="shared" si="110"/>
        <v>0</v>
      </c>
      <c r="DV139" s="161">
        <f t="shared" si="111"/>
        <v>0</v>
      </c>
      <c r="DW139" s="161">
        <f t="shared" si="112"/>
        <v>0</v>
      </c>
      <c r="DX139" s="161">
        <f t="shared" si="113"/>
        <v>0</v>
      </c>
      <c r="DY139" s="161">
        <f t="shared" si="114"/>
        <v>0</v>
      </c>
      <c r="DZ139" s="161">
        <f t="shared" si="115"/>
        <v>0</v>
      </c>
      <c r="EA139" s="161">
        <f t="shared" si="116"/>
        <v>0</v>
      </c>
      <c r="EB139" s="161">
        <f t="shared" si="117"/>
        <v>0</v>
      </c>
      <c r="EC139" s="161">
        <f t="shared" si="118"/>
        <v>0</v>
      </c>
      <c r="ED139" s="161">
        <f t="shared" si="119"/>
        <v>0</v>
      </c>
      <c r="EE139" s="161">
        <f t="shared" si="120"/>
        <v>0</v>
      </c>
      <c r="EF139" s="161">
        <f t="shared" si="121"/>
        <v>0</v>
      </c>
      <c r="EG139" s="161">
        <f t="shared" si="122"/>
        <v>0</v>
      </c>
      <c r="EH139" s="161">
        <f t="shared" si="123"/>
        <v>0</v>
      </c>
      <c r="EI139" s="161">
        <f t="shared" si="124"/>
        <v>0</v>
      </c>
      <c r="EJ139" s="161">
        <f t="shared" si="125"/>
        <v>0</v>
      </c>
      <c r="EK139" s="147">
        <f t="shared" si="132"/>
        <v>72.916666666666657</v>
      </c>
      <c r="EL139" s="149"/>
      <c r="EN139" s="146"/>
      <c r="EO139" s="146"/>
      <c r="EP139" s="139">
        <f t="shared" si="133"/>
        <v>0</v>
      </c>
      <c r="EQ139" s="139">
        <f t="shared" si="134"/>
        <v>7.5287499999999993E-2</v>
      </c>
      <c r="ER139" s="139">
        <f t="shared" si="135"/>
        <v>1.4585316215226594</v>
      </c>
      <c r="ES139" s="139">
        <f t="shared" si="136"/>
        <v>4.3428759800618391</v>
      </c>
      <c r="ET139" s="139">
        <f t="shared" si="137"/>
        <v>0</v>
      </c>
      <c r="EU139" s="139">
        <f t="shared" si="138"/>
        <v>0</v>
      </c>
      <c r="EV139" s="139">
        <f t="shared" si="139"/>
        <v>0</v>
      </c>
      <c r="EW139" s="139">
        <f t="shared" si="140"/>
        <v>0</v>
      </c>
      <c r="EX139" s="139">
        <f t="shared" si="141"/>
        <v>0</v>
      </c>
      <c r="EY139" s="139">
        <f t="shared" si="142"/>
        <v>0</v>
      </c>
      <c r="EZ139" s="139">
        <f t="shared" si="143"/>
        <v>0</v>
      </c>
      <c r="FA139" s="139">
        <f t="shared" si="144"/>
        <v>0</v>
      </c>
      <c r="FB139" s="139">
        <f t="shared" si="145"/>
        <v>0</v>
      </c>
      <c r="FC139" s="139">
        <f t="shared" si="146"/>
        <v>0</v>
      </c>
      <c r="FD139" s="139">
        <f t="shared" si="147"/>
        <v>0</v>
      </c>
      <c r="FE139" s="139">
        <f t="shared" si="148"/>
        <v>0</v>
      </c>
      <c r="FF139" s="139">
        <f t="shared" si="149"/>
        <v>0</v>
      </c>
      <c r="FG139" s="139">
        <f t="shared" si="150"/>
        <v>0</v>
      </c>
      <c r="FH139" s="139">
        <f t="shared" si="151"/>
        <v>0</v>
      </c>
      <c r="FI139" s="139">
        <f t="shared" si="152"/>
        <v>0</v>
      </c>
      <c r="FJ139" s="139">
        <f t="shared" si="153"/>
        <v>0</v>
      </c>
      <c r="FK139" s="139">
        <f t="shared" si="154"/>
        <v>0</v>
      </c>
      <c r="FL139" s="139">
        <f t="shared" si="155"/>
        <v>0</v>
      </c>
      <c r="FM139" s="139">
        <f t="shared" si="156"/>
        <v>0</v>
      </c>
      <c r="FN139" s="139">
        <f t="shared" si="157"/>
        <v>0</v>
      </c>
      <c r="FO139" s="139">
        <f t="shared" si="158"/>
        <v>0</v>
      </c>
      <c r="FP139" s="139">
        <f t="shared" si="159"/>
        <v>0</v>
      </c>
      <c r="FQ139" s="139">
        <f t="shared" si="160"/>
        <v>0</v>
      </c>
      <c r="FR139" s="139">
        <f t="shared" si="161"/>
        <v>0</v>
      </c>
      <c r="FS139" s="139">
        <f t="shared" si="162"/>
        <v>0</v>
      </c>
      <c r="FT139" s="139">
        <f t="shared" si="163"/>
        <v>0</v>
      </c>
      <c r="FU139" s="148">
        <f t="shared" si="164"/>
        <v>5.8766951015844988</v>
      </c>
      <c r="FV139" s="149"/>
      <c r="FY139" s="213">
        <v>134</v>
      </c>
      <c r="FZ139">
        <v>49.078037122702291</v>
      </c>
      <c r="GA139">
        <v>42.701998002690814</v>
      </c>
      <c r="GB139">
        <v>29.607725741903536</v>
      </c>
      <c r="GC139">
        <v>12.35460958686501</v>
      </c>
      <c r="GD139">
        <v>2.5247562226467273</v>
      </c>
      <c r="GE139">
        <v>4.3000075991417521</v>
      </c>
      <c r="GF139">
        <v>6.421286236153791</v>
      </c>
      <c r="GG139">
        <v>7.5278570822376887</v>
      </c>
      <c r="GH139">
        <v>9.63968379470084</v>
      </c>
      <c r="GI139">
        <v>18.648221374590317</v>
      </c>
      <c r="GJ139"/>
      <c r="GK139"/>
      <c r="GL139"/>
      <c r="GM139"/>
      <c r="GN139" s="208"/>
      <c r="GO139" s="208"/>
      <c r="GP139" s="208"/>
      <c r="GQ139" s="208"/>
      <c r="GR139" s="208"/>
      <c r="GS139" s="208"/>
      <c r="GT139" s="208"/>
      <c r="GU139" s="213">
        <v>134</v>
      </c>
    </row>
    <row r="140" spans="1:203" s="7" customFormat="1">
      <c r="A140" s="1"/>
      <c r="B140" s="76">
        <f ca="1">IF(C140="", "", RAND())</f>
        <v>3.2692520017418403E-2</v>
      </c>
      <c r="C140">
        <v>1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223.54489844943305</v>
      </c>
      <c r="AO140">
        <v>21.995068124438497</v>
      </c>
      <c r="AP140">
        <v>29.722338215133178</v>
      </c>
      <c r="AQ140">
        <v>161.71632215401215</v>
      </c>
      <c r="AR140">
        <v>23.935198818581878</v>
      </c>
      <c r="AS140">
        <v>341.75476126834178</v>
      </c>
      <c r="AT140">
        <v>14.324519611646247</v>
      </c>
      <c r="AU140">
        <v>44.107807947086719</v>
      </c>
      <c r="AV140"/>
      <c r="AW140"/>
      <c r="AX140" s="146"/>
      <c r="AY140" s="76">
        <f t="shared" ca="1" si="88"/>
        <v>0.74587333018026136</v>
      </c>
      <c r="AZ140">
        <v>3</v>
      </c>
      <c r="BA140" s="129">
        <f t="shared" si="168"/>
        <v>39799</v>
      </c>
      <c r="BB140" s="207">
        <v>0</v>
      </c>
      <c r="BC140" s="207">
        <v>0</v>
      </c>
      <c r="BD140" s="207">
        <v>0</v>
      </c>
      <c r="BE140" s="207">
        <v>0</v>
      </c>
      <c r="BF140" s="207">
        <v>0</v>
      </c>
      <c r="BG140" s="207">
        <v>0</v>
      </c>
      <c r="BH140" s="207">
        <v>0</v>
      </c>
      <c r="BI140" s="207">
        <v>0</v>
      </c>
      <c r="BJ140" s="207">
        <v>0</v>
      </c>
      <c r="BK140" s="207">
        <v>0</v>
      </c>
      <c r="BL140" s="207">
        <v>0</v>
      </c>
      <c r="BM140" s="207">
        <v>0</v>
      </c>
      <c r="BN140" s="207">
        <v>0</v>
      </c>
      <c r="BO140" s="207">
        <v>0</v>
      </c>
      <c r="BP140" s="207">
        <v>0</v>
      </c>
      <c r="BQ140" s="207">
        <v>0</v>
      </c>
      <c r="BR140" s="207">
        <v>0</v>
      </c>
      <c r="BS140" s="207">
        <v>0</v>
      </c>
      <c r="BT140" s="207">
        <v>0</v>
      </c>
      <c r="BU140" s="207">
        <v>0</v>
      </c>
      <c r="BV140" s="207">
        <v>0</v>
      </c>
      <c r="BW140" s="207">
        <v>0</v>
      </c>
      <c r="BX140" s="207">
        <v>0</v>
      </c>
      <c r="BY140" s="207">
        <v>0</v>
      </c>
      <c r="BZ140" s="207">
        <v>0</v>
      </c>
      <c r="CA140" s="207">
        <v>0</v>
      </c>
      <c r="CB140" s="207">
        <v>0</v>
      </c>
      <c r="CC140" s="207">
        <v>0</v>
      </c>
      <c r="CD140" s="207">
        <v>0</v>
      </c>
      <c r="CE140" s="207">
        <v>0</v>
      </c>
      <c r="CF140" s="207">
        <v>0</v>
      </c>
      <c r="CG140" s="147"/>
      <c r="CH140" s="176"/>
      <c r="CJ140" s="146"/>
      <c r="CK140" s="76">
        <f t="shared" ca="1" si="90"/>
        <v>0.30167133907052146</v>
      </c>
      <c r="CL140" s="179">
        <f t="shared" si="91"/>
        <v>3</v>
      </c>
      <c r="CM140" s="180">
        <f t="shared" si="92"/>
        <v>39799</v>
      </c>
      <c r="CN140" s="208">
        <v>0</v>
      </c>
      <c r="CO140" s="208">
        <v>5</v>
      </c>
      <c r="CP140" s="208">
        <v>4</v>
      </c>
      <c r="CQ140" s="208">
        <v>1</v>
      </c>
      <c r="CR140" s="208">
        <v>0</v>
      </c>
      <c r="CS140" s="208">
        <v>0</v>
      </c>
      <c r="CT140" s="208">
        <v>0</v>
      </c>
      <c r="CU140" s="208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3"/>
        <v>9.6000000000000002E-2</v>
      </c>
      <c r="DB140" s="146"/>
      <c r="DC140" s="76">
        <f t="shared" ca="1" si="51"/>
        <v>0.52031600342999385</v>
      </c>
      <c r="DD140">
        <f t="shared" si="94"/>
        <v>3</v>
      </c>
      <c r="DE140" s="129">
        <f t="shared" si="167"/>
        <v>39799</v>
      </c>
      <c r="DF140" s="161">
        <f t="shared" si="95"/>
        <v>0</v>
      </c>
      <c r="DG140" s="161">
        <f t="shared" si="96"/>
        <v>416.66666666666669</v>
      </c>
      <c r="DH140" s="161">
        <f t="shared" si="97"/>
        <v>333.33333333333331</v>
      </c>
      <c r="DI140" s="161">
        <f t="shared" si="98"/>
        <v>83.333333333333329</v>
      </c>
      <c r="DJ140" s="161">
        <f t="shared" si="99"/>
        <v>0</v>
      </c>
      <c r="DK140" s="161">
        <f t="shared" si="100"/>
        <v>0</v>
      </c>
      <c r="DL140" s="161">
        <f t="shared" si="101"/>
        <v>0</v>
      </c>
      <c r="DM140" s="161">
        <f t="shared" si="102"/>
        <v>0</v>
      </c>
      <c r="DN140" s="161">
        <f t="shared" si="103"/>
        <v>0</v>
      </c>
      <c r="DO140" s="161">
        <f t="shared" si="104"/>
        <v>0</v>
      </c>
      <c r="DP140" s="161">
        <f t="shared" si="105"/>
        <v>0</v>
      </c>
      <c r="DQ140" s="161">
        <f t="shared" si="106"/>
        <v>0</v>
      </c>
      <c r="DR140" s="161">
        <f t="shared" si="107"/>
        <v>0</v>
      </c>
      <c r="DS140" s="161">
        <f t="shared" si="108"/>
        <v>0</v>
      </c>
      <c r="DT140" s="161">
        <f t="shared" si="109"/>
        <v>0</v>
      </c>
      <c r="DU140" s="161">
        <f t="shared" si="110"/>
        <v>0</v>
      </c>
      <c r="DV140" s="161">
        <f t="shared" si="111"/>
        <v>0</v>
      </c>
      <c r="DW140" s="161">
        <f t="shared" si="112"/>
        <v>0</v>
      </c>
      <c r="DX140" s="161">
        <f t="shared" si="113"/>
        <v>0</v>
      </c>
      <c r="DY140" s="161">
        <f t="shared" si="114"/>
        <v>0</v>
      </c>
      <c r="DZ140" s="161">
        <f t="shared" si="115"/>
        <v>0</v>
      </c>
      <c r="EA140" s="161">
        <f t="shared" si="116"/>
        <v>0</v>
      </c>
      <c r="EB140" s="161">
        <f t="shared" si="117"/>
        <v>0</v>
      </c>
      <c r="EC140" s="161">
        <f t="shared" si="118"/>
        <v>0</v>
      </c>
      <c r="ED140" s="161">
        <f t="shared" si="119"/>
        <v>0</v>
      </c>
      <c r="EE140" s="161">
        <f t="shared" si="120"/>
        <v>0</v>
      </c>
      <c r="EF140" s="161">
        <f t="shared" si="121"/>
        <v>0</v>
      </c>
      <c r="EG140" s="161">
        <f t="shared" si="122"/>
        <v>0</v>
      </c>
      <c r="EH140" s="161">
        <f t="shared" si="123"/>
        <v>0</v>
      </c>
      <c r="EI140" s="161">
        <f t="shared" si="124"/>
        <v>0</v>
      </c>
      <c r="EJ140" s="161">
        <f t="shared" si="125"/>
        <v>0</v>
      </c>
      <c r="EK140" s="147">
        <f t="shared" si="132"/>
        <v>833.33333333333337</v>
      </c>
      <c r="EL140" s="149"/>
      <c r="EN140" s="146"/>
      <c r="EO140" s="146"/>
      <c r="EP140" s="139">
        <f t="shared" si="133"/>
        <v>0</v>
      </c>
      <c r="EQ140" s="139">
        <f t="shared" si="134"/>
        <v>3.0114999999999998</v>
      </c>
      <c r="ER140" s="139">
        <f t="shared" si="135"/>
        <v>15.557670629575032</v>
      </c>
      <c r="ES140" s="139">
        <f t="shared" si="136"/>
        <v>11.581002613498237</v>
      </c>
      <c r="ET140" s="139">
        <f t="shared" si="137"/>
        <v>0</v>
      </c>
      <c r="EU140" s="139">
        <f t="shared" si="138"/>
        <v>0</v>
      </c>
      <c r="EV140" s="139">
        <f t="shared" si="139"/>
        <v>0</v>
      </c>
      <c r="EW140" s="139">
        <f t="shared" si="140"/>
        <v>0</v>
      </c>
      <c r="EX140" s="139">
        <f t="shared" si="141"/>
        <v>0</v>
      </c>
      <c r="EY140" s="139">
        <f t="shared" si="142"/>
        <v>0</v>
      </c>
      <c r="EZ140" s="139">
        <f t="shared" si="143"/>
        <v>0</v>
      </c>
      <c r="FA140" s="139">
        <f t="shared" si="144"/>
        <v>0</v>
      </c>
      <c r="FB140" s="139">
        <f t="shared" si="145"/>
        <v>0</v>
      </c>
      <c r="FC140" s="139">
        <f t="shared" si="146"/>
        <v>0</v>
      </c>
      <c r="FD140" s="139">
        <f t="shared" si="147"/>
        <v>0</v>
      </c>
      <c r="FE140" s="139">
        <f t="shared" si="148"/>
        <v>0</v>
      </c>
      <c r="FF140" s="139">
        <f t="shared" si="149"/>
        <v>0</v>
      </c>
      <c r="FG140" s="139">
        <f t="shared" si="150"/>
        <v>0</v>
      </c>
      <c r="FH140" s="139">
        <f t="shared" si="151"/>
        <v>0</v>
      </c>
      <c r="FI140" s="139">
        <f t="shared" si="152"/>
        <v>0</v>
      </c>
      <c r="FJ140" s="139">
        <f t="shared" si="153"/>
        <v>0</v>
      </c>
      <c r="FK140" s="139">
        <f t="shared" si="154"/>
        <v>0</v>
      </c>
      <c r="FL140" s="139">
        <f t="shared" si="155"/>
        <v>0</v>
      </c>
      <c r="FM140" s="139">
        <f t="shared" si="156"/>
        <v>0</v>
      </c>
      <c r="FN140" s="139">
        <f t="shared" si="157"/>
        <v>0</v>
      </c>
      <c r="FO140" s="139">
        <f t="shared" si="158"/>
        <v>0</v>
      </c>
      <c r="FP140" s="139">
        <f t="shared" si="159"/>
        <v>0</v>
      </c>
      <c r="FQ140" s="139">
        <f t="shared" si="160"/>
        <v>0</v>
      </c>
      <c r="FR140" s="139">
        <f t="shared" si="161"/>
        <v>0</v>
      </c>
      <c r="FS140" s="139">
        <f t="shared" si="162"/>
        <v>0</v>
      </c>
      <c r="FT140" s="139">
        <f t="shared" si="163"/>
        <v>0</v>
      </c>
      <c r="FU140" s="148">
        <f t="shared" si="164"/>
        <v>30.150173243073269</v>
      </c>
      <c r="FV140" s="149"/>
      <c r="FY140" s="213">
        <v>135</v>
      </c>
      <c r="FZ140">
        <v>48.806919999677454</v>
      </c>
      <c r="GA140">
        <v>46.470495752866981</v>
      </c>
      <c r="GB140">
        <v>31.122080712255887</v>
      </c>
      <c r="GC140">
        <v>13.375640486173872</v>
      </c>
      <c r="GD140">
        <v>4.1563884037249048</v>
      </c>
      <c r="GE140">
        <v>5.6930586334837514</v>
      </c>
      <c r="GF140">
        <v>4.497450423033003</v>
      </c>
      <c r="GG140">
        <v>4.0264599985836336</v>
      </c>
      <c r="GH140">
        <v>3.0122845049674591</v>
      </c>
      <c r="GI140">
        <v>18.48660975286888</v>
      </c>
      <c r="GJ140"/>
      <c r="GK140"/>
      <c r="GL140"/>
      <c r="GM140"/>
      <c r="GN140" s="208"/>
      <c r="GO140" s="208"/>
      <c r="GP140" s="208"/>
      <c r="GQ140" s="208"/>
      <c r="GR140" s="208"/>
      <c r="GS140" s="208"/>
      <c r="GT140" s="208"/>
      <c r="GU140" s="213">
        <v>135</v>
      </c>
    </row>
    <row r="141" spans="1:203" s="7" customFormat="1">
      <c r="A141" s="1"/>
      <c r="B141" s="76">
        <f ca="1">IF(C141="", "", RAND())</f>
        <v>0.38743860179618839</v>
      </c>
      <c r="C141">
        <v>2</v>
      </c>
      <c r="D141">
        <v>39799</v>
      </c>
      <c r="E141">
        <v>0</v>
      </c>
      <c r="F141">
        <v>10.416666666666666</v>
      </c>
      <c r="G141">
        <v>31.25</v>
      </c>
      <c r="H141">
        <v>31.25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291.61690099886403</v>
      </c>
      <c r="AO141">
        <v>28.277141855129919</v>
      </c>
      <c r="AP141">
        <v>29.034257463820047</v>
      </c>
      <c r="AQ141">
        <v>209.52033117977734</v>
      </c>
      <c r="AR141">
        <v>28.80948918672329</v>
      </c>
      <c r="AS141">
        <v>400.46046342210633</v>
      </c>
      <c r="AT141">
        <v>17.554913681912328</v>
      </c>
      <c r="AU141">
        <v>-15.018603742313275</v>
      </c>
      <c r="AV141"/>
      <c r="AW141"/>
      <c r="AX141" s="146"/>
      <c r="AY141" s="76">
        <f t="shared" ca="1" si="88"/>
        <v>0.89782687724667287</v>
      </c>
      <c r="AZ141">
        <v>4</v>
      </c>
      <c r="BA141" s="129">
        <f t="shared" si="168"/>
        <v>39799</v>
      </c>
      <c r="BB141" s="207">
        <v>0</v>
      </c>
      <c r="BC141" s="207">
        <v>0</v>
      </c>
      <c r="BD141" s="207">
        <v>0</v>
      </c>
      <c r="BE141" s="207">
        <v>0</v>
      </c>
      <c r="BF141" s="207">
        <v>0</v>
      </c>
      <c r="BG141" s="207">
        <v>0</v>
      </c>
      <c r="BH141" s="207">
        <v>0</v>
      </c>
      <c r="BI141" s="207">
        <v>0</v>
      </c>
      <c r="BJ141" s="207">
        <v>0</v>
      </c>
      <c r="BK141" s="207">
        <v>0</v>
      </c>
      <c r="BL141" s="207">
        <v>0</v>
      </c>
      <c r="BM141" s="207">
        <v>0</v>
      </c>
      <c r="BN141" s="207">
        <v>0</v>
      </c>
      <c r="BO141" s="207">
        <v>0</v>
      </c>
      <c r="BP141" s="207">
        <v>0</v>
      </c>
      <c r="BQ141" s="207">
        <v>0</v>
      </c>
      <c r="BR141" s="207">
        <v>0</v>
      </c>
      <c r="BS141" s="207">
        <v>0</v>
      </c>
      <c r="BT141" s="207">
        <v>0</v>
      </c>
      <c r="BU141" s="207">
        <v>0</v>
      </c>
      <c r="BV141" s="207">
        <v>0</v>
      </c>
      <c r="BW141" s="207">
        <v>0</v>
      </c>
      <c r="BX141" s="207">
        <v>0</v>
      </c>
      <c r="BY141" s="207">
        <v>0</v>
      </c>
      <c r="BZ141" s="207">
        <v>0</v>
      </c>
      <c r="CA141" s="207">
        <v>0</v>
      </c>
      <c r="CB141" s="207">
        <v>0</v>
      </c>
      <c r="CC141" s="207">
        <v>0</v>
      </c>
      <c r="CD141" s="207">
        <v>0</v>
      </c>
      <c r="CE141" s="207">
        <v>0</v>
      </c>
      <c r="CF141" s="207">
        <v>0</v>
      </c>
      <c r="CG141" s="147"/>
      <c r="CH141" s="176"/>
      <c r="CJ141" s="146"/>
      <c r="CK141" s="76">
        <f t="shared" ca="1" si="90"/>
        <v>0.76679070657741999</v>
      </c>
      <c r="CL141" s="179">
        <f t="shared" si="91"/>
        <v>4</v>
      </c>
      <c r="CM141" s="180">
        <f t="shared" si="92"/>
        <v>39799</v>
      </c>
      <c r="CN141" s="208">
        <v>0</v>
      </c>
      <c r="CO141" s="208">
        <v>3</v>
      </c>
      <c r="CP141" s="208">
        <v>5</v>
      </c>
      <c r="CQ141" s="208">
        <v>0</v>
      </c>
      <c r="CR141" s="208">
        <v>0</v>
      </c>
      <c r="CS141" s="208">
        <v>0</v>
      </c>
      <c r="CT141" s="208">
        <v>0</v>
      </c>
      <c r="CU141" s="208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3"/>
        <v>9.6000000000000002E-2</v>
      </c>
      <c r="DB141" s="146"/>
      <c r="DC141" s="76">
        <f t="shared" ca="1" si="51"/>
        <v>1.5762796542302393E-2</v>
      </c>
      <c r="DD141">
        <f t="shared" si="94"/>
        <v>4</v>
      </c>
      <c r="DE141" s="129">
        <f t="shared" si="167"/>
        <v>39799</v>
      </c>
      <c r="DF141" s="161">
        <f t="shared" si="95"/>
        <v>0</v>
      </c>
      <c r="DG141" s="161">
        <f t="shared" si="96"/>
        <v>877.33957219251329</v>
      </c>
      <c r="DH141" s="161">
        <f t="shared" si="97"/>
        <v>1462.2326203208556</v>
      </c>
      <c r="DI141" s="161">
        <f t="shared" si="98"/>
        <v>0</v>
      </c>
      <c r="DJ141" s="161">
        <f t="shared" si="99"/>
        <v>0</v>
      </c>
      <c r="DK141" s="161">
        <f t="shared" si="100"/>
        <v>0</v>
      </c>
      <c r="DL141" s="161">
        <f t="shared" si="101"/>
        <v>0</v>
      </c>
      <c r="DM141" s="161">
        <f t="shared" si="102"/>
        <v>0</v>
      </c>
      <c r="DN141" s="161">
        <f t="shared" si="103"/>
        <v>0</v>
      </c>
      <c r="DO141" s="161">
        <f t="shared" si="104"/>
        <v>0</v>
      </c>
      <c r="DP141" s="161">
        <f t="shared" si="105"/>
        <v>0</v>
      </c>
      <c r="DQ141" s="161">
        <f t="shared" si="106"/>
        <v>0</v>
      </c>
      <c r="DR141" s="161">
        <f t="shared" si="107"/>
        <v>0</v>
      </c>
      <c r="DS141" s="161">
        <f t="shared" si="108"/>
        <v>0</v>
      </c>
      <c r="DT141" s="161">
        <f t="shared" si="109"/>
        <v>0</v>
      </c>
      <c r="DU141" s="161">
        <f t="shared" si="110"/>
        <v>0</v>
      </c>
      <c r="DV141" s="161">
        <f t="shared" si="111"/>
        <v>0</v>
      </c>
      <c r="DW141" s="161">
        <f t="shared" si="112"/>
        <v>0</v>
      </c>
      <c r="DX141" s="161">
        <f t="shared" si="113"/>
        <v>0</v>
      </c>
      <c r="DY141" s="161">
        <f t="shared" si="114"/>
        <v>0</v>
      </c>
      <c r="DZ141" s="161">
        <f t="shared" si="115"/>
        <v>0</v>
      </c>
      <c r="EA141" s="161">
        <f t="shared" si="116"/>
        <v>0</v>
      </c>
      <c r="EB141" s="161">
        <f t="shared" si="117"/>
        <v>0</v>
      </c>
      <c r="EC141" s="161">
        <f t="shared" si="118"/>
        <v>0</v>
      </c>
      <c r="ED141" s="161">
        <f t="shared" si="119"/>
        <v>0</v>
      </c>
      <c r="EE141" s="161">
        <f t="shared" si="120"/>
        <v>0</v>
      </c>
      <c r="EF141" s="161">
        <f t="shared" si="121"/>
        <v>0</v>
      </c>
      <c r="EG141" s="161">
        <f t="shared" si="122"/>
        <v>0</v>
      </c>
      <c r="EH141" s="161">
        <f t="shared" si="123"/>
        <v>0</v>
      </c>
      <c r="EI141" s="161">
        <f t="shared" si="124"/>
        <v>0</v>
      </c>
      <c r="EJ141" s="161">
        <f t="shared" si="125"/>
        <v>0</v>
      </c>
      <c r="EK141" s="147">
        <f t="shared" si="132"/>
        <v>2339.5721925133689</v>
      </c>
      <c r="EL141" s="149"/>
      <c r="EN141" s="146"/>
      <c r="EO141" s="146"/>
      <c r="EP141" s="139">
        <f t="shared" si="133"/>
        <v>0</v>
      </c>
      <c r="EQ141" s="139">
        <f t="shared" si="134"/>
        <v>6.3410594919786085</v>
      </c>
      <c r="ER141" s="139">
        <f t="shared" si="135"/>
        <v>68.246800472316949</v>
      </c>
      <c r="ES141" s="139">
        <f t="shared" si="136"/>
        <v>0</v>
      </c>
      <c r="ET141" s="139">
        <f t="shared" si="137"/>
        <v>0</v>
      </c>
      <c r="EU141" s="139">
        <f t="shared" si="138"/>
        <v>0</v>
      </c>
      <c r="EV141" s="139">
        <f t="shared" si="139"/>
        <v>0</v>
      </c>
      <c r="EW141" s="139">
        <f t="shared" si="140"/>
        <v>0</v>
      </c>
      <c r="EX141" s="139">
        <f t="shared" si="141"/>
        <v>0</v>
      </c>
      <c r="EY141" s="139">
        <f t="shared" si="142"/>
        <v>0</v>
      </c>
      <c r="EZ141" s="139">
        <f t="shared" si="143"/>
        <v>0</v>
      </c>
      <c r="FA141" s="139">
        <f t="shared" si="144"/>
        <v>0</v>
      </c>
      <c r="FB141" s="139">
        <f t="shared" si="145"/>
        <v>0</v>
      </c>
      <c r="FC141" s="139">
        <f t="shared" si="146"/>
        <v>0</v>
      </c>
      <c r="FD141" s="139">
        <f t="shared" si="147"/>
        <v>0</v>
      </c>
      <c r="FE141" s="139">
        <f t="shared" si="148"/>
        <v>0</v>
      </c>
      <c r="FF141" s="139">
        <f t="shared" si="149"/>
        <v>0</v>
      </c>
      <c r="FG141" s="139">
        <f t="shared" si="150"/>
        <v>0</v>
      </c>
      <c r="FH141" s="139">
        <f t="shared" si="151"/>
        <v>0</v>
      </c>
      <c r="FI141" s="139">
        <f t="shared" si="152"/>
        <v>0</v>
      </c>
      <c r="FJ141" s="139">
        <f t="shared" si="153"/>
        <v>0</v>
      </c>
      <c r="FK141" s="139">
        <f t="shared" si="154"/>
        <v>0</v>
      </c>
      <c r="FL141" s="139">
        <f t="shared" si="155"/>
        <v>0</v>
      </c>
      <c r="FM141" s="139">
        <f t="shared" si="156"/>
        <v>0</v>
      </c>
      <c r="FN141" s="139">
        <f t="shared" si="157"/>
        <v>0</v>
      </c>
      <c r="FO141" s="139">
        <f t="shared" si="158"/>
        <v>0</v>
      </c>
      <c r="FP141" s="139">
        <f t="shared" si="159"/>
        <v>0</v>
      </c>
      <c r="FQ141" s="139">
        <f t="shared" si="160"/>
        <v>0</v>
      </c>
      <c r="FR141" s="139">
        <f t="shared" si="161"/>
        <v>0</v>
      </c>
      <c r="FS141" s="139">
        <f t="shared" si="162"/>
        <v>0</v>
      </c>
      <c r="FT141" s="139">
        <f t="shared" si="163"/>
        <v>0</v>
      </c>
      <c r="FU141" s="148">
        <f t="shared" si="164"/>
        <v>74.587859964295561</v>
      </c>
      <c r="FV141" s="149"/>
      <c r="FY141" s="213">
        <v>136</v>
      </c>
      <c r="FZ141">
        <v>47.256550973708357</v>
      </c>
      <c r="GA141">
        <v>42.264189626174108</v>
      </c>
      <c r="GB141">
        <v>27.588237622848176</v>
      </c>
      <c r="GC141">
        <v>12.447365211254299</v>
      </c>
      <c r="GD141">
        <v>4.9420735193348415</v>
      </c>
      <c r="GE141">
        <v>7.4632146393602881</v>
      </c>
      <c r="GF141">
        <v>0.78374984001153103</v>
      </c>
      <c r="GG141">
        <v>0.64318362282941721</v>
      </c>
      <c r="GH141">
        <v>2.0039364015297867</v>
      </c>
      <c r="GI141">
        <v>17.009190905015512</v>
      </c>
      <c r="GJ141"/>
      <c r="GK141"/>
      <c r="GL141"/>
      <c r="GM141"/>
      <c r="GN141" s="208"/>
      <c r="GO141" s="208"/>
      <c r="GP141" s="208"/>
      <c r="GQ141" s="208"/>
      <c r="GR141" s="208"/>
      <c r="GS141" s="208"/>
      <c r="GT141" s="208"/>
      <c r="GU141" s="213">
        <v>136</v>
      </c>
    </row>
    <row r="142" spans="1:203" s="7" customFormat="1">
      <c r="A142" s="1"/>
      <c r="B142" s="76">
        <f ca="1">IF(C142="", "", RAND())</f>
        <v>0.29866804737904196</v>
      </c>
      <c r="C142">
        <v>7</v>
      </c>
      <c r="D142">
        <v>39799</v>
      </c>
      <c r="E142">
        <v>0</v>
      </c>
      <c r="F142">
        <v>243.05555555555554</v>
      </c>
      <c r="G142">
        <v>60.763888888888886</v>
      </c>
      <c r="H142">
        <v>121.52777777777777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285.90677013803605</v>
      </c>
      <c r="AO142">
        <v>27.361285432293148</v>
      </c>
      <c r="AP142">
        <v>25.224608787939061</v>
      </c>
      <c r="AQ142">
        <v>196.70105043580807</v>
      </c>
      <c r="AR142">
        <v>27.328304623586885</v>
      </c>
      <c r="AS142">
        <v>429.38234285757272</v>
      </c>
      <c r="AT142">
        <v>16.915624679251962</v>
      </c>
      <c r="AU142">
        <v>-27.26387245956478</v>
      </c>
      <c r="AV142"/>
      <c r="AW142"/>
      <c r="AX142" s="146"/>
      <c r="AY142" s="76">
        <f t="shared" ca="1" si="88"/>
        <v>0.7546061729301663</v>
      </c>
      <c r="AZ142">
        <v>5</v>
      </c>
      <c r="BA142" s="129">
        <f t="shared" si="168"/>
        <v>39799</v>
      </c>
      <c r="BB142" s="207">
        <v>0</v>
      </c>
      <c r="BC142" s="207">
        <v>0</v>
      </c>
      <c r="BD142" s="207">
        <v>0</v>
      </c>
      <c r="BE142" s="207">
        <v>0</v>
      </c>
      <c r="BF142" s="207">
        <v>0</v>
      </c>
      <c r="BG142" s="207">
        <v>0</v>
      </c>
      <c r="BH142" s="207">
        <v>0</v>
      </c>
      <c r="BI142" s="207">
        <v>0</v>
      </c>
      <c r="BJ142" s="207">
        <v>0</v>
      </c>
      <c r="BK142" s="207">
        <v>0</v>
      </c>
      <c r="BL142" s="207">
        <v>0</v>
      </c>
      <c r="BM142" s="207">
        <v>0</v>
      </c>
      <c r="BN142" s="207">
        <v>0</v>
      </c>
      <c r="BO142" s="207">
        <v>0</v>
      </c>
      <c r="BP142" s="207">
        <v>0</v>
      </c>
      <c r="BQ142" s="207">
        <v>0</v>
      </c>
      <c r="BR142" s="207">
        <v>0</v>
      </c>
      <c r="BS142" s="207">
        <v>0</v>
      </c>
      <c r="BT142" s="207">
        <v>0</v>
      </c>
      <c r="BU142" s="207">
        <v>0</v>
      </c>
      <c r="BV142" s="207">
        <v>0</v>
      </c>
      <c r="BW142" s="207">
        <v>0</v>
      </c>
      <c r="BX142" s="207">
        <v>0</v>
      </c>
      <c r="BY142" s="207">
        <v>0</v>
      </c>
      <c r="BZ142" s="207">
        <v>0</v>
      </c>
      <c r="CA142" s="207">
        <v>0</v>
      </c>
      <c r="CB142" s="207">
        <v>0</v>
      </c>
      <c r="CC142" s="207">
        <v>0</v>
      </c>
      <c r="CD142" s="207">
        <v>0</v>
      </c>
      <c r="CE142" s="207">
        <v>0</v>
      </c>
      <c r="CF142" s="207">
        <v>0</v>
      </c>
      <c r="CG142" s="147"/>
      <c r="CH142" s="176"/>
      <c r="CJ142" s="146"/>
      <c r="CK142" s="76">
        <f t="shared" ca="1" si="90"/>
        <v>7.260348636087155E-3</v>
      </c>
      <c r="CL142" s="179">
        <f t="shared" si="91"/>
        <v>5</v>
      </c>
      <c r="CM142" s="180">
        <f t="shared" si="92"/>
        <v>39799</v>
      </c>
      <c r="CN142" s="208">
        <v>0</v>
      </c>
      <c r="CO142" s="208">
        <v>0</v>
      </c>
      <c r="CP142" s="208">
        <v>0</v>
      </c>
      <c r="CQ142" s="208">
        <v>0</v>
      </c>
      <c r="CR142" s="208">
        <v>0</v>
      </c>
      <c r="CS142" s="208">
        <v>0</v>
      </c>
      <c r="CT142" s="208">
        <v>0</v>
      </c>
      <c r="CU142" s="208">
        <v>0</v>
      </c>
      <c r="CV142" s="160"/>
      <c r="CW142">
        <v>1</v>
      </c>
      <c r="CX142">
        <f>350/52</f>
        <v>6.7307692307692308</v>
      </c>
      <c r="CY142" s="160"/>
      <c r="CZ142" s="177">
        <f t="shared" si="93"/>
        <v>9.6000000000000002E-2</v>
      </c>
      <c r="DB142" s="146"/>
      <c r="DC142" s="76">
        <f t="shared" ca="1" si="51"/>
        <v>0.95075711835956267</v>
      </c>
      <c r="DD142">
        <f t="shared" si="94"/>
        <v>5</v>
      </c>
      <c r="DE142" s="129">
        <f t="shared" si="167"/>
        <v>39799</v>
      </c>
      <c r="DF142" s="161">
        <f t="shared" si="95"/>
        <v>0</v>
      </c>
      <c r="DG142" s="161">
        <f t="shared" si="96"/>
        <v>0</v>
      </c>
      <c r="DH142" s="161">
        <f t="shared" si="97"/>
        <v>0</v>
      </c>
      <c r="DI142" s="161">
        <f t="shared" si="98"/>
        <v>0</v>
      </c>
      <c r="DJ142" s="161">
        <f t="shared" si="99"/>
        <v>0</v>
      </c>
      <c r="DK142" s="161">
        <f t="shared" si="100"/>
        <v>0</v>
      </c>
      <c r="DL142" s="161">
        <f t="shared" si="101"/>
        <v>0</v>
      </c>
      <c r="DM142" s="161">
        <f t="shared" si="102"/>
        <v>0</v>
      </c>
      <c r="DN142" s="161">
        <f t="shared" si="103"/>
        <v>0</v>
      </c>
      <c r="DO142" s="161">
        <f t="shared" si="104"/>
        <v>0</v>
      </c>
      <c r="DP142" s="161">
        <f t="shared" si="105"/>
        <v>0</v>
      </c>
      <c r="DQ142" s="161">
        <f t="shared" si="106"/>
        <v>0</v>
      </c>
      <c r="DR142" s="161">
        <f t="shared" si="107"/>
        <v>0</v>
      </c>
      <c r="DS142" s="161">
        <f t="shared" si="108"/>
        <v>0</v>
      </c>
      <c r="DT142" s="161">
        <f t="shared" si="109"/>
        <v>0</v>
      </c>
      <c r="DU142" s="161">
        <f t="shared" si="110"/>
        <v>0</v>
      </c>
      <c r="DV142" s="161">
        <f t="shared" si="111"/>
        <v>0</v>
      </c>
      <c r="DW142" s="161">
        <f t="shared" si="112"/>
        <v>0</v>
      </c>
      <c r="DX142" s="161">
        <f t="shared" si="113"/>
        <v>0</v>
      </c>
      <c r="DY142" s="161">
        <f t="shared" si="114"/>
        <v>0</v>
      </c>
      <c r="DZ142" s="161">
        <f t="shared" si="115"/>
        <v>0</v>
      </c>
      <c r="EA142" s="161">
        <f t="shared" si="116"/>
        <v>0</v>
      </c>
      <c r="EB142" s="161">
        <f t="shared" si="117"/>
        <v>0</v>
      </c>
      <c r="EC142" s="161">
        <f t="shared" si="118"/>
        <v>0</v>
      </c>
      <c r="ED142" s="161">
        <f t="shared" si="119"/>
        <v>0</v>
      </c>
      <c r="EE142" s="161">
        <f t="shared" si="120"/>
        <v>0</v>
      </c>
      <c r="EF142" s="161">
        <f t="shared" si="121"/>
        <v>0</v>
      </c>
      <c r="EG142" s="161">
        <f t="shared" si="122"/>
        <v>0</v>
      </c>
      <c r="EH142" s="161">
        <f t="shared" si="123"/>
        <v>0</v>
      </c>
      <c r="EI142" s="161">
        <f t="shared" si="124"/>
        <v>0</v>
      </c>
      <c r="EJ142" s="161">
        <f t="shared" si="125"/>
        <v>0</v>
      </c>
      <c r="EK142" s="147">
        <f t="shared" si="132"/>
        <v>0</v>
      </c>
      <c r="EL142" s="149"/>
      <c r="EN142" s="146"/>
      <c r="EO142" s="146"/>
      <c r="EP142" s="139">
        <f t="shared" si="133"/>
        <v>0</v>
      </c>
      <c r="EQ142" s="139">
        <f t="shared" si="134"/>
        <v>0</v>
      </c>
      <c r="ER142" s="139">
        <f t="shared" si="135"/>
        <v>0</v>
      </c>
      <c r="ES142" s="139">
        <f t="shared" si="136"/>
        <v>0</v>
      </c>
      <c r="ET142" s="139">
        <f t="shared" si="137"/>
        <v>0</v>
      </c>
      <c r="EU142" s="139">
        <f t="shared" si="138"/>
        <v>0</v>
      </c>
      <c r="EV142" s="139">
        <f t="shared" si="139"/>
        <v>0</v>
      </c>
      <c r="EW142" s="139">
        <f t="shared" si="140"/>
        <v>0</v>
      </c>
      <c r="EX142" s="139">
        <f t="shared" si="141"/>
        <v>0</v>
      </c>
      <c r="EY142" s="139">
        <f t="shared" si="142"/>
        <v>0</v>
      </c>
      <c r="EZ142" s="139">
        <f t="shared" si="143"/>
        <v>0</v>
      </c>
      <c r="FA142" s="139">
        <f t="shared" si="144"/>
        <v>0</v>
      </c>
      <c r="FB142" s="139">
        <f t="shared" si="145"/>
        <v>0</v>
      </c>
      <c r="FC142" s="139">
        <f t="shared" si="146"/>
        <v>0</v>
      </c>
      <c r="FD142" s="139">
        <f t="shared" si="147"/>
        <v>0</v>
      </c>
      <c r="FE142" s="139">
        <f t="shared" si="148"/>
        <v>0</v>
      </c>
      <c r="FF142" s="139">
        <f t="shared" si="149"/>
        <v>0</v>
      </c>
      <c r="FG142" s="139">
        <f t="shared" si="150"/>
        <v>0</v>
      </c>
      <c r="FH142" s="139">
        <f t="shared" si="151"/>
        <v>0</v>
      </c>
      <c r="FI142" s="139">
        <f t="shared" si="152"/>
        <v>0</v>
      </c>
      <c r="FJ142" s="139">
        <f t="shared" si="153"/>
        <v>0</v>
      </c>
      <c r="FK142" s="139">
        <f t="shared" si="154"/>
        <v>0</v>
      </c>
      <c r="FL142" s="139">
        <f t="shared" si="155"/>
        <v>0</v>
      </c>
      <c r="FM142" s="139">
        <f t="shared" si="156"/>
        <v>0</v>
      </c>
      <c r="FN142" s="139">
        <f t="shared" si="157"/>
        <v>0</v>
      </c>
      <c r="FO142" s="139">
        <f t="shared" si="158"/>
        <v>0</v>
      </c>
      <c r="FP142" s="139">
        <f t="shared" si="159"/>
        <v>0</v>
      </c>
      <c r="FQ142" s="139">
        <f t="shared" si="160"/>
        <v>0</v>
      </c>
      <c r="FR142" s="139">
        <f t="shared" si="161"/>
        <v>0</v>
      </c>
      <c r="FS142" s="139">
        <f t="shared" si="162"/>
        <v>0</v>
      </c>
      <c r="FT142" s="139">
        <f t="shared" si="163"/>
        <v>0</v>
      </c>
      <c r="FU142" s="148">
        <f t="shared" si="164"/>
        <v>0</v>
      </c>
      <c r="FV142" s="149"/>
      <c r="FY142" s="213">
        <v>137</v>
      </c>
      <c r="FZ142">
        <v>42.613218412939467</v>
      </c>
      <c r="GA142">
        <v>29.655959377872009</v>
      </c>
      <c r="GB142">
        <v>26.914037257829023</v>
      </c>
      <c r="GC142">
        <v>14.863518912349383</v>
      </c>
      <c r="GD142">
        <v>3.0939174907501017</v>
      </c>
      <c r="GE142">
        <v>4.7778744146154999</v>
      </c>
      <c r="GF142">
        <v>1.413254290109915</v>
      </c>
      <c r="GG142">
        <v>0.46542047789943186</v>
      </c>
      <c r="GH142">
        <v>7.238810099741479</v>
      </c>
      <c r="GI142">
        <v>16.059569500343109</v>
      </c>
      <c r="GJ142"/>
      <c r="GK142"/>
      <c r="GL142"/>
      <c r="GM142"/>
      <c r="GN142" s="208"/>
      <c r="GO142" s="208"/>
      <c r="GP142" s="208"/>
      <c r="GQ142" s="208"/>
      <c r="GR142" s="208"/>
      <c r="GS142" s="208"/>
      <c r="GT142" s="208"/>
      <c r="GU142" s="213">
        <v>137</v>
      </c>
    </row>
    <row r="143" spans="1:203" s="7" customFormat="1">
      <c r="A143" s="1"/>
      <c r="B143" s="76">
        <f ca="1">IF(C143="", "", RAND())</f>
        <v>0.17689773805501829</v>
      </c>
      <c r="C143">
        <v>3</v>
      </c>
      <c r="D143">
        <v>39799</v>
      </c>
      <c r="E143">
        <v>0</v>
      </c>
      <c r="F143">
        <v>416.66666666666669</v>
      </c>
      <c r="G143">
        <v>333.33333333333331</v>
      </c>
      <c r="H143">
        <v>83.333333333333329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245.26242843328833</v>
      </c>
      <c r="AO143">
        <v>21.730075231603713</v>
      </c>
      <c r="AP143">
        <v>23.935432225739888</v>
      </c>
      <c r="AQ143">
        <v>150.39753216313522</v>
      </c>
      <c r="AR143">
        <v>21.607984983985322</v>
      </c>
      <c r="AS143">
        <v>305.32326660027525</v>
      </c>
      <c r="AT143">
        <v>13.554519513675388</v>
      </c>
      <c r="AU143">
        <v>-5.2577388287698419</v>
      </c>
      <c r="AV143"/>
      <c r="AW143"/>
      <c r="AX143" s="146"/>
      <c r="AY143" s="76">
        <f t="shared" ca="1" si="88"/>
        <v>0.25737672670974732</v>
      </c>
      <c r="AZ143">
        <v>6</v>
      </c>
      <c r="BA143" s="129">
        <f t="shared" si="168"/>
        <v>39799</v>
      </c>
      <c r="BB143" s="207">
        <v>0</v>
      </c>
      <c r="BC143" s="207">
        <v>0</v>
      </c>
      <c r="BD143" s="207">
        <v>0</v>
      </c>
      <c r="BE143" s="207">
        <v>0</v>
      </c>
      <c r="BF143" s="207">
        <v>0</v>
      </c>
      <c r="BG143" s="207">
        <v>0</v>
      </c>
      <c r="BH143" s="207">
        <v>0</v>
      </c>
      <c r="BI143" s="207">
        <v>0</v>
      </c>
      <c r="BJ143" s="207">
        <v>0</v>
      </c>
      <c r="BK143" s="207">
        <v>0</v>
      </c>
      <c r="BL143" s="207">
        <v>0</v>
      </c>
      <c r="BM143" s="207">
        <v>0</v>
      </c>
      <c r="BN143" s="207">
        <v>0</v>
      </c>
      <c r="BO143" s="207">
        <v>0</v>
      </c>
      <c r="BP143" s="207">
        <v>0</v>
      </c>
      <c r="BQ143" s="207">
        <v>0</v>
      </c>
      <c r="BR143" s="207">
        <v>0</v>
      </c>
      <c r="BS143" s="207">
        <v>0</v>
      </c>
      <c r="BT143" s="207">
        <v>0</v>
      </c>
      <c r="BU143" s="207">
        <v>0</v>
      </c>
      <c r="BV143" s="207">
        <v>0</v>
      </c>
      <c r="BW143" s="207">
        <v>0</v>
      </c>
      <c r="BX143" s="207">
        <v>0</v>
      </c>
      <c r="BY143" s="207">
        <v>0</v>
      </c>
      <c r="BZ143" s="207">
        <v>0</v>
      </c>
      <c r="CA143" s="207">
        <v>0</v>
      </c>
      <c r="CB143" s="207">
        <v>0</v>
      </c>
      <c r="CC143" s="207">
        <v>0</v>
      </c>
      <c r="CD143" s="207">
        <v>0</v>
      </c>
      <c r="CE143" s="207">
        <v>0</v>
      </c>
      <c r="CF143" s="207">
        <v>0</v>
      </c>
      <c r="CG143" s="147"/>
      <c r="CH143" s="176"/>
      <c r="CJ143" s="146"/>
      <c r="CK143" s="76">
        <f t="shared" ca="1" si="90"/>
        <v>0.90151570981074336</v>
      </c>
      <c r="CL143" s="179">
        <f t="shared" si="91"/>
        <v>6</v>
      </c>
      <c r="CM143" s="180">
        <f t="shared" si="92"/>
        <v>39799</v>
      </c>
      <c r="CN143" s="208">
        <v>0</v>
      </c>
      <c r="CO143" s="208">
        <v>0</v>
      </c>
      <c r="CP143" s="208">
        <v>0</v>
      </c>
      <c r="CQ143" s="208">
        <v>0</v>
      </c>
      <c r="CR143" s="208">
        <v>0</v>
      </c>
      <c r="CS143" s="208">
        <v>0</v>
      </c>
      <c r="CT143" s="208">
        <v>0</v>
      </c>
      <c r="CU143" s="208">
        <v>0</v>
      </c>
      <c r="CV143" s="160"/>
      <c r="CW143">
        <v>1</v>
      </c>
      <c r="CX143">
        <v>1</v>
      </c>
      <c r="CY143" s="160"/>
      <c r="CZ143" s="177">
        <f t="shared" si="93"/>
        <v>9.6000000000000002E-2</v>
      </c>
      <c r="DB143" s="146"/>
      <c r="DC143" s="76">
        <f t="shared" ca="1" si="51"/>
        <v>0.57261404658599324</v>
      </c>
      <c r="DD143">
        <f t="shared" si="94"/>
        <v>6</v>
      </c>
      <c r="DE143" s="129">
        <f t="shared" si="167"/>
        <v>39799</v>
      </c>
      <c r="DF143" s="161">
        <f t="shared" si="95"/>
        <v>0</v>
      </c>
      <c r="DG143" s="161">
        <f t="shared" si="96"/>
        <v>0</v>
      </c>
      <c r="DH143" s="161">
        <f t="shared" si="97"/>
        <v>0</v>
      </c>
      <c r="DI143" s="161">
        <f t="shared" si="98"/>
        <v>0</v>
      </c>
      <c r="DJ143" s="161">
        <f t="shared" si="99"/>
        <v>0</v>
      </c>
      <c r="DK143" s="161">
        <f t="shared" si="100"/>
        <v>0</v>
      </c>
      <c r="DL143" s="161">
        <f t="shared" si="101"/>
        <v>0</v>
      </c>
      <c r="DM143" s="161">
        <f t="shared" si="102"/>
        <v>0</v>
      </c>
      <c r="DN143" s="161">
        <f t="shared" si="103"/>
        <v>0</v>
      </c>
      <c r="DO143" s="161">
        <f t="shared" si="104"/>
        <v>0</v>
      </c>
      <c r="DP143" s="161">
        <f t="shared" si="105"/>
        <v>0</v>
      </c>
      <c r="DQ143" s="161">
        <f t="shared" si="106"/>
        <v>0</v>
      </c>
      <c r="DR143" s="161">
        <f t="shared" si="107"/>
        <v>0</v>
      </c>
      <c r="DS143" s="161">
        <f t="shared" si="108"/>
        <v>0</v>
      </c>
      <c r="DT143" s="161">
        <f t="shared" si="109"/>
        <v>0</v>
      </c>
      <c r="DU143" s="161">
        <f t="shared" si="110"/>
        <v>0</v>
      </c>
      <c r="DV143" s="161">
        <f t="shared" si="111"/>
        <v>0</v>
      </c>
      <c r="DW143" s="161">
        <f t="shared" si="112"/>
        <v>0</v>
      </c>
      <c r="DX143" s="161">
        <f t="shared" si="113"/>
        <v>0</v>
      </c>
      <c r="DY143" s="161">
        <f t="shared" si="114"/>
        <v>0</v>
      </c>
      <c r="DZ143" s="161">
        <f t="shared" si="115"/>
        <v>0</v>
      </c>
      <c r="EA143" s="161">
        <f t="shared" si="116"/>
        <v>0</v>
      </c>
      <c r="EB143" s="161">
        <f t="shared" si="117"/>
        <v>0</v>
      </c>
      <c r="EC143" s="161">
        <f t="shared" si="118"/>
        <v>0</v>
      </c>
      <c r="ED143" s="161">
        <f t="shared" si="119"/>
        <v>0</v>
      </c>
      <c r="EE143" s="161">
        <f t="shared" si="120"/>
        <v>0</v>
      </c>
      <c r="EF143" s="161">
        <f t="shared" si="121"/>
        <v>0</v>
      </c>
      <c r="EG143" s="161">
        <f t="shared" si="122"/>
        <v>0</v>
      </c>
      <c r="EH143" s="161">
        <f t="shared" si="123"/>
        <v>0</v>
      </c>
      <c r="EI143" s="161">
        <f t="shared" si="124"/>
        <v>0</v>
      </c>
      <c r="EJ143" s="161">
        <f t="shared" si="125"/>
        <v>0</v>
      </c>
      <c r="EK143" s="147">
        <f t="shared" si="132"/>
        <v>0</v>
      </c>
      <c r="EL143" s="149"/>
      <c r="EN143" s="146"/>
      <c r="EO143" s="146"/>
      <c r="EP143" s="139">
        <f t="shared" si="133"/>
        <v>0</v>
      </c>
      <c r="EQ143" s="139">
        <f t="shared" si="134"/>
        <v>0</v>
      </c>
      <c r="ER143" s="139">
        <f t="shared" si="135"/>
        <v>0</v>
      </c>
      <c r="ES143" s="139">
        <f t="shared" si="136"/>
        <v>0</v>
      </c>
      <c r="ET143" s="139">
        <f t="shared" si="137"/>
        <v>0</v>
      </c>
      <c r="EU143" s="139">
        <f t="shared" si="138"/>
        <v>0</v>
      </c>
      <c r="EV143" s="139">
        <f t="shared" si="139"/>
        <v>0</v>
      </c>
      <c r="EW143" s="139">
        <f t="shared" si="140"/>
        <v>0</v>
      </c>
      <c r="EX143" s="139">
        <f t="shared" si="141"/>
        <v>0</v>
      </c>
      <c r="EY143" s="139">
        <f t="shared" si="142"/>
        <v>0</v>
      </c>
      <c r="EZ143" s="139">
        <f t="shared" si="143"/>
        <v>0</v>
      </c>
      <c r="FA143" s="139">
        <f t="shared" si="144"/>
        <v>0</v>
      </c>
      <c r="FB143" s="139">
        <f t="shared" si="145"/>
        <v>0</v>
      </c>
      <c r="FC143" s="139">
        <f t="shared" si="146"/>
        <v>0</v>
      </c>
      <c r="FD143" s="139">
        <f t="shared" si="147"/>
        <v>0</v>
      </c>
      <c r="FE143" s="139">
        <f t="shared" si="148"/>
        <v>0</v>
      </c>
      <c r="FF143" s="139">
        <f t="shared" si="149"/>
        <v>0</v>
      </c>
      <c r="FG143" s="139">
        <f t="shared" si="150"/>
        <v>0</v>
      </c>
      <c r="FH143" s="139">
        <f t="shared" si="151"/>
        <v>0</v>
      </c>
      <c r="FI143" s="139">
        <f t="shared" si="152"/>
        <v>0</v>
      </c>
      <c r="FJ143" s="139">
        <f t="shared" si="153"/>
        <v>0</v>
      </c>
      <c r="FK143" s="139">
        <f t="shared" si="154"/>
        <v>0</v>
      </c>
      <c r="FL143" s="139">
        <f t="shared" si="155"/>
        <v>0</v>
      </c>
      <c r="FM143" s="139">
        <f t="shared" si="156"/>
        <v>0</v>
      </c>
      <c r="FN143" s="139">
        <f t="shared" si="157"/>
        <v>0</v>
      </c>
      <c r="FO143" s="139">
        <f t="shared" si="158"/>
        <v>0</v>
      </c>
      <c r="FP143" s="139">
        <f t="shared" si="159"/>
        <v>0</v>
      </c>
      <c r="FQ143" s="139">
        <f t="shared" si="160"/>
        <v>0</v>
      </c>
      <c r="FR143" s="139">
        <f t="shared" si="161"/>
        <v>0</v>
      </c>
      <c r="FS143" s="139">
        <f t="shared" si="162"/>
        <v>0</v>
      </c>
      <c r="FT143" s="139">
        <f t="shared" si="163"/>
        <v>0</v>
      </c>
      <c r="FU143" s="148">
        <f t="shared" si="164"/>
        <v>0</v>
      </c>
      <c r="FV143" s="149"/>
      <c r="FY143" s="213">
        <v>138</v>
      </c>
      <c r="FZ143">
        <v>56.478248989608119</v>
      </c>
      <c r="GA143">
        <v>60.921685834164926</v>
      </c>
      <c r="GB143">
        <v>37.744087340002977</v>
      </c>
      <c r="GC143">
        <v>13.880389075886523</v>
      </c>
      <c r="GD143">
        <v>3.6416780211666819</v>
      </c>
      <c r="GE143">
        <v>6.6497175169852172</v>
      </c>
      <c r="GF143">
        <v>2.2485953630713413</v>
      </c>
      <c r="GG143">
        <v>2.6415751820058855</v>
      </c>
      <c r="GH143">
        <v>6.0320067034970934</v>
      </c>
      <c r="GI143">
        <v>21.018427050263067</v>
      </c>
      <c r="GJ143"/>
      <c r="GK143"/>
      <c r="GL143"/>
      <c r="GM143"/>
      <c r="GN143" s="208"/>
      <c r="GO143" s="208"/>
      <c r="GP143" s="208"/>
      <c r="GQ143" s="208"/>
      <c r="GR143" s="208"/>
      <c r="GS143" s="208"/>
      <c r="GT143" s="208"/>
      <c r="GU143" s="213">
        <v>138</v>
      </c>
    </row>
    <row r="144" spans="1:203" s="7" customFormat="1">
      <c r="A144" s="1"/>
      <c r="B144" s="76">
        <f ca="1">IF(C144="", "", RAND())</f>
        <v>0.3730457084199621</v>
      </c>
      <c r="C144">
        <v>8</v>
      </c>
      <c r="D144">
        <v>39799</v>
      </c>
      <c r="E144">
        <v>0</v>
      </c>
      <c r="F144">
        <v>148.80952380952382</v>
      </c>
      <c r="G144">
        <v>74.404761904761912</v>
      </c>
      <c r="H144">
        <v>74.404761904761912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305.00021546067666</v>
      </c>
      <c r="AO144">
        <v>27.829466679533652</v>
      </c>
      <c r="AP144">
        <v>20.554493309719529</v>
      </c>
      <c r="AQ144">
        <v>204.58004340715183</v>
      </c>
      <c r="AR144">
        <v>28.591025464355909</v>
      </c>
      <c r="AS144">
        <v>405.20614352457073</v>
      </c>
      <c r="AT144">
        <v>17.156877861117721</v>
      </c>
      <c r="AU144">
        <v>-6.7029663839706828</v>
      </c>
      <c r="AV144"/>
      <c r="AW144"/>
      <c r="AX144" s="146"/>
      <c r="AY144" s="76">
        <f t="shared" ca="1" si="88"/>
        <v>0.75065422774387947</v>
      </c>
      <c r="AZ144">
        <v>7</v>
      </c>
      <c r="BA144" s="129">
        <f t="shared" si="168"/>
        <v>39799</v>
      </c>
      <c r="BB144" s="207">
        <v>0</v>
      </c>
      <c r="BC144" s="207">
        <v>0</v>
      </c>
      <c r="BD144" s="207">
        <v>0</v>
      </c>
      <c r="BE144" s="207">
        <v>0</v>
      </c>
      <c r="BF144" s="207">
        <v>0</v>
      </c>
      <c r="BG144" s="207">
        <v>0</v>
      </c>
      <c r="BH144" s="207">
        <v>0</v>
      </c>
      <c r="BI144" s="207">
        <v>0</v>
      </c>
      <c r="BJ144" s="207">
        <v>0</v>
      </c>
      <c r="BK144" s="207">
        <v>0</v>
      </c>
      <c r="BL144" s="207">
        <v>0</v>
      </c>
      <c r="BM144" s="207">
        <v>0</v>
      </c>
      <c r="BN144" s="207">
        <v>0</v>
      </c>
      <c r="BO144" s="207">
        <v>0</v>
      </c>
      <c r="BP144" s="207">
        <v>0</v>
      </c>
      <c r="BQ144" s="207">
        <v>0</v>
      </c>
      <c r="BR144" s="207">
        <v>0</v>
      </c>
      <c r="BS144" s="207">
        <v>0</v>
      </c>
      <c r="BT144" s="207">
        <v>0</v>
      </c>
      <c r="BU144" s="207">
        <v>0</v>
      </c>
      <c r="BV144" s="207">
        <v>0</v>
      </c>
      <c r="BW144" s="207">
        <v>0</v>
      </c>
      <c r="BX144" s="207">
        <v>0</v>
      </c>
      <c r="BY144" s="207">
        <v>0</v>
      </c>
      <c r="BZ144" s="207">
        <v>0</v>
      </c>
      <c r="CA144" s="207">
        <v>0</v>
      </c>
      <c r="CB144" s="207">
        <v>0</v>
      </c>
      <c r="CC144" s="207">
        <v>0</v>
      </c>
      <c r="CD144" s="207">
        <v>0</v>
      </c>
      <c r="CE144" s="207">
        <v>0</v>
      </c>
      <c r="CF144" s="207">
        <v>0</v>
      </c>
      <c r="CG144" s="147"/>
      <c r="CH144" s="176"/>
      <c r="CJ144" s="146"/>
      <c r="CK144" s="76">
        <f t="shared" ca="1" si="90"/>
        <v>2.2933480420390673E-2</v>
      </c>
      <c r="CL144" s="179">
        <f t="shared" si="91"/>
        <v>7</v>
      </c>
      <c r="CM144" s="180">
        <f t="shared" si="92"/>
        <v>39799</v>
      </c>
      <c r="CN144" s="208">
        <v>0</v>
      </c>
      <c r="CO144" s="208">
        <v>4</v>
      </c>
      <c r="CP144" s="208">
        <v>1</v>
      </c>
      <c r="CQ144" s="208">
        <v>2</v>
      </c>
      <c r="CR144" s="208">
        <v>0</v>
      </c>
      <c r="CS144" s="208">
        <v>0</v>
      </c>
      <c r="CT144" s="208">
        <v>0</v>
      </c>
      <c r="CU144" s="208">
        <v>0</v>
      </c>
      <c r="CV144" s="160"/>
      <c r="CW144">
        <v>1</v>
      </c>
      <c r="CX144">
        <f>350/60</f>
        <v>5.833333333333333</v>
      </c>
      <c r="CY144" s="165"/>
      <c r="CZ144" s="177">
        <f t="shared" si="93"/>
        <v>9.6000000000000002E-2</v>
      </c>
      <c r="DB144" s="146"/>
      <c r="DC144" s="76">
        <f t="shared" ca="1" si="51"/>
        <v>0.90786872039394106</v>
      </c>
      <c r="DD144">
        <f t="shared" si="94"/>
        <v>7</v>
      </c>
      <c r="DE144" s="129">
        <f t="shared" si="167"/>
        <v>39799</v>
      </c>
      <c r="DF144" s="161">
        <f t="shared" si="95"/>
        <v>0</v>
      </c>
      <c r="DG144" s="161">
        <f t="shared" si="96"/>
        <v>243.05555555555554</v>
      </c>
      <c r="DH144" s="161">
        <f t="shared" si="97"/>
        <v>60.763888888888886</v>
      </c>
      <c r="DI144" s="161">
        <f t="shared" si="98"/>
        <v>121.52777777777777</v>
      </c>
      <c r="DJ144" s="161">
        <f t="shared" si="99"/>
        <v>0</v>
      </c>
      <c r="DK144" s="161">
        <f t="shared" si="100"/>
        <v>0</v>
      </c>
      <c r="DL144" s="161">
        <f t="shared" si="101"/>
        <v>0</v>
      </c>
      <c r="DM144" s="161">
        <f t="shared" si="102"/>
        <v>0</v>
      </c>
      <c r="DN144" s="161">
        <f t="shared" si="103"/>
        <v>0</v>
      </c>
      <c r="DO144" s="161">
        <f t="shared" si="104"/>
        <v>0</v>
      </c>
      <c r="DP144" s="161">
        <f t="shared" si="105"/>
        <v>0</v>
      </c>
      <c r="DQ144" s="161">
        <f t="shared" si="106"/>
        <v>0</v>
      </c>
      <c r="DR144" s="161">
        <f t="shared" si="107"/>
        <v>0</v>
      </c>
      <c r="DS144" s="161">
        <f t="shared" si="108"/>
        <v>0</v>
      </c>
      <c r="DT144" s="161">
        <f t="shared" si="109"/>
        <v>0</v>
      </c>
      <c r="DU144" s="161">
        <f t="shared" si="110"/>
        <v>0</v>
      </c>
      <c r="DV144" s="161">
        <f t="shared" si="111"/>
        <v>0</v>
      </c>
      <c r="DW144" s="161">
        <f t="shared" si="112"/>
        <v>0</v>
      </c>
      <c r="DX144" s="161">
        <f t="shared" si="113"/>
        <v>0</v>
      </c>
      <c r="DY144" s="161">
        <f t="shared" si="114"/>
        <v>0</v>
      </c>
      <c r="DZ144" s="161">
        <f t="shared" si="115"/>
        <v>0</v>
      </c>
      <c r="EA144" s="161">
        <f t="shared" si="116"/>
        <v>0</v>
      </c>
      <c r="EB144" s="161">
        <f t="shared" si="117"/>
        <v>0</v>
      </c>
      <c r="EC144" s="161">
        <f t="shared" si="118"/>
        <v>0</v>
      </c>
      <c r="ED144" s="161">
        <f t="shared" si="119"/>
        <v>0</v>
      </c>
      <c r="EE144" s="161">
        <f t="shared" si="120"/>
        <v>0</v>
      </c>
      <c r="EF144" s="161">
        <f t="shared" si="121"/>
        <v>0</v>
      </c>
      <c r="EG144" s="161">
        <f t="shared" si="122"/>
        <v>0</v>
      </c>
      <c r="EH144" s="161">
        <f t="shared" si="123"/>
        <v>0</v>
      </c>
      <c r="EI144" s="161">
        <f t="shared" si="124"/>
        <v>0</v>
      </c>
      <c r="EJ144" s="161">
        <f t="shared" si="125"/>
        <v>0</v>
      </c>
      <c r="EK144" s="147">
        <f t="shared" si="132"/>
        <v>425.34722222222223</v>
      </c>
      <c r="EL144" s="149"/>
      <c r="EN144" s="146"/>
      <c r="EO144" s="146"/>
      <c r="EP144" s="139">
        <f t="shared" si="133"/>
        <v>0</v>
      </c>
      <c r="EQ144" s="139">
        <f t="shared" si="134"/>
        <v>1.7567083333333331</v>
      </c>
      <c r="ER144" s="139">
        <f t="shared" si="135"/>
        <v>2.8360337085162821</v>
      </c>
      <c r="ES144" s="139">
        <f t="shared" si="136"/>
        <v>16.888962144684928</v>
      </c>
      <c r="ET144" s="139">
        <f t="shared" si="137"/>
        <v>0</v>
      </c>
      <c r="EU144" s="139">
        <f t="shared" si="138"/>
        <v>0</v>
      </c>
      <c r="EV144" s="139">
        <f t="shared" si="139"/>
        <v>0</v>
      </c>
      <c r="EW144" s="139">
        <f t="shared" si="140"/>
        <v>0</v>
      </c>
      <c r="EX144" s="139">
        <f t="shared" si="141"/>
        <v>0</v>
      </c>
      <c r="EY144" s="139">
        <f t="shared" si="142"/>
        <v>0</v>
      </c>
      <c r="EZ144" s="139">
        <f t="shared" si="143"/>
        <v>0</v>
      </c>
      <c r="FA144" s="139">
        <f t="shared" si="144"/>
        <v>0</v>
      </c>
      <c r="FB144" s="139">
        <f t="shared" si="145"/>
        <v>0</v>
      </c>
      <c r="FC144" s="139">
        <f t="shared" si="146"/>
        <v>0</v>
      </c>
      <c r="FD144" s="139">
        <f t="shared" si="147"/>
        <v>0</v>
      </c>
      <c r="FE144" s="139">
        <f t="shared" si="148"/>
        <v>0</v>
      </c>
      <c r="FF144" s="139">
        <f t="shared" si="149"/>
        <v>0</v>
      </c>
      <c r="FG144" s="139">
        <f t="shared" si="150"/>
        <v>0</v>
      </c>
      <c r="FH144" s="139">
        <f t="shared" si="151"/>
        <v>0</v>
      </c>
      <c r="FI144" s="139">
        <f t="shared" si="152"/>
        <v>0</v>
      </c>
      <c r="FJ144" s="139">
        <f t="shared" si="153"/>
        <v>0</v>
      </c>
      <c r="FK144" s="139">
        <f t="shared" si="154"/>
        <v>0</v>
      </c>
      <c r="FL144" s="139">
        <f t="shared" si="155"/>
        <v>0</v>
      </c>
      <c r="FM144" s="139">
        <f t="shared" si="156"/>
        <v>0</v>
      </c>
      <c r="FN144" s="139">
        <f t="shared" si="157"/>
        <v>0</v>
      </c>
      <c r="FO144" s="139">
        <f t="shared" si="158"/>
        <v>0</v>
      </c>
      <c r="FP144" s="139">
        <f t="shared" si="159"/>
        <v>0</v>
      </c>
      <c r="FQ144" s="139">
        <f t="shared" si="160"/>
        <v>0</v>
      </c>
      <c r="FR144" s="139">
        <f t="shared" si="161"/>
        <v>0</v>
      </c>
      <c r="FS144" s="139">
        <f t="shared" si="162"/>
        <v>0</v>
      </c>
      <c r="FT144" s="139">
        <f t="shared" si="163"/>
        <v>0</v>
      </c>
      <c r="FU144" s="148">
        <f t="shared" si="164"/>
        <v>21.481704186534543</v>
      </c>
      <c r="FV144" s="149"/>
      <c r="FY144" s="213">
        <v>139</v>
      </c>
      <c r="FZ144">
        <v>32.793718379322584</v>
      </c>
      <c r="GA144">
        <v>34.897005105665301</v>
      </c>
      <c r="GB144">
        <v>37.54388960720825</v>
      </c>
      <c r="GC144">
        <v>17.623746115444703</v>
      </c>
      <c r="GD144">
        <v>3.7105663723986715</v>
      </c>
      <c r="GE144">
        <v>4.4718918586544918</v>
      </c>
      <c r="GF144">
        <v>3.4787500547989296</v>
      </c>
      <c r="GG144">
        <v>5.9813761306355691</v>
      </c>
      <c r="GH144">
        <v>11.215309415920464</v>
      </c>
      <c r="GI144">
        <v>18.577296935245485</v>
      </c>
      <c r="GJ144"/>
      <c r="GK144"/>
      <c r="GL144"/>
      <c r="GM144"/>
      <c r="GN144" s="208"/>
      <c r="GO144" s="208"/>
      <c r="GP144" s="208"/>
      <c r="GQ144" s="208"/>
      <c r="GR144" s="208"/>
      <c r="GS144" s="208"/>
      <c r="GT144" s="208"/>
      <c r="GU144" s="213">
        <v>139</v>
      </c>
    </row>
    <row r="145" spans="1:203" s="7" customFormat="1">
      <c r="A145" s="1"/>
      <c r="B145" s="76">
        <f ca="1">IF(C145="", "", RAND())</f>
        <v>0.31836631110511182</v>
      </c>
      <c r="C145">
        <v>9</v>
      </c>
      <c r="D145">
        <v>39799</v>
      </c>
      <c r="E145">
        <v>0</v>
      </c>
      <c r="F145">
        <v>0</v>
      </c>
      <c r="G145">
        <v>57.53391472868217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195.38459504485456</v>
      </c>
      <c r="AO145">
        <v>17.677608851269675</v>
      </c>
      <c r="AP145">
        <v>31.506897617715474</v>
      </c>
      <c r="AQ145">
        <v>128.01763425859517</v>
      </c>
      <c r="AR145">
        <v>18.833099575516826</v>
      </c>
      <c r="AS145">
        <v>261.28424710179542</v>
      </c>
      <c r="AT145">
        <v>11.030380572899574</v>
      </c>
      <c r="AU145">
        <v>19.900784164532357</v>
      </c>
      <c r="AV145"/>
      <c r="AW145"/>
      <c r="AX145" s="146"/>
      <c r="AY145" s="76">
        <f t="shared" ca="1" si="88"/>
        <v>0.84977017868063176</v>
      </c>
      <c r="AZ145">
        <v>8</v>
      </c>
      <c r="BA145" s="129">
        <f t="shared" si="168"/>
        <v>39799</v>
      </c>
      <c r="BB145" s="207">
        <v>0</v>
      </c>
      <c r="BC145" s="207">
        <v>0</v>
      </c>
      <c r="BD145" s="207">
        <v>0</v>
      </c>
      <c r="BE145" s="207">
        <v>0</v>
      </c>
      <c r="BF145" s="207">
        <v>0</v>
      </c>
      <c r="BG145" s="207">
        <v>0</v>
      </c>
      <c r="BH145" s="207">
        <v>0</v>
      </c>
      <c r="BI145" s="207">
        <v>0</v>
      </c>
      <c r="BJ145" s="207">
        <v>0</v>
      </c>
      <c r="BK145" s="207">
        <v>0</v>
      </c>
      <c r="BL145" s="207">
        <v>0</v>
      </c>
      <c r="BM145" s="207">
        <v>0</v>
      </c>
      <c r="BN145" s="207">
        <v>0</v>
      </c>
      <c r="BO145" s="207">
        <v>0</v>
      </c>
      <c r="BP145" s="207">
        <v>0</v>
      </c>
      <c r="BQ145" s="207">
        <v>0</v>
      </c>
      <c r="BR145" s="207">
        <v>0</v>
      </c>
      <c r="BS145" s="207">
        <v>0</v>
      </c>
      <c r="BT145" s="207">
        <v>0</v>
      </c>
      <c r="BU145" s="207">
        <v>0</v>
      </c>
      <c r="BV145" s="207">
        <v>0</v>
      </c>
      <c r="BW145" s="207">
        <v>0</v>
      </c>
      <c r="BX145" s="207">
        <v>0</v>
      </c>
      <c r="BY145" s="207">
        <v>0</v>
      </c>
      <c r="BZ145" s="207">
        <v>0</v>
      </c>
      <c r="CA145" s="207">
        <v>0</v>
      </c>
      <c r="CB145" s="207">
        <v>0</v>
      </c>
      <c r="CC145" s="207">
        <v>0</v>
      </c>
      <c r="CD145" s="207">
        <v>0</v>
      </c>
      <c r="CE145" s="207">
        <v>0</v>
      </c>
      <c r="CF145" s="207">
        <v>0</v>
      </c>
      <c r="CG145" s="147"/>
      <c r="CH145" s="176"/>
      <c r="CJ145" s="146"/>
      <c r="CK145" s="76">
        <f t="shared" ca="1" si="90"/>
        <v>0.44437027313231714</v>
      </c>
      <c r="CL145" s="179">
        <f t="shared" si="91"/>
        <v>8</v>
      </c>
      <c r="CM145" s="180">
        <f t="shared" si="92"/>
        <v>39799</v>
      </c>
      <c r="CN145" s="208">
        <v>0</v>
      </c>
      <c r="CO145" s="208">
        <v>2</v>
      </c>
      <c r="CP145" s="208">
        <v>1</v>
      </c>
      <c r="CQ145" s="208">
        <v>1</v>
      </c>
      <c r="CR145" s="208">
        <v>0</v>
      </c>
      <c r="CS145" s="208">
        <v>0</v>
      </c>
      <c r="CT145" s="208">
        <v>0</v>
      </c>
      <c r="CU145" s="208">
        <v>0</v>
      </c>
      <c r="CV145" s="160"/>
      <c r="CW145">
        <v>1</v>
      </c>
      <c r="CX145">
        <f>350/49</f>
        <v>7.1428571428571432</v>
      </c>
      <c r="CY145" s="165"/>
      <c r="CZ145" s="177">
        <f t="shared" si="93"/>
        <v>9.6000000000000002E-2</v>
      </c>
      <c r="DB145" s="146"/>
      <c r="DC145" s="76">
        <f t="shared" ca="1" si="51"/>
        <v>0.91042791169859782</v>
      </c>
      <c r="DD145">
        <f t="shared" si="94"/>
        <v>8</v>
      </c>
      <c r="DE145" s="129">
        <f t="shared" si="167"/>
        <v>39799</v>
      </c>
      <c r="DF145" s="161">
        <f t="shared" si="95"/>
        <v>0</v>
      </c>
      <c r="DG145" s="161">
        <f t="shared" si="96"/>
        <v>148.80952380952382</v>
      </c>
      <c r="DH145" s="161">
        <f t="shared" si="97"/>
        <v>74.404761904761912</v>
      </c>
      <c r="DI145" s="161">
        <f t="shared" si="98"/>
        <v>74.404761904761912</v>
      </c>
      <c r="DJ145" s="161">
        <f t="shared" si="99"/>
        <v>0</v>
      </c>
      <c r="DK145" s="161">
        <f t="shared" si="100"/>
        <v>0</v>
      </c>
      <c r="DL145" s="161">
        <f t="shared" si="101"/>
        <v>0</v>
      </c>
      <c r="DM145" s="161">
        <f t="shared" si="102"/>
        <v>0</v>
      </c>
      <c r="DN145" s="161">
        <f t="shared" si="103"/>
        <v>0</v>
      </c>
      <c r="DO145" s="161">
        <f t="shared" si="104"/>
        <v>0</v>
      </c>
      <c r="DP145" s="161">
        <f t="shared" si="105"/>
        <v>0</v>
      </c>
      <c r="DQ145" s="161">
        <f t="shared" si="106"/>
        <v>0</v>
      </c>
      <c r="DR145" s="161">
        <f t="shared" si="107"/>
        <v>0</v>
      </c>
      <c r="DS145" s="161">
        <f t="shared" si="108"/>
        <v>0</v>
      </c>
      <c r="DT145" s="161">
        <f t="shared" si="109"/>
        <v>0</v>
      </c>
      <c r="DU145" s="161">
        <f t="shared" si="110"/>
        <v>0</v>
      </c>
      <c r="DV145" s="161">
        <f t="shared" si="111"/>
        <v>0</v>
      </c>
      <c r="DW145" s="161">
        <f t="shared" si="112"/>
        <v>0</v>
      </c>
      <c r="DX145" s="161">
        <f t="shared" si="113"/>
        <v>0</v>
      </c>
      <c r="DY145" s="161">
        <f t="shared" si="114"/>
        <v>0</v>
      </c>
      <c r="DZ145" s="161">
        <f t="shared" si="115"/>
        <v>0</v>
      </c>
      <c r="EA145" s="161">
        <f t="shared" si="116"/>
        <v>0</v>
      </c>
      <c r="EB145" s="161">
        <f t="shared" si="117"/>
        <v>0</v>
      </c>
      <c r="EC145" s="161">
        <f t="shared" si="118"/>
        <v>0</v>
      </c>
      <c r="ED145" s="161">
        <f t="shared" si="119"/>
        <v>0</v>
      </c>
      <c r="EE145" s="161">
        <f t="shared" si="120"/>
        <v>0</v>
      </c>
      <c r="EF145" s="161">
        <f t="shared" si="121"/>
        <v>0</v>
      </c>
      <c r="EG145" s="161">
        <f t="shared" si="122"/>
        <v>0</v>
      </c>
      <c r="EH145" s="161">
        <f t="shared" si="123"/>
        <v>0</v>
      </c>
      <c r="EI145" s="161">
        <f t="shared" si="124"/>
        <v>0</v>
      </c>
      <c r="EJ145" s="161">
        <f t="shared" si="125"/>
        <v>0</v>
      </c>
      <c r="EK145" s="147">
        <f t="shared" si="132"/>
        <v>297.61904761904765</v>
      </c>
      <c r="EL145" s="149"/>
      <c r="EN145" s="146"/>
      <c r="EO145" s="146"/>
      <c r="EP145" s="139">
        <f t="shared" si="133"/>
        <v>0</v>
      </c>
      <c r="EQ145" s="139">
        <f t="shared" si="134"/>
        <v>1.0755357142857143</v>
      </c>
      <c r="ER145" s="139">
        <f t="shared" si="135"/>
        <v>3.4726943369587131</v>
      </c>
      <c r="ES145" s="139">
        <f t="shared" si="136"/>
        <v>10.340180904909142</v>
      </c>
      <c r="ET145" s="139">
        <f t="shared" si="137"/>
        <v>0</v>
      </c>
      <c r="EU145" s="139">
        <f t="shared" si="138"/>
        <v>0</v>
      </c>
      <c r="EV145" s="139">
        <f t="shared" si="139"/>
        <v>0</v>
      </c>
      <c r="EW145" s="139">
        <f t="shared" si="140"/>
        <v>0</v>
      </c>
      <c r="EX145" s="139">
        <f t="shared" si="141"/>
        <v>0</v>
      </c>
      <c r="EY145" s="139">
        <f t="shared" si="142"/>
        <v>0</v>
      </c>
      <c r="EZ145" s="139">
        <f t="shared" si="143"/>
        <v>0</v>
      </c>
      <c r="FA145" s="139">
        <f t="shared" si="144"/>
        <v>0</v>
      </c>
      <c r="FB145" s="139">
        <f t="shared" si="145"/>
        <v>0</v>
      </c>
      <c r="FC145" s="139">
        <f t="shared" si="146"/>
        <v>0</v>
      </c>
      <c r="FD145" s="139">
        <f t="shared" si="147"/>
        <v>0</v>
      </c>
      <c r="FE145" s="139">
        <f t="shared" si="148"/>
        <v>0</v>
      </c>
      <c r="FF145" s="139">
        <f t="shared" si="149"/>
        <v>0</v>
      </c>
      <c r="FG145" s="139">
        <f t="shared" si="150"/>
        <v>0</v>
      </c>
      <c r="FH145" s="139">
        <f t="shared" si="151"/>
        <v>0</v>
      </c>
      <c r="FI145" s="139">
        <f t="shared" si="152"/>
        <v>0</v>
      </c>
      <c r="FJ145" s="139">
        <f t="shared" si="153"/>
        <v>0</v>
      </c>
      <c r="FK145" s="139">
        <f t="shared" si="154"/>
        <v>0</v>
      </c>
      <c r="FL145" s="139">
        <f t="shared" si="155"/>
        <v>0</v>
      </c>
      <c r="FM145" s="139">
        <f t="shared" si="156"/>
        <v>0</v>
      </c>
      <c r="FN145" s="139">
        <f t="shared" si="157"/>
        <v>0</v>
      </c>
      <c r="FO145" s="139">
        <f t="shared" si="158"/>
        <v>0</v>
      </c>
      <c r="FP145" s="139">
        <f t="shared" si="159"/>
        <v>0</v>
      </c>
      <c r="FQ145" s="139">
        <f t="shared" si="160"/>
        <v>0</v>
      </c>
      <c r="FR145" s="139">
        <f t="shared" si="161"/>
        <v>0</v>
      </c>
      <c r="FS145" s="139">
        <f t="shared" si="162"/>
        <v>0</v>
      </c>
      <c r="FT145" s="139">
        <f t="shared" si="163"/>
        <v>0</v>
      </c>
      <c r="FU145" s="148">
        <f t="shared" si="164"/>
        <v>14.888410956153569</v>
      </c>
      <c r="FV145" s="149"/>
      <c r="FY145" s="213">
        <v>140</v>
      </c>
      <c r="FZ145">
        <v>39.008468353233745</v>
      </c>
      <c r="GA145">
        <v>25.333311026084473</v>
      </c>
      <c r="GB145">
        <v>18.506798278716893</v>
      </c>
      <c r="GC145">
        <v>10.218913713869757</v>
      </c>
      <c r="GD145">
        <v>3.5229324383561367</v>
      </c>
      <c r="GE145">
        <v>5.3975566619807314</v>
      </c>
      <c r="GF145">
        <v>1.5137091434805874</v>
      </c>
      <c r="GG145">
        <v>3.2222496943449617</v>
      </c>
      <c r="GH145">
        <v>4.8614362148206647</v>
      </c>
      <c r="GI145">
        <v>13.336593226728487</v>
      </c>
      <c r="GJ145"/>
      <c r="GK145"/>
      <c r="GL145"/>
      <c r="GM145"/>
      <c r="GN145" s="208"/>
      <c r="GO145" s="208"/>
      <c r="GP145" s="208"/>
      <c r="GQ145" s="208"/>
      <c r="GR145" s="208"/>
      <c r="GS145" s="208"/>
      <c r="GT145" s="208"/>
      <c r="GU145" s="213">
        <v>140</v>
      </c>
    </row>
    <row r="146" spans="1:203" s="7" customFormat="1">
      <c r="A146" s="1"/>
      <c r="B146" s="76">
        <f ca="1">IF(C146="", "", RAND())</f>
        <v>0.30773087792617737</v>
      </c>
      <c r="C146">
        <v>6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332.70026703556414</v>
      </c>
      <c r="AO146">
        <v>27.00922736836899</v>
      </c>
      <c r="AP146">
        <v>8.4832907291671873</v>
      </c>
      <c r="AQ146">
        <v>188.80195646041076</v>
      </c>
      <c r="AR146">
        <v>28.031710767465356</v>
      </c>
      <c r="AS146">
        <v>407.01421443944542</v>
      </c>
      <c r="AT146">
        <v>17.739066108631381</v>
      </c>
      <c r="AU146">
        <v>-14.155317924055652</v>
      </c>
      <c r="AV146"/>
      <c r="AW146"/>
      <c r="AX146" s="146"/>
      <c r="AY146" s="76">
        <f t="shared" ca="1" si="88"/>
        <v>0.54173745123819117</v>
      </c>
      <c r="AZ146">
        <v>9</v>
      </c>
      <c r="BA146" s="129">
        <f t="shared" si="168"/>
        <v>39799</v>
      </c>
      <c r="BB146" s="207">
        <v>0</v>
      </c>
      <c r="BC146" s="207">
        <v>0</v>
      </c>
      <c r="BD146" s="207">
        <v>0</v>
      </c>
      <c r="BE146" s="207">
        <v>0</v>
      </c>
      <c r="BF146" s="207">
        <v>0</v>
      </c>
      <c r="BG146" s="207">
        <v>0</v>
      </c>
      <c r="BH146" s="207">
        <v>0</v>
      </c>
      <c r="BI146" s="207">
        <v>0</v>
      </c>
      <c r="BJ146" s="207">
        <v>0</v>
      </c>
      <c r="BK146" s="207">
        <v>0</v>
      </c>
      <c r="BL146" s="207">
        <v>0</v>
      </c>
      <c r="BM146" s="207">
        <v>0</v>
      </c>
      <c r="BN146" s="207">
        <v>0</v>
      </c>
      <c r="BO146" s="207">
        <v>0</v>
      </c>
      <c r="BP146" s="207">
        <v>0</v>
      </c>
      <c r="BQ146" s="207">
        <v>0</v>
      </c>
      <c r="BR146" s="207">
        <v>0</v>
      </c>
      <c r="BS146" s="207">
        <v>0</v>
      </c>
      <c r="BT146" s="207">
        <v>0</v>
      </c>
      <c r="BU146" s="207">
        <v>0</v>
      </c>
      <c r="BV146" s="207">
        <v>0</v>
      </c>
      <c r="BW146" s="207">
        <v>0</v>
      </c>
      <c r="BX146" s="207">
        <v>0</v>
      </c>
      <c r="BY146" s="207">
        <v>0</v>
      </c>
      <c r="BZ146" s="207">
        <v>0</v>
      </c>
      <c r="CA146" s="207">
        <v>0</v>
      </c>
      <c r="CB146" s="207">
        <v>0</v>
      </c>
      <c r="CC146" s="207">
        <v>0</v>
      </c>
      <c r="CD146" s="207">
        <v>0</v>
      </c>
      <c r="CE146" s="207">
        <v>0</v>
      </c>
      <c r="CF146" s="207">
        <v>0</v>
      </c>
      <c r="CG146" s="147"/>
      <c r="CH146" s="176"/>
      <c r="CJ146" s="146"/>
      <c r="CK146" s="76">
        <f t="shared" ca="1" si="90"/>
        <v>0.26270355439735571</v>
      </c>
      <c r="CL146" s="179">
        <f t="shared" si="91"/>
        <v>9</v>
      </c>
      <c r="CM146" s="180">
        <f t="shared" si="92"/>
        <v>39799</v>
      </c>
      <c r="CN146" s="208">
        <v>0</v>
      </c>
      <c r="CO146" s="208">
        <v>0</v>
      </c>
      <c r="CP146" s="208">
        <v>1</v>
      </c>
      <c r="CQ146" s="208">
        <v>0</v>
      </c>
      <c r="CR146" s="208">
        <v>0</v>
      </c>
      <c r="CS146" s="208">
        <v>0</v>
      </c>
      <c r="CT146" s="208">
        <v>0</v>
      </c>
      <c r="CU146" s="208">
        <v>0</v>
      </c>
      <c r="CV146" s="160"/>
      <c r="CW146">
        <v>1</v>
      </c>
      <c r="CX146">
        <f>475/86</f>
        <v>5.5232558139534884</v>
      </c>
      <c r="CY146" s="165"/>
      <c r="CZ146" s="177">
        <f t="shared" si="93"/>
        <v>9.6000000000000002E-2</v>
      </c>
      <c r="DB146" s="146"/>
      <c r="DC146" s="76">
        <f t="shared" ca="1" si="51"/>
        <v>0.54805652523442583</v>
      </c>
      <c r="DD146">
        <f t="shared" si="94"/>
        <v>9</v>
      </c>
      <c r="DE146" s="129">
        <f t="shared" si="167"/>
        <v>39799</v>
      </c>
      <c r="DF146" s="161">
        <f t="shared" si="95"/>
        <v>0</v>
      </c>
      <c r="DG146" s="161">
        <f t="shared" si="96"/>
        <v>0</v>
      </c>
      <c r="DH146" s="161">
        <f t="shared" si="97"/>
        <v>57.53391472868217</v>
      </c>
      <c r="DI146" s="161">
        <f t="shared" si="98"/>
        <v>0</v>
      </c>
      <c r="DJ146" s="161">
        <f t="shared" si="99"/>
        <v>0</v>
      </c>
      <c r="DK146" s="161">
        <f t="shared" si="100"/>
        <v>0</v>
      </c>
      <c r="DL146" s="161">
        <f t="shared" si="101"/>
        <v>0</v>
      </c>
      <c r="DM146" s="161">
        <f t="shared" si="102"/>
        <v>0</v>
      </c>
      <c r="DN146" s="161">
        <f t="shared" si="103"/>
        <v>0</v>
      </c>
      <c r="DO146" s="161">
        <f t="shared" si="104"/>
        <v>0</v>
      </c>
      <c r="DP146" s="161">
        <f t="shared" si="105"/>
        <v>0</v>
      </c>
      <c r="DQ146" s="161">
        <f t="shared" si="106"/>
        <v>0</v>
      </c>
      <c r="DR146" s="161">
        <f t="shared" si="107"/>
        <v>0</v>
      </c>
      <c r="DS146" s="161">
        <f t="shared" si="108"/>
        <v>0</v>
      </c>
      <c r="DT146" s="161">
        <f t="shared" si="109"/>
        <v>0</v>
      </c>
      <c r="DU146" s="161">
        <f t="shared" si="110"/>
        <v>0</v>
      </c>
      <c r="DV146" s="161">
        <f t="shared" si="111"/>
        <v>0</v>
      </c>
      <c r="DW146" s="161">
        <f t="shared" si="112"/>
        <v>0</v>
      </c>
      <c r="DX146" s="161">
        <f t="shared" si="113"/>
        <v>0</v>
      </c>
      <c r="DY146" s="161">
        <f t="shared" si="114"/>
        <v>0</v>
      </c>
      <c r="DZ146" s="161">
        <f t="shared" si="115"/>
        <v>0</v>
      </c>
      <c r="EA146" s="161">
        <f t="shared" si="116"/>
        <v>0</v>
      </c>
      <c r="EB146" s="161">
        <f t="shared" si="117"/>
        <v>0</v>
      </c>
      <c r="EC146" s="161">
        <f t="shared" si="118"/>
        <v>0</v>
      </c>
      <c r="ED146" s="161">
        <f t="shared" si="119"/>
        <v>0</v>
      </c>
      <c r="EE146" s="161">
        <f t="shared" si="120"/>
        <v>0</v>
      </c>
      <c r="EF146" s="161">
        <f t="shared" si="121"/>
        <v>0</v>
      </c>
      <c r="EG146" s="161">
        <f t="shared" si="122"/>
        <v>0</v>
      </c>
      <c r="EH146" s="161">
        <f t="shared" si="123"/>
        <v>0</v>
      </c>
      <c r="EI146" s="161">
        <f t="shared" si="124"/>
        <v>0</v>
      </c>
      <c r="EJ146" s="161">
        <f t="shared" si="125"/>
        <v>0</v>
      </c>
      <c r="EK146" s="147">
        <f t="shared" si="132"/>
        <v>57.53391472868217</v>
      </c>
      <c r="EL146" s="149"/>
      <c r="EN146" s="146"/>
      <c r="EO146" s="146"/>
      <c r="EP146" s="139">
        <f t="shared" si="133"/>
        <v>0</v>
      </c>
      <c r="EQ146" s="139">
        <f t="shared" si="134"/>
        <v>0</v>
      </c>
      <c r="ER146" s="139">
        <f t="shared" si="135"/>
        <v>2.6852810861366789</v>
      </c>
      <c r="ES146" s="139">
        <f t="shared" si="136"/>
        <v>0</v>
      </c>
      <c r="ET146" s="139">
        <f t="shared" si="137"/>
        <v>0</v>
      </c>
      <c r="EU146" s="139">
        <f t="shared" si="138"/>
        <v>0</v>
      </c>
      <c r="EV146" s="139">
        <f t="shared" si="139"/>
        <v>0</v>
      </c>
      <c r="EW146" s="139">
        <f t="shared" si="140"/>
        <v>0</v>
      </c>
      <c r="EX146" s="139">
        <f t="shared" si="141"/>
        <v>0</v>
      </c>
      <c r="EY146" s="139">
        <f t="shared" si="142"/>
        <v>0</v>
      </c>
      <c r="EZ146" s="139">
        <f t="shared" si="143"/>
        <v>0</v>
      </c>
      <c r="FA146" s="139">
        <f t="shared" si="144"/>
        <v>0</v>
      </c>
      <c r="FB146" s="139">
        <f t="shared" si="145"/>
        <v>0</v>
      </c>
      <c r="FC146" s="139">
        <f t="shared" si="146"/>
        <v>0</v>
      </c>
      <c r="FD146" s="139">
        <f t="shared" si="147"/>
        <v>0</v>
      </c>
      <c r="FE146" s="139">
        <f t="shared" si="148"/>
        <v>0</v>
      </c>
      <c r="FF146" s="139">
        <f t="shared" si="149"/>
        <v>0</v>
      </c>
      <c r="FG146" s="139">
        <f t="shared" si="150"/>
        <v>0</v>
      </c>
      <c r="FH146" s="139">
        <f t="shared" si="151"/>
        <v>0</v>
      </c>
      <c r="FI146" s="139">
        <f t="shared" si="152"/>
        <v>0</v>
      </c>
      <c r="FJ146" s="139">
        <f t="shared" si="153"/>
        <v>0</v>
      </c>
      <c r="FK146" s="139">
        <f t="shared" si="154"/>
        <v>0</v>
      </c>
      <c r="FL146" s="139">
        <f t="shared" si="155"/>
        <v>0</v>
      </c>
      <c r="FM146" s="139">
        <f t="shared" si="156"/>
        <v>0</v>
      </c>
      <c r="FN146" s="139">
        <f t="shared" si="157"/>
        <v>0</v>
      </c>
      <c r="FO146" s="139">
        <f t="shared" si="158"/>
        <v>0</v>
      </c>
      <c r="FP146" s="139">
        <f t="shared" si="159"/>
        <v>0</v>
      </c>
      <c r="FQ146" s="139">
        <f t="shared" si="160"/>
        <v>0</v>
      </c>
      <c r="FR146" s="139">
        <f t="shared" si="161"/>
        <v>0</v>
      </c>
      <c r="FS146" s="139">
        <f t="shared" si="162"/>
        <v>0</v>
      </c>
      <c r="FT146" s="139">
        <f t="shared" si="163"/>
        <v>0</v>
      </c>
      <c r="FU146" s="148">
        <f t="shared" si="164"/>
        <v>2.6852810861366789</v>
      </c>
      <c r="FV146" s="149"/>
      <c r="FY146" s="213">
        <v>141</v>
      </c>
      <c r="FZ146">
        <v>39.053198849186913</v>
      </c>
      <c r="GA146">
        <v>37.611697669694998</v>
      </c>
      <c r="GB146">
        <v>28.290496861962534</v>
      </c>
      <c r="GC146">
        <v>12.420613421899109</v>
      </c>
      <c r="GD146">
        <v>4.8745304900472943</v>
      </c>
      <c r="GE146">
        <v>7.0138461286975398</v>
      </c>
      <c r="GF146">
        <v>4.4535229501574545</v>
      </c>
      <c r="GG146">
        <v>3.8948018001409341</v>
      </c>
      <c r="GH146">
        <v>7.7510789698493143</v>
      </c>
      <c r="GI146">
        <v>17.522241637527951</v>
      </c>
      <c r="GJ146"/>
      <c r="GK146"/>
      <c r="GL146"/>
      <c r="GM146"/>
      <c r="GN146" s="208"/>
      <c r="GO146" s="208"/>
      <c r="GP146" s="208"/>
      <c r="GQ146" s="208"/>
      <c r="GR146" s="208"/>
      <c r="GS146" s="208"/>
      <c r="GT146" s="208"/>
      <c r="GU146" s="213">
        <v>141</v>
      </c>
    </row>
    <row r="147" spans="1:203" s="7" customFormat="1">
      <c r="A147" s="1"/>
      <c r="B147" s="76">
        <f ca="1">IF(C147="", "", RAND())</f>
        <v>0.9343063464905228</v>
      </c>
      <c r="C147">
        <v>5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244.06575387760557</v>
      </c>
      <c r="AO147">
        <v>20.588498668758053</v>
      </c>
      <c r="AP147">
        <v>31.753141161300633</v>
      </c>
      <c r="AQ147">
        <v>141.20017199343502</v>
      </c>
      <c r="AR147">
        <v>21.7014940089813</v>
      </c>
      <c r="AS147">
        <v>296.621573052239</v>
      </c>
      <c r="AT147">
        <v>12.930875210443437</v>
      </c>
      <c r="AU147">
        <v>27.739325425100787</v>
      </c>
      <c r="AV147"/>
      <c r="AW147"/>
      <c r="AX147" s="146"/>
      <c r="AY147" s="76">
        <f t="shared" ca="1" si="88"/>
        <v>0.93733594658745023</v>
      </c>
      <c r="AZ147">
        <v>10</v>
      </c>
      <c r="BA147" s="129">
        <f t="shared" si="168"/>
        <v>39799</v>
      </c>
      <c r="BB147" s="207">
        <v>0</v>
      </c>
      <c r="BC147" s="207">
        <v>0</v>
      </c>
      <c r="BD147" s="207">
        <v>0</v>
      </c>
      <c r="BE147" s="207">
        <v>0</v>
      </c>
      <c r="BF147" s="207">
        <v>0</v>
      </c>
      <c r="BG147" s="207">
        <v>0</v>
      </c>
      <c r="BH147" s="207">
        <v>0</v>
      </c>
      <c r="BI147" s="207">
        <v>0</v>
      </c>
      <c r="BJ147" s="207">
        <v>0</v>
      </c>
      <c r="BK147" s="207">
        <v>0</v>
      </c>
      <c r="BL147" s="207">
        <v>0</v>
      </c>
      <c r="BM147" s="207">
        <v>0</v>
      </c>
      <c r="BN147" s="207">
        <v>0</v>
      </c>
      <c r="BO147" s="207">
        <v>0</v>
      </c>
      <c r="BP147" s="207">
        <v>0</v>
      </c>
      <c r="BQ147" s="207">
        <v>0</v>
      </c>
      <c r="BR147" s="207">
        <v>0</v>
      </c>
      <c r="BS147" s="207">
        <v>0</v>
      </c>
      <c r="BT147" s="207">
        <v>0</v>
      </c>
      <c r="BU147" s="207">
        <v>0</v>
      </c>
      <c r="BV147" s="207">
        <v>0</v>
      </c>
      <c r="BW147" s="207">
        <v>0</v>
      </c>
      <c r="BX147" s="207">
        <v>0</v>
      </c>
      <c r="BY147" s="207">
        <v>0</v>
      </c>
      <c r="BZ147" s="207">
        <v>0</v>
      </c>
      <c r="CA147" s="207">
        <v>0</v>
      </c>
      <c r="CB147" s="207">
        <v>0</v>
      </c>
      <c r="CC147" s="207">
        <v>0</v>
      </c>
      <c r="CD147" s="207">
        <v>0</v>
      </c>
      <c r="CE147" s="207">
        <v>0</v>
      </c>
      <c r="CF147" s="207">
        <v>0</v>
      </c>
      <c r="CG147" s="147"/>
      <c r="CH147" s="176"/>
      <c r="CJ147" s="146"/>
      <c r="CK147" s="76">
        <f t="shared" ca="1" si="90"/>
        <v>0.90810353022611356</v>
      </c>
      <c r="CL147" s="179">
        <f t="shared" si="91"/>
        <v>10</v>
      </c>
      <c r="CM147" s="180">
        <f t="shared" si="92"/>
        <v>39799</v>
      </c>
      <c r="CN147" s="208">
        <v>0</v>
      </c>
      <c r="CO147" s="208">
        <v>2</v>
      </c>
      <c r="CP147" s="208">
        <v>10</v>
      </c>
      <c r="CQ147" s="208">
        <v>1</v>
      </c>
      <c r="CR147" s="208">
        <v>0</v>
      </c>
      <c r="CS147" s="208">
        <v>0</v>
      </c>
      <c r="CT147" s="208">
        <v>0</v>
      </c>
      <c r="CU147" s="208">
        <v>0</v>
      </c>
      <c r="CV147" s="160"/>
      <c r="CW147">
        <v>1</v>
      </c>
      <c r="CX147">
        <v>1</v>
      </c>
      <c r="CY147" s="165"/>
      <c r="CZ147" s="177">
        <f t="shared" si="93"/>
        <v>9.6000000000000002E-2</v>
      </c>
      <c r="DB147" s="146"/>
      <c r="DC147" s="76">
        <f t="shared" ca="1" si="51"/>
        <v>0.14408729203101789</v>
      </c>
      <c r="DD147">
        <f t="shared" si="94"/>
        <v>10</v>
      </c>
      <c r="DE147" s="129">
        <f t="shared" si="167"/>
        <v>39799</v>
      </c>
      <c r="DF147" s="161">
        <f t="shared" si="95"/>
        <v>0</v>
      </c>
      <c r="DG147" s="161">
        <f t="shared" si="96"/>
        <v>20.833333333333332</v>
      </c>
      <c r="DH147" s="161">
        <f t="shared" si="97"/>
        <v>104.16666666666667</v>
      </c>
      <c r="DI147" s="161">
        <f t="shared" si="98"/>
        <v>10.416666666666666</v>
      </c>
      <c r="DJ147" s="161">
        <f t="shared" si="99"/>
        <v>0</v>
      </c>
      <c r="DK147" s="161">
        <f t="shared" si="100"/>
        <v>0</v>
      </c>
      <c r="DL147" s="161">
        <f t="shared" si="101"/>
        <v>0</v>
      </c>
      <c r="DM147" s="161">
        <f t="shared" si="102"/>
        <v>0</v>
      </c>
      <c r="DN147" s="161">
        <f t="shared" si="103"/>
        <v>0</v>
      </c>
      <c r="DO147" s="161">
        <f t="shared" si="104"/>
        <v>0</v>
      </c>
      <c r="DP147" s="161">
        <f t="shared" si="105"/>
        <v>0</v>
      </c>
      <c r="DQ147" s="161">
        <f t="shared" si="106"/>
        <v>0</v>
      </c>
      <c r="DR147" s="161">
        <f t="shared" si="107"/>
        <v>0</v>
      </c>
      <c r="DS147" s="161">
        <f t="shared" si="108"/>
        <v>0</v>
      </c>
      <c r="DT147" s="161">
        <f t="shared" si="109"/>
        <v>0</v>
      </c>
      <c r="DU147" s="161">
        <f t="shared" si="110"/>
        <v>0</v>
      </c>
      <c r="DV147" s="161">
        <f t="shared" si="111"/>
        <v>0</v>
      </c>
      <c r="DW147" s="161">
        <f t="shared" si="112"/>
        <v>0</v>
      </c>
      <c r="DX147" s="161">
        <f t="shared" si="113"/>
        <v>0</v>
      </c>
      <c r="DY147" s="161">
        <f t="shared" si="114"/>
        <v>0</v>
      </c>
      <c r="DZ147" s="161">
        <f t="shared" si="115"/>
        <v>0</v>
      </c>
      <c r="EA147" s="161">
        <f t="shared" si="116"/>
        <v>0</v>
      </c>
      <c r="EB147" s="161">
        <f t="shared" si="117"/>
        <v>0</v>
      </c>
      <c r="EC147" s="161">
        <f t="shared" si="118"/>
        <v>0</v>
      </c>
      <c r="ED147" s="161">
        <f t="shared" si="119"/>
        <v>0</v>
      </c>
      <c r="EE147" s="161">
        <f t="shared" si="120"/>
        <v>0</v>
      </c>
      <c r="EF147" s="161">
        <f t="shared" si="121"/>
        <v>0</v>
      </c>
      <c r="EG147" s="161">
        <f t="shared" si="122"/>
        <v>0</v>
      </c>
      <c r="EH147" s="161">
        <f t="shared" si="123"/>
        <v>0</v>
      </c>
      <c r="EI147" s="161">
        <f t="shared" si="124"/>
        <v>0</v>
      </c>
      <c r="EJ147" s="161">
        <f t="shared" si="125"/>
        <v>0</v>
      </c>
      <c r="EK147" s="147">
        <f t="shared" si="132"/>
        <v>135.41666666666666</v>
      </c>
      <c r="EL147" s="149"/>
      <c r="EN147" s="146"/>
      <c r="EO147" s="146"/>
      <c r="EP147" s="139">
        <f t="shared" si="133"/>
        <v>0</v>
      </c>
      <c r="EQ147" s="139">
        <f t="shared" si="134"/>
        <v>0.15057499999999999</v>
      </c>
      <c r="ER147" s="139">
        <f t="shared" si="135"/>
        <v>4.8617720717421982</v>
      </c>
      <c r="ES147" s="139">
        <f t="shared" si="136"/>
        <v>1.4476253266872796</v>
      </c>
      <c r="ET147" s="139">
        <f t="shared" si="137"/>
        <v>0</v>
      </c>
      <c r="EU147" s="139">
        <f t="shared" si="138"/>
        <v>0</v>
      </c>
      <c r="EV147" s="139">
        <f t="shared" si="139"/>
        <v>0</v>
      </c>
      <c r="EW147" s="139">
        <f t="shared" si="140"/>
        <v>0</v>
      </c>
      <c r="EX147" s="139">
        <f t="shared" si="141"/>
        <v>0</v>
      </c>
      <c r="EY147" s="139">
        <f t="shared" si="142"/>
        <v>0</v>
      </c>
      <c r="EZ147" s="139">
        <f t="shared" si="143"/>
        <v>0</v>
      </c>
      <c r="FA147" s="139">
        <f t="shared" si="144"/>
        <v>0</v>
      </c>
      <c r="FB147" s="139">
        <f t="shared" si="145"/>
        <v>0</v>
      </c>
      <c r="FC147" s="139">
        <f t="shared" si="146"/>
        <v>0</v>
      </c>
      <c r="FD147" s="139">
        <f t="shared" si="147"/>
        <v>0</v>
      </c>
      <c r="FE147" s="139">
        <f t="shared" si="148"/>
        <v>0</v>
      </c>
      <c r="FF147" s="139">
        <f t="shared" si="149"/>
        <v>0</v>
      </c>
      <c r="FG147" s="139">
        <f t="shared" si="150"/>
        <v>0</v>
      </c>
      <c r="FH147" s="139">
        <f t="shared" si="151"/>
        <v>0</v>
      </c>
      <c r="FI147" s="139">
        <f t="shared" si="152"/>
        <v>0</v>
      </c>
      <c r="FJ147" s="139">
        <f t="shared" si="153"/>
        <v>0</v>
      </c>
      <c r="FK147" s="139">
        <f t="shared" si="154"/>
        <v>0</v>
      </c>
      <c r="FL147" s="139">
        <f t="shared" si="155"/>
        <v>0</v>
      </c>
      <c r="FM147" s="139">
        <f t="shared" si="156"/>
        <v>0</v>
      </c>
      <c r="FN147" s="139">
        <f t="shared" si="157"/>
        <v>0</v>
      </c>
      <c r="FO147" s="139">
        <f t="shared" si="158"/>
        <v>0</v>
      </c>
      <c r="FP147" s="139">
        <f t="shared" si="159"/>
        <v>0</v>
      </c>
      <c r="FQ147" s="139">
        <f t="shared" si="160"/>
        <v>0</v>
      </c>
      <c r="FR147" s="139">
        <f t="shared" si="161"/>
        <v>0</v>
      </c>
      <c r="FS147" s="139">
        <f t="shared" si="162"/>
        <v>0</v>
      </c>
      <c r="FT147" s="139">
        <f t="shared" si="163"/>
        <v>0</v>
      </c>
      <c r="FU147" s="148">
        <f t="shared" si="164"/>
        <v>6.4599723984294775</v>
      </c>
      <c r="FV147" s="149"/>
      <c r="FY147" s="213">
        <v>142</v>
      </c>
      <c r="FZ147">
        <v>49.100538845896047</v>
      </c>
      <c r="GA147">
        <v>56.42904024801684</v>
      </c>
      <c r="GB147">
        <v>31.114908914720942</v>
      </c>
      <c r="GC147">
        <v>12.203673080625215</v>
      </c>
      <c r="GD147">
        <v>3.3766787203247111</v>
      </c>
      <c r="GE147">
        <v>4.5463737103560096</v>
      </c>
      <c r="GF147">
        <v>2.9665982550039844</v>
      </c>
      <c r="GG147">
        <v>1.2831170247599706</v>
      </c>
      <c r="GH147">
        <v>9.0019402397340258</v>
      </c>
      <c r="GI147">
        <v>18.764208067836549</v>
      </c>
      <c r="GJ147"/>
      <c r="GK147"/>
      <c r="GL147"/>
      <c r="GM147"/>
      <c r="GN147" s="208"/>
      <c r="GO147" s="208"/>
      <c r="GP147" s="208"/>
      <c r="GQ147" s="208"/>
      <c r="GR147" s="208"/>
      <c r="GS147" s="208"/>
      <c r="GT147" s="208"/>
      <c r="GU147" s="213">
        <v>142</v>
      </c>
    </row>
    <row r="148" spans="1:203" s="7" customFormat="1">
      <c r="A148" s="128"/>
      <c r="B148" s="76">
        <f ca="1">IF(C148="", "", RAND())</f>
        <v>0.42272026392777118</v>
      </c>
      <c r="C148">
        <v>1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357.75129062723215</v>
      </c>
      <c r="AO148">
        <v>27.459247092695485</v>
      </c>
      <c r="AP148">
        <v>23.091511934162092</v>
      </c>
      <c r="AQ148">
        <v>195.81588199487845</v>
      </c>
      <c r="AR148">
        <v>27.541172637075558</v>
      </c>
      <c r="AS148">
        <v>427.3518753737124</v>
      </c>
      <c r="AT148">
        <v>17.337308770263544</v>
      </c>
      <c r="AU148">
        <v>-20.62243331860688</v>
      </c>
      <c r="AV148"/>
      <c r="AW148"/>
      <c r="AX148" s="128"/>
      <c r="AY148" s="76">
        <f t="shared" ca="1" si="88"/>
        <v>0.35018760301466223</v>
      </c>
      <c r="AZ148">
        <v>1</v>
      </c>
      <c r="BA148" s="129">
        <f>IF(AZ148="", "",$C$10)</f>
        <v>39847</v>
      </c>
      <c r="BB148" s="207">
        <v>0</v>
      </c>
      <c r="BC148" s="207">
        <v>0</v>
      </c>
      <c r="BD148" s="207">
        <v>0</v>
      </c>
      <c r="BE148" s="207">
        <v>0</v>
      </c>
      <c r="BF148" s="207">
        <v>0</v>
      </c>
      <c r="BG148" s="207">
        <v>0</v>
      </c>
      <c r="BH148" s="207">
        <v>0</v>
      </c>
      <c r="BI148" s="207">
        <v>0</v>
      </c>
      <c r="BJ148" s="207">
        <v>0</v>
      </c>
      <c r="BK148" s="207">
        <v>0</v>
      </c>
      <c r="BL148" s="207">
        <v>0</v>
      </c>
      <c r="BM148" s="207">
        <v>0</v>
      </c>
      <c r="BN148" s="207">
        <v>0</v>
      </c>
      <c r="BO148" s="207">
        <v>0</v>
      </c>
      <c r="BP148" s="207">
        <v>0</v>
      </c>
      <c r="BQ148" s="207">
        <v>0</v>
      </c>
      <c r="BR148" s="207">
        <v>0</v>
      </c>
      <c r="BS148" s="207">
        <v>0</v>
      </c>
      <c r="BT148" s="207">
        <v>0</v>
      </c>
      <c r="BU148" s="207">
        <v>0</v>
      </c>
      <c r="BV148" s="207">
        <v>0</v>
      </c>
      <c r="BW148" s="207">
        <v>0</v>
      </c>
      <c r="BX148" s="207">
        <v>0</v>
      </c>
      <c r="BY148" s="207">
        <v>0</v>
      </c>
      <c r="BZ148" s="207">
        <v>0</v>
      </c>
      <c r="CA148" s="207">
        <v>0</v>
      </c>
      <c r="CB148" s="207">
        <v>0</v>
      </c>
      <c r="CC148" s="207">
        <v>0</v>
      </c>
      <c r="CD148" s="207">
        <v>0</v>
      </c>
      <c r="CE148" s="207">
        <v>0</v>
      </c>
      <c r="CF148" s="207">
        <v>0</v>
      </c>
      <c r="CG148" s="147"/>
      <c r="CH148" s="176"/>
      <c r="CJ148" s="128"/>
      <c r="CK148" s="76">
        <f t="shared" ca="1" si="90"/>
        <v>0.88099299690538757</v>
      </c>
      <c r="CL148" s="179">
        <f t="shared" si="91"/>
        <v>1</v>
      </c>
      <c r="CM148" s="180">
        <f t="shared" si="92"/>
        <v>39847</v>
      </c>
      <c r="CN148" s="208">
        <v>0</v>
      </c>
      <c r="CO148" s="208">
        <v>0</v>
      </c>
      <c r="CP148" s="208">
        <v>0</v>
      </c>
      <c r="CQ148" s="208">
        <v>0</v>
      </c>
      <c r="CR148" s="208">
        <v>0</v>
      </c>
      <c r="CS148" s="208">
        <v>0</v>
      </c>
      <c r="CT148" s="208">
        <v>0</v>
      </c>
      <c r="CU148" s="208">
        <v>0</v>
      </c>
      <c r="CV148" s="160"/>
      <c r="CW148">
        <v>1</v>
      </c>
      <c r="CX148">
        <v>1</v>
      </c>
      <c r="CY148" s="160"/>
      <c r="CZ148" s="177">
        <f t="shared" si="93"/>
        <v>9.6000000000000002E-2</v>
      </c>
      <c r="DB148" s="128"/>
      <c r="DC148" s="76">
        <f t="shared" ca="1" si="51"/>
        <v>0.12819625997496864</v>
      </c>
      <c r="DD148">
        <f t="shared" si="94"/>
        <v>1</v>
      </c>
      <c r="DE148" s="129">
        <f t="shared" ref="DE148:DE157" si="169">IF((DD148)="", "", $C$10)</f>
        <v>39847</v>
      </c>
      <c r="DF148" s="161">
        <f t="shared" si="95"/>
        <v>0</v>
      </c>
      <c r="DG148" s="161">
        <f t="shared" si="96"/>
        <v>0</v>
      </c>
      <c r="DH148" s="161">
        <f t="shared" si="97"/>
        <v>0</v>
      </c>
      <c r="DI148" s="161">
        <f t="shared" si="98"/>
        <v>0</v>
      </c>
      <c r="DJ148" s="161">
        <f t="shared" si="99"/>
        <v>0</v>
      </c>
      <c r="DK148" s="161">
        <f t="shared" si="100"/>
        <v>0</v>
      </c>
      <c r="DL148" s="161">
        <f t="shared" si="101"/>
        <v>0</v>
      </c>
      <c r="DM148" s="161">
        <f t="shared" si="102"/>
        <v>0</v>
      </c>
      <c r="DN148" s="161">
        <f t="shared" si="103"/>
        <v>0</v>
      </c>
      <c r="DO148" s="161">
        <f t="shared" si="104"/>
        <v>0</v>
      </c>
      <c r="DP148" s="161">
        <f t="shared" si="105"/>
        <v>0</v>
      </c>
      <c r="DQ148" s="161">
        <f t="shared" si="106"/>
        <v>0</v>
      </c>
      <c r="DR148" s="161">
        <f t="shared" si="107"/>
        <v>0</v>
      </c>
      <c r="DS148" s="161">
        <f t="shared" si="108"/>
        <v>0</v>
      </c>
      <c r="DT148" s="161">
        <f t="shared" si="109"/>
        <v>0</v>
      </c>
      <c r="DU148" s="161">
        <f t="shared" si="110"/>
        <v>0</v>
      </c>
      <c r="DV148" s="161">
        <f t="shared" si="111"/>
        <v>0</v>
      </c>
      <c r="DW148" s="161">
        <f t="shared" si="112"/>
        <v>0</v>
      </c>
      <c r="DX148" s="161">
        <f t="shared" si="113"/>
        <v>0</v>
      </c>
      <c r="DY148" s="161">
        <f t="shared" si="114"/>
        <v>0</v>
      </c>
      <c r="DZ148" s="161">
        <f t="shared" si="115"/>
        <v>0</v>
      </c>
      <c r="EA148" s="161">
        <f t="shared" si="116"/>
        <v>0</v>
      </c>
      <c r="EB148" s="161">
        <f t="shared" si="117"/>
        <v>0</v>
      </c>
      <c r="EC148" s="161">
        <f t="shared" si="118"/>
        <v>0</v>
      </c>
      <c r="ED148" s="161">
        <f t="shared" si="119"/>
        <v>0</v>
      </c>
      <c r="EE148" s="161">
        <f t="shared" si="120"/>
        <v>0</v>
      </c>
      <c r="EF148" s="161">
        <f t="shared" si="121"/>
        <v>0</v>
      </c>
      <c r="EG148" s="161">
        <f t="shared" si="122"/>
        <v>0</v>
      </c>
      <c r="EH148" s="161">
        <f t="shared" si="123"/>
        <v>0</v>
      </c>
      <c r="EI148" s="161">
        <f t="shared" si="124"/>
        <v>0</v>
      </c>
      <c r="EJ148" s="161">
        <f t="shared" si="125"/>
        <v>0</v>
      </c>
      <c r="EK148" s="147">
        <f t="shared" si="132"/>
        <v>0</v>
      </c>
      <c r="EL148" s="149"/>
      <c r="EN148" s="146"/>
      <c r="EO148" s="146"/>
      <c r="EP148" s="139">
        <f t="shared" si="133"/>
        <v>0</v>
      </c>
      <c r="EQ148" s="139">
        <f t="shared" si="134"/>
        <v>0</v>
      </c>
      <c r="ER148" s="139">
        <f t="shared" si="135"/>
        <v>0</v>
      </c>
      <c r="ES148" s="139">
        <f t="shared" si="136"/>
        <v>0</v>
      </c>
      <c r="ET148" s="139">
        <f t="shared" si="137"/>
        <v>0</v>
      </c>
      <c r="EU148" s="139">
        <f t="shared" si="138"/>
        <v>0</v>
      </c>
      <c r="EV148" s="139">
        <f t="shared" si="139"/>
        <v>0</v>
      </c>
      <c r="EW148" s="139">
        <f t="shared" si="140"/>
        <v>0</v>
      </c>
      <c r="EX148" s="139">
        <f t="shared" si="141"/>
        <v>0</v>
      </c>
      <c r="EY148" s="139">
        <f t="shared" si="142"/>
        <v>0</v>
      </c>
      <c r="EZ148" s="139">
        <f t="shared" si="143"/>
        <v>0</v>
      </c>
      <c r="FA148" s="139">
        <f t="shared" si="144"/>
        <v>0</v>
      </c>
      <c r="FB148" s="139">
        <f t="shared" si="145"/>
        <v>0</v>
      </c>
      <c r="FC148" s="139">
        <f t="shared" si="146"/>
        <v>0</v>
      </c>
      <c r="FD148" s="139">
        <f t="shared" si="147"/>
        <v>0</v>
      </c>
      <c r="FE148" s="139">
        <f t="shared" si="148"/>
        <v>0</v>
      </c>
      <c r="FF148" s="139">
        <f t="shared" si="149"/>
        <v>0</v>
      </c>
      <c r="FG148" s="139">
        <f t="shared" si="150"/>
        <v>0</v>
      </c>
      <c r="FH148" s="139">
        <f t="shared" si="151"/>
        <v>0</v>
      </c>
      <c r="FI148" s="139">
        <f t="shared" si="152"/>
        <v>0</v>
      </c>
      <c r="FJ148" s="139">
        <f t="shared" si="153"/>
        <v>0</v>
      </c>
      <c r="FK148" s="139">
        <f t="shared" si="154"/>
        <v>0</v>
      </c>
      <c r="FL148" s="139">
        <f t="shared" si="155"/>
        <v>0</v>
      </c>
      <c r="FM148" s="139">
        <f t="shared" si="156"/>
        <v>0</v>
      </c>
      <c r="FN148" s="139">
        <f t="shared" si="157"/>
        <v>0</v>
      </c>
      <c r="FO148" s="139">
        <f t="shared" si="158"/>
        <v>0</v>
      </c>
      <c r="FP148" s="139">
        <f t="shared" si="159"/>
        <v>0</v>
      </c>
      <c r="FQ148" s="139">
        <f t="shared" si="160"/>
        <v>0</v>
      </c>
      <c r="FR148" s="139">
        <f t="shared" si="161"/>
        <v>0</v>
      </c>
      <c r="FS148" s="139">
        <f t="shared" si="162"/>
        <v>0</v>
      </c>
      <c r="FT148" s="139">
        <f t="shared" si="163"/>
        <v>0</v>
      </c>
      <c r="FU148" s="148">
        <f t="shared" si="164"/>
        <v>0</v>
      </c>
      <c r="FV148" s="149"/>
      <c r="FY148" s="213">
        <v>143</v>
      </c>
      <c r="FZ148">
        <v>43.648929249354765</v>
      </c>
      <c r="GA148">
        <v>47.652442521661875</v>
      </c>
      <c r="GB148">
        <v>26.930515862682867</v>
      </c>
      <c r="GC148">
        <v>10.117551139281808</v>
      </c>
      <c r="GD148">
        <v>3.3688001658999958</v>
      </c>
      <c r="GE148">
        <v>5.139154522177237</v>
      </c>
      <c r="GF148">
        <v>6.7933535990157061</v>
      </c>
      <c r="GG148">
        <v>5.9045629062666682</v>
      </c>
      <c r="GH148">
        <v>6.8880907215573011</v>
      </c>
      <c r="GI148">
        <v>17.297532663456931</v>
      </c>
      <c r="GJ148"/>
      <c r="GK148"/>
      <c r="GL148"/>
      <c r="GM148"/>
      <c r="GN148" s="208"/>
      <c r="GO148" s="208"/>
      <c r="GP148" s="208"/>
      <c r="GQ148" s="208"/>
      <c r="GR148" s="208"/>
      <c r="GS148" s="208"/>
      <c r="GT148" s="208"/>
      <c r="GU148" s="213">
        <v>143</v>
      </c>
    </row>
    <row r="149" spans="1:203" s="7" customFormat="1">
      <c r="A149" s="77"/>
      <c r="B149" s="76">
        <f ca="1">IF(C149="", "", RAND())</f>
        <v>0.27487164093599059</v>
      </c>
      <c r="C149">
        <v>4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326.49219836446105</v>
      </c>
      <c r="AO149">
        <v>26.295337439673965</v>
      </c>
      <c r="AP149">
        <v>33.715486392147298</v>
      </c>
      <c r="AQ149">
        <v>187.36258949284107</v>
      </c>
      <c r="AR149">
        <v>26.777976292522972</v>
      </c>
      <c r="AS149">
        <v>348.99443804456575</v>
      </c>
      <c r="AT149">
        <v>16.254771832283961</v>
      </c>
      <c r="AU149">
        <v>-10.492983088872556</v>
      </c>
      <c r="AV149"/>
      <c r="AW149"/>
      <c r="AX149" s="151"/>
      <c r="AY149" s="76">
        <f t="shared" ca="1" si="88"/>
        <v>0.81209137510195561</v>
      </c>
      <c r="AZ149">
        <v>2</v>
      </c>
      <c r="BA149" s="129">
        <f t="shared" ref="BA149:BA157" si="170">IF(AZ149="", "",$C$10)</f>
        <v>39847</v>
      </c>
      <c r="BB149" s="207">
        <v>0</v>
      </c>
      <c r="BC149" s="207">
        <v>0</v>
      </c>
      <c r="BD149" s="207">
        <v>0</v>
      </c>
      <c r="BE149" s="207">
        <v>0</v>
      </c>
      <c r="BF149" s="207">
        <v>0</v>
      </c>
      <c r="BG149" s="207">
        <v>0</v>
      </c>
      <c r="BH149" s="207">
        <v>0</v>
      </c>
      <c r="BI149" s="207">
        <v>0</v>
      </c>
      <c r="BJ149" s="207">
        <v>0</v>
      </c>
      <c r="BK149" s="207">
        <v>0</v>
      </c>
      <c r="BL149" s="207">
        <v>0</v>
      </c>
      <c r="BM149" s="207">
        <v>0</v>
      </c>
      <c r="BN149" s="207">
        <v>0</v>
      </c>
      <c r="BO149" s="207">
        <v>0</v>
      </c>
      <c r="BP149" s="207">
        <v>0</v>
      </c>
      <c r="BQ149" s="207">
        <v>0</v>
      </c>
      <c r="BR149" s="207">
        <v>0</v>
      </c>
      <c r="BS149" s="207">
        <v>0</v>
      </c>
      <c r="BT149" s="207">
        <v>0</v>
      </c>
      <c r="BU149" s="207">
        <v>0</v>
      </c>
      <c r="BV149" s="207">
        <v>0</v>
      </c>
      <c r="BW149" s="207">
        <v>0</v>
      </c>
      <c r="BX149" s="207">
        <v>0</v>
      </c>
      <c r="BY149" s="207">
        <v>0</v>
      </c>
      <c r="BZ149" s="207">
        <v>0</v>
      </c>
      <c r="CA149" s="207">
        <v>0</v>
      </c>
      <c r="CB149" s="207">
        <v>0</v>
      </c>
      <c r="CC149" s="207">
        <v>0</v>
      </c>
      <c r="CD149" s="207">
        <v>0</v>
      </c>
      <c r="CE149" s="207">
        <v>0</v>
      </c>
      <c r="CF149" s="207">
        <v>0</v>
      </c>
      <c r="CG149" s="147"/>
      <c r="CH149" s="176"/>
      <c r="CJ149" s="151"/>
      <c r="CK149" s="76">
        <f t="shared" ca="1" si="90"/>
        <v>0.49788045491634247</v>
      </c>
      <c r="CL149" s="179">
        <f t="shared" si="91"/>
        <v>2</v>
      </c>
      <c r="CM149" s="180">
        <f t="shared" si="92"/>
        <v>39847</v>
      </c>
      <c r="CN149" s="208">
        <v>0</v>
      </c>
      <c r="CO149" s="208">
        <v>4</v>
      </c>
      <c r="CP149" s="208">
        <v>1</v>
      </c>
      <c r="CQ149" s="208">
        <v>1</v>
      </c>
      <c r="CR149" s="208">
        <v>0</v>
      </c>
      <c r="CS149" s="208">
        <v>0</v>
      </c>
      <c r="CT149" s="208">
        <v>0</v>
      </c>
      <c r="CU149" s="208">
        <v>0</v>
      </c>
      <c r="CV149" s="160"/>
      <c r="CW149">
        <f>40/12</f>
        <v>3.3333333333333335</v>
      </c>
      <c r="CX149">
        <f>350/32</f>
        <v>10.9375</v>
      </c>
      <c r="CY149" s="160"/>
      <c r="CZ149" s="177">
        <f t="shared" si="93"/>
        <v>9.6000000000000002E-2</v>
      </c>
      <c r="DB149" s="151"/>
      <c r="DC149" s="76">
        <f t="shared" ca="1" si="51"/>
        <v>0.13705948460765072</v>
      </c>
      <c r="DD149">
        <f t="shared" si="94"/>
        <v>2</v>
      </c>
      <c r="DE149" s="129">
        <f t="shared" si="169"/>
        <v>39847</v>
      </c>
      <c r="DF149" s="161">
        <f t="shared" si="95"/>
        <v>0</v>
      </c>
      <c r="DG149" s="161">
        <f t="shared" si="96"/>
        <v>455.72916666666663</v>
      </c>
      <c r="DH149" s="161">
        <f t="shared" si="97"/>
        <v>113.93229166666666</v>
      </c>
      <c r="DI149" s="161">
        <f t="shared" si="98"/>
        <v>113.93229166666666</v>
      </c>
      <c r="DJ149" s="161">
        <f t="shared" si="99"/>
        <v>0</v>
      </c>
      <c r="DK149" s="161">
        <f t="shared" si="100"/>
        <v>0</v>
      </c>
      <c r="DL149" s="161">
        <f t="shared" si="101"/>
        <v>0</v>
      </c>
      <c r="DM149" s="161">
        <f t="shared" si="102"/>
        <v>0</v>
      </c>
      <c r="DN149" s="161">
        <f t="shared" si="103"/>
        <v>0</v>
      </c>
      <c r="DO149" s="161">
        <f t="shared" si="104"/>
        <v>0</v>
      </c>
      <c r="DP149" s="161">
        <f t="shared" si="105"/>
        <v>0</v>
      </c>
      <c r="DQ149" s="161">
        <f t="shared" si="106"/>
        <v>0</v>
      </c>
      <c r="DR149" s="161">
        <f t="shared" si="107"/>
        <v>0</v>
      </c>
      <c r="DS149" s="161">
        <f t="shared" si="108"/>
        <v>0</v>
      </c>
      <c r="DT149" s="161">
        <f t="shared" si="109"/>
        <v>0</v>
      </c>
      <c r="DU149" s="161">
        <f t="shared" si="110"/>
        <v>0</v>
      </c>
      <c r="DV149" s="161">
        <f t="shared" si="111"/>
        <v>0</v>
      </c>
      <c r="DW149" s="161">
        <f t="shared" si="112"/>
        <v>0</v>
      </c>
      <c r="DX149" s="161">
        <f t="shared" si="113"/>
        <v>0</v>
      </c>
      <c r="DY149" s="161">
        <f t="shared" si="114"/>
        <v>0</v>
      </c>
      <c r="DZ149" s="161">
        <f t="shared" si="115"/>
        <v>0</v>
      </c>
      <c r="EA149" s="161">
        <f t="shared" si="116"/>
        <v>0</v>
      </c>
      <c r="EB149" s="161">
        <f t="shared" si="117"/>
        <v>0</v>
      </c>
      <c r="EC149" s="161">
        <f t="shared" si="118"/>
        <v>0</v>
      </c>
      <c r="ED149" s="161">
        <f t="shared" si="119"/>
        <v>0</v>
      </c>
      <c r="EE149" s="161">
        <f t="shared" si="120"/>
        <v>0</v>
      </c>
      <c r="EF149" s="161">
        <f t="shared" si="121"/>
        <v>0</v>
      </c>
      <c r="EG149" s="161">
        <f t="shared" si="122"/>
        <v>0</v>
      </c>
      <c r="EH149" s="161">
        <f t="shared" si="123"/>
        <v>0</v>
      </c>
      <c r="EI149" s="161">
        <f t="shared" si="124"/>
        <v>0</v>
      </c>
      <c r="EJ149" s="161">
        <f t="shared" si="125"/>
        <v>0</v>
      </c>
      <c r="EK149" s="147">
        <f t="shared" si="132"/>
        <v>683.59374999999989</v>
      </c>
      <c r="EL149" s="149"/>
      <c r="EN149" s="151"/>
      <c r="EO149" s="151"/>
      <c r="EP149" s="139">
        <f t="shared" si="133"/>
        <v>0</v>
      </c>
      <c r="EQ149" s="139">
        <f t="shared" si="134"/>
        <v>3.2938281249999997</v>
      </c>
      <c r="ER149" s="139">
        <f t="shared" si="135"/>
        <v>5.3175632034680289</v>
      </c>
      <c r="ES149" s="139">
        <f t="shared" si="136"/>
        <v>15.833402010642121</v>
      </c>
      <c r="ET149" s="139">
        <f t="shared" si="137"/>
        <v>0</v>
      </c>
      <c r="EU149" s="139">
        <f t="shared" si="138"/>
        <v>0</v>
      </c>
      <c r="EV149" s="139">
        <f t="shared" si="139"/>
        <v>0</v>
      </c>
      <c r="EW149" s="139">
        <f t="shared" si="140"/>
        <v>0</v>
      </c>
      <c r="EX149" s="139">
        <f t="shared" si="141"/>
        <v>0</v>
      </c>
      <c r="EY149" s="139">
        <f t="shared" si="142"/>
        <v>0</v>
      </c>
      <c r="EZ149" s="139">
        <f t="shared" si="143"/>
        <v>0</v>
      </c>
      <c r="FA149" s="139">
        <f t="shared" si="144"/>
        <v>0</v>
      </c>
      <c r="FB149" s="139">
        <f t="shared" si="145"/>
        <v>0</v>
      </c>
      <c r="FC149" s="139">
        <f t="shared" si="146"/>
        <v>0</v>
      </c>
      <c r="FD149" s="139">
        <f t="shared" si="147"/>
        <v>0</v>
      </c>
      <c r="FE149" s="139">
        <f t="shared" si="148"/>
        <v>0</v>
      </c>
      <c r="FF149" s="139">
        <f t="shared" si="149"/>
        <v>0</v>
      </c>
      <c r="FG149" s="139">
        <f t="shared" si="150"/>
        <v>0</v>
      </c>
      <c r="FH149" s="139">
        <f t="shared" si="151"/>
        <v>0</v>
      </c>
      <c r="FI149" s="139">
        <f t="shared" si="152"/>
        <v>0</v>
      </c>
      <c r="FJ149" s="139">
        <f t="shared" si="153"/>
        <v>0</v>
      </c>
      <c r="FK149" s="139">
        <f t="shared" si="154"/>
        <v>0</v>
      </c>
      <c r="FL149" s="139">
        <f t="shared" si="155"/>
        <v>0</v>
      </c>
      <c r="FM149" s="139">
        <f t="shared" si="156"/>
        <v>0</v>
      </c>
      <c r="FN149" s="139">
        <f t="shared" si="157"/>
        <v>0</v>
      </c>
      <c r="FO149" s="139">
        <f t="shared" si="158"/>
        <v>0</v>
      </c>
      <c r="FP149" s="139">
        <f t="shared" si="159"/>
        <v>0</v>
      </c>
      <c r="FQ149" s="139">
        <f t="shared" si="160"/>
        <v>0</v>
      </c>
      <c r="FR149" s="139">
        <f t="shared" si="161"/>
        <v>0</v>
      </c>
      <c r="FS149" s="139">
        <f t="shared" si="162"/>
        <v>0</v>
      </c>
      <c r="FT149" s="139">
        <f t="shared" si="163"/>
        <v>0</v>
      </c>
      <c r="FU149" s="148">
        <f t="shared" si="164"/>
        <v>24.444793339110149</v>
      </c>
      <c r="FV149" s="149"/>
      <c r="FY149" s="213">
        <v>144</v>
      </c>
      <c r="FZ149">
        <v>55.676259855715706</v>
      </c>
      <c r="GA149">
        <v>58.196842974756542</v>
      </c>
      <c r="GB149">
        <v>35.300146332633801</v>
      </c>
      <c r="GC149">
        <v>14.153355202308701</v>
      </c>
      <c r="GD149">
        <v>3.5826170246644491</v>
      </c>
      <c r="GE149">
        <v>6.204724622648655</v>
      </c>
      <c r="GF149">
        <v>6.0188233265879383</v>
      </c>
      <c r="GG149">
        <v>5.8356062634298844</v>
      </c>
      <c r="GH149">
        <v>6.9960328592942016</v>
      </c>
      <c r="GI149">
        <v>21.126102537595546</v>
      </c>
      <c r="GJ149"/>
      <c r="GK149"/>
      <c r="GL149"/>
      <c r="GM149"/>
      <c r="GN149" s="208"/>
      <c r="GO149" s="208"/>
      <c r="GP149" s="208"/>
      <c r="GQ149" s="208"/>
      <c r="GR149" s="208"/>
      <c r="GS149" s="208"/>
      <c r="GT149" s="208"/>
      <c r="GU149" s="213">
        <v>144</v>
      </c>
    </row>
    <row r="150" spans="1:203" s="7" customFormat="1">
      <c r="A150" s="77"/>
      <c r="B150" s="76">
        <f ca="1">IF(C150="", "", RAND())</f>
        <v>1.4185061269833987E-2</v>
      </c>
      <c r="C150">
        <v>7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259.3126043765991</v>
      </c>
      <c r="AO150">
        <v>24.571571245564254</v>
      </c>
      <c r="AP150">
        <v>19.680404952482519</v>
      </c>
      <c r="AQ150">
        <v>182.80418276363278</v>
      </c>
      <c r="AR150">
        <v>25.533277188085194</v>
      </c>
      <c r="AS150">
        <v>373.63518408355225</v>
      </c>
      <c r="AT150">
        <v>15.300148080558126</v>
      </c>
      <c r="AU150">
        <v>7.3940319075572134</v>
      </c>
      <c r="AV150"/>
      <c r="AW150"/>
      <c r="AX150" s="151"/>
      <c r="AY150" s="76">
        <f t="shared" ca="1" si="88"/>
        <v>0.18237321046585997</v>
      </c>
      <c r="AZ150">
        <v>3</v>
      </c>
      <c r="BA150" s="129">
        <f t="shared" si="170"/>
        <v>39847</v>
      </c>
      <c r="BB150" s="207">
        <v>0</v>
      </c>
      <c r="BC150" s="207">
        <v>0</v>
      </c>
      <c r="BD150" s="207">
        <v>0</v>
      </c>
      <c r="BE150" s="207">
        <v>0</v>
      </c>
      <c r="BF150" s="207">
        <v>0</v>
      </c>
      <c r="BG150" s="207">
        <v>0</v>
      </c>
      <c r="BH150" s="207">
        <v>0</v>
      </c>
      <c r="BI150" s="207">
        <v>0</v>
      </c>
      <c r="BJ150" s="207">
        <v>0</v>
      </c>
      <c r="BK150" s="207">
        <v>0</v>
      </c>
      <c r="BL150" s="207">
        <v>0</v>
      </c>
      <c r="BM150" s="207">
        <v>0</v>
      </c>
      <c r="BN150" s="207">
        <v>0</v>
      </c>
      <c r="BO150" s="207">
        <v>0</v>
      </c>
      <c r="BP150" s="207">
        <v>0</v>
      </c>
      <c r="BQ150" s="207">
        <v>0</v>
      </c>
      <c r="BR150" s="207">
        <v>0</v>
      </c>
      <c r="BS150" s="207">
        <v>0</v>
      </c>
      <c r="BT150" s="207">
        <v>0</v>
      </c>
      <c r="BU150" s="207">
        <v>0</v>
      </c>
      <c r="BV150" s="207">
        <v>0</v>
      </c>
      <c r="BW150" s="207">
        <v>0</v>
      </c>
      <c r="BX150" s="207">
        <v>0</v>
      </c>
      <c r="BY150" s="207">
        <v>0</v>
      </c>
      <c r="BZ150" s="207">
        <v>0</v>
      </c>
      <c r="CA150" s="207">
        <v>0</v>
      </c>
      <c r="CB150" s="207">
        <v>0</v>
      </c>
      <c r="CC150" s="207">
        <v>0</v>
      </c>
      <c r="CD150" s="207">
        <v>0</v>
      </c>
      <c r="CE150" s="207">
        <v>0</v>
      </c>
      <c r="CF150" s="207">
        <v>0</v>
      </c>
      <c r="CG150" s="147"/>
      <c r="CH150" s="176"/>
      <c r="CJ150" s="151"/>
      <c r="CK150" s="76">
        <f t="shared" ca="1" si="90"/>
        <v>0.32208932791188971</v>
      </c>
      <c r="CL150" s="179">
        <f t="shared" si="91"/>
        <v>3</v>
      </c>
      <c r="CM150" s="180">
        <f t="shared" si="92"/>
        <v>39847</v>
      </c>
      <c r="CN150" s="208">
        <v>0</v>
      </c>
      <c r="CO150" s="208">
        <v>0</v>
      </c>
      <c r="CP150" s="208">
        <v>0</v>
      </c>
      <c r="CQ150" s="208">
        <v>0</v>
      </c>
      <c r="CR150" s="208">
        <v>0</v>
      </c>
      <c r="CS150" s="208">
        <v>0</v>
      </c>
      <c r="CT150" s="208">
        <v>0</v>
      </c>
      <c r="CU150" s="208">
        <v>0</v>
      </c>
      <c r="CV150" s="160"/>
      <c r="CW150">
        <v>1</v>
      </c>
      <c r="CX150">
        <v>1</v>
      </c>
      <c r="CY150" s="160"/>
      <c r="CZ150" s="177">
        <f t="shared" si="93"/>
        <v>9.6000000000000002E-2</v>
      </c>
      <c r="DB150" s="151"/>
      <c r="DC150" s="76">
        <f t="shared" ca="1" si="51"/>
        <v>0.33273912439833264</v>
      </c>
      <c r="DD150">
        <f t="shared" si="94"/>
        <v>3</v>
      </c>
      <c r="DE150" s="129">
        <f t="shared" si="169"/>
        <v>39847</v>
      </c>
      <c r="DF150" s="161">
        <f t="shared" si="95"/>
        <v>0</v>
      </c>
      <c r="DG150" s="161">
        <f t="shared" si="96"/>
        <v>0</v>
      </c>
      <c r="DH150" s="161">
        <f t="shared" si="97"/>
        <v>0</v>
      </c>
      <c r="DI150" s="161">
        <f t="shared" si="98"/>
        <v>0</v>
      </c>
      <c r="DJ150" s="161">
        <f t="shared" si="99"/>
        <v>0</v>
      </c>
      <c r="DK150" s="161">
        <f t="shared" si="100"/>
        <v>0</v>
      </c>
      <c r="DL150" s="161">
        <f t="shared" si="101"/>
        <v>0</v>
      </c>
      <c r="DM150" s="161">
        <f t="shared" si="102"/>
        <v>0</v>
      </c>
      <c r="DN150" s="161">
        <f t="shared" si="103"/>
        <v>0</v>
      </c>
      <c r="DO150" s="161">
        <f t="shared" si="104"/>
        <v>0</v>
      </c>
      <c r="DP150" s="161">
        <f t="shared" si="105"/>
        <v>0</v>
      </c>
      <c r="DQ150" s="161">
        <f t="shared" si="106"/>
        <v>0</v>
      </c>
      <c r="DR150" s="161">
        <f t="shared" si="107"/>
        <v>0</v>
      </c>
      <c r="DS150" s="161">
        <f t="shared" si="108"/>
        <v>0</v>
      </c>
      <c r="DT150" s="161">
        <f t="shared" si="109"/>
        <v>0</v>
      </c>
      <c r="DU150" s="161">
        <f t="shared" si="110"/>
        <v>0</v>
      </c>
      <c r="DV150" s="161">
        <f t="shared" si="111"/>
        <v>0</v>
      </c>
      <c r="DW150" s="161">
        <f t="shared" si="112"/>
        <v>0</v>
      </c>
      <c r="DX150" s="161">
        <f t="shared" si="113"/>
        <v>0</v>
      </c>
      <c r="DY150" s="161">
        <f t="shared" si="114"/>
        <v>0</v>
      </c>
      <c r="DZ150" s="161">
        <f t="shared" si="115"/>
        <v>0</v>
      </c>
      <c r="EA150" s="161">
        <f t="shared" si="116"/>
        <v>0</v>
      </c>
      <c r="EB150" s="161">
        <f t="shared" si="117"/>
        <v>0</v>
      </c>
      <c r="EC150" s="161">
        <f t="shared" si="118"/>
        <v>0</v>
      </c>
      <c r="ED150" s="161">
        <f t="shared" si="119"/>
        <v>0</v>
      </c>
      <c r="EE150" s="161">
        <f t="shared" si="120"/>
        <v>0</v>
      </c>
      <c r="EF150" s="161">
        <f t="shared" si="121"/>
        <v>0</v>
      </c>
      <c r="EG150" s="161">
        <f t="shared" si="122"/>
        <v>0</v>
      </c>
      <c r="EH150" s="161">
        <f t="shared" si="123"/>
        <v>0</v>
      </c>
      <c r="EI150" s="161">
        <f t="shared" si="124"/>
        <v>0</v>
      </c>
      <c r="EJ150" s="161">
        <f t="shared" si="125"/>
        <v>0</v>
      </c>
      <c r="EK150" s="147">
        <f t="shared" si="132"/>
        <v>0</v>
      </c>
      <c r="EL150" s="149"/>
      <c r="EN150" s="151"/>
      <c r="EO150" s="151"/>
      <c r="EP150" s="139">
        <f t="shared" si="133"/>
        <v>0</v>
      </c>
      <c r="EQ150" s="139">
        <f t="shared" si="134"/>
        <v>0</v>
      </c>
      <c r="ER150" s="139">
        <f t="shared" si="135"/>
        <v>0</v>
      </c>
      <c r="ES150" s="139">
        <f t="shared" si="136"/>
        <v>0</v>
      </c>
      <c r="ET150" s="139">
        <f t="shared" si="137"/>
        <v>0</v>
      </c>
      <c r="EU150" s="139">
        <f t="shared" si="138"/>
        <v>0</v>
      </c>
      <c r="EV150" s="139">
        <f t="shared" si="139"/>
        <v>0</v>
      </c>
      <c r="EW150" s="139">
        <f t="shared" si="140"/>
        <v>0</v>
      </c>
      <c r="EX150" s="139">
        <f t="shared" si="141"/>
        <v>0</v>
      </c>
      <c r="EY150" s="139">
        <f t="shared" si="142"/>
        <v>0</v>
      </c>
      <c r="EZ150" s="139">
        <f t="shared" si="143"/>
        <v>0</v>
      </c>
      <c r="FA150" s="139">
        <f t="shared" si="144"/>
        <v>0</v>
      </c>
      <c r="FB150" s="139">
        <f t="shared" si="145"/>
        <v>0</v>
      </c>
      <c r="FC150" s="139">
        <f t="shared" si="146"/>
        <v>0</v>
      </c>
      <c r="FD150" s="139">
        <f t="shared" si="147"/>
        <v>0</v>
      </c>
      <c r="FE150" s="139">
        <f t="shared" si="148"/>
        <v>0</v>
      </c>
      <c r="FF150" s="139">
        <f t="shared" si="149"/>
        <v>0</v>
      </c>
      <c r="FG150" s="139">
        <f t="shared" si="150"/>
        <v>0</v>
      </c>
      <c r="FH150" s="139">
        <f t="shared" si="151"/>
        <v>0</v>
      </c>
      <c r="FI150" s="139">
        <f t="shared" si="152"/>
        <v>0</v>
      </c>
      <c r="FJ150" s="139">
        <f t="shared" si="153"/>
        <v>0</v>
      </c>
      <c r="FK150" s="139">
        <f t="shared" si="154"/>
        <v>0</v>
      </c>
      <c r="FL150" s="139">
        <f t="shared" si="155"/>
        <v>0</v>
      </c>
      <c r="FM150" s="139">
        <f t="shared" si="156"/>
        <v>0</v>
      </c>
      <c r="FN150" s="139">
        <f t="shared" si="157"/>
        <v>0</v>
      </c>
      <c r="FO150" s="139">
        <f t="shared" si="158"/>
        <v>0</v>
      </c>
      <c r="FP150" s="139">
        <f t="shared" si="159"/>
        <v>0</v>
      </c>
      <c r="FQ150" s="139">
        <f t="shared" si="160"/>
        <v>0</v>
      </c>
      <c r="FR150" s="139">
        <f t="shared" si="161"/>
        <v>0</v>
      </c>
      <c r="FS150" s="139">
        <f t="shared" si="162"/>
        <v>0</v>
      </c>
      <c r="FT150" s="139">
        <f t="shared" si="163"/>
        <v>0</v>
      </c>
      <c r="FU150" s="148">
        <f t="shared" si="164"/>
        <v>0</v>
      </c>
      <c r="FV150" s="149"/>
      <c r="FY150" s="213">
        <v>145</v>
      </c>
      <c r="FZ150">
        <v>42.182733238546568</v>
      </c>
      <c r="GA150">
        <v>49.200487269727546</v>
      </c>
      <c r="GB150">
        <v>46.198632146814624</v>
      </c>
      <c r="GC150">
        <v>19.196096834717583</v>
      </c>
      <c r="GD150">
        <v>3.1452660385245319</v>
      </c>
      <c r="GE150">
        <v>6.2475857548716363</v>
      </c>
      <c r="GF150">
        <v>2.2197411546021617</v>
      </c>
      <c r="GG150">
        <v>5.4904438966369966</v>
      </c>
      <c r="GH150">
        <v>12.123537206556655</v>
      </c>
      <c r="GI150">
        <v>21.66319255155571</v>
      </c>
      <c r="GJ150"/>
      <c r="GK150"/>
      <c r="GL150"/>
      <c r="GM150"/>
      <c r="GN150" s="208"/>
      <c r="GO150" s="208"/>
      <c r="GP150" s="208"/>
      <c r="GQ150" s="208"/>
      <c r="GR150" s="208"/>
      <c r="GS150" s="208"/>
      <c r="GT150" s="208"/>
      <c r="GU150" s="213">
        <v>145</v>
      </c>
    </row>
    <row r="151" spans="1:203" s="7" customFormat="1">
      <c r="A151" s="77"/>
      <c r="B151" s="76">
        <f ca="1">IF(C151="", "", RAND())</f>
        <v>0.83583731951777374</v>
      </c>
      <c r="C151">
        <v>2</v>
      </c>
      <c r="D151">
        <v>39847</v>
      </c>
      <c r="E151">
        <v>0</v>
      </c>
      <c r="F151">
        <v>455.72916666666663</v>
      </c>
      <c r="G151">
        <v>113.93229166666666</v>
      </c>
      <c r="H151">
        <v>113.93229166666666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283.06962851979063</v>
      </c>
      <c r="AO151">
        <v>24.942291933654289</v>
      </c>
      <c r="AP151">
        <v>84.819620449814607</v>
      </c>
      <c r="AQ151">
        <v>179.64738866763585</v>
      </c>
      <c r="AR151">
        <v>25.38853287350085</v>
      </c>
      <c r="AS151">
        <v>370.18095393735547</v>
      </c>
      <c r="AT151" t="e">
        <v>#DIV/0!</v>
      </c>
      <c r="AU151" t="e">
        <v>#DIV/0!</v>
      </c>
      <c r="AV151"/>
      <c r="AW151"/>
      <c r="AX151" s="151"/>
      <c r="AY151" s="76">
        <f t="shared" ca="1" si="88"/>
        <v>0.91900994253976709</v>
      </c>
      <c r="AZ151">
        <v>4</v>
      </c>
      <c r="BA151" s="129">
        <f t="shared" si="170"/>
        <v>39847</v>
      </c>
      <c r="BB151" s="207">
        <v>0</v>
      </c>
      <c r="BC151" s="207">
        <v>0</v>
      </c>
      <c r="BD151" s="207">
        <v>0</v>
      </c>
      <c r="BE151" s="207">
        <v>0</v>
      </c>
      <c r="BF151" s="207">
        <v>0</v>
      </c>
      <c r="BG151" s="207">
        <v>0</v>
      </c>
      <c r="BH151" s="207">
        <v>0</v>
      </c>
      <c r="BI151" s="207">
        <v>0</v>
      </c>
      <c r="BJ151" s="207">
        <v>0</v>
      </c>
      <c r="BK151" s="207">
        <v>0</v>
      </c>
      <c r="BL151" s="207">
        <v>0</v>
      </c>
      <c r="BM151" s="207">
        <v>0</v>
      </c>
      <c r="BN151" s="207">
        <v>0</v>
      </c>
      <c r="BO151" s="207">
        <v>0</v>
      </c>
      <c r="BP151" s="207">
        <v>0</v>
      </c>
      <c r="BQ151" s="207">
        <v>0</v>
      </c>
      <c r="BR151" s="207">
        <v>0</v>
      </c>
      <c r="BS151" s="207">
        <v>0</v>
      </c>
      <c r="BT151" s="207">
        <v>0</v>
      </c>
      <c r="BU151" s="207">
        <v>0</v>
      </c>
      <c r="BV151" s="207">
        <v>0</v>
      </c>
      <c r="BW151" s="207">
        <v>0</v>
      </c>
      <c r="BX151" s="207">
        <v>0</v>
      </c>
      <c r="BY151" s="207">
        <v>0</v>
      </c>
      <c r="BZ151" s="207">
        <v>0</v>
      </c>
      <c r="CA151" s="207">
        <v>0</v>
      </c>
      <c r="CB151" s="207">
        <v>0</v>
      </c>
      <c r="CC151" s="207">
        <v>0</v>
      </c>
      <c r="CD151" s="207">
        <v>0</v>
      </c>
      <c r="CE151" s="207">
        <v>0</v>
      </c>
      <c r="CF151" s="207">
        <v>0</v>
      </c>
      <c r="CG151" s="147"/>
      <c r="CH151" s="176"/>
      <c r="CJ151" s="151"/>
      <c r="CK151" s="76">
        <f t="shared" ca="1" si="90"/>
        <v>0.9360671335740729</v>
      </c>
      <c r="CL151" s="179">
        <f t="shared" si="91"/>
        <v>4</v>
      </c>
      <c r="CM151" s="180">
        <f t="shared" si="92"/>
        <v>39847</v>
      </c>
      <c r="CN151" s="208">
        <v>0</v>
      </c>
      <c r="CO151" s="208">
        <v>0</v>
      </c>
      <c r="CP151" s="208">
        <v>0</v>
      </c>
      <c r="CQ151" s="208">
        <v>0</v>
      </c>
      <c r="CR151" s="208">
        <v>0</v>
      </c>
      <c r="CS151" s="208">
        <v>0</v>
      </c>
      <c r="CT151" s="208">
        <v>0</v>
      </c>
      <c r="CU151" s="208">
        <v>0</v>
      </c>
      <c r="CV151" s="160"/>
      <c r="CW151">
        <v>1</v>
      </c>
      <c r="CX151">
        <v>1</v>
      </c>
      <c r="CY151" s="160"/>
      <c r="CZ151" s="177">
        <f t="shared" si="93"/>
        <v>9.6000000000000002E-2</v>
      </c>
      <c r="DB151" s="151"/>
      <c r="DC151" s="76">
        <f t="shared" ca="1" si="51"/>
        <v>0.41949363571957399</v>
      </c>
      <c r="DD151">
        <f t="shared" si="94"/>
        <v>4</v>
      </c>
      <c r="DE151" s="129">
        <f t="shared" si="169"/>
        <v>39847</v>
      </c>
      <c r="DF151" s="161">
        <f t="shared" si="95"/>
        <v>0</v>
      </c>
      <c r="DG151" s="161">
        <f t="shared" si="96"/>
        <v>0</v>
      </c>
      <c r="DH151" s="161">
        <f t="shared" si="97"/>
        <v>0</v>
      </c>
      <c r="DI151" s="161">
        <f t="shared" si="98"/>
        <v>0</v>
      </c>
      <c r="DJ151" s="161">
        <f t="shared" si="99"/>
        <v>0</v>
      </c>
      <c r="DK151" s="161">
        <f t="shared" si="100"/>
        <v>0</v>
      </c>
      <c r="DL151" s="161">
        <f t="shared" si="101"/>
        <v>0</v>
      </c>
      <c r="DM151" s="161">
        <f t="shared" si="102"/>
        <v>0</v>
      </c>
      <c r="DN151" s="161">
        <f t="shared" si="103"/>
        <v>0</v>
      </c>
      <c r="DO151" s="161">
        <f t="shared" si="104"/>
        <v>0</v>
      </c>
      <c r="DP151" s="161">
        <f t="shared" si="105"/>
        <v>0</v>
      </c>
      <c r="DQ151" s="161">
        <f t="shared" si="106"/>
        <v>0</v>
      </c>
      <c r="DR151" s="161">
        <f t="shared" si="107"/>
        <v>0</v>
      </c>
      <c r="DS151" s="161">
        <f t="shared" si="108"/>
        <v>0</v>
      </c>
      <c r="DT151" s="161">
        <f t="shared" si="109"/>
        <v>0</v>
      </c>
      <c r="DU151" s="161">
        <f t="shared" si="110"/>
        <v>0</v>
      </c>
      <c r="DV151" s="161">
        <f t="shared" si="111"/>
        <v>0</v>
      </c>
      <c r="DW151" s="161">
        <f t="shared" si="112"/>
        <v>0</v>
      </c>
      <c r="DX151" s="161">
        <f t="shared" si="113"/>
        <v>0</v>
      </c>
      <c r="DY151" s="161">
        <f t="shared" si="114"/>
        <v>0</v>
      </c>
      <c r="DZ151" s="161">
        <f t="shared" si="115"/>
        <v>0</v>
      </c>
      <c r="EA151" s="161">
        <f t="shared" si="116"/>
        <v>0</v>
      </c>
      <c r="EB151" s="161">
        <f t="shared" si="117"/>
        <v>0</v>
      </c>
      <c r="EC151" s="161">
        <f t="shared" si="118"/>
        <v>0</v>
      </c>
      <c r="ED151" s="161">
        <f t="shared" si="119"/>
        <v>0</v>
      </c>
      <c r="EE151" s="161">
        <f t="shared" si="120"/>
        <v>0</v>
      </c>
      <c r="EF151" s="161">
        <f t="shared" si="121"/>
        <v>0</v>
      </c>
      <c r="EG151" s="161">
        <f t="shared" si="122"/>
        <v>0</v>
      </c>
      <c r="EH151" s="161">
        <f t="shared" si="123"/>
        <v>0</v>
      </c>
      <c r="EI151" s="161">
        <f t="shared" si="124"/>
        <v>0</v>
      </c>
      <c r="EJ151" s="161">
        <f t="shared" si="125"/>
        <v>0</v>
      </c>
      <c r="EK151" s="147">
        <f t="shared" si="132"/>
        <v>0</v>
      </c>
      <c r="EL151" s="149"/>
      <c r="EN151" s="151"/>
      <c r="EO151" s="151"/>
      <c r="EP151" s="139">
        <f t="shared" si="133"/>
        <v>0</v>
      </c>
      <c r="EQ151" s="139">
        <f t="shared" si="134"/>
        <v>0</v>
      </c>
      <c r="ER151" s="139">
        <f t="shared" si="135"/>
        <v>0</v>
      </c>
      <c r="ES151" s="139">
        <f t="shared" si="136"/>
        <v>0</v>
      </c>
      <c r="ET151" s="139">
        <f t="shared" si="137"/>
        <v>0</v>
      </c>
      <c r="EU151" s="139">
        <f t="shared" si="138"/>
        <v>0</v>
      </c>
      <c r="EV151" s="139">
        <f t="shared" si="139"/>
        <v>0</v>
      </c>
      <c r="EW151" s="139">
        <f t="shared" si="140"/>
        <v>0</v>
      </c>
      <c r="EX151" s="139">
        <f t="shared" si="141"/>
        <v>0</v>
      </c>
      <c r="EY151" s="139">
        <f t="shared" si="142"/>
        <v>0</v>
      </c>
      <c r="EZ151" s="139">
        <f t="shared" si="143"/>
        <v>0</v>
      </c>
      <c r="FA151" s="139">
        <f t="shared" si="144"/>
        <v>0</v>
      </c>
      <c r="FB151" s="139">
        <f t="shared" si="145"/>
        <v>0</v>
      </c>
      <c r="FC151" s="139">
        <f t="shared" si="146"/>
        <v>0</v>
      </c>
      <c r="FD151" s="139">
        <f t="shared" si="147"/>
        <v>0</v>
      </c>
      <c r="FE151" s="139">
        <f t="shared" si="148"/>
        <v>0</v>
      </c>
      <c r="FF151" s="139">
        <f t="shared" si="149"/>
        <v>0</v>
      </c>
      <c r="FG151" s="139">
        <f t="shared" si="150"/>
        <v>0</v>
      </c>
      <c r="FH151" s="139">
        <f t="shared" si="151"/>
        <v>0</v>
      </c>
      <c r="FI151" s="139">
        <f t="shared" si="152"/>
        <v>0</v>
      </c>
      <c r="FJ151" s="139">
        <f t="shared" si="153"/>
        <v>0</v>
      </c>
      <c r="FK151" s="139">
        <f t="shared" si="154"/>
        <v>0</v>
      </c>
      <c r="FL151" s="139">
        <f t="shared" si="155"/>
        <v>0</v>
      </c>
      <c r="FM151" s="139">
        <f t="shared" si="156"/>
        <v>0</v>
      </c>
      <c r="FN151" s="139">
        <f t="shared" si="157"/>
        <v>0</v>
      </c>
      <c r="FO151" s="139">
        <f t="shared" si="158"/>
        <v>0</v>
      </c>
      <c r="FP151" s="139">
        <f t="shared" si="159"/>
        <v>0</v>
      </c>
      <c r="FQ151" s="139">
        <f t="shared" si="160"/>
        <v>0</v>
      </c>
      <c r="FR151" s="139">
        <f t="shared" si="161"/>
        <v>0</v>
      </c>
      <c r="FS151" s="139">
        <f t="shared" si="162"/>
        <v>0</v>
      </c>
      <c r="FT151" s="139">
        <f t="shared" si="163"/>
        <v>0</v>
      </c>
      <c r="FU151" s="148">
        <f t="shared" si="164"/>
        <v>0</v>
      </c>
      <c r="FV151" s="149"/>
      <c r="FY151" s="213">
        <v>146</v>
      </c>
      <c r="FZ151">
        <v>60.364110725039666</v>
      </c>
      <c r="GA151">
        <v>47.071702059153743</v>
      </c>
      <c r="GB151">
        <v>17.292484181836059</v>
      </c>
      <c r="GC151">
        <v>7.979795097366515</v>
      </c>
      <c r="GD151">
        <v>2.7899159969267231</v>
      </c>
      <c r="GE151">
        <v>4.2115895608055158</v>
      </c>
      <c r="GF151">
        <v>1.0015573436856424</v>
      </c>
      <c r="GG151">
        <v>0.50542754939445367</v>
      </c>
      <c r="GH151">
        <v>8.4367431774570907</v>
      </c>
      <c r="GI151">
        <v>16.24879723056824</v>
      </c>
      <c r="GJ151"/>
      <c r="GK151"/>
      <c r="GL151"/>
      <c r="GM151"/>
      <c r="GN151" s="208"/>
      <c r="GO151" s="208"/>
      <c r="GP151" s="208"/>
      <c r="GQ151" s="208"/>
      <c r="GR151" s="208"/>
      <c r="GS151" s="208"/>
      <c r="GT151" s="208"/>
      <c r="GU151" s="213">
        <v>146</v>
      </c>
    </row>
    <row r="152" spans="1:203" s="7" customFormat="1">
      <c r="A152" s="77"/>
      <c r="B152" s="76">
        <f ca="1">IF(C152="", "", RAND())</f>
        <v>0.89089883603022102</v>
      </c>
      <c r="C152">
        <v>9</v>
      </c>
      <c r="D152">
        <v>39847</v>
      </c>
      <c r="E152">
        <v>0</v>
      </c>
      <c r="F152">
        <v>65.104166666666671</v>
      </c>
      <c r="G152">
        <v>65.104166666666671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279.58673405862203</v>
      </c>
      <c r="AO152">
        <v>22.892826968452827</v>
      </c>
      <c r="AP152">
        <v>11.592278287563488</v>
      </c>
      <c r="AQ152">
        <v>162.40169236206631</v>
      </c>
      <c r="AR152">
        <v>23.332982428717226</v>
      </c>
      <c r="AS152">
        <v>362.86652402269027</v>
      </c>
      <c r="AT152">
        <v>13.760380022652756</v>
      </c>
      <c r="AU152">
        <v>-17.10357315309615</v>
      </c>
      <c r="AV152"/>
      <c r="AW152"/>
      <c r="AX152" s="151"/>
      <c r="AY152" s="76">
        <f t="shared" ref="AY152:AY207" ca="1" si="171">IF(AZ152="", "", RAND())</f>
        <v>0.2039419218721199</v>
      </c>
      <c r="AZ152">
        <v>5</v>
      </c>
      <c r="BA152" s="129">
        <f t="shared" si="170"/>
        <v>39847</v>
      </c>
      <c r="BB152" s="207">
        <v>0</v>
      </c>
      <c r="BC152" s="207">
        <v>0</v>
      </c>
      <c r="BD152" s="207">
        <v>0</v>
      </c>
      <c r="BE152" s="207">
        <v>0</v>
      </c>
      <c r="BF152" s="207">
        <v>0</v>
      </c>
      <c r="BG152" s="207">
        <v>0</v>
      </c>
      <c r="BH152" s="207">
        <v>0</v>
      </c>
      <c r="BI152" s="207">
        <v>0</v>
      </c>
      <c r="BJ152" s="207">
        <v>0</v>
      </c>
      <c r="BK152" s="207">
        <v>0</v>
      </c>
      <c r="BL152" s="207">
        <v>0</v>
      </c>
      <c r="BM152" s="207">
        <v>0</v>
      </c>
      <c r="BN152" s="207">
        <v>0</v>
      </c>
      <c r="BO152" s="207">
        <v>0</v>
      </c>
      <c r="BP152" s="207">
        <v>0</v>
      </c>
      <c r="BQ152" s="207">
        <v>0</v>
      </c>
      <c r="BR152" s="207">
        <v>0</v>
      </c>
      <c r="BS152" s="207">
        <v>0</v>
      </c>
      <c r="BT152" s="207">
        <v>0</v>
      </c>
      <c r="BU152" s="207">
        <v>0</v>
      </c>
      <c r="BV152" s="207">
        <v>0</v>
      </c>
      <c r="BW152" s="207">
        <v>0</v>
      </c>
      <c r="BX152" s="207">
        <v>0</v>
      </c>
      <c r="BY152" s="207">
        <v>0</v>
      </c>
      <c r="BZ152" s="207">
        <v>0</v>
      </c>
      <c r="CA152" s="207">
        <v>0</v>
      </c>
      <c r="CB152" s="207">
        <v>0</v>
      </c>
      <c r="CC152" s="207">
        <v>0</v>
      </c>
      <c r="CD152" s="207">
        <v>0</v>
      </c>
      <c r="CE152" s="207">
        <v>0</v>
      </c>
      <c r="CF152" s="207">
        <v>0</v>
      </c>
      <c r="CG152" s="147"/>
      <c r="CH152" s="176"/>
      <c r="CJ152" s="151"/>
      <c r="CK152" s="76">
        <f t="shared" ca="1" si="90"/>
        <v>0.22814126930807177</v>
      </c>
      <c r="CL152" s="179">
        <f t="shared" si="91"/>
        <v>5</v>
      </c>
      <c r="CM152" s="180">
        <f t="shared" si="92"/>
        <v>39847</v>
      </c>
      <c r="CN152" s="208">
        <v>0</v>
      </c>
      <c r="CO152" s="208">
        <v>0</v>
      </c>
      <c r="CP152" s="208">
        <v>0</v>
      </c>
      <c r="CQ152" s="208">
        <v>0</v>
      </c>
      <c r="CR152" s="208">
        <v>0</v>
      </c>
      <c r="CS152" s="208">
        <v>0</v>
      </c>
      <c r="CT152" s="208">
        <v>0</v>
      </c>
      <c r="CU152" s="208">
        <v>0</v>
      </c>
      <c r="CV152" s="160"/>
      <c r="CW152">
        <v>1</v>
      </c>
      <c r="CX152">
        <v>1</v>
      </c>
      <c r="CY152" s="160"/>
      <c r="CZ152" s="177">
        <f t="shared" si="93"/>
        <v>9.6000000000000002E-2</v>
      </c>
      <c r="DB152" s="151"/>
      <c r="DC152" s="76">
        <f t="shared" ref="DC152:DC207" ca="1" si="172">IF(DD152="", "", RAND())</f>
        <v>0.61316246579436839</v>
      </c>
      <c r="DD152">
        <f t="shared" si="94"/>
        <v>5</v>
      </c>
      <c r="DE152" s="129">
        <f t="shared" si="169"/>
        <v>39847</v>
      </c>
      <c r="DF152" s="161">
        <f t="shared" si="95"/>
        <v>0</v>
      </c>
      <c r="DG152" s="161">
        <f t="shared" si="96"/>
        <v>0</v>
      </c>
      <c r="DH152" s="161">
        <f t="shared" si="97"/>
        <v>0</v>
      </c>
      <c r="DI152" s="161">
        <f t="shared" si="98"/>
        <v>0</v>
      </c>
      <c r="DJ152" s="161">
        <f t="shared" si="99"/>
        <v>0</v>
      </c>
      <c r="DK152" s="161">
        <f t="shared" si="100"/>
        <v>0</v>
      </c>
      <c r="DL152" s="161">
        <f t="shared" si="101"/>
        <v>0</v>
      </c>
      <c r="DM152" s="161">
        <f t="shared" si="102"/>
        <v>0</v>
      </c>
      <c r="DN152" s="161">
        <f t="shared" si="103"/>
        <v>0</v>
      </c>
      <c r="DO152" s="161">
        <f t="shared" si="104"/>
        <v>0</v>
      </c>
      <c r="DP152" s="161">
        <f t="shared" si="105"/>
        <v>0</v>
      </c>
      <c r="DQ152" s="161">
        <f t="shared" si="106"/>
        <v>0</v>
      </c>
      <c r="DR152" s="161">
        <f t="shared" si="107"/>
        <v>0</v>
      </c>
      <c r="DS152" s="161">
        <f t="shared" si="108"/>
        <v>0</v>
      </c>
      <c r="DT152" s="161">
        <f t="shared" si="109"/>
        <v>0</v>
      </c>
      <c r="DU152" s="161">
        <f t="shared" si="110"/>
        <v>0</v>
      </c>
      <c r="DV152" s="161">
        <f t="shared" si="111"/>
        <v>0</v>
      </c>
      <c r="DW152" s="161">
        <f t="shared" si="112"/>
        <v>0</v>
      </c>
      <c r="DX152" s="161">
        <f t="shared" si="113"/>
        <v>0</v>
      </c>
      <c r="DY152" s="161">
        <f t="shared" si="114"/>
        <v>0</v>
      </c>
      <c r="DZ152" s="161">
        <f t="shared" si="115"/>
        <v>0</v>
      </c>
      <c r="EA152" s="161">
        <f t="shared" si="116"/>
        <v>0</v>
      </c>
      <c r="EB152" s="161">
        <f t="shared" si="117"/>
        <v>0</v>
      </c>
      <c r="EC152" s="161">
        <f t="shared" si="118"/>
        <v>0</v>
      </c>
      <c r="ED152" s="161">
        <f t="shared" si="119"/>
        <v>0</v>
      </c>
      <c r="EE152" s="161">
        <f t="shared" si="120"/>
        <v>0</v>
      </c>
      <c r="EF152" s="161">
        <f t="shared" si="121"/>
        <v>0</v>
      </c>
      <c r="EG152" s="161">
        <f t="shared" si="122"/>
        <v>0</v>
      </c>
      <c r="EH152" s="161">
        <f t="shared" si="123"/>
        <v>0</v>
      </c>
      <c r="EI152" s="161">
        <f t="shared" si="124"/>
        <v>0</v>
      </c>
      <c r="EJ152" s="161">
        <f t="shared" si="125"/>
        <v>0</v>
      </c>
      <c r="EK152" s="147">
        <f t="shared" ref="EK152:EK183" si="173">IF(DF152="", "", SUM(DF152:EJ152))</f>
        <v>0</v>
      </c>
      <c r="EL152" s="149"/>
      <c r="EN152" s="151"/>
      <c r="EO152" s="151"/>
      <c r="EP152" s="139">
        <f t="shared" ref="EP152:EP183" si="174">IF(DF152="", "", DF152*G$36)</f>
        <v>0</v>
      </c>
      <c r="EQ152" s="139">
        <f t="shared" ref="EQ152:EQ183" si="175">IF(DG152="", "", DG152*H$36)</f>
        <v>0</v>
      </c>
      <c r="ER152" s="139">
        <f t="shared" ref="ER152:ER183" si="176">IF(DH152="", "", DH152*I$36)</f>
        <v>0</v>
      </c>
      <c r="ES152" s="139">
        <f t="shared" ref="ES152:ES183" si="177">IF(DI152="", "", DI152*J$36)</f>
        <v>0</v>
      </c>
      <c r="ET152" s="139">
        <f t="shared" ref="ET152:ET183" si="178">IF(DJ152="", "", DJ152*K$36)</f>
        <v>0</v>
      </c>
      <c r="EU152" s="139">
        <f t="shared" ref="EU152:EU183" si="179">IF(DK152="", "", DK152*L$36)</f>
        <v>0</v>
      </c>
      <c r="EV152" s="139">
        <f t="shared" ref="EV152:EV183" si="180">IF(DL152="", "", DL152*M$36)</f>
        <v>0</v>
      </c>
      <c r="EW152" s="139">
        <f t="shared" ref="EW152:EW183" si="181">IF(DM152="", "", DM152*N$36)</f>
        <v>0</v>
      </c>
      <c r="EX152" s="139">
        <f t="shared" ref="EX152:EX183" si="182">IF(DN152="", "", DN152*O$36)</f>
        <v>0</v>
      </c>
      <c r="EY152" s="139">
        <f t="shared" ref="EY152:EY183" si="183">IF(DO152="", "", DO152*P$36)</f>
        <v>0</v>
      </c>
      <c r="EZ152" s="139">
        <f t="shared" ref="EZ152:EZ183" si="184">IF(DP152="", "", DP152*Q$36)</f>
        <v>0</v>
      </c>
      <c r="FA152" s="139">
        <f t="shared" ref="FA152:FA183" si="185">IF(DQ152="", "", DQ152*R$36)</f>
        <v>0</v>
      </c>
      <c r="FB152" s="139">
        <f t="shared" ref="FB152:FB183" si="186">IF(DR152="", "", DR152*S$36)</f>
        <v>0</v>
      </c>
      <c r="FC152" s="139">
        <f t="shared" ref="FC152:FC183" si="187">IF(DS152="", "", DS152*T$36)</f>
        <v>0</v>
      </c>
      <c r="FD152" s="139">
        <f t="shared" ref="FD152:FD183" si="188">IF(DT152="", "", DT152*U$36)</f>
        <v>0</v>
      </c>
      <c r="FE152" s="139">
        <f t="shared" ref="FE152:FE183" si="189">IF(DU152="", "", DU152*V$36)</f>
        <v>0</v>
      </c>
      <c r="FF152" s="139">
        <f t="shared" ref="FF152:FF183" si="190">IF(DV152="", "", DV152*W$36)</f>
        <v>0</v>
      </c>
      <c r="FG152" s="139">
        <f t="shared" ref="FG152:FG183" si="191">IF(DW152="", "", DW152*X$36)</f>
        <v>0</v>
      </c>
      <c r="FH152" s="139">
        <f t="shared" ref="FH152:FH183" si="192">IF(DX152="", "", DX152*Y$36)</f>
        <v>0</v>
      </c>
      <c r="FI152" s="139">
        <f t="shared" ref="FI152:FI183" si="193">IF(DY152="", "", DY152*Z$36)</f>
        <v>0</v>
      </c>
      <c r="FJ152" s="139">
        <f t="shared" ref="FJ152:FJ183" si="194">IF(DZ152="", "", DZ152*AA$36)</f>
        <v>0</v>
      </c>
      <c r="FK152" s="139">
        <f t="shared" ref="FK152:FK183" si="195">IF(EA152="", "", EA152*AB$36)</f>
        <v>0</v>
      </c>
      <c r="FL152" s="139">
        <f t="shared" ref="FL152:FL183" si="196">IF(EB152="", "", EB152*AC$36)</f>
        <v>0</v>
      </c>
      <c r="FM152" s="139">
        <f t="shared" ref="FM152:FM183" si="197">IF(EC152="", "", EC152*AD$36)</f>
        <v>0</v>
      </c>
      <c r="FN152" s="139">
        <f t="shared" ref="FN152:FN183" si="198">IF(ED152="", "", ED152*AE$36)</f>
        <v>0</v>
      </c>
      <c r="FO152" s="139">
        <f t="shared" ref="FO152:FO183" si="199">IF(EE152="", "", EE152*AF$36)</f>
        <v>0</v>
      </c>
      <c r="FP152" s="139">
        <f t="shared" ref="FP152:FP183" si="200">IF(EF152="", "", EF152*AG$36)</f>
        <v>0</v>
      </c>
      <c r="FQ152" s="139">
        <f t="shared" ref="FQ152:FQ183" si="201">IF(EG152="", "", EG152*AH$36)</f>
        <v>0</v>
      </c>
      <c r="FR152" s="139">
        <f t="shared" ref="FR152:FR183" si="202">IF(EH152="", "", EH152*AI$36)</f>
        <v>0</v>
      </c>
      <c r="FS152" s="139">
        <f t="shared" ref="FS152:FS183" si="203">IF(EI152="", "", EI152*AJ$36)</f>
        <v>0</v>
      </c>
      <c r="FT152" s="139">
        <f t="shared" ref="FT152:FT183" si="204">IF(EJ152="", "", EJ152*AK$36)</f>
        <v>0</v>
      </c>
      <c r="FU152" s="148">
        <f t="shared" ref="FU152:FU183" si="205">IF(EP152="","",SUM(EP152:FT152))</f>
        <v>0</v>
      </c>
      <c r="FV152" s="149"/>
      <c r="FY152" s="213">
        <v>147</v>
      </c>
      <c r="FZ152">
        <v>65.271496726115203</v>
      </c>
      <c r="GA152">
        <v>43.144577230959861</v>
      </c>
      <c r="GB152">
        <v>16.119890040921799</v>
      </c>
      <c r="GC152">
        <v>8.4562653947699911</v>
      </c>
      <c r="GD152">
        <v>2.2204510775786743</v>
      </c>
      <c r="GE152">
        <v>4.064073048660565</v>
      </c>
      <c r="GF152">
        <v>11.505739900468527</v>
      </c>
      <c r="GG152">
        <v>11.226765437089551</v>
      </c>
      <c r="GH152">
        <v>11.769580907980531</v>
      </c>
      <c r="GI152">
        <v>18.789682931851708</v>
      </c>
      <c r="GJ152"/>
      <c r="GK152"/>
      <c r="GL152"/>
      <c r="GM152"/>
      <c r="GN152" s="208"/>
      <c r="GO152" s="208"/>
      <c r="GP152" s="208"/>
      <c r="GQ152" s="208"/>
      <c r="GR152" s="208"/>
      <c r="GS152" s="208"/>
      <c r="GT152" s="208"/>
      <c r="GU152" s="213">
        <v>147</v>
      </c>
    </row>
    <row r="153" spans="1:203" s="7" customFormat="1">
      <c r="A153" s="77"/>
      <c r="B153" s="76">
        <f ca="1">IF(C153="", "", RAND())</f>
        <v>0.71719342907978212</v>
      </c>
      <c r="C153">
        <v>10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214.5373554155004</v>
      </c>
      <c r="AO153">
        <v>21.230180621328142</v>
      </c>
      <c r="AP153">
        <v>44.742457681458419</v>
      </c>
      <c r="AQ153">
        <v>147.09558023444941</v>
      </c>
      <c r="AR153">
        <v>22.021154791434768</v>
      </c>
      <c r="AS153">
        <v>317.79342402798596</v>
      </c>
      <c r="AT153">
        <v>13.611558872007514</v>
      </c>
      <c r="AU153">
        <v>3.9065478211441018E-2</v>
      </c>
      <c r="AV153"/>
      <c r="AW153"/>
      <c r="AX153" s="151"/>
      <c r="AY153" s="76">
        <f t="shared" ca="1" si="171"/>
        <v>0.13584930901267178</v>
      </c>
      <c r="AZ153">
        <v>6</v>
      </c>
      <c r="BA153" s="129">
        <f t="shared" si="170"/>
        <v>39847</v>
      </c>
      <c r="BB153" s="207">
        <v>0</v>
      </c>
      <c r="BC153" s="207">
        <v>0</v>
      </c>
      <c r="BD153" s="207">
        <v>0</v>
      </c>
      <c r="BE153" s="207">
        <v>0</v>
      </c>
      <c r="BF153" s="207">
        <v>0</v>
      </c>
      <c r="BG153" s="207">
        <v>0</v>
      </c>
      <c r="BH153" s="207">
        <v>0</v>
      </c>
      <c r="BI153" s="207">
        <v>0</v>
      </c>
      <c r="BJ153" s="207">
        <v>0</v>
      </c>
      <c r="BK153" s="207">
        <v>0</v>
      </c>
      <c r="BL153" s="207">
        <v>0</v>
      </c>
      <c r="BM153" s="207">
        <v>0</v>
      </c>
      <c r="BN153" s="207">
        <v>0</v>
      </c>
      <c r="BO153" s="207">
        <v>0</v>
      </c>
      <c r="BP153" s="207">
        <v>0</v>
      </c>
      <c r="BQ153" s="207">
        <v>0</v>
      </c>
      <c r="BR153" s="207">
        <v>0</v>
      </c>
      <c r="BS153" s="207">
        <v>0</v>
      </c>
      <c r="BT153" s="207">
        <v>0</v>
      </c>
      <c r="BU153" s="207">
        <v>0</v>
      </c>
      <c r="BV153" s="207">
        <v>0</v>
      </c>
      <c r="BW153" s="207">
        <v>0</v>
      </c>
      <c r="BX153" s="207">
        <v>0</v>
      </c>
      <c r="BY153" s="207">
        <v>0</v>
      </c>
      <c r="BZ153" s="207">
        <v>0</v>
      </c>
      <c r="CA153" s="207">
        <v>0</v>
      </c>
      <c r="CB153" s="207">
        <v>0</v>
      </c>
      <c r="CC153" s="207">
        <v>0</v>
      </c>
      <c r="CD153" s="207">
        <v>0</v>
      </c>
      <c r="CE153" s="207">
        <v>0</v>
      </c>
      <c r="CF153" s="207">
        <v>0</v>
      </c>
      <c r="CG153" s="147"/>
      <c r="CH153" s="176"/>
      <c r="CJ153" s="151"/>
      <c r="CK153" s="76">
        <f t="shared" ref="CK153:CK207" ca="1" si="206">IF(AZ153="", "", RAND())</f>
        <v>0.78396733707483968</v>
      </c>
      <c r="CL153" s="179">
        <f t="shared" ref="CL153:CL207" si="207">IF(AZ153="", "", AZ153)</f>
        <v>6</v>
      </c>
      <c r="CM153" s="180">
        <f t="shared" ref="CM153:CM207" si="208">IF(AZ153="", "", BA153)</f>
        <v>39847</v>
      </c>
      <c r="CN153" s="208">
        <v>0</v>
      </c>
      <c r="CO153" s="208">
        <v>0</v>
      </c>
      <c r="CP153" s="208">
        <v>0</v>
      </c>
      <c r="CQ153" s="208">
        <v>0</v>
      </c>
      <c r="CR153" s="208">
        <v>0</v>
      </c>
      <c r="CS153" s="208">
        <v>0</v>
      </c>
      <c r="CT153" s="208">
        <v>0</v>
      </c>
      <c r="CU153" s="208">
        <v>0</v>
      </c>
      <c r="CV153" s="160"/>
      <c r="CW153">
        <v>1</v>
      </c>
      <c r="CX153">
        <v>1</v>
      </c>
      <c r="CY153" s="160"/>
      <c r="CZ153" s="177">
        <f t="shared" ref="CZ153:CZ207" si="209">IF(AZ153="", "", $G$15)</f>
        <v>9.6000000000000002E-2</v>
      </c>
      <c r="DB153" s="151"/>
      <c r="DC153" s="76">
        <f t="shared" ca="1" si="172"/>
        <v>0.51909392003040988</v>
      </c>
      <c r="DD153">
        <f t="shared" ref="DD153:DD207" si="210">IF(AZ153="", "", AZ153)</f>
        <v>6</v>
      </c>
      <c r="DE153" s="129">
        <f t="shared" si="169"/>
        <v>39847</v>
      </c>
      <c r="DF153" s="161">
        <f t="shared" ref="DF153:DF187" si="211">IF($AZ153="", "", ((BB153*$CW153)+(CN153*$CX153))/$CZ153)</f>
        <v>0</v>
      </c>
      <c r="DG153" s="161">
        <f t="shared" ref="DG153:DG187" si="212">IF($AZ153="", "", ((BC153*$CW153)+(CO153*$CX153))/$CZ153)</f>
        <v>0</v>
      </c>
      <c r="DH153" s="161">
        <f t="shared" ref="DH153:DH187" si="213">IF($AZ153="", "", ((BD153*$CW153)+(CP153*$CX153))/$CZ153)</f>
        <v>0</v>
      </c>
      <c r="DI153" s="161">
        <f t="shared" ref="DI153:DI187" si="214">IF($AZ153="", "", ((BE153*$CW153)+(CQ153*$CX153))/$CZ153)</f>
        <v>0</v>
      </c>
      <c r="DJ153" s="161">
        <f t="shared" ref="DJ153:DJ187" si="215">IF($AZ153="", "", ((BF153*$CW153)+(CR153*$CX153))/$CZ153)</f>
        <v>0</v>
      </c>
      <c r="DK153" s="161">
        <f t="shared" ref="DK153:DK187" si="216">IF($AZ153="", "", ((BG153*$CW153)+(CS153*$CX153))/$CZ153)</f>
        <v>0</v>
      </c>
      <c r="DL153" s="161">
        <f t="shared" ref="DL153:DL187" si="217">IF($AZ153="", "", ((BH153*$CW153)+(CT153*$CX153))/$CZ153)</f>
        <v>0</v>
      </c>
      <c r="DM153" s="161">
        <f t="shared" ref="DM153:DM187" si="218">IF($AZ153="", "", ((BI153*$CW153)+(CU153*$CX153))/$CZ153)</f>
        <v>0</v>
      </c>
      <c r="DN153" s="161">
        <f t="shared" ref="DN153:DN187" si="219">IF($AZ153="", "", (BJ153*$CW153)/$CZ153)</f>
        <v>0</v>
      </c>
      <c r="DO153" s="161">
        <f t="shared" ref="DO153:DO187" si="220">IF($AZ153="", "", (BK153*$CW153)/$CZ153)</f>
        <v>0</v>
      </c>
      <c r="DP153" s="161">
        <f t="shared" ref="DP153:DP187" si="221">IF($AZ153="", "", (BL153*$CW153)/$CZ153)</f>
        <v>0</v>
      </c>
      <c r="DQ153" s="161">
        <f t="shared" ref="DQ153:DQ187" si="222">IF($AZ153="", "", (BM153*$CW153)/$CZ153)</f>
        <v>0</v>
      </c>
      <c r="DR153" s="161">
        <f t="shared" ref="DR153:DR187" si="223">IF($AZ153="", "", (BN153*$CW153)/$CZ153)</f>
        <v>0</v>
      </c>
      <c r="DS153" s="161">
        <f t="shared" ref="DS153:DS187" si="224">IF($AZ153="", "", (BO153*$CW153)/$CZ153)</f>
        <v>0</v>
      </c>
      <c r="DT153" s="161">
        <f t="shared" ref="DT153:DT187" si="225">IF($AZ153="", "", (BP153*$CW153)/$CZ153)</f>
        <v>0</v>
      </c>
      <c r="DU153" s="161">
        <f t="shared" ref="DU153:DU187" si="226">IF($AZ153="", "", (BQ153*$CW153)/$CZ153)</f>
        <v>0</v>
      </c>
      <c r="DV153" s="161">
        <f t="shared" ref="DV153:DV187" si="227">IF($AZ153="", "", (BR153*$CW153)/$CZ153)</f>
        <v>0</v>
      </c>
      <c r="DW153" s="161">
        <f t="shared" ref="DW153:DW187" si="228">IF($AZ153="", "", (BS153*$CW153)/$CZ153)</f>
        <v>0</v>
      </c>
      <c r="DX153" s="161">
        <f t="shared" ref="DX153:DX187" si="229">IF($AZ153="", "", (BT153*$CW153)/$CZ153)</f>
        <v>0</v>
      </c>
      <c r="DY153" s="161">
        <f t="shared" ref="DY153:DY187" si="230">IF($AZ153="", "", (BU153*$CW153)/$CZ153)</f>
        <v>0</v>
      </c>
      <c r="DZ153" s="161">
        <f t="shared" ref="DZ153:DZ187" si="231">IF($AZ153="", "", (BV153*$CW153)/$CZ153)</f>
        <v>0</v>
      </c>
      <c r="EA153" s="161">
        <f t="shared" ref="EA153:EA187" si="232">IF($AZ153="", "", (BW153*$CW153)/$CZ153)</f>
        <v>0</v>
      </c>
      <c r="EB153" s="161">
        <f t="shared" ref="EB153:EB187" si="233">IF($AZ153="", "", (BX153*$CW153)/$CZ153)</f>
        <v>0</v>
      </c>
      <c r="EC153" s="161">
        <f t="shared" ref="EC153:EC187" si="234">IF($AZ153="", "", (BY153*$CW153)/$CZ153)</f>
        <v>0</v>
      </c>
      <c r="ED153" s="161">
        <f t="shared" ref="ED153:ED187" si="235">IF($AZ153="", "", (BZ153*$CW153)/$CZ153)</f>
        <v>0</v>
      </c>
      <c r="EE153" s="161">
        <f t="shared" ref="EE153:EE187" si="236">IF($AZ153="", "", (CA153*$CW153)/$CZ153)</f>
        <v>0</v>
      </c>
      <c r="EF153" s="161">
        <f t="shared" ref="EF153:EF187" si="237">IF($AZ153="", "", (CB153*$CW153)/$CZ153)</f>
        <v>0</v>
      </c>
      <c r="EG153" s="161">
        <f t="shared" ref="EG153:EG187" si="238">IF($AZ153="", "", (CC153*$CW153)/$CZ153)</f>
        <v>0</v>
      </c>
      <c r="EH153" s="161">
        <f t="shared" ref="EH153:EH187" si="239">IF($AZ153="", "", (CD153*$CW153)/$CZ153)</f>
        <v>0</v>
      </c>
      <c r="EI153" s="161">
        <f t="shared" ref="EI153:EI187" si="240">IF($AZ153="", "", (CE153*$CW153)/$CZ153)</f>
        <v>0</v>
      </c>
      <c r="EJ153" s="161">
        <f t="shared" ref="EJ153:EJ187" si="241">IF($AZ153="", "", (CF153*$CW153)/$CZ153)</f>
        <v>0</v>
      </c>
      <c r="EK153" s="147">
        <f t="shared" si="173"/>
        <v>0</v>
      </c>
      <c r="EL153" s="149"/>
      <c r="EN153" s="151"/>
      <c r="EO153" s="151"/>
      <c r="EP153" s="139">
        <f t="shared" si="174"/>
        <v>0</v>
      </c>
      <c r="EQ153" s="139">
        <f t="shared" si="175"/>
        <v>0</v>
      </c>
      <c r="ER153" s="139">
        <f t="shared" si="176"/>
        <v>0</v>
      </c>
      <c r="ES153" s="139">
        <f t="shared" si="177"/>
        <v>0</v>
      </c>
      <c r="ET153" s="139">
        <f t="shared" si="178"/>
        <v>0</v>
      </c>
      <c r="EU153" s="139">
        <f t="shared" si="179"/>
        <v>0</v>
      </c>
      <c r="EV153" s="139">
        <f t="shared" si="180"/>
        <v>0</v>
      </c>
      <c r="EW153" s="139">
        <f t="shared" si="181"/>
        <v>0</v>
      </c>
      <c r="EX153" s="139">
        <f t="shared" si="182"/>
        <v>0</v>
      </c>
      <c r="EY153" s="139">
        <f t="shared" si="183"/>
        <v>0</v>
      </c>
      <c r="EZ153" s="139">
        <f t="shared" si="184"/>
        <v>0</v>
      </c>
      <c r="FA153" s="139">
        <f t="shared" si="185"/>
        <v>0</v>
      </c>
      <c r="FB153" s="139">
        <f t="shared" si="186"/>
        <v>0</v>
      </c>
      <c r="FC153" s="139">
        <f t="shared" si="187"/>
        <v>0</v>
      </c>
      <c r="FD153" s="139">
        <f t="shared" si="188"/>
        <v>0</v>
      </c>
      <c r="FE153" s="139">
        <f t="shared" si="189"/>
        <v>0</v>
      </c>
      <c r="FF153" s="139">
        <f t="shared" si="190"/>
        <v>0</v>
      </c>
      <c r="FG153" s="139">
        <f t="shared" si="191"/>
        <v>0</v>
      </c>
      <c r="FH153" s="139">
        <f t="shared" si="192"/>
        <v>0</v>
      </c>
      <c r="FI153" s="139">
        <f t="shared" si="193"/>
        <v>0</v>
      </c>
      <c r="FJ153" s="139">
        <f t="shared" si="194"/>
        <v>0</v>
      </c>
      <c r="FK153" s="139">
        <f t="shared" si="195"/>
        <v>0</v>
      </c>
      <c r="FL153" s="139">
        <f t="shared" si="196"/>
        <v>0</v>
      </c>
      <c r="FM153" s="139">
        <f t="shared" si="197"/>
        <v>0</v>
      </c>
      <c r="FN153" s="139">
        <f t="shared" si="198"/>
        <v>0</v>
      </c>
      <c r="FO153" s="139">
        <f t="shared" si="199"/>
        <v>0</v>
      </c>
      <c r="FP153" s="139">
        <f t="shared" si="200"/>
        <v>0</v>
      </c>
      <c r="FQ153" s="139">
        <f t="shared" si="201"/>
        <v>0</v>
      </c>
      <c r="FR153" s="139">
        <f t="shared" si="202"/>
        <v>0</v>
      </c>
      <c r="FS153" s="139">
        <f t="shared" si="203"/>
        <v>0</v>
      </c>
      <c r="FT153" s="139">
        <f t="shared" si="204"/>
        <v>0</v>
      </c>
      <c r="FU153" s="148">
        <f t="shared" si="205"/>
        <v>0</v>
      </c>
      <c r="FV153" s="149"/>
      <c r="FY153" s="213">
        <v>148</v>
      </c>
      <c r="FZ153">
        <v>57.915418025181793</v>
      </c>
      <c r="GA153">
        <v>75.263346536477101</v>
      </c>
      <c r="GB153">
        <v>46.923210678763915</v>
      </c>
      <c r="GC153">
        <v>15.904887277016138</v>
      </c>
      <c r="GD153">
        <v>4.8904981912592698</v>
      </c>
      <c r="GE153">
        <v>7.3177770087955594</v>
      </c>
      <c r="GF153">
        <v>0.14502582232938399</v>
      </c>
      <c r="GG153">
        <v>0.47779682299825366</v>
      </c>
      <c r="GH153">
        <v>5.3568720026888865</v>
      </c>
      <c r="GI153">
        <v>23.712120708917123</v>
      </c>
      <c r="GJ153"/>
      <c r="GK153"/>
      <c r="GL153"/>
      <c r="GM153"/>
      <c r="GN153" s="208"/>
      <c r="GO153" s="208"/>
      <c r="GP153" s="208"/>
      <c r="GQ153" s="208"/>
      <c r="GR153" s="208"/>
      <c r="GS153" s="208"/>
      <c r="GT153" s="208"/>
      <c r="GU153" s="213">
        <v>148</v>
      </c>
    </row>
    <row r="154" spans="1:203" s="7" customFormat="1">
      <c r="A154" s="77"/>
      <c r="B154" s="76">
        <f ca="1">IF(C154="", "", RAND())</f>
        <v>0.99941623697190263</v>
      </c>
      <c r="C154">
        <v>3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305.07558689300902</v>
      </c>
      <c r="AO154">
        <v>28.353485857378974</v>
      </c>
      <c r="AP154">
        <v>34.78040272803608</v>
      </c>
      <c r="AQ154">
        <v>211.2564110766518</v>
      </c>
      <c r="AR154">
        <v>28.829558250377289</v>
      </c>
      <c r="AS154">
        <v>415.87078421541503</v>
      </c>
      <c r="AT154">
        <v>17.942444873550492</v>
      </c>
      <c r="AU154">
        <v>-17.128015801080188</v>
      </c>
      <c r="AV154"/>
      <c r="AW154"/>
      <c r="AX154" s="151"/>
      <c r="AY154" s="76">
        <f t="shared" ca="1" si="171"/>
        <v>0.31097930724464118</v>
      </c>
      <c r="AZ154">
        <v>7</v>
      </c>
      <c r="BA154" s="129">
        <f t="shared" si="170"/>
        <v>39847</v>
      </c>
      <c r="BB154" s="207">
        <v>0</v>
      </c>
      <c r="BC154" s="207">
        <v>0</v>
      </c>
      <c r="BD154" s="207">
        <v>0</v>
      </c>
      <c r="BE154" s="207">
        <v>0</v>
      </c>
      <c r="BF154" s="207">
        <v>0</v>
      </c>
      <c r="BG154" s="207">
        <v>0</v>
      </c>
      <c r="BH154" s="207">
        <v>0</v>
      </c>
      <c r="BI154" s="207">
        <v>0</v>
      </c>
      <c r="BJ154" s="207">
        <v>0</v>
      </c>
      <c r="BK154" s="207">
        <v>0</v>
      </c>
      <c r="BL154" s="207">
        <v>0</v>
      </c>
      <c r="BM154" s="207">
        <v>0</v>
      </c>
      <c r="BN154" s="207">
        <v>0</v>
      </c>
      <c r="BO154" s="207">
        <v>0</v>
      </c>
      <c r="BP154" s="207">
        <v>0</v>
      </c>
      <c r="BQ154" s="207">
        <v>0</v>
      </c>
      <c r="BR154" s="207">
        <v>0</v>
      </c>
      <c r="BS154" s="207">
        <v>0</v>
      </c>
      <c r="BT154" s="207">
        <v>0</v>
      </c>
      <c r="BU154" s="207">
        <v>0</v>
      </c>
      <c r="BV154" s="207">
        <v>0</v>
      </c>
      <c r="BW154" s="207">
        <v>0</v>
      </c>
      <c r="BX154" s="207">
        <v>0</v>
      </c>
      <c r="BY154" s="207">
        <v>0</v>
      </c>
      <c r="BZ154" s="207">
        <v>0</v>
      </c>
      <c r="CA154" s="207">
        <v>0</v>
      </c>
      <c r="CB154" s="207">
        <v>0</v>
      </c>
      <c r="CC154" s="207">
        <v>0</v>
      </c>
      <c r="CD154" s="207">
        <v>0</v>
      </c>
      <c r="CE154" s="207">
        <v>0</v>
      </c>
      <c r="CF154" s="207">
        <v>0</v>
      </c>
      <c r="CG154" s="147"/>
      <c r="CH154" s="176"/>
      <c r="CJ154" s="151"/>
      <c r="CK154" s="76">
        <f t="shared" ca="1" si="206"/>
        <v>0.59453881398585562</v>
      </c>
      <c r="CL154" s="179">
        <f t="shared" si="207"/>
        <v>7</v>
      </c>
      <c r="CM154" s="180">
        <f t="shared" si="208"/>
        <v>39847</v>
      </c>
      <c r="CN154" s="208">
        <v>0</v>
      </c>
      <c r="CO154" s="208">
        <v>0</v>
      </c>
      <c r="CP154" s="208">
        <v>0</v>
      </c>
      <c r="CQ154" s="208">
        <v>0</v>
      </c>
      <c r="CR154" s="208">
        <v>0</v>
      </c>
      <c r="CS154" s="208">
        <v>0</v>
      </c>
      <c r="CT154" s="208">
        <v>0</v>
      </c>
      <c r="CU154" s="208">
        <v>0</v>
      </c>
      <c r="CV154" s="160"/>
      <c r="CW154">
        <v>1</v>
      </c>
      <c r="CX154">
        <v>1</v>
      </c>
      <c r="CY154" s="165"/>
      <c r="CZ154" s="177">
        <f t="shared" si="209"/>
        <v>9.6000000000000002E-2</v>
      </c>
      <c r="DB154" s="151"/>
      <c r="DC154" s="76">
        <f t="shared" ca="1" si="172"/>
        <v>0.13481851986425752</v>
      </c>
      <c r="DD154">
        <f t="shared" si="210"/>
        <v>7</v>
      </c>
      <c r="DE154" s="129">
        <f t="shared" si="169"/>
        <v>39847</v>
      </c>
      <c r="DF154" s="161">
        <f t="shared" si="211"/>
        <v>0</v>
      </c>
      <c r="DG154" s="161">
        <f t="shared" si="212"/>
        <v>0</v>
      </c>
      <c r="DH154" s="161">
        <f t="shared" si="213"/>
        <v>0</v>
      </c>
      <c r="DI154" s="161">
        <f t="shared" si="214"/>
        <v>0</v>
      </c>
      <c r="DJ154" s="161">
        <f t="shared" si="215"/>
        <v>0</v>
      </c>
      <c r="DK154" s="161">
        <f t="shared" si="216"/>
        <v>0</v>
      </c>
      <c r="DL154" s="161">
        <f t="shared" si="217"/>
        <v>0</v>
      </c>
      <c r="DM154" s="161">
        <f t="shared" si="218"/>
        <v>0</v>
      </c>
      <c r="DN154" s="161">
        <f t="shared" si="219"/>
        <v>0</v>
      </c>
      <c r="DO154" s="161">
        <f t="shared" si="220"/>
        <v>0</v>
      </c>
      <c r="DP154" s="161">
        <f t="shared" si="221"/>
        <v>0</v>
      </c>
      <c r="DQ154" s="161">
        <f t="shared" si="222"/>
        <v>0</v>
      </c>
      <c r="DR154" s="161">
        <f t="shared" si="223"/>
        <v>0</v>
      </c>
      <c r="DS154" s="161">
        <f t="shared" si="224"/>
        <v>0</v>
      </c>
      <c r="DT154" s="161">
        <f t="shared" si="225"/>
        <v>0</v>
      </c>
      <c r="DU154" s="161">
        <f t="shared" si="226"/>
        <v>0</v>
      </c>
      <c r="DV154" s="161">
        <f t="shared" si="227"/>
        <v>0</v>
      </c>
      <c r="DW154" s="161">
        <f t="shared" si="228"/>
        <v>0</v>
      </c>
      <c r="DX154" s="161">
        <f t="shared" si="229"/>
        <v>0</v>
      </c>
      <c r="DY154" s="161">
        <f t="shared" si="230"/>
        <v>0</v>
      </c>
      <c r="DZ154" s="161">
        <f t="shared" si="231"/>
        <v>0</v>
      </c>
      <c r="EA154" s="161">
        <f t="shared" si="232"/>
        <v>0</v>
      </c>
      <c r="EB154" s="161">
        <f t="shared" si="233"/>
        <v>0</v>
      </c>
      <c r="EC154" s="161">
        <f t="shared" si="234"/>
        <v>0</v>
      </c>
      <c r="ED154" s="161">
        <f t="shared" si="235"/>
        <v>0</v>
      </c>
      <c r="EE154" s="161">
        <f t="shared" si="236"/>
        <v>0</v>
      </c>
      <c r="EF154" s="161">
        <f t="shared" si="237"/>
        <v>0</v>
      </c>
      <c r="EG154" s="161">
        <f t="shared" si="238"/>
        <v>0</v>
      </c>
      <c r="EH154" s="161">
        <f t="shared" si="239"/>
        <v>0</v>
      </c>
      <c r="EI154" s="161">
        <f t="shared" si="240"/>
        <v>0</v>
      </c>
      <c r="EJ154" s="161">
        <f t="shared" si="241"/>
        <v>0</v>
      </c>
      <c r="EK154" s="147">
        <f t="shared" si="173"/>
        <v>0</v>
      </c>
      <c r="EL154" s="149"/>
      <c r="EN154" s="151"/>
      <c r="EO154" s="151"/>
      <c r="EP154" s="139">
        <f t="shared" si="174"/>
        <v>0</v>
      </c>
      <c r="EQ154" s="139">
        <f t="shared" si="175"/>
        <v>0</v>
      </c>
      <c r="ER154" s="139">
        <f t="shared" si="176"/>
        <v>0</v>
      </c>
      <c r="ES154" s="139">
        <f t="shared" si="177"/>
        <v>0</v>
      </c>
      <c r="ET154" s="139">
        <f t="shared" si="178"/>
        <v>0</v>
      </c>
      <c r="EU154" s="139">
        <f t="shared" si="179"/>
        <v>0</v>
      </c>
      <c r="EV154" s="139">
        <f t="shared" si="180"/>
        <v>0</v>
      </c>
      <c r="EW154" s="139">
        <f t="shared" si="181"/>
        <v>0</v>
      </c>
      <c r="EX154" s="139">
        <f t="shared" si="182"/>
        <v>0</v>
      </c>
      <c r="EY154" s="139">
        <f t="shared" si="183"/>
        <v>0</v>
      </c>
      <c r="EZ154" s="139">
        <f t="shared" si="184"/>
        <v>0</v>
      </c>
      <c r="FA154" s="139">
        <f t="shared" si="185"/>
        <v>0</v>
      </c>
      <c r="FB154" s="139">
        <f t="shared" si="186"/>
        <v>0</v>
      </c>
      <c r="FC154" s="139">
        <f t="shared" si="187"/>
        <v>0</v>
      </c>
      <c r="FD154" s="139">
        <f t="shared" si="188"/>
        <v>0</v>
      </c>
      <c r="FE154" s="139">
        <f t="shared" si="189"/>
        <v>0</v>
      </c>
      <c r="FF154" s="139">
        <f t="shared" si="190"/>
        <v>0</v>
      </c>
      <c r="FG154" s="139">
        <f t="shared" si="191"/>
        <v>0</v>
      </c>
      <c r="FH154" s="139">
        <f t="shared" si="192"/>
        <v>0</v>
      </c>
      <c r="FI154" s="139">
        <f t="shared" si="193"/>
        <v>0</v>
      </c>
      <c r="FJ154" s="139">
        <f t="shared" si="194"/>
        <v>0</v>
      </c>
      <c r="FK154" s="139">
        <f t="shared" si="195"/>
        <v>0</v>
      </c>
      <c r="FL154" s="139">
        <f t="shared" si="196"/>
        <v>0</v>
      </c>
      <c r="FM154" s="139">
        <f t="shared" si="197"/>
        <v>0</v>
      </c>
      <c r="FN154" s="139">
        <f t="shared" si="198"/>
        <v>0</v>
      </c>
      <c r="FO154" s="139">
        <f t="shared" si="199"/>
        <v>0</v>
      </c>
      <c r="FP154" s="139">
        <f t="shared" si="200"/>
        <v>0</v>
      </c>
      <c r="FQ154" s="139">
        <f t="shared" si="201"/>
        <v>0</v>
      </c>
      <c r="FR154" s="139">
        <f t="shared" si="202"/>
        <v>0</v>
      </c>
      <c r="FS154" s="139">
        <f t="shared" si="203"/>
        <v>0</v>
      </c>
      <c r="FT154" s="139">
        <f t="shared" si="204"/>
        <v>0</v>
      </c>
      <c r="FU154" s="148">
        <f t="shared" si="205"/>
        <v>0</v>
      </c>
      <c r="FV154" s="149"/>
      <c r="FY154" s="213">
        <v>149</v>
      </c>
      <c r="FZ154">
        <v>46.288598064434069</v>
      </c>
      <c r="GA154">
        <v>56.909994976927223</v>
      </c>
      <c r="GB154">
        <v>43.494899977989768</v>
      </c>
      <c r="GC154">
        <v>17.551800435798313</v>
      </c>
      <c r="GD154">
        <v>4.8399920376822703</v>
      </c>
      <c r="GE154">
        <v>5.4288097130975199</v>
      </c>
      <c r="GF154">
        <v>1.7825703397445234</v>
      </c>
      <c r="GG154">
        <v>0.87592326445673119</v>
      </c>
      <c r="GH154">
        <v>4.2148861565893272</v>
      </c>
      <c r="GI154">
        <v>21.263031969754984</v>
      </c>
      <c r="GJ154"/>
      <c r="GK154"/>
      <c r="GL154"/>
      <c r="GM154"/>
      <c r="GN154" s="208"/>
      <c r="GO154" s="208"/>
      <c r="GP154" s="208"/>
      <c r="GQ154" s="208"/>
      <c r="GR154" s="208"/>
      <c r="GS154" s="208"/>
      <c r="GT154" s="208"/>
      <c r="GU154" s="213">
        <v>149</v>
      </c>
    </row>
    <row r="155" spans="1:203" s="7" customFormat="1">
      <c r="A155" s="77"/>
      <c r="B155" s="76">
        <f ca="1">IF(C155="", "", RAND())</f>
        <v>0.33222421429161431</v>
      </c>
      <c r="C155">
        <v>8</v>
      </c>
      <c r="D155">
        <v>39847</v>
      </c>
      <c r="E155">
        <v>0</v>
      </c>
      <c r="F155">
        <v>0</v>
      </c>
      <c r="G155">
        <v>0</v>
      </c>
      <c r="H155">
        <v>69.444444444444443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286.41706318094873</v>
      </c>
      <c r="AO155">
        <v>25.168493611454853</v>
      </c>
      <c r="AP155">
        <v>36.370407533594332</v>
      </c>
      <c r="AQ155">
        <v>170.29354997529447</v>
      </c>
      <c r="AR155">
        <v>25.387539004006449</v>
      </c>
      <c r="AS155">
        <v>371.80521037825497</v>
      </c>
      <c r="AT155">
        <v>16.540161556146657</v>
      </c>
      <c r="AU155">
        <v>10.576449093230146</v>
      </c>
      <c r="AV155"/>
      <c r="AW155"/>
      <c r="AX155" s="151"/>
      <c r="AY155" s="76">
        <f t="shared" ca="1" si="171"/>
        <v>0.88891556529173821</v>
      </c>
      <c r="AZ155">
        <v>8</v>
      </c>
      <c r="BA155" s="129">
        <f t="shared" si="170"/>
        <v>39847</v>
      </c>
      <c r="BB155" s="207">
        <v>0</v>
      </c>
      <c r="BC155" s="207">
        <v>0</v>
      </c>
      <c r="BD155" s="207">
        <v>0</v>
      </c>
      <c r="BE155" s="207">
        <v>0</v>
      </c>
      <c r="BF155" s="207">
        <v>0</v>
      </c>
      <c r="BG155" s="207">
        <v>0</v>
      </c>
      <c r="BH155" s="207">
        <v>0</v>
      </c>
      <c r="BI155" s="207">
        <v>0</v>
      </c>
      <c r="BJ155" s="207">
        <v>0</v>
      </c>
      <c r="BK155" s="207">
        <v>0</v>
      </c>
      <c r="BL155" s="207">
        <v>0</v>
      </c>
      <c r="BM155" s="207">
        <v>0</v>
      </c>
      <c r="BN155" s="207">
        <v>0</v>
      </c>
      <c r="BO155" s="207">
        <v>0</v>
      </c>
      <c r="BP155" s="207">
        <v>0</v>
      </c>
      <c r="BQ155" s="207">
        <v>0</v>
      </c>
      <c r="BR155" s="207">
        <v>0</v>
      </c>
      <c r="BS155" s="207">
        <v>0</v>
      </c>
      <c r="BT155" s="207">
        <v>0</v>
      </c>
      <c r="BU155" s="207">
        <v>0</v>
      </c>
      <c r="BV155" s="207">
        <v>0</v>
      </c>
      <c r="BW155" s="207">
        <v>0</v>
      </c>
      <c r="BX155" s="207">
        <v>0</v>
      </c>
      <c r="BY155" s="207">
        <v>0</v>
      </c>
      <c r="BZ155" s="207">
        <v>0</v>
      </c>
      <c r="CA155" s="207">
        <v>0</v>
      </c>
      <c r="CB155" s="207">
        <v>0</v>
      </c>
      <c r="CC155" s="207">
        <v>0</v>
      </c>
      <c r="CD155" s="207">
        <v>0</v>
      </c>
      <c r="CE155" s="207">
        <v>0</v>
      </c>
      <c r="CF155" s="207">
        <v>0</v>
      </c>
      <c r="CG155" s="147"/>
      <c r="CH155" s="176"/>
      <c r="CJ155" s="151"/>
      <c r="CK155" s="76">
        <f t="shared" ca="1" si="206"/>
        <v>0.25046272472651943</v>
      </c>
      <c r="CL155" s="179">
        <f t="shared" si="207"/>
        <v>8</v>
      </c>
      <c r="CM155" s="180">
        <f t="shared" si="208"/>
        <v>39847</v>
      </c>
      <c r="CN155" s="208">
        <v>0</v>
      </c>
      <c r="CO155" s="208">
        <v>0</v>
      </c>
      <c r="CP155" s="208">
        <v>0</v>
      </c>
      <c r="CQ155" s="208">
        <v>1</v>
      </c>
      <c r="CR155" s="208">
        <v>0</v>
      </c>
      <c r="CS155" s="208">
        <v>0</v>
      </c>
      <c r="CT155" s="208">
        <v>0</v>
      </c>
      <c r="CU155" s="208">
        <v>0</v>
      </c>
      <c r="CV155" s="160"/>
      <c r="CW155">
        <v>1</v>
      </c>
      <c r="CX155">
        <f>360/54</f>
        <v>6.666666666666667</v>
      </c>
      <c r="CY155" s="165"/>
      <c r="CZ155" s="177">
        <f t="shared" si="209"/>
        <v>9.6000000000000002E-2</v>
      </c>
      <c r="DB155" s="151"/>
      <c r="DC155" s="76">
        <f t="shared" ca="1" si="172"/>
        <v>0.75768494535140141</v>
      </c>
      <c r="DD155">
        <f t="shared" si="210"/>
        <v>8</v>
      </c>
      <c r="DE155" s="129">
        <f t="shared" si="169"/>
        <v>39847</v>
      </c>
      <c r="DF155" s="161">
        <f t="shared" si="211"/>
        <v>0</v>
      </c>
      <c r="DG155" s="161">
        <f t="shared" si="212"/>
        <v>0</v>
      </c>
      <c r="DH155" s="161">
        <f t="shared" si="213"/>
        <v>0</v>
      </c>
      <c r="DI155" s="161">
        <f t="shared" si="214"/>
        <v>69.444444444444443</v>
      </c>
      <c r="DJ155" s="161">
        <f t="shared" si="215"/>
        <v>0</v>
      </c>
      <c r="DK155" s="161">
        <f t="shared" si="216"/>
        <v>0</v>
      </c>
      <c r="DL155" s="161">
        <f t="shared" si="217"/>
        <v>0</v>
      </c>
      <c r="DM155" s="161">
        <f t="shared" si="218"/>
        <v>0</v>
      </c>
      <c r="DN155" s="161">
        <f t="shared" si="219"/>
        <v>0</v>
      </c>
      <c r="DO155" s="161">
        <f t="shared" si="220"/>
        <v>0</v>
      </c>
      <c r="DP155" s="161">
        <f t="shared" si="221"/>
        <v>0</v>
      </c>
      <c r="DQ155" s="161">
        <f t="shared" si="222"/>
        <v>0</v>
      </c>
      <c r="DR155" s="161">
        <f t="shared" si="223"/>
        <v>0</v>
      </c>
      <c r="DS155" s="161">
        <f t="shared" si="224"/>
        <v>0</v>
      </c>
      <c r="DT155" s="161">
        <f t="shared" si="225"/>
        <v>0</v>
      </c>
      <c r="DU155" s="161">
        <f t="shared" si="226"/>
        <v>0</v>
      </c>
      <c r="DV155" s="161">
        <f t="shared" si="227"/>
        <v>0</v>
      </c>
      <c r="DW155" s="161">
        <f t="shared" si="228"/>
        <v>0</v>
      </c>
      <c r="DX155" s="161">
        <f t="shared" si="229"/>
        <v>0</v>
      </c>
      <c r="DY155" s="161">
        <f t="shared" si="230"/>
        <v>0</v>
      </c>
      <c r="DZ155" s="161">
        <f t="shared" si="231"/>
        <v>0</v>
      </c>
      <c r="EA155" s="161">
        <f t="shared" si="232"/>
        <v>0</v>
      </c>
      <c r="EB155" s="161">
        <f t="shared" si="233"/>
        <v>0</v>
      </c>
      <c r="EC155" s="161">
        <f t="shared" si="234"/>
        <v>0</v>
      </c>
      <c r="ED155" s="161">
        <f t="shared" si="235"/>
        <v>0</v>
      </c>
      <c r="EE155" s="161">
        <f t="shared" si="236"/>
        <v>0</v>
      </c>
      <c r="EF155" s="161">
        <f t="shared" si="237"/>
        <v>0</v>
      </c>
      <c r="EG155" s="161">
        <f t="shared" si="238"/>
        <v>0</v>
      </c>
      <c r="EH155" s="161">
        <f t="shared" si="239"/>
        <v>0</v>
      </c>
      <c r="EI155" s="161">
        <f t="shared" si="240"/>
        <v>0</v>
      </c>
      <c r="EJ155" s="161">
        <f t="shared" si="241"/>
        <v>0</v>
      </c>
      <c r="EK155" s="147">
        <f t="shared" si="173"/>
        <v>69.444444444444443</v>
      </c>
      <c r="EL155" s="149"/>
      <c r="EN155" s="151"/>
      <c r="EO155" s="151"/>
      <c r="EP155" s="139">
        <f t="shared" si="174"/>
        <v>0</v>
      </c>
      <c r="EQ155" s="139">
        <f t="shared" si="175"/>
        <v>0</v>
      </c>
      <c r="ER155" s="139">
        <f t="shared" si="176"/>
        <v>0</v>
      </c>
      <c r="ES155" s="139">
        <f t="shared" si="177"/>
        <v>9.6508355112485322</v>
      </c>
      <c r="ET155" s="139">
        <f t="shared" si="178"/>
        <v>0</v>
      </c>
      <c r="EU155" s="139">
        <f t="shared" si="179"/>
        <v>0</v>
      </c>
      <c r="EV155" s="139">
        <f t="shared" si="180"/>
        <v>0</v>
      </c>
      <c r="EW155" s="139">
        <f t="shared" si="181"/>
        <v>0</v>
      </c>
      <c r="EX155" s="139">
        <f t="shared" si="182"/>
        <v>0</v>
      </c>
      <c r="EY155" s="139">
        <f t="shared" si="183"/>
        <v>0</v>
      </c>
      <c r="EZ155" s="139">
        <f t="shared" si="184"/>
        <v>0</v>
      </c>
      <c r="FA155" s="139">
        <f t="shared" si="185"/>
        <v>0</v>
      </c>
      <c r="FB155" s="139">
        <f t="shared" si="186"/>
        <v>0</v>
      </c>
      <c r="FC155" s="139">
        <f t="shared" si="187"/>
        <v>0</v>
      </c>
      <c r="FD155" s="139">
        <f t="shared" si="188"/>
        <v>0</v>
      </c>
      <c r="FE155" s="139">
        <f t="shared" si="189"/>
        <v>0</v>
      </c>
      <c r="FF155" s="139">
        <f t="shared" si="190"/>
        <v>0</v>
      </c>
      <c r="FG155" s="139">
        <f t="shared" si="191"/>
        <v>0</v>
      </c>
      <c r="FH155" s="139">
        <f t="shared" si="192"/>
        <v>0</v>
      </c>
      <c r="FI155" s="139">
        <f t="shared" si="193"/>
        <v>0</v>
      </c>
      <c r="FJ155" s="139">
        <f t="shared" si="194"/>
        <v>0</v>
      </c>
      <c r="FK155" s="139">
        <f t="shared" si="195"/>
        <v>0</v>
      </c>
      <c r="FL155" s="139">
        <f t="shared" si="196"/>
        <v>0</v>
      </c>
      <c r="FM155" s="139">
        <f t="shared" si="197"/>
        <v>0</v>
      </c>
      <c r="FN155" s="139">
        <f t="shared" si="198"/>
        <v>0</v>
      </c>
      <c r="FO155" s="139">
        <f t="shared" si="199"/>
        <v>0</v>
      </c>
      <c r="FP155" s="139">
        <f t="shared" si="200"/>
        <v>0</v>
      </c>
      <c r="FQ155" s="139">
        <f t="shared" si="201"/>
        <v>0</v>
      </c>
      <c r="FR155" s="139">
        <f t="shared" si="202"/>
        <v>0</v>
      </c>
      <c r="FS155" s="139">
        <f t="shared" si="203"/>
        <v>0</v>
      </c>
      <c r="FT155" s="139">
        <f t="shared" si="204"/>
        <v>0</v>
      </c>
      <c r="FU155" s="148">
        <f t="shared" si="205"/>
        <v>9.6508355112485322</v>
      </c>
      <c r="FV155" s="149"/>
      <c r="FY155" s="213">
        <v>150</v>
      </c>
      <c r="FZ155">
        <v>50.745743978667626</v>
      </c>
      <c r="GA155">
        <v>63.740613667405967</v>
      </c>
      <c r="GB155">
        <v>38.813992788909182</v>
      </c>
      <c r="GC155">
        <v>12.323010539134032</v>
      </c>
      <c r="GD155">
        <v>1.9276332163029362</v>
      </c>
      <c r="GE155">
        <v>4.9041409360162014</v>
      </c>
      <c r="GF155">
        <v>4.8203892307326957</v>
      </c>
      <c r="GG155">
        <v>6.6751858063114584</v>
      </c>
      <c r="GH155">
        <v>11.965279663144564</v>
      </c>
      <c r="GI155">
        <v>20.877047390920595</v>
      </c>
      <c r="GJ155"/>
      <c r="GK155"/>
      <c r="GL155"/>
      <c r="GM155"/>
      <c r="GN155" s="208"/>
      <c r="GO155" s="208"/>
      <c r="GP155" s="208"/>
      <c r="GQ155" s="208"/>
      <c r="GR155" s="208"/>
      <c r="GS155" s="208"/>
      <c r="GT155" s="208"/>
      <c r="GU155" s="213">
        <v>150</v>
      </c>
    </row>
    <row r="156" spans="1:203" s="7" customFormat="1">
      <c r="A156" s="77"/>
      <c r="B156" s="76">
        <f ca="1">IF(C156="", "", RAND())</f>
        <v>0.25624585757112528</v>
      </c>
      <c r="C156">
        <v>6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240.48831069088411</v>
      </c>
      <c r="AO156">
        <v>17.775347039320515</v>
      </c>
      <c r="AP156">
        <v>28.937344135926882</v>
      </c>
      <c r="AQ156">
        <v>124.92196875161643</v>
      </c>
      <c r="AR156">
        <v>18.326591166980283</v>
      </c>
      <c r="AS156">
        <v>255.84097068667819</v>
      </c>
      <c r="AT156">
        <v>10.150744414780865</v>
      </c>
      <c r="AU156">
        <v>22.55841739825437</v>
      </c>
      <c r="AV156"/>
      <c r="AW156"/>
      <c r="AX156" s="151"/>
      <c r="AY156" s="76">
        <f t="shared" ca="1" si="171"/>
        <v>0.34671822543510711</v>
      </c>
      <c r="AZ156">
        <v>9</v>
      </c>
      <c r="BA156" s="129">
        <f t="shared" si="170"/>
        <v>39847</v>
      </c>
      <c r="BB156" s="207">
        <v>0</v>
      </c>
      <c r="BC156" s="207">
        <v>0</v>
      </c>
      <c r="BD156" s="207">
        <v>0</v>
      </c>
      <c r="BE156" s="207">
        <v>0</v>
      </c>
      <c r="BF156" s="207">
        <v>0</v>
      </c>
      <c r="BG156" s="207">
        <v>0</v>
      </c>
      <c r="BH156" s="207">
        <v>0</v>
      </c>
      <c r="BI156" s="207">
        <v>0</v>
      </c>
      <c r="BJ156" s="207">
        <v>0</v>
      </c>
      <c r="BK156" s="207">
        <v>0</v>
      </c>
      <c r="BL156" s="207">
        <v>0</v>
      </c>
      <c r="BM156" s="207">
        <v>0</v>
      </c>
      <c r="BN156" s="207">
        <v>0</v>
      </c>
      <c r="BO156" s="207">
        <v>0</v>
      </c>
      <c r="BP156" s="207">
        <v>0</v>
      </c>
      <c r="BQ156" s="207">
        <v>0</v>
      </c>
      <c r="BR156" s="207">
        <v>0</v>
      </c>
      <c r="BS156" s="207">
        <v>0</v>
      </c>
      <c r="BT156" s="207">
        <v>0</v>
      </c>
      <c r="BU156" s="207">
        <v>0</v>
      </c>
      <c r="BV156" s="207">
        <v>0</v>
      </c>
      <c r="BW156" s="207">
        <v>0</v>
      </c>
      <c r="BX156" s="207">
        <v>0</v>
      </c>
      <c r="BY156" s="207">
        <v>0</v>
      </c>
      <c r="BZ156" s="207">
        <v>0</v>
      </c>
      <c r="CA156" s="207">
        <v>0</v>
      </c>
      <c r="CB156" s="207">
        <v>0</v>
      </c>
      <c r="CC156" s="207">
        <v>0</v>
      </c>
      <c r="CD156" s="207">
        <v>0</v>
      </c>
      <c r="CE156" s="207">
        <v>0</v>
      </c>
      <c r="CF156" s="207">
        <v>0</v>
      </c>
      <c r="CG156" s="147"/>
      <c r="CH156" s="176"/>
      <c r="CJ156" s="151"/>
      <c r="CK156" s="76">
        <f t="shared" ca="1" si="206"/>
        <v>0.17384038224922893</v>
      </c>
      <c r="CL156" s="179">
        <f t="shared" si="207"/>
        <v>9</v>
      </c>
      <c r="CM156" s="180">
        <f t="shared" si="208"/>
        <v>39847</v>
      </c>
      <c r="CN156" s="208">
        <v>0</v>
      </c>
      <c r="CO156" s="208">
        <v>1</v>
      </c>
      <c r="CP156" s="208">
        <v>1</v>
      </c>
      <c r="CQ156" s="208">
        <v>0</v>
      </c>
      <c r="CR156" s="208">
        <v>0</v>
      </c>
      <c r="CS156" s="208">
        <v>0</v>
      </c>
      <c r="CT156" s="208">
        <v>0</v>
      </c>
      <c r="CU156" s="208">
        <v>0</v>
      </c>
      <c r="CV156" s="160"/>
      <c r="CW156">
        <v>1</v>
      </c>
      <c r="CX156">
        <f>350/56</f>
        <v>6.25</v>
      </c>
      <c r="CY156" s="165"/>
      <c r="CZ156" s="177">
        <f t="shared" si="209"/>
        <v>9.6000000000000002E-2</v>
      </c>
      <c r="DB156" s="151"/>
      <c r="DC156" s="76">
        <f t="shared" ca="1" si="172"/>
        <v>0.21466572994373534</v>
      </c>
      <c r="DD156">
        <f t="shared" si="210"/>
        <v>9</v>
      </c>
      <c r="DE156" s="129">
        <f t="shared" si="169"/>
        <v>39847</v>
      </c>
      <c r="DF156" s="161">
        <f t="shared" si="211"/>
        <v>0</v>
      </c>
      <c r="DG156" s="161">
        <f t="shared" si="212"/>
        <v>65.104166666666671</v>
      </c>
      <c r="DH156" s="161">
        <f t="shared" si="213"/>
        <v>65.104166666666671</v>
      </c>
      <c r="DI156" s="161">
        <f t="shared" si="214"/>
        <v>0</v>
      </c>
      <c r="DJ156" s="161">
        <f t="shared" si="215"/>
        <v>0</v>
      </c>
      <c r="DK156" s="161">
        <f t="shared" si="216"/>
        <v>0</v>
      </c>
      <c r="DL156" s="161">
        <f t="shared" si="217"/>
        <v>0</v>
      </c>
      <c r="DM156" s="161">
        <f t="shared" si="218"/>
        <v>0</v>
      </c>
      <c r="DN156" s="161">
        <f t="shared" si="219"/>
        <v>0</v>
      </c>
      <c r="DO156" s="161">
        <f t="shared" si="220"/>
        <v>0</v>
      </c>
      <c r="DP156" s="161">
        <f t="shared" si="221"/>
        <v>0</v>
      </c>
      <c r="DQ156" s="161">
        <f t="shared" si="222"/>
        <v>0</v>
      </c>
      <c r="DR156" s="161">
        <f t="shared" si="223"/>
        <v>0</v>
      </c>
      <c r="DS156" s="161">
        <f t="shared" si="224"/>
        <v>0</v>
      </c>
      <c r="DT156" s="161">
        <f t="shared" si="225"/>
        <v>0</v>
      </c>
      <c r="DU156" s="161">
        <f t="shared" si="226"/>
        <v>0</v>
      </c>
      <c r="DV156" s="161">
        <f t="shared" si="227"/>
        <v>0</v>
      </c>
      <c r="DW156" s="161">
        <f t="shared" si="228"/>
        <v>0</v>
      </c>
      <c r="DX156" s="161">
        <f t="shared" si="229"/>
        <v>0</v>
      </c>
      <c r="DY156" s="161">
        <f t="shared" si="230"/>
        <v>0</v>
      </c>
      <c r="DZ156" s="161">
        <f t="shared" si="231"/>
        <v>0</v>
      </c>
      <c r="EA156" s="161">
        <f t="shared" si="232"/>
        <v>0</v>
      </c>
      <c r="EB156" s="161">
        <f t="shared" si="233"/>
        <v>0</v>
      </c>
      <c r="EC156" s="161">
        <f t="shared" si="234"/>
        <v>0</v>
      </c>
      <c r="ED156" s="161">
        <f t="shared" si="235"/>
        <v>0</v>
      </c>
      <c r="EE156" s="161">
        <f t="shared" si="236"/>
        <v>0</v>
      </c>
      <c r="EF156" s="161">
        <f t="shared" si="237"/>
        <v>0</v>
      </c>
      <c r="EG156" s="161">
        <f t="shared" si="238"/>
        <v>0</v>
      </c>
      <c r="EH156" s="161">
        <f t="shared" si="239"/>
        <v>0</v>
      </c>
      <c r="EI156" s="161">
        <f t="shared" si="240"/>
        <v>0</v>
      </c>
      <c r="EJ156" s="161">
        <f t="shared" si="241"/>
        <v>0</v>
      </c>
      <c r="EK156" s="147">
        <f t="shared" si="173"/>
        <v>130.20833333333334</v>
      </c>
      <c r="EL156" s="149"/>
      <c r="EN156" s="151"/>
      <c r="EO156" s="151"/>
      <c r="EP156" s="139">
        <f t="shared" si="174"/>
        <v>0</v>
      </c>
      <c r="EQ156" s="139">
        <f t="shared" si="175"/>
        <v>0.47054687500000003</v>
      </c>
      <c r="ER156" s="139">
        <f t="shared" si="176"/>
        <v>3.0386075448388739</v>
      </c>
      <c r="ES156" s="139">
        <f t="shared" si="177"/>
        <v>0</v>
      </c>
      <c r="ET156" s="139">
        <f t="shared" si="178"/>
        <v>0</v>
      </c>
      <c r="EU156" s="139">
        <f t="shared" si="179"/>
        <v>0</v>
      </c>
      <c r="EV156" s="139">
        <f t="shared" si="180"/>
        <v>0</v>
      </c>
      <c r="EW156" s="139">
        <f t="shared" si="181"/>
        <v>0</v>
      </c>
      <c r="EX156" s="139">
        <f t="shared" si="182"/>
        <v>0</v>
      </c>
      <c r="EY156" s="139">
        <f t="shared" si="183"/>
        <v>0</v>
      </c>
      <c r="EZ156" s="139">
        <f t="shared" si="184"/>
        <v>0</v>
      </c>
      <c r="FA156" s="139">
        <f t="shared" si="185"/>
        <v>0</v>
      </c>
      <c r="FB156" s="139">
        <f t="shared" si="186"/>
        <v>0</v>
      </c>
      <c r="FC156" s="139">
        <f t="shared" si="187"/>
        <v>0</v>
      </c>
      <c r="FD156" s="139">
        <f t="shared" si="188"/>
        <v>0</v>
      </c>
      <c r="FE156" s="139">
        <f t="shared" si="189"/>
        <v>0</v>
      </c>
      <c r="FF156" s="139">
        <f t="shared" si="190"/>
        <v>0</v>
      </c>
      <c r="FG156" s="139">
        <f t="shared" si="191"/>
        <v>0</v>
      </c>
      <c r="FH156" s="139">
        <f t="shared" si="192"/>
        <v>0</v>
      </c>
      <c r="FI156" s="139">
        <f t="shared" si="193"/>
        <v>0</v>
      </c>
      <c r="FJ156" s="139">
        <f t="shared" si="194"/>
        <v>0</v>
      </c>
      <c r="FK156" s="139">
        <f t="shared" si="195"/>
        <v>0</v>
      </c>
      <c r="FL156" s="139">
        <f t="shared" si="196"/>
        <v>0</v>
      </c>
      <c r="FM156" s="139">
        <f t="shared" si="197"/>
        <v>0</v>
      </c>
      <c r="FN156" s="139">
        <f t="shared" si="198"/>
        <v>0</v>
      </c>
      <c r="FO156" s="139">
        <f t="shared" si="199"/>
        <v>0</v>
      </c>
      <c r="FP156" s="139">
        <f t="shared" si="200"/>
        <v>0</v>
      </c>
      <c r="FQ156" s="139">
        <f t="shared" si="201"/>
        <v>0</v>
      </c>
      <c r="FR156" s="139">
        <f t="shared" si="202"/>
        <v>0</v>
      </c>
      <c r="FS156" s="139">
        <f t="shared" si="203"/>
        <v>0</v>
      </c>
      <c r="FT156" s="139">
        <f t="shared" si="204"/>
        <v>0</v>
      </c>
      <c r="FU156" s="148">
        <f t="shared" si="205"/>
        <v>3.509154419838874</v>
      </c>
      <c r="FV156" s="149"/>
      <c r="FY156" s="213">
        <v>151</v>
      </c>
      <c r="FZ156">
        <v>49.498826906302263</v>
      </c>
      <c r="GA156">
        <v>45.008126688465964</v>
      </c>
      <c r="GB156">
        <v>34.577939831970092</v>
      </c>
      <c r="GC156">
        <v>13.449096131122719</v>
      </c>
      <c r="GD156">
        <v>3.7074734329408354</v>
      </c>
      <c r="GE156">
        <v>6.2686193783883537</v>
      </c>
      <c r="GF156">
        <v>7.9717730450682254</v>
      </c>
      <c r="GG156">
        <v>6.26313879841309</v>
      </c>
      <c r="GH156">
        <v>4.4206056588740328</v>
      </c>
      <c r="GI156">
        <v>20.06523682971449</v>
      </c>
      <c r="GJ156"/>
      <c r="GK156"/>
      <c r="GL156"/>
      <c r="GM156"/>
      <c r="GN156" s="208"/>
      <c r="GO156" s="208"/>
      <c r="GP156" s="208"/>
      <c r="GQ156" s="208"/>
      <c r="GR156" s="208"/>
      <c r="GS156" s="208"/>
      <c r="GT156" s="208"/>
      <c r="GU156" s="213">
        <v>151</v>
      </c>
    </row>
    <row r="157" spans="1:203" s="7" customFormat="1">
      <c r="A157" s="77"/>
      <c r="B157" s="76">
        <f ca="1">IF(C157="", "", RAND())</f>
        <v>0.7135843855744417</v>
      </c>
      <c r="C157">
        <v>5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279.92376206063511</v>
      </c>
      <c r="AO157">
        <v>23.190262246843808</v>
      </c>
      <c r="AP157">
        <v>16.703797598921913</v>
      </c>
      <c r="AQ157">
        <v>162.88602877916404</v>
      </c>
      <c r="AR157">
        <v>23.965033413155709</v>
      </c>
      <c r="AS157">
        <v>381.05565314786207</v>
      </c>
      <c r="AT157">
        <v>14.871697673501153</v>
      </c>
      <c r="AU157">
        <v>-6.3313481845520485</v>
      </c>
      <c r="AV157"/>
      <c r="AW157"/>
      <c r="AX157" s="151"/>
      <c r="AY157" s="76">
        <f t="shared" ca="1" si="171"/>
        <v>0.11031749899229704</v>
      </c>
      <c r="AZ157">
        <v>10</v>
      </c>
      <c r="BA157" s="129">
        <f t="shared" si="170"/>
        <v>39847</v>
      </c>
      <c r="BB157" s="207">
        <v>0</v>
      </c>
      <c r="BC157" s="207">
        <v>0</v>
      </c>
      <c r="BD157" s="207">
        <v>0</v>
      </c>
      <c r="BE157" s="207">
        <v>0</v>
      </c>
      <c r="BF157" s="207">
        <v>0</v>
      </c>
      <c r="BG157" s="207">
        <v>0</v>
      </c>
      <c r="BH157" s="207">
        <v>0</v>
      </c>
      <c r="BI157" s="207">
        <v>0</v>
      </c>
      <c r="BJ157" s="207">
        <v>0</v>
      </c>
      <c r="BK157" s="207">
        <v>0</v>
      </c>
      <c r="BL157" s="207">
        <v>0</v>
      </c>
      <c r="BM157" s="207">
        <v>0</v>
      </c>
      <c r="BN157" s="207">
        <v>0</v>
      </c>
      <c r="BO157" s="207">
        <v>0</v>
      </c>
      <c r="BP157" s="207">
        <v>0</v>
      </c>
      <c r="BQ157" s="207">
        <v>0</v>
      </c>
      <c r="BR157" s="207">
        <v>0</v>
      </c>
      <c r="BS157" s="207">
        <v>0</v>
      </c>
      <c r="BT157" s="207">
        <v>0</v>
      </c>
      <c r="BU157" s="207">
        <v>0</v>
      </c>
      <c r="BV157" s="207">
        <v>0</v>
      </c>
      <c r="BW157" s="207">
        <v>0</v>
      </c>
      <c r="BX157" s="207">
        <v>0</v>
      </c>
      <c r="BY157" s="207">
        <v>0</v>
      </c>
      <c r="BZ157" s="207">
        <v>0</v>
      </c>
      <c r="CA157" s="207">
        <v>0</v>
      </c>
      <c r="CB157" s="207">
        <v>0</v>
      </c>
      <c r="CC157" s="207">
        <v>0</v>
      </c>
      <c r="CD157" s="207">
        <v>0</v>
      </c>
      <c r="CE157" s="207">
        <v>0</v>
      </c>
      <c r="CF157" s="207">
        <v>0</v>
      </c>
      <c r="CG157" s="147"/>
      <c r="CH157" s="176"/>
      <c r="CJ157" s="151"/>
      <c r="CK157" s="76">
        <f t="shared" ca="1" si="206"/>
        <v>0.32082758223118746</v>
      </c>
      <c r="CL157" s="179">
        <f t="shared" si="207"/>
        <v>10</v>
      </c>
      <c r="CM157" s="180">
        <f t="shared" si="208"/>
        <v>39847</v>
      </c>
      <c r="CN157" s="208">
        <v>0</v>
      </c>
      <c r="CO157" s="208">
        <v>0</v>
      </c>
      <c r="CP157" s="208">
        <v>0</v>
      </c>
      <c r="CQ157" s="208">
        <v>0</v>
      </c>
      <c r="CR157" s="208">
        <v>0</v>
      </c>
      <c r="CS157" s="208">
        <v>0</v>
      </c>
      <c r="CT157" s="208">
        <v>0</v>
      </c>
      <c r="CU157" s="208">
        <v>0</v>
      </c>
      <c r="CV157" s="160"/>
      <c r="CW157">
        <v>1</v>
      </c>
      <c r="CX157">
        <v>1</v>
      </c>
      <c r="CY157" s="165"/>
      <c r="CZ157" s="177">
        <f t="shared" si="209"/>
        <v>9.6000000000000002E-2</v>
      </c>
      <c r="DB157" s="151"/>
      <c r="DC157" s="76">
        <f t="shared" ca="1" si="172"/>
        <v>0.19898831353682289</v>
      </c>
      <c r="DD157">
        <f t="shared" si="210"/>
        <v>10</v>
      </c>
      <c r="DE157" s="129">
        <f t="shared" si="169"/>
        <v>39847</v>
      </c>
      <c r="DF157" s="161">
        <f t="shared" si="211"/>
        <v>0</v>
      </c>
      <c r="DG157" s="161">
        <f t="shared" si="212"/>
        <v>0</v>
      </c>
      <c r="DH157" s="161">
        <f t="shared" si="213"/>
        <v>0</v>
      </c>
      <c r="DI157" s="161">
        <f t="shared" si="214"/>
        <v>0</v>
      </c>
      <c r="DJ157" s="161">
        <f t="shared" si="215"/>
        <v>0</v>
      </c>
      <c r="DK157" s="161">
        <f t="shared" si="216"/>
        <v>0</v>
      </c>
      <c r="DL157" s="161">
        <f t="shared" si="217"/>
        <v>0</v>
      </c>
      <c r="DM157" s="161">
        <f t="shared" si="218"/>
        <v>0</v>
      </c>
      <c r="DN157" s="161">
        <f t="shared" si="219"/>
        <v>0</v>
      </c>
      <c r="DO157" s="161">
        <f t="shared" si="220"/>
        <v>0</v>
      </c>
      <c r="DP157" s="161">
        <f t="shared" si="221"/>
        <v>0</v>
      </c>
      <c r="DQ157" s="161">
        <f t="shared" si="222"/>
        <v>0</v>
      </c>
      <c r="DR157" s="161">
        <f t="shared" si="223"/>
        <v>0</v>
      </c>
      <c r="DS157" s="161">
        <f t="shared" si="224"/>
        <v>0</v>
      </c>
      <c r="DT157" s="161">
        <f t="shared" si="225"/>
        <v>0</v>
      </c>
      <c r="DU157" s="161">
        <f t="shared" si="226"/>
        <v>0</v>
      </c>
      <c r="DV157" s="161">
        <f t="shared" si="227"/>
        <v>0</v>
      </c>
      <c r="DW157" s="161">
        <f t="shared" si="228"/>
        <v>0</v>
      </c>
      <c r="DX157" s="161">
        <f t="shared" si="229"/>
        <v>0</v>
      </c>
      <c r="DY157" s="161">
        <f t="shared" si="230"/>
        <v>0</v>
      </c>
      <c r="DZ157" s="161">
        <f t="shared" si="231"/>
        <v>0</v>
      </c>
      <c r="EA157" s="161">
        <f t="shared" si="232"/>
        <v>0</v>
      </c>
      <c r="EB157" s="161">
        <f t="shared" si="233"/>
        <v>0</v>
      </c>
      <c r="EC157" s="161">
        <f t="shared" si="234"/>
        <v>0</v>
      </c>
      <c r="ED157" s="161">
        <f t="shared" si="235"/>
        <v>0</v>
      </c>
      <c r="EE157" s="161">
        <f t="shared" si="236"/>
        <v>0</v>
      </c>
      <c r="EF157" s="161">
        <f t="shared" si="237"/>
        <v>0</v>
      </c>
      <c r="EG157" s="161">
        <f t="shared" si="238"/>
        <v>0</v>
      </c>
      <c r="EH157" s="161">
        <f t="shared" si="239"/>
        <v>0</v>
      </c>
      <c r="EI157" s="161">
        <f t="shared" si="240"/>
        <v>0</v>
      </c>
      <c r="EJ157" s="161">
        <f t="shared" si="241"/>
        <v>0</v>
      </c>
      <c r="EK157" s="147">
        <f t="shared" si="173"/>
        <v>0</v>
      </c>
      <c r="EL157" s="149"/>
      <c r="EN157" s="151"/>
      <c r="EO157" s="151"/>
      <c r="EP157" s="139">
        <f t="shared" si="174"/>
        <v>0</v>
      </c>
      <c r="EQ157" s="139">
        <f t="shared" si="175"/>
        <v>0</v>
      </c>
      <c r="ER157" s="139">
        <f t="shared" si="176"/>
        <v>0</v>
      </c>
      <c r="ES157" s="139">
        <f t="shared" si="177"/>
        <v>0</v>
      </c>
      <c r="ET157" s="139">
        <f t="shared" si="178"/>
        <v>0</v>
      </c>
      <c r="EU157" s="139">
        <f t="shared" si="179"/>
        <v>0</v>
      </c>
      <c r="EV157" s="139">
        <f t="shared" si="180"/>
        <v>0</v>
      </c>
      <c r="EW157" s="139">
        <f t="shared" si="181"/>
        <v>0</v>
      </c>
      <c r="EX157" s="139">
        <f t="shared" si="182"/>
        <v>0</v>
      </c>
      <c r="EY157" s="139">
        <f t="shared" si="183"/>
        <v>0</v>
      </c>
      <c r="EZ157" s="139">
        <f t="shared" si="184"/>
        <v>0</v>
      </c>
      <c r="FA157" s="139">
        <f t="shared" si="185"/>
        <v>0</v>
      </c>
      <c r="FB157" s="139">
        <f t="shared" si="186"/>
        <v>0</v>
      </c>
      <c r="FC157" s="139">
        <f t="shared" si="187"/>
        <v>0</v>
      </c>
      <c r="FD157" s="139">
        <f t="shared" si="188"/>
        <v>0</v>
      </c>
      <c r="FE157" s="139">
        <f t="shared" si="189"/>
        <v>0</v>
      </c>
      <c r="FF157" s="139">
        <f t="shared" si="190"/>
        <v>0</v>
      </c>
      <c r="FG157" s="139">
        <f t="shared" si="191"/>
        <v>0</v>
      </c>
      <c r="FH157" s="139">
        <f t="shared" si="192"/>
        <v>0</v>
      </c>
      <c r="FI157" s="139">
        <f t="shared" si="193"/>
        <v>0</v>
      </c>
      <c r="FJ157" s="139">
        <f t="shared" si="194"/>
        <v>0</v>
      </c>
      <c r="FK157" s="139">
        <f t="shared" si="195"/>
        <v>0</v>
      </c>
      <c r="FL157" s="139">
        <f t="shared" si="196"/>
        <v>0</v>
      </c>
      <c r="FM157" s="139">
        <f t="shared" si="197"/>
        <v>0</v>
      </c>
      <c r="FN157" s="139">
        <f t="shared" si="198"/>
        <v>0</v>
      </c>
      <c r="FO157" s="139">
        <f t="shared" si="199"/>
        <v>0</v>
      </c>
      <c r="FP157" s="139">
        <f t="shared" si="200"/>
        <v>0</v>
      </c>
      <c r="FQ157" s="139">
        <f t="shared" si="201"/>
        <v>0</v>
      </c>
      <c r="FR157" s="139">
        <f t="shared" si="202"/>
        <v>0</v>
      </c>
      <c r="FS157" s="139">
        <f t="shared" si="203"/>
        <v>0</v>
      </c>
      <c r="FT157" s="139">
        <f t="shared" si="204"/>
        <v>0</v>
      </c>
      <c r="FU157" s="148">
        <f t="shared" si="205"/>
        <v>0</v>
      </c>
      <c r="FV157" s="149"/>
      <c r="FY157" s="213">
        <v>152</v>
      </c>
      <c r="FZ157">
        <v>53.621390194536175</v>
      </c>
      <c r="GA157">
        <v>37.722897324048482</v>
      </c>
      <c r="GB157">
        <v>12.583612541642008</v>
      </c>
      <c r="GC157">
        <v>7.4051330282881827</v>
      </c>
      <c r="GD157">
        <v>4.6548714279926555</v>
      </c>
      <c r="GE157">
        <v>6.6370778655636808</v>
      </c>
      <c r="GF157">
        <v>5.8271331874303556</v>
      </c>
      <c r="GG157">
        <v>7.1523947427849492</v>
      </c>
      <c r="GH157">
        <v>9.726373585566126</v>
      </c>
      <c r="GI157">
        <v>16.23076396116825</v>
      </c>
      <c r="GJ157"/>
      <c r="GK157"/>
      <c r="GL157"/>
      <c r="GM157"/>
      <c r="GN157" s="208"/>
      <c r="GO157" s="208"/>
      <c r="GP157" s="208"/>
      <c r="GQ157" s="208"/>
      <c r="GR157" s="208"/>
      <c r="GS157" s="208"/>
      <c r="GT157" s="208"/>
      <c r="GU157" s="213">
        <v>152</v>
      </c>
    </row>
    <row r="158" spans="1:203" s="7" customFormat="1">
      <c r="A158" s="128"/>
      <c r="B158" s="76">
        <f ca="1">IF(C158="", "", RAND())</f>
        <v>0.91552727921879162</v>
      </c>
      <c r="C158">
        <v>1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263.65264495255633</v>
      </c>
      <c r="AO158">
        <v>25.034905234933905</v>
      </c>
      <c r="AP158">
        <v>35.019966413577599</v>
      </c>
      <c r="AQ158">
        <v>188.78707710727429</v>
      </c>
      <c r="AR158">
        <v>25.766843907677384</v>
      </c>
      <c r="AS158">
        <v>353.35011966020357</v>
      </c>
      <c r="AT158">
        <v>15.890427315998219</v>
      </c>
      <c r="AU158">
        <v>-43.90715823414601</v>
      </c>
      <c r="AV158"/>
      <c r="AW158"/>
      <c r="AX158" s="128"/>
      <c r="AY158" s="76">
        <f t="shared" ca="1" si="171"/>
        <v>9.5991525613752682E-2</v>
      </c>
      <c r="AZ158">
        <v>1</v>
      </c>
      <c r="BA158" s="129">
        <f>IF(AZ158="", "",$C$11)</f>
        <v>39910</v>
      </c>
      <c r="BB158" s="207">
        <v>0</v>
      </c>
      <c r="BC158" s="207">
        <v>0</v>
      </c>
      <c r="BD158" s="207">
        <v>0</v>
      </c>
      <c r="BE158" s="207">
        <v>0</v>
      </c>
      <c r="BF158" s="207">
        <v>0</v>
      </c>
      <c r="BG158" s="207">
        <v>0</v>
      </c>
      <c r="BH158" s="207">
        <v>0</v>
      </c>
      <c r="BI158" s="207">
        <v>0</v>
      </c>
      <c r="BJ158" s="207">
        <v>0</v>
      </c>
      <c r="BK158" s="207">
        <v>0</v>
      </c>
      <c r="BL158" s="207">
        <v>0</v>
      </c>
      <c r="BM158" s="207">
        <v>0</v>
      </c>
      <c r="BN158" s="207">
        <v>0</v>
      </c>
      <c r="BO158" s="207">
        <v>0</v>
      </c>
      <c r="BP158" s="207">
        <v>0</v>
      </c>
      <c r="BQ158" s="207">
        <v>0</v>
      </c>
      <c r="BR158" s="207">
        <v>0</v>
      </c>
      <c r="BS158" s="207">
        <v>0</v>
      </c>
      <c r="BT158" s="207">
        <v>0</v>
      </c>
      <c r="BU158" s="207">
        <v>0</v>
      </c>
      <c r="BV158" s="207">
        <v>0</v>
      </c>
      <c r="BW158" s="207">
        <v>0</v>
      </c>
      <c r="BX158" s="207">
        <v>0</v>
      </c>
      <c r="BY158" s="207">
        <v>0</v>
      </c>
      <c r="BZ158" s="207">
        <v>0</v>
      </c>
      <c r="CA158" s="207">
        <v>0</v>
      </c>
      <c r="CB158" s="207">
        <v>0</v>
      </c>
      <c r="CC158" s="207">
        <v>0</v>
      </c>
      <c r="CD158" s="207">
        <v>0</v>
      </c>
      <c r="CE158" s="207">
        <v>0</v>
      </c>
      <c r="CF158" s="207">
        <v>0</v>
      </c>
      <c r="CG158" s="147"/>
      <c r="CH158" s="176"/>
      <c r="CJ158" s="128"/>
      <c r="CK158" s="76">
        <f t="shared" ca="1" si="206"/>
        <v>0.850546996990444</v>
      </c>
      <c r="CL158" s="179">
        <f t="shared" si="207"/>
        <v>1</v>
      </c>
      <c r="CM158" s="180">
        <f t="shared" si="208"/>
        <v>39910</v>
      </c>
      <c r="CN158" s="208">
        <v>0</v>
      </c>
      <c r="CO158" s="208">
        <v>0</v>
      </c>
      <c r="CP158" s="208">
        <v>0</v>
      </c>
      <c r="CQ158" s="208">
        <v>0</v>
      </c>
      <c r="CR158" s="208">
        <v>0</v>
      </c>
      <c r="CS158" s="208">
        <v>0</v>
      </c>
      <c r="CT158" s="208">
        <v>0</v>
      </c>
      <c r="CU158" s="208">
        <v>0</v>
      </c>
      <c r="CV158" s="160"/>
      <c r="CW158">
        <v>1</v>
      </c>
      <c r="CX158">
        <v>1</v>
      </c>
      <c r="CY158" s="160"/>
      <c r="CZ158" s="177">
        <f t="shared" si="209"/>
        <v>9.6000000000000002E-2</v>
      </c>
      <c r="DB158" s="128"/>
      <c r="DC158" s="76">
        <f t="shared" ca="1" si="172"/>
        <v>0.33465894929475981</v>
      </c>
      <c r="DD158">
        <f t="shared" si="210"/>
        <v>1</v>
      </c>
      <c r="DE158" s="129">
        <f t="shared" ref="DE158:DE167" si="242">IF((DD158)="", "", $C$11)</f>
        <v>39910</v>
      </c>
      <c r="DF158" s="161">
        <f t="shared" si="211"/>
        <v>0</v>
      </c>
      <c r="DG158" s="161">
        <f t="shared" si="212"/>
        <v>0</v>
      </c>
      <c r="DH158" s="161">
        <f t="shared" si="213"/>
        <v>0</v>
      </c>
      <c r="DI158" s="161">
        <f t="shared" si="214"/>
        <v>0</v>
      </c>
      <c r="DJ158" s="161">
        <f t="shared" si="215"/>
        <v>0</v>
      </c>
      <c r="DK158" s="161">
        <f t="shared" si="216"/>
        <v>0</v>
      </c>
      <c r="DL158" s="161">
        <f t="shared" si="217"/>
        <v>0</v>
      </c>
      <c r="DM158" s="161">
        <f t="shared" si="218"/>
        <v>0</v>
      </c>
      <c r="DN158" s="161">
        <f t="shared" si="219"/>
        <v>0</v>
      </c>
      <c r="DO158" s="161">
        <f t="shared" si="220"/>
        <v>0</v>
      </c>
      <c r="DP158" s="161">
        <f t="shared" si="221"/>
        <v>0</v>
      </c>
      <c r="DQ158" s="161">
        <f t="shared" si="222"/>
        <v>0</v>
      </c>
      <c r="DR158" s="161">
        <f t="shared" si="223"/>
        <v>0</v>
      </c>
      <c r="DS158" s="161">
        <f t="shared" si="224"/>
        <v>0</v>
      </c>
      <c r="DT158" s="161">
        <f t="shared" si="225"/>
        <v>0</v>
      </c>
      <c r="DU158" s="161">
        <f t="shared" si="226"/>
        <v>0</v>
      </c>
      <c r="DV158" s="161">
        <f t="shared" si="227"/>
        <v>0</v>
      </c>
      <c r="DW158" s="161">
        <f t="shared" si="228"/>
        <v>0</v>
      </c>
      <c r="DX158" s="161">
        <f t="shared" si="229"/>
        <v>0</v>
      </c>
      <c r="DY158" s="161">
        <f t="shared" si="230"/>
        <v>0</v>
      </c>
      <c r="DZ158" s="161">
        <f t="shared" si="231"/>
        <v>0</v>
      </c>
      <c r="EA158" s="161">
        <f t="shared" si="232"/>
        <v>0</v>
      </c>
      <c r="EB158" s="161">
        <f t="shared" si="233"/>
        <v>0</v>
      </c>
      <c r="EC158" s="161">
        <f t="shared" si="234"/>
        <v>0</v>
      </c>
      <c r="ED158" s="161">
        <f t="shared" si="235"/>
        <v>0</v>
      </c>
      <c r="EE158" s="161">
        <f t="shared" si="236"/>
        <v>0</v>
      </c>
      <c r="EF158" s="161">
        <f t="shared" si="237"/>
        <v>0</v>
      </c>
      <c r="EG158" s="161">
        <f t="shared" si="238"/>
        <v>0</v>
      </c>
      <c r="EH158" s="161">
        <f t="shared" si="239"/>
        <v>0</v>
      </c>
      <c r="EI158" s="161">
        <f t="shared" si="240"/>
        <v>0</v>
      </c>
      <c r="EJ158" s="161">
        <f t="shared" si="241"/>
        <v>0</v>
      </c>
      <c r="EK158" s="147">
        <f t="shared" si="173"/>
        <v>0</v>
      </c>
      <c r="EL158" s="149"/>
      <c r="EN158" s="146"/>
      <c r="EO158" s="146"/>
      <c r="EP158" s="139">
        <f t="shared" si="174"/>
        <v>0</v>
      </c>
      <c r="EQ158" s="139">
        <f t="shared" si="175"/>
        <v>0</v>
      </c>
      <c r="ER158" s="139">
        <f t="shared" si="176"/>
        <v>0</v>
      </c>
      <c r="ES158" s="139">
        <f t="shared" si="177"/>
        <v>0</v>
      </c>
      <c r="ET158" s="139">
        <f t="shared" si="178"/>
        <v>0</v>
      </c>
      <c r="EU158" s="139">
        <f t="shared" si="179"/>
        <v>0</v>
      </c>
      <c r="EV158" s="139">
        <f t="shared" si="180"/>
        <v>0</v>
      </c>
      <c r="EW158" s="139">
        <f t="shared" si="181"/>
        <v>0</v>
      </c>
      <c r="EX158" s="139">
        <f t="shared" si="182"/>
        <v>0</v>
      </c>
      <c r="EY158" s="139">
        <f t="shared" si="183"/>
        <v>0</v>
      </c>
      <c r="EZ158" s="139">
        <f t="shared" si="184"/>
        <v>0</v>
      </c>
      <c r="FA158" s="139">
        <f t="shared" si="185"/>
        <v>0</v>
      </c>
      <c r="FB158" s="139">
        <f t="shared" si="186"/>
        <v>0</v>
      </c>
      <c r="FC158" s="139">
        <f t="shared" si="187"/>
        <v>0</v>
      </c>
      <c r="FD158" s="139">
        <f t="shared" si="188"/>
        <v>0</v>
      </c>
      <c r="FE158" s="139">
        <f t="shared" si="189"/>
        <v>0</v>
      </c>
      <c r="FF158" s="139">
        <f t="shared" si="190"/>
        <v>0</v>
      </c>
      <c r="FG158" s="139">
        <f t="shared" si="191"/>
        <v>0</v>
      </c>
      <c r="FH158" s="139">
        <f t="shared" si="192"/>
        <v>0</v>
      </c>
      <c r="FI158" s="139">
        <f t="shared" si="193"/>
        <v>0</v>
      </c>
      <c r="FJ158" s="139">
        <f t="shared" si="194"/>
        <v>0</v>
      </c>
      <c r="FK158" s="139">
        <f t="shared" si="195"/>
        <v>0</v>
      </c>
      <c r="FL158" s="139">
        <f t="shared" si="196"/>
        <v>0</v>
      </c>
      <c r="FM158" s="139">
        <f t="shared" si="197"/>
        <v>0</v>
      </c>
      <c r="FN158" s="139">
        <f t="shared" si="198"/>
        <v>0</v>
      </c>
      <c r="FO158" s="139">
        <f t="shared" si="199"/>
        <v>0</v>
      </c>
      <c r="FP158" s="139">
        <f t="shared" si="200"/>
        <v>0</v>
      </c>
      <c r="FQ158" s="139">
        <f t="shared" si="201"/>
        <v>0</v>
      </c>
      <c r="FR158" s="139">
        <f t="shared" si="202"/>
        <v>0</v>
      </c>
      <c r="FS158" s="139">
        <f t="shared" si="203"/>
        <v>0</v>
      </c>
      <c r="FT158" s="139">
        <f t="shared" si="204"/>
        <v>0</v>
      </c>
      <c r="FU158" s="148">
        <f t="shared" si="205"/>
        <v>0</v>
      </c>
      <c r="FV158" s="149"/>
      <c r="FY158" s="213">
        <v>153</v>
      </c>
      <c r="FZ158">
        <v>45.116244860352737</v>
      </c>
      <c r="GA158">
        <v>25.382939565544909</v>
      </c>
      <c r="GB158">
        <v>26.951428773441616</v>
      </c>
      <c r="GC158">
        <v>15.155712027011608</v>
      </c>
      <c r="GD158">
        <v>3.5131307650885852</v>
      </c>
      <c r="GE158">
        <v>5.5444582678867738</v>
      </c>
      <c r="GF158">
        <v>0.72722245951640652</v>
      </c>
      <c r="GG158">
        <v>6.7203965571001536</v>
      </c>
      <c r="GH158">
        <v>13.831697355492889</v>
      </c>
      <c r="GI158">
        <v>17.590671248247499</v>
      </c>
      <c r="GJ158"/>
      <c r="GK158"/>
      <c r="GL158"/>
      <c r="GM158"/>
      <c r="GN158" s="208"/>
      <c r="GO158" s="208"/>
      <c r="GP158" s="208"/>
      <c r="GQ158" s="208"/>
      <c r="GR158" s="208"/>
      <c r="GS158" s="208"/>
      <c r="GT158" s="208"/>
      <c r="GU158" s="213">
        <v>153</v>
      </c>
    </row>
    <row r="159" spans="1:203" s="7" customFormat="1">
      <c r="A159" s="1"/>
      <c r="B159" s="76">
        <f ca="1">IF(C159="", "", RAND())</f>
        <v>0.40269664301780228</v>
      </c>
      <c r="C159">
        <v>2</v>
      </c>
      <c r="D159">
        <v>39910</v>
      </c>
      <c r="E159">
        <v>0</v>
      </c>
      <c r="F159">
        <v>115.94202898550724</v>
      </c>
      <c r="G159">
        <v>231.88405797101447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257.86019147510115</v>
      </c>
      <c r="AO159">
        <v>23.104024412496024</v>
      </c>
      <c r="AP159">
        <v>20.34961534383271</v>
      </c>
      <c r="AQ159">
        <v>173.74093335135518</v>
      </c>
      <c r="AR159">
        <v>23.63321527546724</v>
      </c>
      <c r="AS159">
        <v>367.9795392883417</v>
      </c>
      <c r="AT159">
        <v>14.68992756893816</v>
      </c>
      <c r="AU159">
        <v>-5.8154446915789251</v>
      </c>
      <c r="AV159"/>
      <c r="AW159"/>
      <c r="AX159" s="146"/>
      <c r="AY159" s="76">
        <f t="shared" ca="1" si="171"/>
        <v>0.38689761625455033</v>
      </c>
      <c r="AZ159">
        <v>2</v>
      </c>
      <c r="BA159" s="129">
        <f t="shared" ref="BA159:BA167" si="243">IF(AZ159="", "",$C$11)</f>
        <v>39910</v>
      </c>
      <c r="BB159" s="207">
        <v>0</v>
      </c>
      <c r="BC159" s="207">
        <v>0</v>
      </c>
      <c r="BD159" s="207">
        <v>0</v>
      </c>
      <c r="BE159" s="207">
        <v>0</v>
      </c>
      <c r="BF159" s="207">
        <v>0</v>
      </c>
      <c r="BG159" s="207">
        <v>0</v>
      </c>
      <c r="BH159" s="207">
        <v>0</v>
      </c>
      <c r="BI159" s="207">
        <v>0</v>
      </c>
      <c r="BJ159" s="207">
        <v>0</v>
      </c>
      <c r="BK159" s="207">
        <v>0</v>
      </c>
      <c r="BL159" s="207">
        <v>0</v>
      </c>
      <c r="BM159" s="207">
        <v>0</v>
      </c>
      <c r="BN159" s="207">
        <v>0</v>
      </c>
      <c r="BO159" s="207">
        <v>0</v>
      </c>
      <c r="BP159" s="207">
        <v>0</v>
      </c>
      <c r="BQ159" s="207">
        <v>0</v>
      </c>
      <c r="BR159" s="207">
        <v>0</v>
      </c>
      <c r="BS159" s="207">
        <v>0</v>
      </c>
      <c r="BT159" s="207">
        <v>0</v>
      </c>
      <c r="BU159" s="207">
        <v>0</v>
      </c>
      <c r="BV159" s="207">
        <v>0</v>
      </c>
      <c r="BW159" s="207">
        <v>0</v>
      </c>
      <c r="BX159" s="207">
        <v>0</v>
      </c>
      <c r="BY159" s="207">
        <v>0</v>
      </c>
      <c r="BZ159" s="207">
        <v>0</v>
      </c>
      <c r="CA159" s="207">
        <v>0</v>
      </c>
      <c r="CB159" s="207">
        <v>0</v>
      </c>
      <c r="CC159" s="207">
        <v>0</v>
      </c>
      <c r="CD159" s="207">
        <v>0</v>
      </c>
      <c r="CE159" s="207">
        <v>0</v>
      </c>
      <c r="CF159" s="207">
        <v>0</v>
      </c>
      <c r="CG159" s="147"/>
      <c r="CH159" s="176"/>
      <c r="CJ159" s="146"/>
      <c r="CK159" s="76">
        <f t="shared" ca="1" si="206"/>
        <v>0.91643287759281322</v>
      </c>
      <c r="CL159" s="179">
        <f t="shared" si="207"/>
        <v>2</v>
      </c>
      <c r="CM159" s="180">
        <f t="shared" si="208"/>
        <v>39910</v>
      </c>
      <c r="CN159" s="208">
        <v>0</v>
      </c>
      <c r="CO159" s="208">
        <v>1</v>
      </c>
      <c r="CP159" s="208">
        <v>2</v>
      </c>
      <c r="CQ159" s="208">
        <v>0</v>
      </c>
      <c r="CR159" s="208">
        <v>0</v>
      </c>
      <c r="CS159" s="208">
        <v>0</v>
      </c>
      <c r="CT159" s="208">
        <v>0</v>
      </c>
      <c r="CU159" s="208">
        <v>0</v>
      </c>
      <c r="CV159" s="160"/>
      <c r="CW159">
        <v>1</v>
      </c>
      <c r="CX159">
        <f>256/23</f>
        <v>11.130434782608695</v>
      </c>
      <c r="CY159" s="160"/>
      <c r="CZ159" s="177">
        <f t="shared" si="209"/>
        <v>9.6000000000000002E-2</v>
      </c>
      <c r="DB159" s="146"/>
      <c r="DC159" s="76">
        <f t="shared" ca="1" si="172"/>
        <v>0.60450720462771224</v>
      </c>
      <c r="DD159">
        <f t="shared" si="210"/>
        <v>2</v>
      </c>
      <c r="DE159" s="129">
        <f t="shared" si="242"/>
        <v>39910</v>
      </c>
      <c r="DF159" s="161">
        <f t="shared" si="211"/>
        <v>0</v>
      </c>
      <c r="DG159" s="161">
        <f t="shared" si="212"/>
        <v>115.94202898550724</v>
      </c>
      <c r="DH159" s="161">
        <f t="shared" si="213"/>
        <v>231.88405797101447</v>
      </c>
      <c r="DI159" s="161">
        <f t="shared" si="214"/>
        <v>0</v>
      </c>
      <c r="DJ159" s="161">
        <f t="shared" si="215"/>
        <v>0</v>
      </c>
      <c r="DK159" s="161">
        <f t="shared" si="216"/>
        <v>0</v>
      </c>
      <c r="DL159" s="161">
        <f t="shared" si="217"/>
        <v>0</v>
      </c>
      <c r="DM159" s="161">
        <f t="shared" si="218"/>
        <v>0</v>
      </c>
      <c r="DN159" s="161">
        <f t="shared" si="219"/>
        <v>0</v>
      </c>
      <c r="DO159" s="161">
        <f t="shared" si="220"/>
        <v>0</v>
      </c>
      <c r="DP159" s="161">
        <f t="shared" si="221"/>
        <v>0</v>
      </c>
      <c r="DQ159" s="161">
        <f t="shared" si="222"/>
        <v>0</v>
      </c>
      <c r="DR159" s="161">
        <f t="shared" si="223"/>
        <v>0</v>
      </c>
      <c r="DS159" s="161">
        <f t="shared" si="224"/>
        <v>0</v>
      </c>
      <c r="DT159" s="161">
        <f t="shared" si="225"/>
        <v>0</v>
      </c>
      <c r="DU159" s="161">
        <f t="shared" si="226"/>
        <v>0</v>
      </c>
      <c r="DV159" s="161">
        <f t="shared" si="227"/>
        <v>0</v>
      </c>
      <c r="DW159" s="161">
        <f t="shared" si="228"/>
        <v>0</v>
      </c>
      <c r="DX159" s="161">
        <f t="shared" si="229"/>
        <v>0</v>
      </c>
      <c r="DY159" s="161">
        <f t="shared" si="230"/>
        <v>0</v>
      </c>
      <c r="DZ159" s="161">
        <f t="shared" si="231"/>
        <v>0</v>
      </c>
      <c r="EA159" s="161">
        <f t="shared" si="232"/>
        <v>0</v>
      </c>
      <c r="EB159" s="161">
        <f t="shared" si="233"/>
        <v>0</v>
      </c>
      <c r="EC159" s="161">
        <f t="shared" si="234"/>
        <v>0</v>
      </c>
      <c r="ED159" s="161">
        <f t="shared" si="235"/>
        <v>0</v>
      </c>
      <c r="EE159" s="161">
        <f t="shared" si="236"/>
        <v>0</v>
      </c>
      <c r="EF159" s="161">
        <f t="shared" si="237"/>
        <v>0</v>
      </c>
      <c r="EG159" s="161">
        <f t="shared" si="238"/>
        <v>0</v>
      </c>
      <c r="EH159" s="161">
        <f t="shared" si="239"/>
        <v>0</v>
      </c>
      <c r="EI159" s="161">
        <f t="shared" si="240"/>
        <v>0</v>
      </c>
      <c r="EJ159" s="161">
        <f t="shared" si="241"/>
        <v>0</v>
      </c>
      <c r="EK159" s="147">
        <f t="shared" si="173"/>
        <v>347.82608695652169</v>
      </c>
      <c r="EL159" s="149"/>
      <c r="EN159" s="146"/>
      <c r="EO159" s="146"/>
      <c r="EP159" s="139">
        <f t="shared" si="174"/>
        <v>0</v>
      </c>
      <c r="EQ159" s="139">
        <f t="shared" si="175"/>
        <v>0.83798260869565211</v>
      </c>
      <c r="ER159" s="139">
        <f t="shared" si="176"/>
        <v>10.822727394486979</v>
      </c>
      <c r="ES159" s="139">
        <f t="shared" si="177"/>
        <v>0</v>
      </c>
      <c r="ET159" s="139">
        <f t="shared" si="178"/>
        <v>0</v>
      </c>
      <c r="EU159" s="139">
        <f t="shared" si="179"/>
        <v>0</v>
      </c>
      <c r="EV159" s="139">
        <f t="shared" si="180"/>
        <v>0</v>
      </c>
      <c r="EW159" s="139">
        <f t="shared" si="181"/>
        <v>0</v>
      </c>
      <c r="EX159" s="139">
        <f t="shared" si="182"/>
        <v>0</v>
      </c>
      <c r="EY159" s="139">
        <f t="shared" si="183"/>
        <v>0</v>
      </c>
      <c r="EZ159" s="139">
        <f t="shared" si="184"/>
        <v>0</v>
      </c>
      <c r="FA159" s="139">
        <f t="shared" si="185"/>
        <v>0</v>
      </c>
      <c r="FB159" s="139">
        <f t="shared" si="186"/>
        <v>0</v>
      </c>
      <c r="FC159" s="139">
        <f t="shared" si="187"/>
        <v>0</v>
      </c>
      <c r="FD159" s="139">
        <f t="shared" si="188"/>
        <v>0</v>
      </c>
      <c r="FE159" s="139">
        <f t="shared" si="189"/>
        <v>0</v>
      </c>
      <c r="FF159" s="139">
        <f t="shared" si="190"/>
        <v>0</v>
      </c>
      <c r="FG159" s="139">
        <f t="shared" si="191"/>
        <v>0</v>
      </c>
      <c r="FH159" s="139">
        <f t="shared" si="192"/>
        <v>0</v>
      </c>
      <c r="FI159" s="139">
        <f t="shared" si="193"/>
        <v>0</v>
      </c>
      <c r="FJ159" s="139">
        <f t="shared" si="194"/>
        <v>0</v>
      </c>
      <c r="FK159" s="139">
        <f t="shared" si="195"/>
        <v>0</v>
      </c>
      <c r="FL159" s="139">
        <f t="shared" si="196"/>
        <v>0</v>
      </c>
      <c r="FM159" s="139">
        <f t="shared" si="197"/>
        <v>0</v>
      </c>
      <c r="FN159" s="139">
        <f t="shared" si="198"/>
        <v>0</v>
      </c>
      <c r="FO159" s="139">
        <f t="shared" si="199"/>
        <v>0</v>
      </c>
      <c r="FP159" s="139">
        <f t="shared" si="200"/>
        <v>0</v>
      </c>
      <c r="FQ159" s="139">
        <f t="shared" si="201"/>
        <v>0</v>
      </c>
      <c r="FR159" s="139">
        <f t="shared" si="202"/>
        <v>0</v>
      </c>
      <c r="FS159" s="139">
        <f t="shared" si="203"/>
        <v>0</v>
      </c>
      <c r="FT159" s="139">
        <f t="shared" si="204"/>
        <v>0</v>
      </c>
      <c r="FU159" s="148">
        <f t="shared" si="205"/>
        <v>11.660710003182631</v>
      </c>
      <c r="FV159" s="149"/>
      <c r="FY159" s="213">
        <v>154</v>
      </c>
      <c r="FZ159">
        <v>53.049442907981962</v>
      </c>
      <c r="GA159">
        <v>36.674719461562525</v>
      </c>
      <c r="GB159">
        <v>29.523912632707006</v>
      </c>
      <c r="GC159">
        <v>16.697853826972416</v>
      </c>
      <c r="GD159">
        <v>3.2094103801182809</v>
      </c>
      <c r="GE159">
        <v>4.9357160667498636</v>
      </c>
      <c r="GF159">
        <v>2.021568291813467</v>
      </c>
      <c r="GG159">
        <v>2.9856252183695347</v>
      </c>
      <c r="GH159">
        <v>5.8466460377673686</v>
      </c>
      <c r="GI159">
        <v>18.178345604886555</v>
      </c>
      <c r="GJ159"/>
      <c r="GK159"/>
      <c r="GL159"/>
      <c r="GM159"/>
      <c r="GN159" s="208"/>
      <c r="GO159" s="208"/>
      <c r="GP159" s="208"/>
      <c r="GQ159" s="208"/>
      <c r="GR159" s="208"/>
      <c r="GS159" s="208"/>
      <c r="GT159" s="208"/>
      <c r="GU159" s="213">
        <v>154</v>
      </c>
    </row>
    <row r="160" spans="1:203" s="7" customFormat="1">
      <c r="A160" s="1"/>
      <c r="B160" s="76">
        <f ca="1">IF(C160="", "", RAND())</f>
        <v>0.78060720352778734</v>
      </c>
      <c r="C160">
        <v>3</v>
      </c>
      <c r="D160">
        <v>39910</v>
      </c>
      <c r="E160">
        <v>0</v>
      </c>
      <c r="F160">
        <v>260.41666666666669</v>
      </c>
      <c r="G160">
        <v>86.805555555555557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301.52249291182147</v>
      </c>
      <c r="AO160">
        <v>28.647398640234236</v>
      </c>
      <c r="AP160">
        <v>25.350747127837916</v>
      </c>
      <c r="AQ160">
        <v>213.09051099963543</v>
      </c>
      <c r="AR160">
        <v>28.933807113562654</v>
      </c>
      <c r="AS160">
        <v>410.1564184593218</v>
      </c>
      <c r="AT160">
        <v>17.778295515428422</v>
      </c>
      <c r="AU160">
        <v>-26.318990948524934</v>
      </c>
      <c r="AV160"/>
      <c r="AW160"/>
      <c r="AX160" s="146"/>
      <c r="AY160" s="76">
        <f t="shared" ca="1" si="171"/>
        <v>0.81317546387784745</v>
      </c>
      <c r="AZ160">
        <v>3</v>
      </c>
      <c r="BA160" s="129">
        <f t="shared" si="243"/>
        <v>39910</v>
      </c>
      <c r="BB160" s="207">
        <v>0</v>
      </c>
      <c r="BC160" s="207">
        <v>0</v>
      </c>
      <c r="BD160" s="207">
        <v>0</v>
      </c>
      <c r="BE160" s="207">
        <v>0</v>
      </c>
      <c r="BF160" s="207">
        <v>0</v>
      </c>
      <c r="BG160" s="207">
        <v>0</v>
      </c>
      <c r="BH160" s="207">
        <v>0</v>
      </c>
      <c r="BI160" s="207">
        <v>0</v>
      </c>
      <c r="BJ160" s="207">
        <v>0</v>
      </c>
      <c r="BK160" s="207">
        <v>0</v>
      </c>
      <c r="BL160" s="207">
        <v>0</v>
      </c>
      <c r="BM160" s="207">
        <v>0</v>
      </c>
      <c r="BN160" s="207">
        <v>0</v>
      </c>
      <c r="BO160" s="207">
        <v>0</v>
      </c>
      <c r="BP160" s="207">
        <v>0</v>
      </c>
      <c r="BQ160" s="207">
        <v>0</v>
      </c>
      <c r="BR160" s="207">
        <v>0</v>
      </c>
      <c r="BS160" s="207">
        <v>0</v>
      </c>
      <c r="BT160" s="207">
        <v>0</v>
      </c>
      <c r="BU160" s="207">
        <v>0</v>
      </c>
      <c r="BV160" s="207">
        <v>0</v>
      </c>
      <c r="BW160" s="207">
        <v>0</v>
      </c>
      <c r="BX160" s="207">
        <v>0</v>
      </c>
      <c r="BY160" s="207">
        <v>0</v>
      </c>
      <c r="BZ160" s="207">
        <v>0</v>
      </c>
      <c r="CA160" s="207">
        <v>0</v>
      </c>
      <c r="CB160" s="207">
        <v>0</v>
      </c>
      <c r="CC160" s="207">
        <v>0</v>
      </c>
      <c r="CD160" s="207">
        <v>0</v>
      </c>
      <c r="CE160" s="207">
        <v>0</v>
      </c>
      <c r="CF160" s="207">
        <v>0</v>
      </c>
      <c r="CG160" s="147"/>
      <c r="CH160" s="176"/>
      <c r="CJ160" s="146"/>
      <c r="CK160" s="76">
        <f t="shared" ca="1" si="206"/>
        <v>0.29013210663544431</v>
      </c>
      <c r="CL160" s="179">
        <f t="shared" si="207"/>
        <v>3</v>
      </c>
      <c r="CM160" s="180">
        <f t="shared" si="208"/>
        <v>39910</v>
      </c>
      <c r="CN160" s="208">
        <v>0</v>
      </c>
      <c r="CO160" s="208">
        <v>3</v>
      </c>
      <c r="CP160" s="208">
        <v>1</v>
      </c>
      <c r="CQ160" s="208">
        <v>0</v>
      </c>
      <c r="CR160" s="208">
        <v>0</v>
      </c>
      <c r="CS160" s="208">
        <v>0</v>
      </c>
      <c r="CT160" s="208">
        <v>0</v>
      </c>
      <c r="CU160" s="208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9"/>
        <v>9.6000000000000002E-2</v>
      </c>
      <c r="DB160" s="146"/>
      <c r="DC160" s="76">
        <f t="shared" ca="1" si="172"/>
        <v>0.3126264729670245</v>
      </c>
      <c r="DD160">
        <f t="shared" si="210"/>
        <v>3</v>
      </c>
      <c r="DE160" s="129">
        <f t="shared" si="242"/>
        <v>39910</v>
      </c>
      <c r="DF160" s="161">
        <f t="shared" si="211"/>
        <v>0</v>
      </c>
      <c r="DG160" s="161">
        <f t="shared" si="212"/>
        <v>260.41666666666669</v>
      </c>
      <c r="DH160" s="161">
        <f t="shared" si="213"/>
        <v>86.805555555555557</v>
      </c>
      <c r="DI160" s="161">
        <f t="shared" si="214"/>
        <v>0</v>
      </c>
      <c r="DJ160" s="161">
        <f t="shared" si="215"/>
        <v>0</v>
      </c>
      <c r="DK160" s="161">
        <f t="shared" si="216"/>
        <v>0</v>
      </c>
      <c r="DL160" s="161">
        <f t="shared" si="217"/>
        <v>0</v>
      </c>
      <c r="DM160" s="161">
        <f t="shared" si="218"/>
        <v>0</v>
      </c>
      <c r="DN160" s="161">
        <f t="shared" si="219"/>
        <v>0</v>
      </c>
      <c r="DO160" s="161">
        <f t="shared" si="220"/>
        <v>0</v>
      </c>
      <c r="DP160" s="161">
        <f t="shared" si="221"/>
        <v>0</v>
      </c>
      <c r="DQ160" s="161">
        <f t="shared" si="222"/>
        <v>0</v>
      </c>
      <c r="DR160" s="161">
        <f t="shared" si="223"/>
        <v>0</v>
      </c>
      <c r="DS160" s="161">
        <f t="shared" si="224"/>
        <v>0</v>
      </c>
      <c r="DT160" s="161">
        <f t="shared" si="225"/>
        <v>0</v>
      </c>
      <c r="DU160" s="161">
        <f t="shared" si="226"/>
        <v>0</v>
      </c>
      <c r="DV160" s="161">
        <f t="shared" si="227"/>
        <v>0</v>
      </c>
      <c r="DW160" s="161">
        <f t="shared" si="228"/>
        <v>0</v>
      </c>
      <c r="DX160" s="161">
        <f t="shared" si="229"/>
        <v>0</v>
      </c>
      <c r="DY160" s="161">
        <f t="shared" si="230"/>
        <v>0</v>
      </c>
      <c r="DZ160" s="161">
        <f t="shared" si="231"/>
        <v>0</v>
      </c>
      <c r="EA160" s="161">
        <f t="shared" si="232"/>
        <v>0</v>
      </c>
      <c r="EB160" s="161">
        <f t="shared" si="233"/>
        <v>0</v>
      </c>
      <c r="EC160" s="161">
        <f t="shared" si="234"/>
        <v>0</v>
      </c>
      <c r="ED160" s="161">
        <f t="shared" si="235"/>
        <v>0</v>
      </c>
      <c r="EE160" s="161">
        <f t="shared" si="236"/>
        <v>0</v>
      </c>
      <c r="EF160" s="161">
        <f t="shared" si="237"/>
        <v>0</v>
      </c>
      <c r="EG160" s="161">
        <f t="shared" si="238"/>
        <v>0</v>
      </c>
      <c r="EH160" s="161">
        <f t="shared" si="239"/>
        <v>0</v>
      </c>
      <c r="EI160" s="161">
        <f t="shared" si="240"/>
        <v>0</v>
      </c>
      <c r="EJ160" s="161">
        <f t="shared" si="241"/>
        <v>0</v>
      </c>
      <c r="EK160" s="147">
        <f t="shared" si="173"/>
        <v>347.22222222222223</v>
      </c>
      <c r="EL160" s="149"/>
      <c r="EN160" s="146"/>
      <c r="EO160" s="146"/>
      <c r="EP160" s="139">
        <f t="shared" si="174"/>
        <v>0</v>
      </c>
      <c r="EQ160" s="139">
        <f t="shared" si="175"/>
        <v>1.8821875000000001</v>
      </c>
      <c r="ER160" s="139">
        <f t="shared" si="176"/>
        <v>4.0514767264518321</v>
      </c>
      <c r="ES160" s="139">
        <f t="shared" si="177"/>
        <v>0</v>
      </c>
      <c r="ET160" s="139">
        <f t="shared" si="178"/>
        <v>0</v>
      </c>
      <c r="EU160" s="139">
        <f t="shared" si="179"/>
        <v>0</v>
      </c>
      <c r="EV160" s="139">
        <f t="shared" si="180"/>
        <v>0</v>
      </c>
      <c r="EW160" s="139">
        <f t="shared" si="181"/>
        <v>0</v>
      </c>
      <c r="EX160" s="139">
        <f t="shared" si="182"/>
        <v>0</v>
      </c>
      <c r="EY160" s="139">
        <f t="shared" si="183"/>
        <v>0</v>
      </c>
      <c r="EZ160" s="139">
        <f t="shared" si="184"/>
        <v>0</v>
      </c>
      <c r="FA160" s="139">
        <f t="shared" si="185"/>
        <v>0</v>
      </c>
      <c r="FB160" s="139">
        <f t="shared" si="186"/>
        <v>0</v>
      </c>
      <c r="FC160" s="139">
        <f t="shared" si="187"/>
        <v>0</v>
      </c>
      <c r="FD160" s="139">
        <f t="shared" si="188"/>
        <v>0</v>
      </c>
      <c r="FE160" s="139">
        <f t="shared" si="189"/>
        <v>0</v>
      </c>
      <c r="FF160" s="139">
        <f t="shared" si="190"/>
        <v>0</v>
      </c>
      <c r="FG160" s="139">
        <f t="shared" si="191"/>
        <v>0</v>
      </c>
      <c r="FH160" s="139">
        <f t="shared" si="192"/>
        <v>0</v>
      </c>
      <c r="FI160" s="139">
        <f t="shared" si="193"/>
        <v>0</v>
      </c>
      <c r="FJ160" s="139">
        <f t="shared" si="194"/>
        <v>0</v>
      </c>
      <c r="FK160" s="139">
        <f t="shared" si="195"/>
        <v>0</v>
      </c>
      <c r="FL160" s="139">
        <f t="shared" si="196"/>
        <v>0</v>
      </c>
      <c r="FM160" s="139">
        <f t="shared" si="197"/>
        <v>0</v>
      </c>
      <c r="FN160" s="139">
        <f t="shared" si="198"/>
        <v>0</v>
      </c>
      <c r="FO160" s="139">
        <f t="shared" si="199"/>
        <v>0</v>
      </c>
      <c r="FP160" s="139">
        <f t="shared" si="200"/>
        <v>0</v>
      </c>
      <c r="FQ160" s="139">
        <f t="shared" si="201"/>
        <v>0</v>
      </c>
      <c r="FR160" s="139">
        <f t="shared" si="202"/>
        <v>0</v>
      </c>
      <c r="FS160" s="139">
        <f t="shared" si="203"/>
        <v>0</v>
      </c>
      <c r="FT160" s="139">
        <f t="shared" si="204"/>
        <v>0</v>
      </c>
      <c r="FU160" s="148">
        <f t="shared" si="205"/>
        <v>5.9336642264518318</v>
      </c>
      <c r="FV160" s="149"/>
      <c r="FY160" s="213">
        <v>155</v>
      </c>
      <c r="FZ160">
        <v>37.487994269747013</v>
      </c>
      <c r="GA160">
        <v>39.729159404558693</v>
      </c>
      <c r="GB160">
        <v>26.980897754771966</v>
      </c>
      <c r="GC160">
        <v>10.48704893221217</v>
      </c>
      <c r="GD160">
        <v>2.6954616206144641</v>
      </c>
      <c r="GE160">
        <v>3.8304577557132999</v>
      </c>
      <c r="GF160">
        <v>1.5201918671117005</v>
      </c>
      <c r="GG160">
        <v>2.8804430807306196</v>
      </c>
      <c r="GH160">
        <v>3.4008225142117494</v>
      </c>
      <c r="GI160">
        <v>14.499533711397484</v>
      </c>
      <c r="GJ160"/>
      <c r="GK160"/>
      <c r="GL160"/>
      <c r="GM160"/>
      <c r="GN160" s="208"/>
      <c r="GO160" s="208"/>
      <c r="GP160" s="208"/>
      <c r="GQ160" s="208"/>
      <c r="GR160" s="208"/>
      <c r="GS160" s="208"/>
      <c r="GT160" s="208"/>
      <c r="GU160" s="213">
        <v>155</v>
      </c>
    </row>
    <row r="161" spans="1:203" s="7" customFormat="1">
      <c r="A161" s="1"/>
      <c r="B161" s="76">
        <f ca="1">IF(C161="", "", RAND())</f>
        <v>0.81099418358521813</v>
      </c>
      <c r="C161">
        <v>5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312.77313065277076</v>
      </c>
      <c r="AO161">
        <v>29.799591255480323</v>
      </c>
      <c r="AP161">
        <v>55.925986655842287</v>
      </c>
      <c r="AQ161">
        <v>207.66771609255403</v>
      </c>
      <c r="AR161">
        <v>29.654558398514435</v>
      </c>
      <c r="AS161">
        <v>422.53233028664732</v>
      </c>
      <c r="AT161">
        <v>19.448825109597344</v>
      </c>
      <c r="AU161">
        <v>-37.198944602590785</v>
      </c>
      <c r="AV161"/>
      <c r="AW161"/>
      <c r="AX161" s="146"/>
      <c r="AY161" s="76">
        <f t="shared" ca="1" si="171"/>
        <v>0.60720125085500776</v>
      </c>
      <c r="AZ161">
        <v>4</v>
      </c>
      <c r="BA161" s="129">
        <f t="shared" si="243"/>
        <v>39910</v>
      </c>
      <c r="BB161" s="207">
        <v>0</v>
      </c>
      <c r="BC161" s="207">
        <v>0</v>
      </c>
      <c r="BD161" s="207">
        <v>0</v>
      </c>
      <c r="BE161" s="207">
        <v>0</v>
      </c>
      <c r="BF161" s="207">
        <v>0</v>
      </c>
      <c r="BG161" s="207">
        <v>0</v>
      </c>
      <c r="BH161" s="207">
        <v>0</v>
      </c>
      <c r="BI161" s="207">
        <v>0</v>
      </c>
      <c r="BJ161" s="207">
        <v>0</v>
      </c>
      <c r="BK161" s="207">
        <v>0</v>
      </c>
      <c r="BL161" s="207">
        <v>0</v>
      </c>
      <c r="BM161" s="207">
        <v>0</v>
      </c>
      <c r="BN161" s="207">
        <v>0</v>
      </c>
      <c r="BO161" s="207">
        <v>0</v>
      </c>
      <c r="BP161" s="207">
        <v>0</v>
      </c>
      <c r="BQ161" s="207">
        <v>0</v>
      </c>
      <c r="BR161" s="207">
        <v>0</v>
      </c>
      <c r="BS161" s="207">
        <v>0</v>
      </c>
      <c r="BT161" s="207">
        <v>0</v>
      </c>
      <c r="BU161" s="207">
        <v>0</v>
      </c>
      <c r="BV161" s="207">
        <v>0</v>
      </c>
      <c r="BW161" s="207">
        <v>0</v>
      </c>
      <c r="BX161" s="207">
        <v>0</v>
      </c>
      <c r="BY161" s="207">
        <v>0</v>
      </c>
      <c r="BZ161" s="207">
        <v>0</v>
      </c>
      <c r="CA161" s="207">
        <v>0</v>
      </c>
      <c r="CB161" s="207">
        <v>0</v>
      </c>
      <c r="CC161" s="207">
        <v>0</v>
      </c>
      <c r="CD161" s="207">
        <v>0</v>
      </c>
      <c r="CE161" s="207">
        <v>0</v>
      </c>
      <c r="CF161" s="207">
        <v>0</v>
      </c>
      <c r="CG161" s="147"/>
      <c r="CH161" s="176"/>
      <c r="CJ161" s="146"/>
      <c r="CK161" s="76">
        <f t="shared" ca="1" si="206"/>
        <v>0.44770711090580662</v>
      </c>
      <c r="CL161" s="179">
        <f t="shared" si="207"/>
        <v>4</v>
      </c>
      <c r="CM161" s="180">
        <f t="shared" si="208"/>
        <v>39910</v>
      </c>
      <c r="CN161" s="208">
        <v>0</v>
      </c>
      <c r="CO161" s="208">
        <v>0</v>
      </c>
      <c r="CP161" s="208">
        <v>0</v>
      </c>
      <c r="CQ161" s="208">
        <v>0</v>
      </c>
      <c r="CR161" s="208">
        <v>0</v>
      </c>
      <c r="CS161" s="208">
        <v>0</v>
      </c>
      <c r="CT161" s="208">
        <v>0</v>
      </c>
      <c r="CU161" s="208">
        <v>0</v>
      </c>
      <c r="CV161" s="160"/>
      <c r="CW161">
        <v>1</v>
      </c>
      <c r="CX161">
        <f>310/93</f>
        <v>3.3333333333333335</v>
      </c>
      <c r="CY161" s="160"/>
      <c r="CZ161" s="177">
        <f t="shared" si="209"/>
        <v>9.6000000000000002E-2</v>
      </c>
      <c r="DB161" s="146"/>
      <c r="DC161" s="76">
        <f t="shared" ca="1" si="172"/>
        <v>0.79315623134737256</v>
      </c>
      <c r="DD161">
        <f t="shared" si="210"/>
        <v>4</v>
      </c>
      <c r="DE161" s="129">
        <f t="shared" si="242"/>
        <v>39910</v>
      </c>
      <c r="DF161" s="161">
        <f t="shared" si="211"/>
        <v>0</v>
      </c>
      <c r="DG161" s="161">
        <f t="shared" si="212"/>
        <v>0</v>
      </c>
      <c r="DH161" s="161">
        <f t="shared" si="213"/>
        <v>0</v>
      </c>
      <c r="DI161" s="161">
        <f t="shared" si="214"/>
        <v>0</v>
      </c>
      <c r="DJ161" s="161">
        <f t="shared" si="215"/>
        <v>0</v>
      </c>
      <c r="DK161" s="161">
        <f t="shared" si="216"/>
        <v>0</v>
      </c>
      <c r="DL161" s="161">
        <f t="shared" si="217"/>
        <v>0</v>
      </c>
      <c r="DM161" s="161">
        <f t="shared" si="218"/>
        <v>0</v>
      </c>
      <c r="DN161" s="161">
        <f t="shared" si="219"/>
        <v>0</v>
      </c>
      <c r="DO161" s="161">
        <f t="shared" si="220"/>
        <v>0</v>
      </c>
      <c r="DP161" s="161">
        <f t="shared" si="221"/>
        <v>0</v>
      </c>
      <c r="DQ161" s="161">
        <f t="shared" si="222"/>
        <v>0</v>
      </c>
      <c r="DR161" s="161">
        <f t="shared" si="223"/>
        <v>0</v>
      </c>
      <c r="DS161" s="161">
        <f t="shared" si="224"/>
        <v>0</v>
      </c>
      <c r="DT161" s="161">
        <f t="shared" si="225"/>
        <v>0</v>
      </c>
      <c r="DU161" s="161">
        <f t="shared" si="226"/>
        <v>0</v>
      </c>
      <c r="DV161" s="161">
        <f t="shared" si="227"/>
        <v>0</v>
      </c>
      <c r="DW161" s="161">
        <f t="shared" si="228"/>
        <v>0</v>
      </c>
      <c r="DX161" s="161">
        <f t="shared" si="229"/>
        <v>0</v>
      </c>
      <c r="DY161" s="161">
        <f t="shared" si="230"/>
        <v>0</v>
      </c>
      <c r="DZ161" s="161">
        <f t="shared" si="231"/>
        <v>0</v>
      </c>
      <c r="EA161" s="161">
        <f t="shared" si="232"/>
        <v>0</v>
      </c>
      <c r="EB161" s="161">
        <f t="shared" si="233"/>
        <v>0</v>
      </c>
      <c r="EC161" s="161">
        <f t="shared" si="234"/>
        <v>0</v>
      </c>
      <c r="ED161" s="161">
        <f t="shared" si="235"/>
        <v>0</v>
      </c>
      <c r="EE161" s="161">
        <f t="shared" si="236"/>
        <v>0</v>
      </c>
      <c r="EF161" s="161">
        <f t="shared" si="237"/>
        <v>0</v>
      </c>
      <c r="EG161" s="161">
        <f t="shared" si="238"/>
        <v>0</v>
      </c>
      <c r="EH161" s="161">
        <f t="shared" si="239"/>
        <v>0</v>
      </c>
      <c r="EI161" s="161">
        <f t="shared" si="240"/>
        <v>0</v>
      </c>
      <c r="EJ161" s="161">
        <f t="shared" si="241"/>
        <v>0</v>
      </c>
      <c r="EK161" s="147">
        <f t="shared" si="173"/>
        <v>0</v>
      </c>
      <c r="EL161" s="149"/>
      <c r="EN161" s="146"/>
      <c r="EO161" s="146"/>
      <c r="EP161" s="139">
        <f t="shared" si="174"/>
        <v>0</v>
      </c>
      <c r="EQ161" s="139">
        <f t="shared" si="175"/>
        <v>0</v>
      </c>
      <c r="ER161" s="139">
        <f t="shared" si="176"/>
        <v>0</v>
      </c>
      <c r="ES161" s="139">
        <f t="shared" si="177"/>
        <v>0</v>
      </c>
      <c r="ET161" s="139">
        <f t="shared" si="178"/>
        <v>0</v>
      </c>
      <c r="EU161" s="139">
        <f t="shared" si="179"/>
        <v>0</v>
      </c>
      <c r="EV161" s="139">
        <f t="shared" si="180"/>
        <v>0</v>
      </c>
      <c r="EW161" s="139">
        <f t="shared" si="181"/>
        <v>0</v>
      </c>
      <c r="EX161" s="139">
        <f t="shared" si="182"/>
        <v>0</v>
      </c>
      <c r="EY161" s="139">
        <f t="shared" si="183"/>
        <v>0</v>
      </c>
      <c r="EZ161" s="139">
        <f t="shared" si="184"/>
        <v>0</v>
      </c>
      <c r="FA161" s="139">
        <f t="shared" si="185"/>
        <v>0</v>
      </c>
      <c r="FB161" s="139">
        <f t="shared" si="186"/>
        <v>0</v>
      </c>
      <c r="FC161" s="139">
        <f t="shared" si="187"/>
        <v>0</v>
      </c>
      <c r="FD161" s="139">
        <f t="shared" si="188"/>
        <v>0</v>
      </c>
      <c r="FE161" s="139">
        <f t="shared" si="189"/>
        <v>0</v>
      </c>
      <c r="FF161" s="139">
        <f t="shared" si="190"/>
        <v>0</v>
      </c>
      <c r="FG161" s="139">
        <f t="shared" si="191"/>
        <v>0</v>
      </c>
      <c r="FH161" s="139">
        <f t="shared" si="192"/>
        <v>0</v>
      </c>
      <c r="FI161" s="139">
        <f t="shared" si="193"/>
        <v>0</v>
      </c>
      <c r="FJ161" s="139">
        <f t="shared" si="194"/>
        <v>0</v>
      </c>
      <c r="FK161" s="139">
        <f t="shared" si="195"/>
        <v>0</v>
      </c>
      <c r="FL161" s="139">
        <f t="shared" si="196"/>
        <v>0</v>
      </c>
      <c r="FM161" s="139">
        <f t="shared" si="197"/>
        <v>0</v>
      </c>
      <c r="FN161" s="139">
        <f t="shared" si="198"/>
        <v>0</v>
      </c>
      <c r="FO161" s="139">
        <f t="shared" si="199"/>
        <v>0</v>
      </c>
      <c r="FP161" s="139">
        <f t="shared" si="200"/>
        <v>0</v>
      </c>
      <c r="FQ161" s="139">
        <f t="shared" si="201"/>
        <v>0</v>
      </c>
      <c r="FR161" s="139">
        <f t="shared" si="202"/>
        <v>0</v>
      </c>
      <c r="FS161" s="139">
        <f t="shared" si="203"/>
        <v>0</v>
      </c>
      <c r="FT161" s="139">
        <f t="shared" si="204"/>
        <v>0</v>
      </c>
      <c r="FU161" s="148">
        <f t="shared" si="205"/>
        <v>0</v>
      </c>
      <c r="FV161" s="149"/>
      <c r="FY161" s="213">
        <v>156</v>
      </c>
      <c r="FZ161">
        <v>55.718723371309601</v>
      </c>
      <c r="GA161">
        <v>36.053121034210179</v>
      </c>
      <c r="GB161">
        <v>29.752718264049879</v>
      </c>
      <c r="GC161">
        <v>17.662249786701889</v>
      </c>
      <c r="GD161">
        <v>2.5022032374128425</v>
      </c>
      <c r="GE161">
        <v>2.7960503064919457</v>
      </c>
      <c r="GF161">
        <v>2.887319380753488</v>
      </c>
      <c r="GG161">
        <v>0.58279348263613684</v>
      </c>
      <c r="GH161">
        <v>3.0065101381216546</v>
      </c>
      <c r="GI161">
        <v>17.953733042238081</v>
      </c>
      <c r="GJ161"/>
      <c r="GK161"/>
      <c r="GL161"/>
      <c r="GM161"/>
      <c r="GN161" s="208"/>
      <c r="GO161" s="208"/>
      <c r="GP161" s="208"/>
      <c r="GQ161" s="208"/>
      <c r="GR161" s="208"/>
      <c r="GS161" s="208"/>
      <c r="GT161" s="208"/>
      <c r="GU161" s="213">
        <v>156</v>
      </c>
    </row>
    <row r="162" spans="1:203" s="7" customFormat="1">
      <c r="A162" s="1"/>
      <c r="B162" s="76">
        <f ca="1">IF(C162="", "", RAND())</f>
        <v>0.61442853485645355</v>
      </c>
      <c r="C162">
        <v>10</v>
      </c>
      <c r="D162">
        <v>39910</v>
      </c>
      <c r="E162">
        <v>0</v>
      </c>
      <c r="F162">
        <v>0</v>
      </c>
      <c r="G162">
        <v>104.16666666666667</v>
      </c>
      <c r="H162">
        <v>104.16666666666667</v>
      </c>
      <c r="I162">
        <v>208.33333333333334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200.10187830312793</v>
      </c>
      <c r="AO162">
        <v>20.821765758855854</v>
      </c>
      <c r="AP162">
        <v>28.598508751630035</v>
      </c>
      <c r="AQ162">
        <v>165.90212292223367</v>
      </c>
      <c r="AR162">
        <v>22.42148412097535</v>
      </c>
      <c r="AS162">
        <v>289.52056266144677</v>
      </c>
      <c r="AT162" t="e">
        <v>#DIV/0!</v>
      </c>
      <c r="AU162" t="e">
        <v>#DIV/0!</v>
      </c>
      <c r="AV162"/>
      <c r="AW162"/>
      <c r="AX162" s="146"/>
      <c r="AY162" s="76">
        <f t="shared" ca="1" si="171"/>
        <v>0.66680988297626032</v>
      </c>
      <c r="AZ162">
        <v>5</v>
      </c>
      <c r="BA162" s="129">
        <f t="shared" si="243"/>
        <v>39910</v>
      </c>
      <c r="BB162" s="207">
        <v>0</v>
      </c>
      <c r="BC162" s="207">
        <v>0</v>
      </c>
      <c r="BD162" s="207">
        <v>0</v>
      </c>
      <c r="BE162" s="207">
        <v>0</v>
      </c>
      <c r="BF162" s="207">
        <v>0</v>
      </c>
      <c r="BG162" s="207">
        <v>0</v>
      </c>
      <c r="BH162" s="207">
        <v>0</v>
      </c>
      <c r="BI162" s="207">
        <v>0</v>
      </c>
      <c r="BJ162" s="207">
        <v>0</v>
      </c>
      <c r="BK162" s="207">
        <v>0</v>
      </c>
      <c r="BL162" s="207">
        <v>0</v>
      </c>
      <c r="BM162" s="207">
        <v>0</v>
      </c>
      <c r="BN162" s="207">
        <v>0</v>
      </c>
      <c r="BO162" s="207">
        <v>0</v>
      </c>
      <c r="BP162" s="207">
        <v>0</v>
      </c>
      <c r="BQ162" s="207">
        <v>0</v>
      </c>
      <c r="BR162" s="207">
        <v>0</v>
      </c>
      <c r="BS162" s="207">
        <v>0</v>
      </c>
      <c r="BT162" s="207">
        <v>0</v>
      </c>
      <c r="BU162" s="207">
        <v>0</v>
      </c>
      <c r="BV162" s="207">
        <v>0</v>
      </c>
      <c r="BW162" s="207">
        <v>0</v>
      </c>
      <c r="BX162" s="207">
        <v>0</v>
      </c>
      <c r="BY162" s="207">
        <v>0</v>
      </c>
      <c r="BZ162" s="207">
        <v>0</v>
      </c>
      <c r="CA162" s="207">
        <v>0</v>
      </c>
      <c r="CB162" s="207">
        <v>0</v>
      </c>
      <c r="CC162" s="207">
        <v>0</v>
      </c>
      <c r="CD162" s="207">
        <v>0</v>
      </c>
      <c r="CE162" s="207">
        <v>0</v>
      </c>
      <c r="CF162" s="207">
        <v>0</v>
      </c>
      <c r="CG162" s="147"/>
      <c r="CH162" s="176"/>
      <c r="CJ162" s="146"/>
      <c r="CK162" s="76">
        <f t="shared" ca="1" si="206"/>
        <v>0.96931883197997615</v>
      </c>
      <c r="CL162" s="179">
        <f t="shared" si="207"/>
        <v>5</v>
      </c>
      <c r="CM162" s="180">
        <f t="shared" si="208"/>
        <v>39910</v>
      </c>
      <c r="CN162" s="208">
        <v>0</v>
      </c>
      <c r="CO162" s="208">
        <v>0</v>
      </c>
      <c r="CP162" s="208">
        <v>0</v>
      </c>
      <c r="CQ162" s="208">
        <v>0</v>
      </c>
      <c r="CR162" s="208">
        <v>0</v>
      </c>
      <c r="CS162" s="208">
        <v>0</v>
      </c>
      <c r="CT162" s="208">
        <v>0</v>
      </c>
      <c r="CU162" s="208">
        <v>0</v>
      </c>
      <c r="CV162" s="160"/>
      <c r="CW162">
        <v>1</v>
      </c>
      <c r="CX162">
        <v>1</v>
      </c>
      <c r="CY162" s="160"/>
      <c r="CZ162" s="177">
        <f t="shared" si="209"/>
        <v>9.6000000000000002E-2</v>
      </c>
      <c r="DB162" s="146"/>
      <c r="DC162" s="76">
        <f t="shared" ca="1" si="172"/>
        <v>0.19108326507622153</v>
      </c>
      <c r="DD162">
        <f t="shared" si="210"/>
        <v>5</v>
      </c>
      <c r="DE162" s="129">
        <f t="shared" si="242"/>
        <v>39910</v>
      </c>
      <c r="DF162" s="161">
        <f t="shared" si="211"/>
        <v>0</v>
      </c>
      <c r="DG162" s="161">
        <f t="shared" si="212"/>
        <v>0</v>
      </c>
      <c r="DH162" s="161">
        <f t="shared" si="213"/>
        <v>0</v>
      </c>
      <c r="DI162" s="161">
        <f t="shared" si="214"/>
        <v>0</v>
      </c>
      <c r="DJ162" s="161">
        <f t="shared" si="215"/>
        <v>0</v>
      </c>
      <c r="DK162" s="161">
        <f t="shared" si="216"/>
        <v>0</v>
      </c>
      <c r="DL162" s="161">
        <f t="shared" si="217"/>
        <v>0</v>
      </c>
      <c r="DM162" s="161">
        <f t="shared" si="218"/>
        <v>0</v>
      </c>
      <c r="DN162" s="161">
        <f t="shared" si="219"/>
        <v>0</v>
      </c>
      <c r="DO162" s="161">
        <f t="shared" si="220"/>
        <v>0</v>
      </c>
      <c r="DP162" s="161">
        <f t="shared" si="221"/>
        <v>0</v>
      </c>
      <c r="DQ162" s="161">
        <f t="shared" si="222"/>
        <v>0</v>
      </c>
      <c r="DR162" s="161">
        <f t="shared" si="223"/>
        <v>0</v>
      </c>
      <c r="DS162" s="161">
        <f t="shared" si="224"/>
        <v>0</v>
      </c>
      <c r="DT162" s="161">
        <f t="shared" si="225"/>
        <v>0</v>
      </c>
      <c r="DU162" s="161">
        <f t="shared" si="226"/>
        <v>0</v>
      </c>
      <c r="DV162" s="161">
        <f t="shared" si="227"/>
        <v>0</v>
      </c>
      <c r="DW162" s="161">
        <f t="shared" si="228"/>
        <v>0</v>
      </c>
      <c r="DX162" s="161">
        <f t="shared" si="229"/>
        <v>0</v>
      </c>
      <c r="DY162" s="161">
        <f t="shared" si="230"/>
        <v>0</v>
      </c>
      <c r="DZ162" s="161">
        <f t="shared" si="231"/>
        <v>0</v>
      </c>
      <c r="EA162" s="161">
        <f t="shared" si="232"/>
        <v>0</v>
      </c>
      <c r="EB162" s="161">
        <f t="shared" si="233"/>
        <v>0</v>
      </c>
      <c r="EC162" s="161">
        <f t="shared" si="234"/>
        <v>0</v>
      </c>
      <c r="ED162" s="161">
        <f t="shared" si="235"/>
        <v>0</v>
      </c>
      <c r="EE162" s="161">
        <f t="shared" si="236"/>
        <v>0</v>
      </c>
      <c r="EF162" s="161">
        <f t="shared" si="237"/>
        <v>0</v>
      </c>
      <c r="EG162" s="161">
        <f t="shared" si="238"/>
        <v>0</v>
      </c>
      <c r="EH162" s="161">
        <f t="shared" si="239"/>
        <v>0</v>
      </c>
      <c r="EI162" s="161">
        <f t="shared" si="240"/>
        <v>0</v>
      </c>
      <c r="EJ162" s="161">
        <f t="shared" si="241"/>
        <v>0</v>
      </c>
      <c r="EK162" s="147">
        <f t="shared" si="173"/>
        <v>0</v>
      </c>
      <c r="EL162" s="149"/>
      <c r="EN162" s="146"/>
      <c r="EO162" s="146"/>
      <c r="EP162" s="139">
        <f t="shared" si="174"/>
        <v>0</v>
      </c>
      <c r="EQ162" s="139">
        <f t="shared" si="175"/>
        <v>0</v>
      </c>
      <c r="ER162" s="139">
        <f t="shared" si="176"/>
        <v>0</v>
      </c>
      <c r="ES162" s="139">
        <f t="shared" si="177"/>
        <v>0</v>
      </c>
      <c r="ET162" s="139">
        <f t="shared" si="178"/>
        <v>0</v>
      </c>
      <c r="EU162" s="139">
        <f t="shared" si="179"/>
        <v>0</v>
      </c>
      <c r="EV162" s="139">
        <f t="shared" si="180"/>
        <v>0</v>
      </c>
      <c r="EW162" s="139">
        <f t="shared" si="181"/>
        <v>0</v>
      </c>
      <c r="EX162" s="139">
        <f t="shared" si="182"/>
        <v>0</v>
      </c>
      <c r="EY162" s="139">
        <f t="shared" si="183"/>
        <v>0</v>
      </c>
      <c r="EZ162" s="139">
        <f t="shared" si="184"/>
        <v>0</v>
      </c>
      <c r="FA162" s="139">
        <f t="shared" si="185"/>
        <v>0</v>
      </c>
      <c r="FB162" s="139">
        <f t="shared" si="186"/>
        <v>0</v>
      </c>
      <c r="FC162" s="139">
        <f t="shared" si="187"/>
        <v>0</v>
      </c>
      <c r="FD162" s="139">
        <f t="shared" si="188"/>
        <v>0</v>
      </c>
      <c r="FE162" s="139">
        <f t="shared" si="189"/>
        <v>0</v>
      </c>
      <c r="FF162" s="139">
        <f t="shared" si="190"/>
        <v>0</v>
      </c>
      <c r="FG162" s="139">
        <f t="shared" si="191"/>
        <v>0</v>
      </c>
      <c r="FH162" s="139">
        <f t="shared" si="192"/>
        <v>0</v>
      </c>
      <c r="FI162" s="139">
        <f t="shared" si="193"/>
        <v>0</v>
      </c>
      <c r="FJ162" s="139">
        <f t="shared" si="194"/>
        <v>0</v>
      </c>
      <c r="FK162" s="139">
        <f t="shared" si="195"/>
        <v>0</v>
      </c>
      <c r="FL162" s="139">
        <f t="shared" si="196"/>
        <v>0</v>
      </c>
      <c r="FM162" s="139">
        <f t="shared" si="197"/>
        <v>0</v>
      </c>
      <c r="FN162" s="139">
        <f t="shared" si="198"/>
        <v>0</v>
      </c>
      <c r="FO162" s="139">
        <f t="shared" si="199"/>
        <v>0</v>
      </c>
      <c r="FP162" s="139">
        <f t="shared" si="200"/>
        <v>0</v>
      </c>
      <c r="FQ162" s="139">
        <f t="shared" si="201"/>
        <v>0</v>
      </c>
      <c r="FR162" s="139">
        <f t="shared" si="202"/>
        <v>0</v>
      </c>
      <c r="FS162" s="139">
        <f t="shared" si="203"/>
        <v>0</v>
      </c>
      <c r="FT162" s="139">
        <f t="shared" si="204"/>
        <v>0</v>
      </c>
      <c r="FU162" s="148">
        <f t="shared" si="205"/>
        <v>0</v>
      </c>
      <c r="FV162" s="149"/>
      <c r="FY162" s="213">
        <v>157</v>
      </c>
      <c r="FZ162">
        <v>60.915285057467251</v>
      </c>
      <c r="GA162">
        <v>63.675200786921799</v>
      </c>
      <c r="GB162">
        <v>42.313875584905304</v>
      </c>
      <c r="GC162">
        <v>19.137245101444865</v>
      </c>
      <c r="GD162">
        <v>2.7779432056205708</v>
      </c>
      <c r="GE162">
        <v>5.0825844777867371</v>
      </c>
      <c r="GF162">
        <v>2.4686021703380319</v>
      </c>
      <c r="GG162">
        <v>2.2892991130447786</v>
      </c>
      <c r="GH162">
        <v>4.8283202422532154</v>
      </c>
      <c r="GI162">
        <v>22.164141588501806</v>
      </c>
      <c r="GJ162"/>
      <c r="GK162"/>
      <c r="GL162"/>
      <c r="GM162"/>
      <c r="GN162" s="208"/>
      <c r="GO162" s="208"/>
      <c r="GP162" s="208"/>
      <c r="GQ162" s="208"/>
      <c r="GR162" s="208"/>
      <c r="GS162" s="208"/>
      <c r="GT162" s="208"/>
      <c r="GU162" s="213">
        <v>157</v>
      </c>
    </row>
    <row r="163" spans="1:203" s="7" customFormat="1">
      <c r="A163" s="1"/>
      <c r="B163" s="76">
        <f ca="1">IF(C163="", "", RAND())</f>
        <v>0.26332163402128805</v>
      </c>
      <c r="C163">
        <v>4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222.25071900892522</v>
      </c>
      <c r="AO163">
        <v>24.314707649539066</v>
      </c>
      <c r="AP163">
        <v>41.45627609175709</v>
      </c>
      <c r="AQ163">
        <v>192.5685226963964</v>
      </c>
      <c r="AR163">
        <v>26.010622955833135</v>
      </c>
      <c r="AS163">
        <v>360.78982792573652</v>
      </c>
      <c r="AT163">
        <v>15.400210076721772</v>
      </c>
      <c r="AU163">
        <v>12.191921230688536</v>
      </c>
      <c r="AV163"/>
      <c r="AW163"/>
      <c r="AX163" s="146"/>
      <c r="AY163" s="76">
        <f t="shared" ca="1" si="171"/>
        <v>0.9703133317349657</v>
      </c>
      <c r="AZ163">
        <v>6</v>
      </c>
      <c r="BA163" s="129">
        <f t="shared" si="243"/>
        <v>39910</v>
      </c>
      <c r="BB163" s="207">
        <v>0</v>
      </c>
      <c r="BC163" s="207">
        <v>0</v>
      </c>
      <c r="BD163" s="207">
        <v>0</v>
      </c>
      <c r="BE163" s="207">
        <v>0</v>
      </c>
      <c r="BF163" s="207">
        <v>0</v>
      </c>
      <c r="BG163" s="207">
        <v>0</v>
      </c>
      <c r="BH163" s="207">
        <v>0</v>
      </c>
      <c r="BI163" s="207">
        <v>0</v>
      </c>
      <c r="BJ163" s="207">
        <v>0</v>
      </c>
      <c r="BK163" s="207">
        <v>0</v>
      </c>
      <c r="BL163" s="207">
        <v>0</v>
      </c>
      <c r="BM163" s="207">
        <v>0</v>
      </c>
      <c r="BN163" s="207">
        <v>0</v>
      </c>
      <c r="BO163" s="207">
        <v>0</v>
      </c>
      <c r="BP163" s="207">
        <v>0</v>
      </c>
      <c r="BQ163" s="207">
        <v>0</v>
      </c>
      <c r="BR163" s="207">
        <v>0</v>
      </c>
      <c r="BS163" s="207">
        <v>0</v>
      </c>
      <c r="BT163" s="207">
        <v>0</v>
      </c>
      <c r="BU163" s="207">
        <v>0</v>
      </c>
      <c r="BV163" s="207">
        <v>0</v>
      </c>
      <c r="BW163" s="207">
        <v>0</v>
      </c>
      <c r="BX163" s="207">
        <v>0</v>
      </c>
      <c r="BY163" s="207">
        <v>0</v>
      </c>
      <c r="BZ163" s="207">
        <v>0</v>
      </c>
      <c r="CA163" s="207">
        <v>0</v>
      </c>
      <c r="CB163" s="207">
        <v>0</v>
      </c>
      <c r="CC163" s="207">
        <v>0</v>
      </c>
      <c r="CD163" s="207">
        <v>0</v>
      </c>
      <c r="CE163" s="207">
        <v>0</v>
      </c>
      <c r="CF163" s="207">
        <v>0</v>
      </c>
      <c r="CG163" s="147"/>
      <c r="CH163" s="176"/>
      <c r="CJ163" s="146"/>
      <c r="CK163" s="76">
        <f t="shared" ca="1" si="206"/>
        <v>0.30998665791403734</v>
      </c>
      <c r="CL163" s="179">
        <f t="shared" si="207"/>
        <v>6</v>
      </c>
      <c r="CM163" s="180">
        <f t="shared" si="208"/>
        <v>39910</v>
      </c>
      <c r="CN163" s="208">
        <v>0</v>
      </c>
      <c r="CO163" s="208">
        <v>0</v>
      </c>
      <c r="CP163" s="208">
        <v>0</v>
      </c>
      <c r="CQ163" s="208">
        <v>0</v>
      </c>
      <c r="CR163" s="208">
        <v>0</v>
      </c>
      <c r="CS163" s="208">
        <v>0</v>
      </c>
      <c r="CT163" s="208">
        <v>0</v>
      </c>
      <c r="CU163" s="208">
        <v>0</v>
      </c>
      <c r="CV163" s="160"/>
      <c r="CW163">
        <v>1</v>
      </c>
      <c r="CX163">
        <v>1</v>
      </c>
      <c r="CY163" s="160"/>
      <c r="CZ163" s="177">
        <f t="shared" si="209"/>
        <v>9.6000000000000002E-2</v>
      </c>
      <c r="DB163" s="146"/>
      <c r="DC163" s="76">
        <f t="shared" ca="1" si="172"/>
        <v>0.6600711687244365</v>
      </c>
      <c r="DD163">
        <f t="shared" si="210"/>
        <v>6</v>
      </c>
      <c r="DE163" s="129">
        <f t="shared" si="242"/>
        <v>39910</v>
      </c>
      <c r="DF163" s="161">
        <f t="shared" si="211"/>
        <v>0</v>
      </c>
      <c r="DG163" s="161">
        <f t="shared" si="212"/>
        <v>0</v>
      </c>
      <c r="DH163" s="161">
        <f t="shared" si="213"/>
        <v>0</v>
      </c>
      <c r="DI163" s="161">
        <f t="shared" si="214"/>
        <v>0</v>
      </c>
      <c r="DJ163" s="161">
        <f t="shared" si="215"/>
        <v>0</v>
      </c>
      <c r="DK163" s="161">
        <f t="shared" si="216"/>
        <v>0</v>
      </c>
      <c r="DL163" s="161">
        <f t="shared" si="217"/>
        <v>0</v>
      </c>
      <c r="DM163" s="161">
        <f t="shared" si="218"/>
        <v>0</v>
      </c>
      <c r="DN163" s="161">
        <f t="shared" si="219"/>
        <v>0</v>
      </c>
      <c r="DO163" s="161">
        <f t="shared" si="220"/>
        <v>0</v>
      </c>
      <c r="DP163" s="161">
        <f t="shared" si="221"/>
        <v>0</v>
      </c>
      <c r="DQ163" s="161">
        <f t="shared" si="222"/>
        <v>0</v>
      </c>
      <c r="DR163" s="161">
        <f t="shared" si="223"/>
        <v>0</v>
      </c>
      <c r="DS163" s="161">
        <f t="shared" si="224"/>
        <v>0</v>
      </c>
      <c r="DT163" s="161">
        <f t="shared" si="225"/>
        <v>0</v>
      </c>
      <c r="DU163" s="161">
        <f t="shared" si="226"/>
        <v>0</v>
      </c>
      <c r="DV163" s="161">
        <f t="shared" si="227"/>
        <v>0</v>
      </c>
      <c r="DW163" s="161">
        <f t="shared" si="228"/>
        <v>0</v>
      </c>
      <c r="DX163" s="161">
        <f t="shared" si="229"/>
        <v>0</v>
      </c>
      <c r="DY163" s="161">
        <f t="shared" si="230"/>
        <v>0</v>
      </c>
      <c r="DZ163" s="161">
        <f t="shared" si="231"/>
        <v>0</v>
      </c>
      <c r="EA163" s="161">
        <f t="shared" si="232"/>
        <v>0</v>
      </c>
      <c r="EB163" s="161">
        <f t="shared" si="233"/>
        <v>0</v>
      </c>
      <c r="EC163" s="161">
        <f t="shared" si="234"/>
        <v>0</v>
      </c>
      <c r="ED163" s="161">
        <f t="shared" si="235"/>
        <v>0</v>
      </c>
      <c r="EE163" s="161">
        <f t="shared" si="236"/>
        <v>0</v>
      </c>
      <c r="EF163" s="161">
        <f t="shared" si="237"/>
        <v>0</v>
      </c>
      <c r="EG163" s="161">
        <f t="shared" si="238"/>
        <v>0</v>
      </c>
      <c r="EH163" s="161">
        <f t="shared" si="239"/>
        <v>0</v>
      </c>
      <c r="EI163" s="161">
        <f t="shared" si="240"/>
        <v>0</v>
      </c>
      <c r="EJ163" s="161">
        <f t="shared" si="241"/>
        <v>0</v>
      </c>
      <c r="EK163" s="147">
        <f t="shared" si="173"/>
        <v>0</v>
      </c>
      <c r="EL163" s="149"/>
      <c r="EN163" s="146"/>
      <c r="EO163" s="146"/>
      <c r="EP163" s="139">
        <f t="shared" si="174"/>
        <v>0</v>
      </c>
      <c r="EQ163" s="139">
        <f t="shared" si="175"/>
        <v>0</v>
      </c>
      <c r="ER163" s="139">
        <f t="shared" si="176"/>
        <v>0</v>
      </c>
      <c r="ES163" s="139">
        <f t="shared" si="177"/>
        <v>0</v>
      </c>
      <c r="ET163" s="139">
        <f t="shared" si="178"/>
        <v>0</v>
      </c>
      <c r="EU163" s="139">
        <f t="shared" si="179"/>
        <v>0</v>
      </c>
      <c r="EV163" s="139">
        <f t="shared" si="180"/>
        <v>0</v>
      </c>
      <c r="EW163" s="139">
        <f t="shared" si="181"/>
        <v>0</v>
      </c>
      <c r="EX163" s="139">
        <f t="shared" si="182"/>
        <v>0</v>
      </c>
      <c r="EY163" s="139">
        <f t="shared" si="183"/>
        <v>0</v>
      </c>
      <c r="EZ163" s="139">
        <f t="shared" si="184"/>
        <v>0</v>
      </c>
      <c r="FA163" s="139">
        <f t="shared" si="185"/>
        <v>0</v>
      </c>
      <c r="FB163" s="139">
        <f t="shared" si="186"/>
        <v>0</v>
      </c>
      <c r="FC163" s="139">
        <f t="shared" si="187"/>
        <v>0</v>
      </c>
      <c r="FD163" s="139">
        <f t="shared" si="188"/>
        <v>0</v>
      </c>
      <c r="FE163" s="139">
        <f t="shared" si="189"/>
        <v>0</v>
      </c>
      <c r="FF163" s="139">
        <f t="shared" si="190"/>
        <v>0</v>
      </c>
      <c r="FG163" s="139">
        <f t="shared" si="191"/>
        <v>0</v>
      </c>
      <c r="FH163" s="139">
        <f t="shared" si="192"/>
        <v>0</v>
      </c>
      <c r="FI163" s="139">
        <f t="shared" si="193"/>
        <v>0</v>
      </c>
      <c r="FJ163" s="139">
        <f t="shared" si="194"/>
        <v>0</v>
      </c>
      <c r="FK163" s="139">
        <f t="shared" si="195"/>
        <v>0</v>
      </c>
      <c r="FL163" s="139">
        <f t="shared" si="196"/>
        <v>0</v>
      </c>
      <c r="FM163" s="139">
        <f t="shared" si="197"/>
        <v>0</v>
      </c>
      <c r="FN163" s="139">
        <f t="shared" si="198"/>
        <v>0</v>
      </c>
      <c r="FO163" s="139">
        <f t="shared" si="199"/>
        <v>0</v>
      </c>
      <c r="FP163" s="139">
        <f t="shared" si="200"/>
        <v>0</v>
      </c>
      <c r="FQ163" s="139">
        <f t="shared" si="201"/>
        <v>0</v>
      </c>
      <c r="FR163" s="139">
        <f t="shared" si="202"/>
        <v>0</v>
      </c>
      <c r="FS163" s="139">
        <f t="shared" si="203"/>
        <v>0</v>
      </c>
      <c r="FT163" s="139">
        <f t="shared" si="204"/>
        <v>0</v>
      </c>
      <c r="FU163" s="148">
        <f t="shared" si="205"/>
        <v>0</v>
      </c>
      <c r="FV163" s="149"/>
      <c r="FY163" s="213">
        <v>158</v>
      </c>
      <c r="FZ163">
        <v>40.25531202082437</v>
      </c>
      <c r="GA163">
        <v>55.140346606112644</v>
      </c>
      <c r="GB163">
        <v>40.683693665385597</v>
      </c>
      <c r="GC163">
        <v>12.103152260388738</v>
      </c>
      <c r="GD163">
        <v>2.2604334175107295</v>
      </c>
      <c r="GE163">
        <v>2.8076366500952257</v>
      </c>
      <c r="GF163">
        <v>5.3192740390974755</v>
      </c>
      <c r="GG163">
        <v>6.2168157171951552</v>
      </c>
      <c r="GH163">
        <v>7.0429529811020206</v>
      </c>
      <c r="GI163">
        <v>19.299362185261476</v>
      </c>
      <c r="GJ163"/>
      <c r="GK163"/>
      <c r="GL163"/>
      <c r="GM163"/>
      <c r="GN163" s="208"/>
      <c r="GO163" s="208"/>
      <c r="GP163" s="208"/>
      <c r="GQ163" s="208"/>
      <c r="GR163" s="208"/>
      <c r="GS163" s="208"/>
      <c r="GT163" s="208"/>
      <c r="GU163" s="213">
        <v>158</v>
      </c>
    </row>
    <row r="164" spans="1:203" s="7" customFormat="1">
      <c r="A164" s="1"/>
      <c r="B164" s="76">
        <f ca="1">IF(C164="", "", RAND())</f>
        <v>0.59484770777732576</v>
      </c>
      <c r="C164">
        <v>9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318.76713044094879</v>
      </c>
      <c r="AO164">
        <v>32.277190798828812</v>
      </c>
      <c r="AP164">
        <v>26.133921332501323</v>
      </c>
      <c r="AQ164">
        <v>237.90695307442743</v>
      </c>
      <c r="AR164">
        <v>32.580749807083308</v>
      </c>
      <c r="AS164">
        <v>446.60522752221198</v>
      </c>
      <c r="AT164" t="e">
        <v>#DIV/0!</v>
      </c>
      <c r="AU164" t="e">
        <v>#DIV/0!</v>
      </c>
      <c r="AV164"/>
      <c r="AW164"/>
      <c r="AX164" s="146"/>
      <c r="AY164" s="76">
        <f t="shared" ca="1" si="171"/>
        <v>0.62458188658585989</v>
      </c>
      <c r="AZ164">
        <v>7</v>
      </c>
      <c r="BA164" s="129">
        <f t="shared" si="243"/>
        <v>39910</v>
      </c>
      <c r="BB164" s="207">
        <v>0</v>
      </c>
      <c r="BC164" s="207">
        <v>0</v>
      </c>
      <c r="BD164" s="207">
        <v>0</v>
      </c>
      <c r="BE164" s="207">
        <v>0</v>
      </c>
      <c r="BF164" s="207">
        <v>0</v>
      </c>
      <c r="BG164" s="207">
        <v>0</v>
      </c>
      <c r="BH164" s="207">
        <v>0</v>
      </c>
      <c r="BI164" s="207">
        <v>0</v>
      </c>
      <c r="BJ164" s="207">
        <v>0</v>
      </c>
      <c r="BK164" s="207">
        <v>0</v>
      </c>
      <c r="BL164" s="207">
        <v>0</v>
      </c>
      <c r="BM164" s="207">
        <v>0</v>
      </c>
      <c r="BN164" s="207">
        <v>0</v>
      </c>
      <c r="BO164" s="207">
        <v>0</v>
      </c>
      <c r="BP164" s="207">
        <v>0</v>
      </c>
      <c r="BQ164" s="207">
        <v>0</v>
      </c>
      <c r="BR164" s="207">
        <v>0</v>
      </c>
      <c r="BS164" s="207">
        <v>0</v>
      </c>
      <c r="BT164" s="207">
        <v>0</v>
      </c>
      <c r="BU164" s="207">
        <v>0</v>
      </c>
      <c r="BV164" s="207">
        <v>0</v>
      </c>
      <c r="BW164" s="207">
        <v>0</v>
      </c>
      <c r="BX164" s="207">
        <v>0</v>
      </c>
      <c r="BY164" s="207">
        <v>0</v>
      </c>
      <c r="BZ164" s="207">
        <v>0</v>
      </c>
      <c r="CA164" s="207">
        <v>0</v>
      </c>
      <c r="CB164" s="207">
        <v>0</v>
      </c>
      <c r="CC164" s="207">
        <v>0</v>
      </c>
      <c r="CD164" s="207">
        <v>0</v>
      </c>
      <c r="CE164" s="207">
        <v>0</v>
      </c>
      <c r="CF164" s="207">
        <v>0</v>
      </c>
      <c r="CG164" s="147"/>
      <c r="CH164" s="176"/>
      <c r="CJ164" s="146"/>
      <c r="CK164" s="76">
        <f t="shared" ca="1" si="206"/>
        <v>0.42031843248912804</v>
      </c>
      <c r="CL164" s="179">
        <f t="shared" si="207"/>
        <v>7</v>
      </c>
      <c r="CM164" s="180">
        <f t="shared" si="208"/>
        <v>39910</v>
      </c>
      <c r="CN164" s="208">
        <v>0</v>
      </c>
      <c r="CO164" s="208">
        <v>0</v>
      </c>
      <c r="CP164" s="208">
        <v>0</v>
      </c>
      <c r="CQ164" s="208">
        <v>0</v>
      </c>
      <c r="CR164" s="208">
        <v>0</v>
      </c>
      <c r="CS164" s="208">
        <v>0</v>
      </c>
      <c r="CT164" s="208">
        <v>0</v>
      </c>
      <c r="CU164" s="208">
        <v>0</v>
      </c>
      <c r="CV164" s="160"/>
      <c r="CW164">
        <v>1</v>
      </c>
      <c r="CX164">
        <v>1</v>
      </c>
      <c r="CY164" s="165"/>
      <c r="CZ164" s="177">
        <f t="shared" si="209"/>
        <v>9.6000000000000002E-2</v>
      </c>
      <c r="DB164" s="146"/>
      <c r="DC164" s="76">
        <f t="shared" ca="1" si="172"/>
        <v>0.25902892448077108</v>
      </c>
      <c r="DD164">
        <f t="shared" si="210"/>
        <v>7</v>
      </c>
      <c r="DE164" s="129">
        <f t="shared" si="242"/>
        <v>39910</v>
      </c>
      <c r="DF164" s="161">
        <f t="shared" si="211"/>
        <v>0</v>
      </c>
      <c r="DG164" s="161">
        <f t="shared" si="212"/>
        <v>0</v>
      </c>
      <c r="DH164" s="161">
        <f t="shared" si="213"/>
        <v>0</v>
      </c>
      <c r="DI164" s="161">
        <f t="shared" si="214"/>
        <v>0</v>
      </c>
      <c r="DJ164" s="161">
        <f t="shared" si="215"/>
        <v>0</v>
      </c>
      <c r="DK164" s="161">
        <f t="shared" si="216"/>
        <v>0</v>
      </c>
      <c r="DL164" s="161">
        <f t="shared" si="217"/>
        <v>0</v>
      </c>
      <c r="DM164" s="161">
        <f t="shared" si="218"/>
        <v>0</v>
      </c>
      <c r="DN164" s="161">
        <f t="shared" si="219"/>
        <v>0</v>
      </c>
      <c r="DO164" s="161">
        <f t="shared" si="220"/>
        <v>0</v>
      </c>
      <c r="DP164" s="161">
        <f t="shared" si="221"/>
        <v>0</v>
      </c>
      <c r="DQ164" s="161">
        <f t="shared" si="222"/>
        <v>0</v>
      </c>
      <c r="DR164" s="161">
        <f t="shared" si="223"/>
        <v>0</v>
      </c>
      <c r="DS164" s="161">
        <f t="shared" si="224"/>
        <v>0</v>
      </c>
      <c r="DT164" s="161">
        <f t="shared" si="225"/>
        <v>0</v>
      </c>
      <c r="DU164" s="161">
        <f t="shared" si="226"/>
        <v>0</v>
      </c>
      <c r="DV164" s="161">
        <f t="shared" si="227"/>
        <v>0</v>
      </c>
      <c r="DW164" s="161">
        <f t="shared" si="228"/>
        <v>0</v>
      </c>
      <c r="DX164" s="161">
        <f t="shared" si="229"/>
        <v>0</v>
      </c>
      <c r="DY164" s="161">
        <f t="shared" si="230"/>
        <v>0</v>
      </c>
      <c r="DZ164" s="161">
        <f t="shared" si="231"/>
        <v>0</v>
      </c>
      <c r="EA164" s="161">
        <f t="shared" si="232"/>
        <v>0</v>
      </c>
      <c r="EB164" s="161">
        <f t="shared" si="233"/>
        <v>0</v>
      </c>
      <c r="EC164" s="161">
        <f t="shared" si="234"/>
        <v>0</v>
      </c>
      <c r="ED164" s="161">
        <f t="shared" si="235"/>
        <v>0</v>
      </c>
      <c r="EE164" s="161">
        <f t="shared" si="236"/>
        <v>0</v>
      </c>
      <c r="EF164" s="161">
        <f t="shared" si="237"/>
        <v>0</v>
      </c>
      <c r="EG164" s="161">
        <f t="shared" si="238"/>
        <v>0</v>
      </c>
      <c r="EH164" s="161">
        <f t="shared" si="239"/>
        <v>0</v>
      </c>
      <c r="EI164" s="161">
        <f t="shared" si="240"/>
        <v>0</v>
      </c>
      <c r="EJ164" s="161">
        <f t="shared" si="241"/>
        <v>0</v>
      </c>
      <c r="EK164" s="147">
        <f t="shared" si="173"/>
        <v>0</v>
      </c>
      <c r="EL164" s="149"/>
      <c r="EN164" s="146"/>
      <c r="EO164" s="146"/>
      <c r="EP164" s="139">
        <f t="shared" si="174"/>
        <v>0</v>
      </c>
      <c r="EQ164" s="139">
        <f t="shared" si="175"/>
        <v>0</v>
      </c>
      <c r="ER164" s="139">
        <f t="shared" si="176"/>
        <v>0</v>
      </c>
      <c r="ES164" s="139">
        <f t="shared" si="177"/>
        <v>0</v>
      </c>
      <c r="ET164" s="139">
        <f t="shared" si="178"/>
        <v>0</v>
      </c>
      <c r="EU164" s="139">
        <f t="shared" si="179"/>
        <v>0</v>
      </c>
      <c r="EV164" s="139">
        <f t="shared" si="180"/>
        <v>0</v>
      </c>
      <c r="EW164" s="139">
        <f t="shared" si="181"/>
        <v>0</v>
      </c>
      <c r="EX164" s="139">
        <f t="shared" si="182"/>
        <v>0</v>
      </c>
      <c r="EY164" s="139">
        <f t="shared" si="183"/>
        <v>0</v>
      </c>
      <c r="EZ164" s="139">
        <f t="shared" si="184"/>
        <v>0</v>
      </c>
      <c r="FA164" s="139">
        <f t="shared" si="185"/>
        <v>0</v>
      </c>
      <c r="FB164" s="139">
        <f t="shared" si="186"/>
        <v>0</v>
      </c>
      <c r="FC164" s="139">
        <f t="shared" si="187"/>
        <v>0</v>
      </c>
      <c r="FD164" s="139">
        <f t="shared" si="188"/>
        <v>0</v>
      </c>
      <c r="FE164" s="139">
        <f t="shared" si="189"/>
        <v>0</v>
      </c>
      <c r="FF164" s="139">
        <f t="shared" si="190"/>
        <v>0</v>
      </c>
      <c r="FG164" s="139">
        <f t="shared" si="191"/>
        <v>0</v>
      </c>
      <c r="FH164" s="139">
        <f t="shared" si="192"/>
        <v>0</v>
      </c>
      <c r="FI164" s="139">
        <f t="shared" si="193"/>
        <v>0</v>
      </c>
      <c r="FJ164" s="139">
        <f t="shared" si="194"/>
        <v>0</v>
      </c>
      <c r="FK164" s="139">
        <f t="shared" si="195"/>
        <v>0</v>
      </c>
      <c r="FL164" s="139">
        <f t="shared" si="196"/>
        <v>0</v>
      </c>
      <c r="FM164" s="139">
        <f t="shared" si="197"/>
        <v>0</v>
      </c>
      <c r="FN164" s="139">
        <f t="shared" si="198"/>
        <v>0</v>
      </c>
      <c r="FO164" s="139">
        <f t="shared" si="199"/>
        <v>0</v>
      </c>
      <c r="FP164" s="139">
        <f t="shared" si="200"/>
        <v>0</v>
      </c>
      <c r="FQ164" s="139">
        <f t="shared" si="201"/>
        <v>0</v>
      </c>
      <c r="FR164" s="139">
        <f t="shared" si="202"/>
        <v>0</v>
      </c>
      <c r="FS164" s="139">
        <f t="shared" si="203"/>
        <v>0</v>
      </c>
      <c r="FT164" s="139">
        <f t="shared" si="204"/>
        <v>0</v>
      </c>
      <c r="FU164" s="148">
        <f t="shared" si="205"/>
        <v>0</v>
      </c>
      <c r="FV164" s="149"/>
      <c r="FY164" s="213">
        <v>159</v>
      </c>
      <c r="FZ164">
        <v>59.428585149481499</v>
      </c>
      <c r="GA164">
        <v>73.130892066792569</v>
      </c>
      <c r="GB164">
        <v>40.466604381103451</v>
      </c>
      <c r="GC164">
        <v>16.406763862473994</v>
      </c>
      <c r="GD164">
        <v>5.3203577073039989</v>
      </c>
      <c r="GE164">
        <v>7.1840064697710755</v>
      </c>
      <c r="GF164">
        <v>4.8559858597233081</v>
      </c>
      <c r="GG164">
        <v>5.408664047877636</v>
      </c>
      <c r="GH164">
        <v>8.5199208293694912</v>
      </c>
      <c r="GI164">
        <v>23.957601957888876</v>
      </c>
      <c r="GJ164"/>
      <c r="GK164"/>
      <c r="GL164"/>
      <c r="GM164"/>
      <c r="GN164" s="208"/>
      <c r="GO164" s="208"/>
      <c r="GP164" s="208"/>
      <c r="GQ164" s="208"/>
      <c r="GR164" s="208"/>
      <c r="GS164" s="208"/>
      <c r="GT164" s="208"/>
      <c r="GU164" s="213">
        <v>159</v>
      </c>
    </row>
    <row r="165" spans="1:203" s="7" customFormat="1">
      <c r="A165" s="1"/>
      <c r="B165" s="76">
        <f ca="1">IF(C165="", "", RAND())</f>
        <v>0.94992982090491385</v>
      </c>
      <c r="C165">
        <v>6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292.69206293422315</v>
      </c>
      <c r="AO165">
        <v>28.704430570150031</v>
      </c>
      <c r="AP165">
        <v>10.329868956812888</v>
      </c>
      <c r="AQ165">
        <v>202.6505069364747</v>
      </c>
      <c r="AR165">
        <v>29.039592895372227</v>
      </c>
      <c r="AS165">
        <v>443.74453573207995</v>
      </c>
      <c r="AT165">
        <v>18.838026159818746</v>
      </c>
      <c r="AU165">
        <v>-24.09448083520688</v>
      </c>
      <c r="AV165"/>
      <c r="AW165"/>
      <c r="AX165" s="146"/>
      <c r="AY165" s="76">
        <f t="shared" ca="1" si="171"/>
        <v>0.97506735631586317</v>
      </c>
      <c r="AZ165">
        <v>8</v>
      </c>
      <c r="BA165" s="129">
        <f t="shared" si="243"/>
        <v>39910</v>
      </c>
      <c r="BB165" s="207">
        <v>0</v>
      </c>
      <c r="BC165" s="207">
        <v>0</v>
      </c>
      <c r="BD165" s="207">
        <v>0</v>
      </c>
      <c r="BE165" s="207">
        <v>0</v>
      </c>
      <c r="BF165" s="207">
        <v>0</v>
      </c>
      <c r="BG165" s="207">
        <v>0</v>
      </c>
      <c r="BH165" s="207">
        <v>0</v>
      </c>
      <c r="BI165" s="207">
        <v>0</v>
      </c>
      <c r="BJ165" s="207">
        <v>0</v>
      </c>
      <c r="BK165" s="207">
        <v>0</v>
      </c>
      <c r="BL165" s="207">
        <v>0</v>
      </c>
      <c r="BM165" s="207">
        <v>0</v>
      </c>
      <c r="BN165" s="207">
        <v>0</v>
      </c>
      <c r="BO165" s="207">
        <v>0</v>
      </c>
      <c r="BP165" s="207">
        <v>0</v>
      </c>
      <c r="BQ165" s="207">
        <v>0</v>
      </c>
      <c r="BR165" s="207">
        <v>0</v>
      </c>
      <c r="BS165" s="207">
        <v>0</v>
      </c>
      <c r="BT165" s="207">
        <v>0</v>
      </c>
      <c r="BU165" s="207">
        <v>0</v>
      </c>
      <c r="BV165" s="207">
        <v>0</v>
      </c>
      <c r="BW165" s="207">
        <v>0</v>
      </c>
      <c r="BX165" s="207">
        <v>0</v>
      </c>
      <c r="BY165" s="207">
        <v>0</v>
      </c>
      <c r="BZ165" s="207">
        <v>0</v>
      </c>
      <c r="CA165" s="207">
        <v>0</v>
      </c>
      <c r="CB165" s="207">
        <v>0</v>
      </c>
      <c r="CC165" s="207">
        <v>0</v>
      </c>
      <c r="CD165" s="207">
        <v>0</v>
      </c>
      <c r="CE165" s="207">
        <v>0</v>
      </c>
      <c r="CF165" s="207">
        <v>0</v>
      </c>
      <c r="CG165" s="147"/>
      <c r="CH165" s="176"/>
      <c r="CJ165" s="146"/>
      <c r="CK165" s="76">
        <f t="shared" ca="1" si="206"/>
        <v>0.41748007387843078</v>
      </c>
      <c r="CL165" s="179">
        <f t="shared" si="207"/>
        <v>8</v>
      </c>
      <c r="CM165" s="180">
        <f t="shared" si="208"/>
        <v>39910</v>
      </c>
      <c r="CN165" s="208">
        <v>0</v>
      </c>
      <c r="CO165" s="208">
        <v>0</v>
      </c>
      <c r="CP165" s="208">
        <v>0</v>
      </c>
      <c r="CQ165" s="208">
        <v>0</v>
      </c>
      <c r="CR165" s="208">
        <v>0</v>
      </c>
      <c r="CS165" s="208">
        <v>0</v>
      </c>
      <c r="CT165" s="208">
        <v>0</v>
      </c>
      <c r="CU165" s="208">
        <v>0</v>
      </c>
      <c r="CV165" s="160"/>
      <c r="CW165">
        <v>1</v>
      </c>
      <c r="CX165">
        <v>1</v>
      </c>
      <c r="CY165" s="165"/>
      <c r="CZ165" s="177">
        <f t="shared" si="209"/>
        <v>9.6000000000000002E-2</v>
      </c>
      <c r="DB165" s="146"/>
      <c r="DC165" s="76">
        <f t="shared" ca="1" si="172"/>
        <v>0.48570903683039823</v>
      </c>
      <c r="DD165">
        <f t="shared" si="210"/>
        <v>8</v>
      </c>
      <c r="DE165" s="129">
        <f t="shared" si="242"/>
        <v>39910</v>
      </c>
      <c r="DF165" s="161">
        <f t="shared" si="211"/>
        <v>0</v>
      </c>
      <c r="DG165" s="161">
        <f t="shared" si="212"/>
        <v>0</v>
      </c>
      <c r="DH165" s="161">
        <f t="shared" si="213"/>
        <v>0</v>
      </c>
      <c r="DI165" s="161">
        <f t="shared" si="214"/>
        <v>0</v>
      </c>
      <c r="DJ165" s="161">
        <f t="shared" si="215"/>
        <v>0</v>
      </c>
      <c r="DK165" s="161">
        <f t="shared" si="216"/>
        <v>0</v>
      </c>
      <c r="DL165" s="161">
        <f t="shared" si="217"/>
        <v>0</v>
      </c>
      <c r="DM165" s="161">
        <f t="shared" si="218"/>
        <v>0</v>
      </c>
      <c r="DN165" s="161">
        <f t="shared" si="219"/>
        <v>0</v>
      </c>
      <c r="DO165" s="161">
        <f t="shared" si="220"/>
        <v>0</v>
      </c>
      <c r="DP165" s="161">
        <f t="shared" si="221"/>
        <v>0</v>
      </c>
      <c r="DQ165" s="161">
        <f t="shared" si="222"/>
        <v>0</v>
      </c>
      <c r="DR165" s="161">
        <f t="shared" si="223"/>
        <v>0</v>
      </c>
      <c r="DS165" s="161">
        <f t="shared" si="224"/>
        <v>0</v>
      </c>
      <c r="DT165" s="161">
        <f t="shared" si="225"/>
        <v>0</v>
      </c>
      <c r="DU165" s="161">
        <f t="shared" si="226"/>
        <v>0</v>
      </c>
      <c r="DV165" s="161">
        <f t="shared" si="227"/>
        <v>0</v>
      </c>
      <c r="DW165" s="161">
        <f t="shared" si="228"/>
        <v>0</v>
      </c>
      <c r="DX165" s="161">
        <f t="shared" si="229"/>
        <v>0</v>
      </c>
      <c r="DY165" s="161">
        <f t="shared" si="230"/>
        <v>0</v>
      </c>
      <c r="DZ165" s="161">
        <f t="shared" si="231"/>
        <v>0</v>
      </c>
      <c r="EA165" s="161">
        <f t="shared" si="232"/>
        <v>0</v>
      </c>
      <c r="EB165" s="161">
        <f t="shared" si="233"/>
        <v>0</v>
      </c>
      <c r="EC165" s="161">
        <f t="shared" si="234"/>
        <v>0</v>
      </c>
      <c r="ED165" s="161">
        <f t="shared" si="235"/>
        <v>0</v>
      </c>
      <c r="EE165" s="161">
        <f t="shared" si="236"/>
        <v>0</v>
      </c>
      <c r="EF165" s="161">
        <f t="shared" si="237"/>
        <v>0</v>
      </c>
      <c r="EG165" s="161">
        <f t="shared" si="238"/>
        <v>0</v>
      </c>
      <c r="EH165" s="161">
        <f t="shared" si="239"/>
        <v>0</v>
      </c>
      <c r="EI165" s="161">
        <f t="shared" si="240"/>
        <v>0</v>
      </c>
      <c r="EJ165" s="161">
        <f t="shared" si="241"/>
        <v>0</v>
      </c>
      <c r="EK165" s="147">
        <f t="shared" si="173"/>
        <v>0</v>
      </c>
      <c r="EL165" s="149"/>
      <c r="EN165" s="146"/>
      <c r="EO165" s="146"/>
      <c r="EP165" s="139">
        <f t="shared" si="174"/>
        <v>0</v>
      </c>
      <c r="EQ165" s="139">
        <f t="shared" si="175"/>
        <v>0</v>
      </c>
      <c r="ER165" s="139">
        <f t="shared" si="176"/>
        <v>0</v>
      </c>
      <c r="ES165" s="139">
        <f t="shared" si="177"/>
        <v>0</v>
      </c>
      <c r="ET165" s="139">
        <f t="shared" si="178"/>
        <v>0</v>
      </c>
      <c r="EU165" s="139">
        <f t="shared" si="179"/>
        <v>0</v>
      </c>
      <c r="EV165" s="139">
        <f t="shared" si="180"/>
        <v>0</v>
      </c>
      <c r="EW165" s="139">
        <f t="shared" si="181"/>
        <v>0</v>
      </c>
      <c r="EX165" s="139">
        <f t="shared" si="182"/>
        <v>0</v>
      </c>
      <c r="EY165" s="139">
        <f t="shared" si="183"/>
        <v>0</v>
      </c>
      <c r="EZ165" s="139">
        <f t="shared" si="184"/>
        <v>0</v>
      </c>
      <c r="FA165" s="139">
        <f t="shared" si="185"/>
        <v>0</v>
      </c>
      <c r="FB165" s="139">
        <f t="shared" si="186"/>
        <v>0</v>
      </c>
      <c r="FC165" s="139">
        <f t="shared" si="187"/>
        <v>0</v>
      </c>
      <c r="FD165" s="139">
        <f t="shared" si="188"/>
        <v>0</v>
      </c>
      <c r="FE165" s="139">
        <f t="shared" si="189"/>
        <v>0</v>
      </c>
      <c r="FF165" s="139">
        <f t="shared" si="190"/>
        <v>0</v>
      </c>
      <c r="FG165" s="139">
        <f t="shared" si="191"/>
        <v>0</v>
      </c>
      <c r="FH165" s="139">
        <f t="shared" si="192"/>
        <v>0</v>
      </c>
      <c r="FI165" s="139">
        <f t="shared" si="193"/>
        <v>0</v>
      </c>
      <c r="FJ165" s="139">
        <f t="shared" si="194"/>
        <v>0</v>
      </c>
      <c r="FK165" s="139">
        <f t="shared" si="195"/>
        <v>0</v>
      </c>
      <c r="FL165" s="139">
        <f t="shared" si="196"/>
        <v>0</v>
      </c>
      <c r="FM165" s="139">
        <f t="shared" si="197"/>
        <v>0</v>
      </c>
      <c r="FN165" s="139">
        <f t="shared" si="198"/>
        <v>0</v>
      </c>
      <c r="FO165" s="139">
        <f t="shared" si="199"/>
        <v>0</v>
      </c>
      <c r="FP165" s="139">
        <f t="shared" si="200"/>
        <v>0</v>
      </c>
      <c r="FQ165" s="139">
        <f t="shared" si="201"/>
        <v>0</v>
      </c>
      <c r="FR165" s="139">
        <f t="shared" si="202"/>
        <v>0</v>
      </c>
      <c r="FS165" s="139">
        <f t="shared" si="203"/>
        <v>0</v>
      </c>
      <c r="FT165" s="139">
        <f t="shared" si="204"/>
        <v>0</v>
      </c>
      <c r="FU165" s="148">
        <f t="shared" si="205"/>
        <v>0</v>
      </c>
      <c r="FV165" s="149"/>
      <c r="FY165" s="213">
        <v>160</v>
      </c>
      <c r="FZ165">
        <v>43.180755878597552</v>
      </c>
      <c r="GA165">
        <v>24.648973469538234</v>
      </c>
      <c r="GB165">
        <v>15.064328137313419</v>
      </c>
      <c r="GC165">
        <v>11.831704694947785</v>
      </c>
      <c r="GD165">
        <v>5.0058631189341254</v>
      </c>
      <c r="GE165">
        <v>5.2133861950891296</v>
      </c>
      <c r="GF165">
        <v>2.9476071102017318</v>
      </c>
      <c r="GG165">
        <v>1.4349120496895846</v>
      </c>
      <c r="GH165">
        <v>4.6763156332839735</v>
      </c>
      <c r="GI165">
        <v>14.192189240943385</v>
      </c>
      <c r="GJ165"/>
      <c r="GK165"/>
      <c r="GL165"/>
      <c r="GM165"/>
      <c r="GN165" s="208"/>
      <c r="GO165" s="208"/>
      <c r="GP165" s="208"/>
      <c r="GQ165" s="208"/>
      <c r="GR165" s="208"/>
      <c r="GS165" s="208"/>
      <c r="GT165" s="208"/>
      <c r="GU165" s="213">
        <v>160</v>
      </c>
    </row>
    <row r="166" spans="1:203" s="7" customFormat="1">
      <c r="A166" s="1"/>
      <c r="B166" s="76">
        <f ca="1">IF(C166="", "", RAND())</f>
        <v>0.1432446560984415</v>
      </c>
      <c r="C166">
        <v>7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324.32527954718773</v>
      </c>
      <c r="AO166">
        <v>28.192282202517344</v>
      </c>
      <c r="AP166">
        <v>33.902151485601138</v>
      </c>
      <c r="AQ166">
        <v>216.79303721754525</v>
      </c>
      <c r="AR166">
        <v>28.594931796582657</v>
      </c>
      <c r="AS166">
        <v>402.1763698448496</v>
      </c>
      <c r="AT166">
        <v>16.863176989933677</v>
      </c>
      <c r="AU166">
        <v>-4.3733550546357165</v>
      </c>
      <c r="AV166"/>
      <c r="AW166"/>
      <c r="AX166" s="146"/>
      <c r="AY166" s="76">
        <f t="shared" ca="1" si="171"/>
        <v>0.58686951795221542</v>
      </c>
      <c r="AZ166">
        <v>9</v>
      </c>
      <c r="BA166" s="129">
        <f t="shared" si="243"/>
        <v>39910</v>
      </c>
      <c r="BB166" s="207">
        <v>0</v>
      </c>
      <c r="BC166" s="207">
        <v>0</v>
      </c>
      <c r="BD166" s="207">
        <v>0</v>
      </c>
      <c r="BE166" s="207">
        <v>0</v>
      </c>
      <c r="BF166" s="207">
        <v>0</v>
      </c>
      <c r="BG166" s="207">
        <v>0</v>
      </c>
      <c r="BH166" s="207">
        <v>0</v>
      </c>
      <c r="BI166" s="207">
        <v>0</v>
      </c>
      <c r="BJ166" s="207">
        <v>0</v>
      </c>
      <c r="BK166" s="207">
        <v>0</v>
      </c>
      <c r="BL166" s="207">
        <v>0</v>
      </c>
      <c r="BM166" s="207">
        <v>0</v>
      </c>
      <c r="BN166" s="207">
        <v>0</v>
      </c>
      <c r="BO166" s="207">
        <v>0</v>
      </c>
      <c r="BP166" s="207">
        <v>0</v>
      </c>
      <c r="BQ166" s="207">
        <v>0</v>
      </c>
      <c r="BR166" s="207">
        <v>0</v>
      </c>
      <c r="BS166" s="207">
        <v>0</v>
      </c>
      <c r="BT166" s="207">
        <v>0</v>
      </c>
      <c r="BU166" s="207">
        <v>0</v>
      </c>
      <c r="BV166" s="207">
        <v>0</v>
      </c>
      <c r="BW166" s="207">
        <v>0</v>
      </c>
      <c r="BX166" s="207">
        <v>0</v>
      </c>
      <c r="BY166" s="207">
        <v>0</v>
      </c>
      <c r="BZ166" s="207">
        <v>0</v>
      </c>
      <c r="CA166" s="207">
        <v>0</v>
      </c>
      <c r="CB166" s="207">
        <v>0</v>
      </c>
      <c r="CC166" s="207">
        <v>0</v>
      </c>
      <c r="CD166" s="207">
        <v>0</v>
      </c>
      <c r="CE166" s="207">
        <v>0</v>
      </c>
      <c r="CF166" s="207">
        <v>0</v>
      </c>
      <c r="CG166" s="147"/>
      <c r="CH166" s="176"/>
      <c r="CJ166" s="146"/>
      <c r="CK166" s="76">
        <f t="shared" ca="1" si="206"/>
        <v>0.6612955618686307</v>
      </c>
      <c r="CL166" s="179">
        <f t="shared" si="207"/>
        <v>9</v>
      </c>
      <c r="CM166" s="180">
        <f t="shared" si="208"/>
        <v>39910</v>
      </c>
      <c r="CN166" s="208">
        <v>0</v>
      </c>
      <c r="CO166" s="208">
        <v>0</v>
      </c>
      <c r="CP166" s="208">
        <v>0</v>
      </c>
      <c r="CQ166" s="208">
        <v>0</v>
      </c>
      <c r="CR166" s="208">
        <v>0</v>
      </c>
      <c r="CS166" s="208">
        <v>0</v>
      </c>
      <c r="CT166" s="208">
        <v>0</v>
      </c>
      <c r="CU166" s="208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09"/>
        <v>9.6000000000000002E-2</v>
      </c>
      <c r="DB166" s="146"/>
      <c r="DC166" s="76">
        <f t="shared" ca="1" si="172"/>
        <v>0.52784802719451873</v>
      </c>
      <c r="DD166">
        <f t="shared" si="210"/>
        <v>9</v>
      </c>
      <c r="DE166" s="129">
        <f t="shared" si="242"/>
        <v>39910</v>
      </c>
      <c r="DF166" s="161">
        <f t="shared" si="211"/>
        <v>0</v>
      </c>
      <c r="DG166" s="161">
        <f t="shared" si="212"/>
        <v>0</v>
      </c>
      <c r="DH166" s="161">
        <f t="shared" si="213"/>
        <v>0</v>
      </c>
      <c r="DI166" s="161">
        <f t="shared" si="214"/>
        <v>0</v>
      </c>
      <c r="DJ166" s="161">
        <f t="shared" si="215"/>
        <v>0</v>
      </c>
      <c r="DK166" s="161">
        <f t="shared" si="216"/>
        <v>0</v>
      </c>
      <c r="DL166" s="161">
        <f t="shared" si="217"/>
        <v>0</v>
      </c>
      <c r="DM166" s="161">
        <f t="shared" si="218"/>
        <v>0</v>
      </c>
      <c r="DN166" s="161">
        <f t="shared" si="219"/>
        <v>0</v>
      </c>
      <c r="DO166" s="161">
        <f t="shared" si="220"/>
        <v>0</v>
      </c>
      <c r="DP166" s="161">
        <f t="shared" si="221"/>
        <v>0</v>
      </c>
      <c r="DQ166" s="161">
        <f t="shared" si="222"/>
        <v>0</v>
      </c>
      <c r="DR166" s="161">
        <f t="shared" si="223"/>
        <v>0</v>
      </c>
      <c r="DS166" s="161">
        <f t="shared" si="224"/>
        <v>0</v>
      </c>
      <c r="DT166" s="161">
        <f t="shared" si="225"/>
        <v>0</v>
      </c>
      <c r="DU166" s="161">
        <f t="shared" si="226"/>
        <v>0</v>
      </c>
      <c r="DV166" s="161">
        <f t="shared" si="227"/>
        <v>0</v>
      </c>
      <c r="DW166" s="161">
        <f t="shared" si="228"/>
        <v>0</v>
      </c>
      <c r="DX166" s="161">
        <f t="shared" si="229"/>
        <v>0</v>
      </c>
      <c r="DY166" s="161">
        <f t="shared" si="230"/>
        <v>0</v>
      </c>
      <c r="DZ166" s="161">
        <f t="shared" si="231"/>
        <v>0</v>
      </c>
      <c r="EA166" s="161">
        <f t="shared" si="232"/>
        <v>0</v>
      </c>
      <c r="EB166" s="161">
        <f t="shared" si="233"/>
        <v>0</v>
      </c>
      <c r="EC166" s="161">
        <f t="shared" si="234"/>
        <v>0</v>
      </c>
      <c r="ED166" s="161">
        <f t="shared" si="235"/>
        <v>0</v>
      </c>
      <c r="EE166" s="161">
        <f t="shared" si="236"/>
        <v>0</v>
      </c>
      <c r="EF166" s="161">
        <f t="shared" si="237"/>
        <v>0</v>
      </c>
      <c r="EG166" s="161">
        <f t="shared" si="238"/>
        <v>0</v>
      </c>
      <c r="EH166" s="161">
        <f t="shared" si="239"/>
        <v>0</v>
      </c>
      <c r="EI166" s="161">
        <f t="shared" si="240"/>
        <v>0</v>
      </c>
      <c r="EJ166" s="161">
        <f t="shared" si="241"/>
        <v>0</v>
      </c>
      <c r="EK166" s="147">
        <f t="shared" si="173"/>
        <v>0</v>
      </c>
      <c r="EL166" s="149"/>
      <c r="EN166" s="146"/>
      <c r="EO166" s="146"/>
      <c r="EP166" s="139">
        <f t="shared" si="174"/>
        <v>0</v>
      </c>
      <c r="EQ166" s="139">
        <f t="shared" si="175"/>
        <v>0</v>
      </c>
      <c r="ER166" s="139">
        <f t="shared" si="176"/>
        <v>0</v>
      </c>
      <c r="ES166" s="139">
        <f t="shared" si="177"/>
        <v>0</v>
      </c>
      <c r="ET166" s="139">
        <f t="shared" si="178"/>
        <v>0</v>
      </c>
      <c r="EU166" s="139">
        <f t="shared" si="179"/>
        <v>0</v>
      </c>
      <c r="EV166" s="139">
        <f t="shared" si="180"/>
        <v>0</v>
      </c>
      <c r="EW166" s="139">
        <f t="shared" si="181"/>
        <v>0</v>
      </c>
      <c r="EX166" s="139">
        <f t="shared" si="182"/>
        <v>0</v>
      </c>
      <c r="EY166" s="139">
        <f t="shared" si="183"/>
        <v>0</v>
      </c>
      <c r="EZ166" s="139">
        <f t="shared" si="184"/>
        <v>0</v>
      </c>
      <c r="FA166" s="139">
        <f t="shared" si="185"/>
        <v>0</v>
      </c>
      <c r="FB166" s="139">
        <f t="shared" si="186"/>
        <v>0</v>
      </c>
      <c r="FC166" s="139">
        <f t="shared" si="187"/>
        <v>0</v>
      </c>
      <c r="FD166" s="139">
        <f t="shared" si="188"/>
        <v>0</v>
      </c>
      <c r="FE166" s="139">
        <f t="shared" si="189"/>
        <v>0</v>
      </c>
      <c r="FF166" s="139">
        <f t="shared" si="190"/>
        <v>0</v>
      </c>
      <c r="FG166" s="139">
        <f t="shared" si="191"/>
        <v>0</v>
      </c>
      <c r="FH166" s="139">
        <f t="shared" si="192"/>
        <v>0</v>
      </c>
      <c r="FI166" s="139">
        <f t="shared" si="193"/>
        <v>0</v>
      </c>
      <c r="FJ166" s="139">
        <f t="shared" si="194"/>
        <v>0</v>
      </c>
      <c r="FK166" s="139">
        <f t="shared" si="195"/>
        <v>0</v>
      </c>
      <c r="FL166" s="139">
        <f t="shared" si="196"/>
        <v>0</v>
      </c>
      <c r="FM166" s="139">
        <f t="shared" si="197"/>
        <v>0</v>
      </c>
      <c r="FN166" s="139">
        <f t="shared" si="198"/>
        <v>0</v>
      </c>
      <c r="FO166" s="139">
        <f t="shared" si="199"/>
        <v>0</v>
      </c>
      <c r="FP166" s="139">
        <f t="shared" si="200"/>
        <v>0</v>
      </c>
      <c r="FQ166" s="139">
        <f t="shared" si="201"/>
        <v>0</v>
      </c>
      <c r="FR166" s="139">
        <f t="shared" si="202"/>
        <v>0</v>
      </c>
      <c r="FS166" s="139">
        <f t="shared" si="203"/>
        <v>0</v>
      </c>
      <c r="FT166" s="139">
        <f t="shared" si="204"/>
        <v>0</v>
      </c>
      <c r="FU166" s="148">
        <f t="shared" si="205"/>
        <v>0</v>
      </c>
      <c r="FV166" s="149"/>
      <c r="FY166" s="213">
        <v>161</v>
      </c>
      <c r="FZ166">
        <v>55.869590794201585</v>
      </c>
      <c r="GA166">
        <v>77.05439990570116</v>
      </c>
      <c r="GB166">
        <v>42.034756137138523</v>
      </c>
      <c r="GC166">
        <v>15.032691364829887</v>
      </c>
      <c r="GD166">
        <v>4.252952385053038</v>
      </c>
      <c r="GE166">
        <v>8.0501040601295806</v>
      </c>
      <c r="GF166">
        <v>7.4136240122556707</v>
      </c>
      <c r="GG166">
        <v>4.0732583638753646</v>
      </c>
      <c r="GH166">
        <v>1.5813427993044011</v>
      </c>
      <c r="GI166">
        <v>22.571857420196945</v>
      </c>
      <c r="GJ166"/>
      <c r="GK166"/>
      <c r="GL166"/>
      <c r="GM166"/>
      <c r="GN166" s="208"/>
      <c r="GO166" s="208"/>
      <c r="GP166" s="208"/>
      <c r="GQ166" s="208"/>
      <c r="GR166" s="208"/>
      <c r="GS166" s="208"/>
      <c r="GT166" s="208"/>
      <c r="GU166" s="213">
        <v>161</v>
      </c>
    </row>
    <row r="167" spans="1:203" s="7" customFormat="1">
      <c r="A167" s="1"/>
      <c r="B167" s="76">
        <f ca="1">IF(C167="", "", RAND())</f>
        <v>0.68175272918229735</v>
      </c>
      <c r="C167">
        <v>8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315.70901717459708</v>
      </c>
      <c r="AO167">
        <v>26.408383201353377</v>
      </c>
      <c r="AP167">
        <v>25.160444681243995</v>
      </c>
      <c r="AQ167">
        <v>191.23083670126007</v>
      </c>
      <c r="AR167">
        <v>27.409855306996317</v>
      </c>
      <c r="AS167">
        <v>372.46318654783516</v>
      </c>
      <c r="AT167">
        <v>16.841866471344783</v>
      </c>
      <c r="AU167">
        <v>-3.9884332504500364</v>
      </c>
      <c r="AV167"/>
      <c r="AW167"/>
      <c r="AX167" s="146"/>
      <c r="AY167" s="76">
        <f t="shared" ca="1" si="171"/>
        <v>2.480009763234392E-2</v>
      </c>
      <c r="AZ167">
        <v>10</v>
      </c>
      <c r="BA167" s="129">
        <f t="shared" si="243"/>
        <v>39910</v>
      </c>
      <c r="BB167" s="207">
        <v>0</v>
      </c>
      <c r="BC167" s="207">
        <v>0</v>
      </c>
      <c r="BD167" s="207">
        <v>0</v>
      </c>
      <c r="BE167" s="207">
        <v>0</v>
      </c>
      <c r="BF167" s="207">
        <v>0</v>
      </c>
      <c r="BG167" s="207">
        <v>0</v>
      </c>
      <c r="BH167" s="207">
        <v>0</v>
      </c>
      <c r="BI167" s="207">
        <v>0</v>
      </c>
      <c r="BJ167" s="207">
        <v>0</v>
      </c>
      <c r="BK167" s="207">
        <v>0</v>
      </c>
      <c r="BL167" s="207">
        <v>0</v>
      </c>
      <c r="BM167" s="207">
        <v>0</v>
      </c>
      <c r="BN167" s="207">
        <v>0</v>
      </c>
      <c r="BO167" s="207">
        <v>0</v>
      </c>
      <c r="BP167" s="207">
        <v>0</v>
      </c>
      <c r="BQ167" s="207">
        <v>0</v>
      </c>
      <c r="BR167" s="207">
        <v>0</v>
      </c>
      <c r="BS167" s="207">
        <v>0</v>
      </c>
      <c r="BT167" s="207">
        <v>0</v>
      </c>
      <c r="BU167" s="207">
        <v>0</v>
      </c>
      <c r="BV167" s="207">
        <v>0</v>
      </c>
      <c r="BW167" s="207">
        <v>0</v>
      </c>
      <c r="BX167" s="207">
        <v>0</v>
      </c>
      <c r="BY167" s="207">
        <v>0</v>
      </c>
      <c r="BZ167" s="207">
        <v>0</v>
      </c>
      <c r="CA167" s="207">
        <v>0</v>
      </c>
      <c r="CB167" s="207">
        <v>0</v>
      </c>
      <c r="CC167" s="207">
        <v>0</v>
      </c>
      <c r="CD167" s="207">
        <v>0</v>
      </c>
      <c r="CE167" s="207">
        <v>0</v>
      </c>
      <c r="CF167" s="207">
        <v>0</v>
      </c>
      <c r="CG167" s="147"/>
      <c r="CH167" s="176"/>
      <c r="CJ167" s="146"/>
      <c r="CK167" s="76">
        <f t="shared" ca="1" si="206"/>
        <v>0.81948826058582114</v>
      </c>
      <c r="CL167" s="179">
        <f t="shared" si="207"/>
        <v>10</v>
      </c>
      <c r="CM167" s="180">
        <f t="shared" si="208"/>
        <v>39910</v>
      </c>
      <c r="CN167" s="208">
        <v>0</v>
      </c>
      <c r="CO167" s="208">
        <v>0</v>
      </c>
      <c r="CP167" s="208">
        <v>1</v>
      </c>
      <c r="CQ167" s="208">
        <v>1</v>
      </c>
      <c r="CR167" s="208">
        <v>2</v>
      </c>
      <c r="CS167" s="208">
        <v>0</v>
      </c>
      <c r="CT167" s="208">
        <v>0</v>
      </c>
      <c r="CU167" s="208">
        <v>0</v>
      </c>
      <c r="CV167" s="160"/>
      <c r="CW167">
        <v>1</v>
      </c>
      <c r="CX167">
        <f>350/35</f>
        <v>10</v>
      </c>
      <c r="CY167" s="165"/>
      <c r="CZ167" s="177">
        <f t="shared" si="209"/>
        <v>9.6000000000000002E-2</v>
      </c>
      <c r="DB167" s="146"/>
      <c r="DC167" s="76">
        <f t="shared" ca="1" si="172"/>
        <v>0.31996231009022669</v>
      </c>
      <c r="DD167">
        <f t="shared" si="210"/>
        <v>10</v>
      </c>
      <c r="DE167" s="129">
        <f t="shared" si="242"/>
        <v>39910</v>
      </c>
      <c r="DF167" s="161">
        <f t="shared" si="211"/>
        <v>0</v>
      </c>
      <c r="DG167" s="161">
        <f t="shared" si="212"/>
        <v>0</v>
      </c>
      <c r="DH167" s="161">
        <f t="shared" si="213"/>
        <v>104.16666666666667</v>
      </c>
      <c r="DI167" s="161">
        <f t="shared" si="214"/>
        <v>104.16666666666667</v>
      </c>
      <c r="DJ167" s="161">
        <f t="shared" si="215"/>
        <v>208.33333333333334</v>
      </c>
      <c r="DK167" s="161">
        <f t="shared" si="216"/>
        <v>0</v>
      </c>
      <c r="DL167" s="161">
        <f t="shared" si="217"/>
        <v>0</v>
      </c>
      <c r="DM167" s="161">
        <f t="shared" si="218"/>
        <v>0</v>
      </c>
      <c r="DN167" s="161">
        <f t="shared" si="219"/>
        <v>0</v>
      </c>
      <c r="DO167" s="161">
        <f t="shared" si="220"/>
        <v>0</v>
      </c>
      <c r="DP167" s="161">
        <f t="shared" si="221"/>
        <v>0</v>
      </c>
      <c r="DQ167" s="161">
        <f t="shared" si="222"/>
        <v>0</v>
      </c>
      <c r="DR167" s="161">
        <f t="shared" si="223"/>
        <v>0</v>
      </c>
      <c r="DS167" s="161">
        <f t="shared" si="224"/>
        <v>0</v>
      </c>
      <c r="DT167" s="161">
        <f t="shared" si="225"/>
        <v>0</v>
      </c>
      <c r="DU167" s="161">
        <f t="shared" si="226"/>
        <v>0</v>
      </c>
      <c r="DV167" s="161">
        <f t="shared" si="227"/>
        <v>0</v>
      </c>
      <c r="DW167" s="161">
        <f t="shared" si="228"/>
        <v>0</v>
      </c>
      <c r="DX167" s="161">
        <f t="shared" si="229"/>
        <v>0</v>
      </c>
      <c r="DY167" s="161">
        <f t="shared" si="230"/>
        <v>0</v>
      </c>
      <c r="DZ167" s="161">
        <f t="shared" si="231"/>
        <v>0</v>
      </c>
      <c r="EA167" s="161">
        <f t="shared" si="232"/>
        <v>0</v>
      </c>
      <c r="EB167" s="161">
        <f t="shared" si="233"/>
        <v>0</v>
      </c>
      <c r="EC167" s="161">
        <f t="shared" si="234"/>
        <v>0</v>
      </c>
      <c r="ED167" s="161">
        <f t="shared" si="235"/>
        <v>0</v>
      </c>
      <c r="EE167" s="161">
        <f t="shared" si="236"/>
        <v>0</v>
      </c>
      <c r="EF167" s="161">
        <f t="shared" si="237"/>
        <v>0</v>
      </c>
      <c r="EG167" s="161">
        <f t="shared" si="238"/>
        <v>0</v>
      </c>
      <c r="EH167" s="161">
        <f t="shared" si="239"/>
        <v>0</v>
      </c>
      <c r="EI167" s="161">
        <f t="shared" si="240"/>
        <v>0</v>
      </c>
      <c r="EJ167" s="161">
        <f t="shared" si="241"/>
        <v>0</v>
      </c>
      <c r="EK167" s="147">
        <f t="shared" si="173"/>
        <v>416.66666666666669</v>
      </c>
      <c r="EL167" s="149"/>
      <c r="EN167" s="146"/>
      <c r="EO167" s="146"/>
      <c r="EP167" s="139">
        <f t="shared" si="174"/>
        <v>0</v>
      </c>
      <c r="EQ167" s="139">
        <f t="shared" si="175"/>
        <v>0</v>
      </c>
      <c r="ER167" s="139">
        <f t="shared" si="176"/>
        <v>4.8617720717421982</v>
      </c>
      <c r="ES167" s="139">
        <f t="shared" si="177"/>
        <v>14.476253266872799</v>
      </c>
      <c r="ET167" s="139">
        <f t="shared" si="178"/>
        <v>62.790842244920924</v>
      </c>
      <c r="EU167" s="139">
        <f t="shared" si="179"/>
        <v>0</v>
      </c>
      <c r="EV167" s="139">
        <f t="shared" si="180"/>
        <v>0</v>
      </c>
      <c r="EW167" s="139">
        <f t="shared" si="181"/>
        <v>0</v>
      </c>
      <c r="EX167" s="139">
        <f t="shared" si="182"/>
        <v>0</v>
      </c>
      <c r="EY167" s="139">
        <f t="shared" si="183"/>
        <v>0</v>
      </c>
      <c r="EZ167" s="139">
        <f t="shared" si="184"/>
        <v>0</v>
      </c>
      <c r="FA167" s="139">
        <f t="shared" si="185"/>
        <v>0</v>
      </c>
      <c r="FB167" s="139">
        <f t="shared" si="186"/>
        <v>0</v>
      </c>
      <c r="FC167" s="139">
        <f t="shared" si="187"/>
        <v>0</v>
      </c>
      <c r="FD167" s="139">
        <f t="shared" si="188"/>
        <v>0</v>
      </c>
      <c r="FE167" s="139">
        <f t="shared" si="189"/>
        <v>0</v>
      </c>
      <c r="FF167" s="139">
        <f t="shared" si="190"/>
        <v>0</v>
      </c>
      <c r="FG167" s="139">
        <f t="shared" si="191"/>
        <v>0</v>
      </c>
      <c r="FH167" s="139">
        <f t="shared" si="192"/>
        <v>0</v>
      </c>
      <c r="FI167" s="139">
        <f t="shared" si="193"/>
        <v>0</v>
      </c>
      <c r="FJ167" s="139">
        <f t="shared" si="194"/>
        <v>0</v>
      </c>
      <c r="FK167" s="139">
        <f t="shared" si="195"/>
        <v>0</v>
      </c>
      <c r="FL167" s="139">
        <f t="shared" si="196"/>
        <v>0</v>
      </c>
      <c r="FM167" s="139">
        <f t="shared" si="197"/>
        <v>0</v>
      </c>
      <c r="FN167" s="139">
        <f t="shared" si="198"/>
        <v>0</v>
      </c>
      <c r="FO167" s="139">
        <f t="shared" si="199"/>
        <v>0</v>
      </c>
      <c r="FP167" s="139">
        <f t="shared" si="200"/>
        <v>0</v>
      </c>
      <c r="FQ167" s="139">
        <f t="shared" si="201"/>
        <v>0</v>
      </c>
      <c r="FR167" s="139">
        <f t="shared" si="202"/>
        <v>0</v>
      </c>
      <c r="FS167" s="139">
        <f t="shared" si="203"/>
        <v>0</v>
      </c>
      <c r="FT167" s="139">
        <f t="shared" si="204"/>
        <v>0</v>
      </c>
      <c r="FU167" s="148">
        <f t="shared" si="205"/>
        <v>82.128867583535921</v>
      </c>
      <c r="FV167" s="149"/>
      <c r="FY167" s="213">
        <v>162</v>
      </c>
      <c r="FZ167">
        <v>41.429137236907096</v>
      </c>
      <c r="GA167">
        <v>66.803197124681162</v>
      </c>
      <c r="GB167">
        <v>45.318575776584389</v>
      </c>
      <c r="GC167">
        <v>13.303346843261329</v>
      </c>
      <c r="GD167">
        <v>4.0317427486097221</v>
      </c>
      <c r="GE167">
        <v>5.7999662197313038</v>
      </c>
      <c r="GF167">
        <v>3.4335120020296301</v>
      </c>
      <c r="GG167">
        <v>5.3844994024864867</v>
      </c>
      <c r="GH167">
        <v>8.0381183903169564</v>
      </c>
      <c r="GI167">
        <v>21.425313551380032</v>
      </c>
      <c r="GJ167"/>
      <c r="GK167"/>
      <c r="GL167"/>
      <c r="GM167"/>
      <c r="GN167" s="208"/>
      <c r="GO167" s="208"/>
      <c r="GP167" s="208"/>
      <c r="GQ167" s="208"/>
      <c r="GR167" s="208"/>
      <c r="GS167" s="208"/>
      <c r="GT167" s="208"/>
      <c r="GU167" s="213">
        <v>162</v>
      </c>
    </row>
    <row r="168" spans="1:203" s="7" customFormat="1">
      <c r="A168" s="128"/>
      <c r="B168" s="76">
        <f ca="1">IF(C168="", "", RAND())</f>
        <v>0.25996499656329419</v>
      </c>
      <c r="C168">
        <v>3</v>
      </c>
      <c r="D168">
        <v>39949</v>
      </c>
      <c r="E168">
        <v>0</v>
      </c>
      <c r="F168">
        <v>81.018518518518519</v>
      </c>
      <c r="G168">
        <v>577.5462962962963</v>
      </c>
      <c r="H168">
        <v>162.03703703703704</v>
      </c>
      <c r="I168">
        <v>10.416666666666666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260.34978254349141</v>
      </c>
      <c r="AO168">
        <v>21.200034268457653</v>
      </c>
      <c r="AP168">
        <v>44.376838516688395</v>
      </c>
      <c r="AQ168">
        <v>161.56164785902087</v>
      </c>
      <c r="AR168">
        <v>22.363763811823794</v>
      </c>
      <c r="AS168">
        <v>305.90112983049477</v>
      </c>
      <c r="AT168">
        <v>13.577275874561272</v>
      </c>
      <c r="AU168">
        <v>8.4888858301221291</v>
      </c>
      <c r="AV168"/>
      <c r="AW168"/>
      <c r="AX168" s="128"/>
      <c r="AY168" s="76">
        <f t="shared" ca="1" si="171"/>
        <v>0.51660713560935623</v>
      </c>
      <c r="AZ168">
        <v>1</v>
      </c>
      <c r="BA168" s="129">
        <f>IF(AZ168="", "",$C$12)</f>
        <v>39949</v>
      </c>
      <c r="BB168" s="207">
        <v>0</v>
      </c>
      <c r="BC168" s="207">
        <v>0</v>
      </c>
      <c r="BD168" s="207">
        <v>0</v>
      </c>
      <c r="BE168" s="207">
        <v>0</v>
      </c>
      <c r="BF168" s="207">
        <v>0</v>
      </c>
      <c r="BG168" s="207">
        <v>0</v>
      </c>
      <c r="BH168" s="207">
        <v>0</v>
      </c>
      <c r="BI168" s="207">
        <v>0</v>
      </c>
      <c r="BJ168" s="207">
        <v>0</v>
      </c>
      <c r="BK168" s="207">
        <v>0</v>
      </c>
      <c r="BL168" s="207">
        <v>0</v>
      </c>
      <c r="BM168" s="207">
        <v>0</v>
      </c>
      <c r="BN168" s="207">
        <v>0</v>
      </c>
      <c r="BO168" s="207">
        <v>0</v>
      </c>
      <c r="BP168" s="207">
        <v>0</v>
      </c>
      <c r="BQ168" s="207">
        <v>0</v>
      </c>
      <c r="BR168" s="207">
        <v>0</v>
      </c>
      <c r="BS168" s="207">
        <v>0</v>
      </c>
      <c r="BT168" s="207">
        <v>0</v>
      </c>
      <c r="BU168" s="207">
        <v>0</v>
      </c>
      <c r="BV168" s="207">
        <v>0</v>
      </c>
      <c r="BW168" s="207">
        <v>0</v>
      </c>
      <c r="BX168" s="207">
        <v>0</v>
      </c>
      <c r="BY168" s="207">
        <v>0</v>
      </c>
      <c r="BZ168" s="207">
        <v>0</v>
      </c>
      <c r="CA168" s="207">
        <v>0</v>
      </c>
      <c r="CB168" s="207">
        <v>0</v>
      </c>
      <c r="CC168" s="207">
        <v>0</v>
      </c>
      <c r="CD168" s="207">
        <v>0</v>
      </c>
      <c r="CE168" s="207">
        <v>0</v>
      </c>
      <c r="CF168" s="207">
        <v>0</v>
      </c>
      <c r="CG168" s="147"/>
      <c r="CH168" s="176"/>
      <c r="CJ168" s="128"/>
      <c r="CK168" s="76">
        <f t="shared" ca="1" si="206"/>
        <v>0.6453620442435366</v>
      </c>
      <c r="CL168" s="179">
        <f t="shared" si="207"/>
        <v>1</v>
      </c>
      <c r="CM168" s="180">
        <f t="shared" si="208"/>
        <v>39949</v>
      </c>
      <c r="CN168" s="208">
        <v>0</v>
      </c>
      <c r="CO168" s="208">
        <v>0</v>
      </c>
      <c r="CP168" s="208">
        <v>1</v>
      </c>
      <c r="CQ168" s="208">
        <v>1</v>
      </c>
      <c r="CR168" s="208">
        <v>0</v>
      </c>
      <c r="CS168" s="208">
        <v>0</v>
      </c>
      <c r="CT168" s="208">
        <v>0</v>
      </c>
      <c r="CU168" s="20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09"/>
        <v>9.6000000000000002E-2</v>
      </c>
      <c r="DB168" s="128"/>
      <c r="DC168" s="76">
        <f t="shared" ca="1" si="172"/>
        <v>1.8081381762393267E-2</v>
      </c>
      <c r="DD168">
        <f t="shared" si="210"/>
        <v>1</v>
      </c>
      <c r="DE168" s="129">
        <f t="shared" ref="DE168:DE177" si="244">IF((DD168)="", "", $C$12)</f>
        <v>39949</v>
      </c>
      <c r="DF168" s="161">
        <f t="shared" si="211"/>
        <v>0</v>
      </c>
      <c r="DG168" s="161">
        <f t="shared" si="212"/>
        <v>0</v>
      </c>
      <c r="DH168" s="161">
        <f t="shared" si="213"/>
        <v>40.788152610441763</v>
      </c>
      <c r="DI168" s="161">
        <f t="shared" si="214"/>
        <v>40.788152610441763</v>
      </c>
      <c r="DJ168" s="161">
        <f t="shared" si="215"/>
        <v>0</v>
      </c>
      <c r="DK168" s="161">
        <f t="shared" si="216"/>
        <v>0</v>
      </c>
      <c r="DL168" s="161">
        <f t="shared" si="217"/>
        <v>0</v>
      </c>
      <c r="DM168" s="161">
        <f t="shared" si="218"/>
        <v>0</v>
      </c>
      <c r="DN168" s="161">
        <f t="shared" si="219"/>
        <v>0</v>
      </c>
      <c r="DO168" s="161">
        <f t="shared" si="220"/>
        <v>0</v>
      </c>
      <c r="DP168" s="161">
        <f t="shared" si="221"/>
        <v>0</v>
      </c>
      <c r="DQ168" s="161">
        <f t="shared" si="222"/>
        <v>0</v>
      </c>
      <c r="DR168" s="161">
        <f t="shared" si="223"/>
        <v>0</v>
      </c>
      <c r="DS168" s="161">
        <f t="shared" si="224"/>
        <v>0</v>
      </c>
      <c r="DT168" s="161">
        <f t="shared" si="225"/>
        <v>0</v>
      </c>
      <c r="DU168" s="161">
        <f t="shared" si="226"/>
        <v>0</v>
      </c>
      <c r="DV168" s="161">
        <f t="shared" si="227"/>
        <v>0</v>
      </c>
      <c r="DW168" s="161">
        <f t="shared" si="228"/>
        <v>0</v>
      </c>
      <c r="DX168" s="161">
        <f t="shared" si="229"/>
        <v>0</v>
      </c>
      <c r="DY168" s="161">
        <f t="shared" si="230"/>
        <v>0</v>
      </c>
      <c r="DZ168" s="161">
        <f t="shared" si="231"/>
        <v>0</v>
      </c>
      <c r="EA168" s="161">
        <f t="shared" si="232"/>
        <v>0</v>
      </c>
      <c r="EB168" s="161">
        <f t="shared" si="233"/>
        <v>0</v>
      </c>
      <c r="EC168" s="161">
        <f t="shared" si="234"/>
        <v>0</v>
      </c>
      <c r="ED168" s="161">
        <f t="shared" si="235"/>
        <v>0</v>
      </c>
      <c r="EE168" s="161">
        <f t="shared" si="236"/>
        <v>0</v>
      </c>
      <c r="EF168" s="161">
        <f t="shared" si="237"/>
        <v>0</v>
      </c>
      <c r="EG168" s="161">
        <f t="shared" si="238"/>
        <v>0</v>
      </c>
      <c r="EH168" s="161">
        <f t="shared" si="239"/>
        <v>0</v>
      </c>
      <c r="EI168" s="161">
        <f t="shared" si="240"/>
        <v>0</v>
      </c>
      <c r="EJ168" s="161">
        <f t="shared" si="241"/>
        <v>0</v>
      </c>
      <c r="EK168" s="147">
        <f t="shared" si="173"/>
        <v>81.576305220883526</v>
      </c>
      <c r="EL168" s="149"/>
      <c r="EN168" s="146"/>
      <c r="EO168" s="146"/>
      <c r="EP168" s="139">
        <f t="shared" si="174"/>
        <v>0</v>
      </c>
      <c r="EQ168" s="139">
        <f t="shared" si="175"/>
        <v>0</v>
      </c>
      <c r="ER168" s="139">
        <f t="shared" si="176"/>
        <v>1.9037059317062821</v>
      </c>
      <c r="ES168" s="139">
        <f t="shared" si="177"/>
        <v>5.6684124237754929</v>
      </c>
      <c r="ET168" s="139">
        <f t="shared" si="178"/>
        <v>0</v>
      </c>
      <c r="EU168" s="139">
        <f t="shared" si="179"/>
        <v>0</v>
      </c>
      <c r="EV168" s="139">
        <f t="shared" si="180"/>
        <v>0</v>
      </c>
      <c r="EW168" s="139">
        <f t="shared" si="181"/>
        <v>0</v>
      </c>
      <c r="EX168" s="139">
        <f t="shared" si="182"/>
        <v>0</v>
      </c>
      <c r="EY168" s="139">
        <f t="shared" si="183"/>
        <v>0</v>
      </c>
      <c r="EZ168" s="139">
        <f t="shared" si="184"/>
        <v>0</v>
      </c>
      <c r="FA168" s="139">
        <f t="shared" si="185"/>
        <v>0</v>
      </c>
      <c r="FB168" s="139">
        <f t="shared" si="186"/>
        <v>0</v>
      </c>
      <c r="FC168" s="139">
        <f t="shared" si="187"/>
        <v>0</v>
      </c>
      <c r="FD168" s="139">
        <f t="shared" si="188"/>
        <v>0</v>
      </c>
      <c r="FE168" s="139">
        <f t="shared" si="189"/>
        <v>0</v>
      </c>
      <c r="FF168" s="139">
        <f t="shared" si="190"/>
        <v>0</v>
      </c>
      <c r="FG168" s="139">
        <f t="shared" si="191"/>
        <v>0</v>
      </c>
      <c r="FH168" s="139">
        <f t="shared" si="192"/>
        <v>0</v>
      </c>
      <c r="FI168" s="139">
        <f t="shared" si="193"/>
        <v>0</v>
      </c>
      <c r="FJ168" s="139">
        <f t="shared" si="194"/>
        <v>0</v>
      </c>
      <c r="FK168" s="139">
        <f t="shared" si="195"/>
        <v>0</v>
      </c>
      <c r="FL168" s="139">
        <f t="shared" si="196"/>
        <v>0</v>
      </c>
      <c r="FM168" s="139">
        <f t="shared" si="197"/>
        <v>0</v>
      </c>
      <c r="FN168" s="139">
        <f t="shared" si="198"/>
        <v>0</v>
      </c>
      <c r="FO168" s="139">
        <f t="shared" si="199"/>
        <v>0</v>
      </c>
      <c r="FP168" s="139">
        <f t="shared" si="200"/>
        <v>0</v>
      </c>
      <c r="FQ168" s="139">
        <f t="shared" si="201"/>
        <v>0</v>
      </c>
      <c r="FR168" s="139">
        <f t="shared" si="202"/>
        <v>0</v>
      </c>
      <c r="FS168" s="139">
        <f t="shared" si="203"/>
        <v>0</v>
      </c>
      <c r="FT168" s="139">
        <f t="shared" si="204"/>
        <v>0</v>
      </c>
      <c r="FU168" s="148">
        <f t="shared" si="205"/>
        <v>7.5721183554817753</v>
      </c>
      <c r="FV168" s="149"/>
      <c r="FY168" s="213">
        <v>163</v>
      </c>
      <c r="FZ168">
        <v>39.951989642125788</v>
      </c>
      <c r="GA168">
        <v>49.713416035323256</v>
      </c>
      <c r="GB168">
        <v>40.095253051003311</v>
      </c>
      <c r="GC168">
        <v>16.725527983955491</v>
      </c>
      <c r="GD168">
        <v>2.2365686608238611</v>
      </c>
      <c r="GE168">
        <v>4.6169728676463135</v>
      </c>
      <c r="GF168">
        <v>7.1654064926029655</v>
      </c>
      <c r="GG168">
        <v>5.603038029608733</v>
      </c>
      <c r="GH168">
        <v>7.8897562746255545</v>
      </c>
      <c r="GI168">
        <v>19.563071433294997</v>
      </c>
      <c r="GJ168"/>
      <c r="GK168"/>
      <c r="GL168"/>
      <c r="GM168"/>
      <c r="GN168" s="208"/>
      <c r="GO168" s="208"/>
      <c r="GP168" s="208"/>
      <c r="GQ168" s="208"/>
      <c r="GR168" s="208"/>
      <c r="GS168" s="208"/>
      <c r="GT168" s="208"/>
      <c r="GU168" s="213">
        <v>163</v>
      </c>
    </row>
    <row r="169" spans="1:203" s="7" customFormat="1">
      <c r="A169" s="1"/>
      <c r="B169" s="76">
        <f ca="1">IF(C169="", "", RAND())</f>
        <v>0.82454776048143108</v>
      </c>
      <c r="C169">
        <v>4</v>
      </c>
      <c r="D169">
        <v>39949</v>
      </c>
      <c r="E169">
        <v>0</v>
      </c>
      <c r="F169">
        <v>91.324200913241995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260.16144787915647</v>
      </c>
      <c r="AO169">
        <v>23.274797200368265</v>
      </c>
      <c r="AP169">
        <v>56.305649933355383</v>
      </c>
      <c r="AQ169">
        <v>160.53390187968319</v>
      </c>
      <c r="AR169">
        <v>24.161940947980888</v>
      </c>
      <c r="AS169">
        <v>342.612860373454</v>
      </c>
      <c r="AT169" t="e">
        <v>#DIV/0!</v>
      </c>
      <c r="AU169" t="e">
        <v>#DIV/0!</v>
      </c>
      <c r="AV169"/>
      <c r="AW169"/>
      <c r="AX169" s="146"/>
      <c r="AY169" s="76">
        <f t="shared" ca="1" si="171"/>
        <v>0.61445066401958703</v>
      </c>
      <c r="AZ169">
        <v>2</v>
      </c>
      <c r="BA169" s="129">
        <f t="shared" ref="BA169:BA177" si="245">IF(AZ169="", "",$C$12)</f>
        <v>39949</v>
      </c>
      <c r="BB169" s="207">
        <v>0</v>
      </c>
      <c r="BC169" s="207">
        <v>0</v>
      </c>
      <c r="BD169" s="207">
        <v>0</v>
      </c>
      <c r="BE169" s="207">
        <v>1</v>
      </c>
      <c r="BF169" s="207">
        <v>0</v>
      </c>
      <c r="BG169" s="207">
        <v>0</v>
      </c>
      <c r="BH169" s="207">
        <v>0</v>
      </c>
      <c r="BI169" s="207">
        <v>0</v>
      </c>
      <c r="BJ169" s="207">
        <v>0</v>
      </c>
      <c r="BK169" s="207">
        <v>0</v>
      </c>
      <c r="BL169" s="207">
        <v>0</v>
      </c>
      <c r="BM169" s="207">
        <v>0</v>
      </c>
      <c r="BN169" s="207">
        <v>0</v>
      </c>
      <c r="BO169" s="207">
        <v>0</v>
      </c>
      <c r="BP169" s="207">
        <v>0</v>
      </c>
      <c r="BQ169" s="207">
        <v>0</v>
      </c>
      <c r="BR169" s="207">
        <v>0</v>
      </c>
      <c r="BS169" s="207">
        <v>0</v>
      </c>
      <c r="BT169" s="207">
        <v>0</v>
      </c>
      <c r="BU169" s="207">
        <v>0</v>
      </c>
      <c r="BV169" s="207">
        <v>0</v>
      </c>
      <c r="BW169" s="207">
        <v>0</v>
      </c>
      <c r="BX169" s="207">
        <v>0</v>
      </c>
      <c r="BY169" s="207">
        <v>0</v>
      </c>
      <c r="BZ169" s="207">
        <v>0</v>
      </c>
      <c r="CA169" s="207">
        <v>0</v>
      </c>
      <c r="CB169" s="207">
        <v>0</v>
      </c>
      <c r="CC169" s="207">
        <v>0</v>
      </c>
      <c r="CD169" s="207">
        <v>0</v>
      </c>
      <c r="CE169" s="207">
        <v>0</v>
      </c>
      <c r="CF169" s="207">
        <v>0</v>
      </c>
      <c r="CG169" s="147"/>
      <c r="CH169" s="176"/>
      <c r="CJ169" s="146"/>
      <c r="CK169" s="76">
        <f t="shared" ca="1" si="206"/>
        <v>0.6529539238485329</v>
      </c>
      <c r="CL169" s="179">
        <f t="shared" si="207"/>
        <v>2</v>
      </c>
      <c r="CM169" s="180">
        <f t="shared" si="208"/>
        <v>39949</v>
      </c>
      <c r="CN169" s="208">
        <v>0</v>
      </c>
      <c r="CO169" s="208">
        <v>0</v>
      </c>
      <c r="CP169" s="208">
        <v>0</v>
      </c>
      <c r="CQ169" s="208">
        <v>0</v>
      </c>
      <c r="CR169" s="208">
        <v>0</v>
      </c>
      <c r="CS169" s="208">
        <v>0</v>
      </c>
      <c r="CT169" s="208">
        <v>0</v>
      </c>
      <c r="CU169" s="208">
        <v>0</v>
      </c>
      <c r="CV169" s="160"/>
      <c r="CW169">
        <v>1</v>
      </c>
      <c r="CX169">
        <v>1</v>
      </c>
      <c r="CY169" s="160"/>
      <c r="CZ169" s="177">
        <f t="shared" si="209"/>
        <v>9.6000000000000002E-2</v>
      </c>
      <c r="DB169" s="146"/>
      <c r="DC169" s="76">
        <f t="shared" ca="1" si="172"/>
        <v>0.37240878722802284</v>
      </c>
      <c r="DD169">
        <f t="shared" si="210"/>
        <v>2</v>
      </c>
      <c r="DE169" s="129">
        <f t="shared" si="244"/>
        <v>39949</v>
      </c>
      <c r="DF169" s="161">
        <f t="shared" si="211"/>
        <v>0</v>
      </c>
      <c r="DG169" s="161">
        <f t="shared" si="212"/>
        <v>0</v>
      </c>
      <c r="DH169" s="161">
        <f t="shared" si="213"/>
        <v>0</v>
      </c>
      <c r="DI169" s="161">
        <f t="shared" si="214"/>
        <v>10.416666666666666</v>
      </c>
      <c r="DJ169" s="161">
        <f t="shared" si="215"/>
        <v>0</v>
      </c>
      <c r="DK169" s="161">
        <f t="shared" si="216"/>
        <v>0</v>
      </c>
      <c r="DL169" s="161">
        <f t="shared" si="217"/>
        <v>0</v>
      </c>
      <c r="DM169" s="161">
        <f t="shared" si="218"/>
        <v>0</v>
      </c>
      <c r="DN169" s="161">
        <f t="shared" si="219"/>
        <v>0</v>
      </c>
      <c r="DO169" s="161">
        <f t="shared" si="220"/>
        <v>0</v>
      </c>
      <c r="DP169" s="161">
        <f t="shared" si="221"/>
        <v>0</v>
      </c>
      <c r="DQ169" s="161">
        <f t="shared" si="222"/>
        <v>0</v>
      </c>
      <c r="DR169" s="161">
        <f t="shared" si="223"/>
        <v>0</v>
      </c>
      <c r="DS169" s="161">
        <f t="shared" si="224"/>
        <v>0</v>
      </c>
      <c r="DT169" s="161">
        <f t="shared" si="225"/>
        <v>0</v>
      </c>
      <c r="DU169" s="161">
        <f t="shared" si="226"/>
        <v>0</v>
      </c>
      <c r="DV169" s="161">
        <f t="shared" si="227"/>
        <v>0</v>
      </c>
      <c r="DW169" s="161">
        <f t="shared" si="228"/>
        <v>0</v>
      </c>
      <c r="DX169" s="161">
        <f t="shared" si="229"/>
        <v>0</v>
      </c>
      <c r="DY169" s="161">
        <f t="shared" si="230"/>
        <v>0</v>
      </c>
      <c r="DZ169" s="161">
        <f t="shared" si="231"/>
        <v>0</v>
      </c>
      <c r="EA169" s="161">
        <f t="shared" si="232"/>
        <v>0</v>
      </c>
      <c r="EB169" s="161">
        <f t="shared" si="233"/>
        <v>0</v>
      </c>
      <c r="EC169" s="161">
        <f t="shared" si="234"/>
        <v>0</v>
      </c>
      <c r="ED169" s="161">
        <f t="shared" si="235"/>
        <v>0</v>
      </c>
      <c r="EE169" s="161">
        <f t="shared" si="236"/>
        <v>0</v>
      </c>
      <c r="EF169" s="161">
        <f t="shared" si="237"/>
        <v>0</v>
      </c>
      <c r="EG169" s="161">
        <f t="shared" si="238"/>
        <v>0</v>
      </c>
      <c r="EH169" s="161">
        <f t="shared" si="239"/>
        <v>0</v>
      </c>
      <c r="EI169" s="161">
        <f t="shared" si="240"/>
        <v>0</v>
      </c>
      <c r="EJ169" s="161">
        <f t="shared" si="241"/>
        <v>0</v>
      </c>
      <c r="EK169" s="147">
        <f t="shared" si="173"/>
        <v>10.416666666666666</v>
      </c>
      <c r="EL169" s="149"/>
      <c r="EN169" s="146"/>
      <c r="EO169" s="146"/>
      <c r="EP169" s="139">
        <f t="shared" si="174"/>
        <v>0</v>
      </c>
      <c r="EQ169" s="139">
        <f t="shared" si="175"/>
        <v>0</v>
      </c>
      <c r="ER169" s="139">
        <f t="shared" si="176"/>
        <v>0</v>
      </c>
      <c r="ES169" s="139">
        <f t="shared" si="177"/>
        <v>1.4476253266872796</v>
      </c>
      <c r="ET169" s="139">
        <f t="shared" si="178"/>
        <v>0</v>
      </c>
      <c r="EU169" s="139">
        <f t="shared" si="179"/>
        <v>0</v>
      </c>
      <c r="EV169" s="139">
        <f t="shared" si="180"/>
        <v>0</v>
      </c>
      <c r="EW169" s="139">
        <f t="shared" si="181"/>
        <v>0</v>
      </c>
      <c r="EX169" s="139">
        <f t="shared" si="182"/>
        <v>0</v>
      </c>
      <c r="EY169" s="139">
        <f t="shared" si="183"/>
        <v>0</v>
      </c>
      <c r="EZ169" s="139">
        <f t="shared" si="184"/>
        <v>0</v>
      </c>
      <c r="FA169" s="139">
        <f t="shared" si="185"/>
        <v>0</v>
      </c>
      <c r="FB169" s="139">
        <f t="shared" si="186"/>
        <v>0</v>
      </c>
      <c r="FC169" s="139">
        <f t="shared" si="187"/>
        <v>0</v>
      </c>
      <c r="FD169" s="139">
        <f t="shared" si="188"/>
        <v>0</v>
      </c>
      <c r="FE169" s="139">
        <f t="shared" si="189"/>
        <v>0</v>
      </c>
      <c r="FF169" s="139">
        <f t="shared" si="190"/>
        <v>0</v>
      </c>
      <c r="FG169" s="139">
        <f t="shared" si="191"/>
        <v>0</v>
      </c>
      <c r="FH169" s="139">
        <f t="shared" si="192"/>
        <v>0</v>
      </c>
      <c r="FI169" s="139">
        <f t="shared" si="193"/>
        <v>0</v>
      </c>
      <c r="FJ169" s="139">
        <f t="shared" si="194"/>
        <v>0</v>
      </c>
      <c r="FK169" s="139">
        <f t="shared" si="195"/>
        <v>0</v>
      </c>
      <c r="FL169" s="139">
        <f t="shared" si="196"/>
        <v>0</v>
      </c>
      <c r="FM169" s="139">
        <f t="shared" si="197"/>
        <v>0</v>
      </c>
      <c r="FN169" s="139">
        <f t="shared" si="198"/>
        <v>0</v>
      </c>
      <c r="FO169" s="139">
        <f t="shared" si="199"/>
        <v>0</v>
      </c>
      <c r="FP169" s="139">
        <f t="shared" si="200"/>
        <v>0</v>
      </c>
      <c r="FQ169" s="139">
        <f t="shared" si="201"/>
        <v>0</v>
      </c>
      <c r="FR169" s="139">
        <f t="shared" si="202"/>
        <v>0</v>
      </c>
      <c r="FS169" s="139">
        <f t="shared" si="203"/>
        <v>0</v>
      </c>
      <c r="FT169" s="139">
        <f t="shared" si="204"/>
        <v>0</v>
      </c>
      <c r="FU169" s="148">
        <f t="shared" si="205"/>
        <v>1.4476253266872796</v>
      </c>
      <c r="FV169" s="149"/>
      <c r="FY169" s="213">
        <v>164</v>
      </c>
      <c r="FZ169">
        <v>40.678470113164344</v>
      </c>
      <c r="GA169">
        <v>23.4597237102886</v>
      </c>
      <c r="GB169">
        <v>22.595494936400229</v>
      </c>
      <c r="GC169">
        <v>13.839388907414362</v>
      </c>
      <c r="GD169">
        <v>4.755564103145792</v>
      </c>
      <c r="GE169">
        <v>4.5595005936894157</v>
      </c>
      <c r="GF169">
        <v>9.6305080108781951</v>
      </c>
      <c r="GG169">
        <v>8.5676922927552468</v>
      </c>
      <c r="GH169">
        <v>8.8133886367806262</v>
      </c>
      <c r="GI169">
        <v>17.41504506366352</v>
      </c>
      <c r="GJ169"/>
      <c r="GK169"/>
      <c r="GL169"/>
      <c r="GM169"/>
      <c r="GN169" s="208"/>
      <c r="GO169" s="208"/>
      <c r="GP169" s="208"/>
      <c r="GQ169" s="208"/>
      <c r="GR169" s="208"/>
      <c r="GS169" s="208"/>
      <c r="GT169" s="208"/>
      <c r="GU169" s="213">
        <v>164</v>
      </c>
    </row>
    <row r="170" spans="1:203" s="7" customFormat="1">
      <c r="A170" s="1"/>
      <c r="B170" s="76">
        <f ca="1">IF(C170="", "", RAND())</f>
        <v>0.28509008230156807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229.09221968282085</v>
      </c>
      <c r="AO170">
        <v>24.656353891587237</v>
      </c>
      <c r="AP170">
        <v>39.346986376219746</v>
      </c>
      <c r="AQ170">
        <v>173.12324042892897</v>
      </c>
      <c r="AR170">
        <v>25.070585704538921</v>
      </c>
      <c r="AS170">
        <v>331.37629315022843</v>
      </c>
      <c r="AT170">
        <v>15.71757125385701</v>
      </c>
      <c r="AU170">
        <v>7.5147949188533012</v>
      </c>
      <c r="AV170"/>
      <c r="AW170"/>
      <c r="AX170" s="146"/>
      <c r="AY170" s="76">
        <f t="shared" ca="1" si="171"/>
        <v>0.73488117373128081</v>
      </c>
      <c r="AZ170">
        <v>3</v>
      </c>
      <c r="BA170" s="129">
        <f t="shared" si="245"/>
        <v>39949</v>
      </c>
      <c r="BB170" s="207">
        <v>0</v>
      </c>
      <c r="BC170" s="207">
        <v>0</v>
      </c>
      <c r="BD170" s="207">
        <v>1</v>
      </c>
      <c r="BE170" s="207">
        <v>0</v>
      </c>
      <c r="BF170" s="207">
        <v>1</v>
      </c>
      <c r="BG170" s="207">
        <v>0</v>
      </c>
      <c r="BH170" s="207">
        <v>0</v>
      </c>
      <c r="BI170" s="207">
        <v>0</v>
      </c>
      <c r="BJ170" s="207">
        <v>0</v>
      </c>
      <c r="BK170" s="207">
        <v>0</v>
      </c>
      <c r="BL170" s="207">
        <v>0</v>
      </c>
      <c r="BM170" s="207">
        <v>0</v>
      </c>
      <c r="BN170" s="207">
        <v>0</v>
      </c>
      <c r="BO170" s="207">
        <v>0</v>
      </c>
      <c r="BP170" s="207">
        <v>0</v>
      </c>
      <c r="BQ170" s="207">
        <v>0</v>
      </c>
      <c r="BR170" s="207">
        <v>0</v>
      </c>
      <c r="BS170" s="207">
        <v>0</v>
      </c>
      <c r="BT170" s="207">
        <v>0</v>
      </c>
      <c r="BU170" s="207">
        <v>0</v>
      </c>
      <c r="BV170" s="207">
        <v>0</v>
      </c>
      <c r="BW170" s="207">
        <v>0</v>
      </c>
      <c r="BX170" s="207">
        <v>0</v>
      </c>
      <c r="BY170" s="207">
        <v>0</v>
      </c>
      <c r="BZ170" s="207">
        <v>0</v>
      </c>
      <c r="CA170" s="207">
        <v>0</v>
      </c>
      <c r="CB170" s="207">
        <v>0</v>
      </c>
      <c r="CC170" s="207">
        <v>0</v>
      </c>
      <c r="CD170" s="207">
        <v>0</v>
      </c>
      <c r="CE170" s="207">
        <v>0</v>
      </c>
      <c r="CF170" s="207">
        <v>0</v>
      </c>
      <c r="CG170" s="147"/>
      <c r="CH170" s="176"/>
      <c r="CJ170" s="146"/>
      <c r="CK170" s="76">
        <f t="shared" ca="1" si="206"/>
        <v>0.86948949445247337</v>
      </c>
      <c r="CL170" s="179">
        <f t="shared" si="207"/>
        <v>3</v>
      </c>
      <c r="CM170" s="180">
        <f t="shared" si="208"/>
        <v>39949</v>
      </c>
      <c r="CN170" s="208">
        <v>0</v>
      </c>
      <c r="CO170" s="208">
        <v>1</v>
      </c>
      <c r="CP170" s="208">
        <v>7</v>
      </c>
      <c r="CQ170" s="208">
        <v>2</v>
      </c>
      <c r="CR170" s="208">
        <v>0</v>
      </c>
      <c r="CS170" s="208">
        <v>0</v>
      </c>
      <c r="CT170" s="208">
        <v>0</v>
      </c>
      <c r="CU170" s="208">
        <v>0</v>
      </c>
      <c r="CV170" s="160"/>
      <c r="CW170">
        <v>1</v>
      </c>
      <c r="CX170">
        <f>350/45</f>
        <v>7.7777777777777777</v>
      </c>
      <c r="CY170" s="160"/>
      <c r="CZ170" s="177">
        <f t="shared" si="209"/>
        <v>9.6000000000000002E-2</v>
      </c>
      <c r="DB170" s="146"/>
      <c r="DC170" s="76">
        <f t="shared" ca="1" si="172"/>
        <v>0.77261417163445434</v>
      </c>
      <c r="DD170">
        <f t="shared" si="210"/>
        <v>3</v>
      </c>
      <c r="DE170" s="129">
        <f t="shared" si="244"/>
        <v>39949</v>
      </c>
      <c r="DF170" s="161">
        <f t="shared" si="211"/>
        <v>0</v>
      </c>
      <c r="DG170" s="161">
        <f t="shared" si="212"/>
        <v>81.018518518518519</v>
      </c>
      <c r="DH170" s="161">
        <f t="shared" si="213"/>
        <v>577.5462962962963</v>
      </c>
      <c r="DI170" s="161">
        <f t="shared" si="214"/>
        <v>162.03703703703704</v>
      </c>
      <c r="DJ170" s="161">
        <f t="shared" si="215"/>
        <v>10.416666666666666</v>
      </c>
      <c r="DK170" s="161">
        <f t="shared" si="216"/>
        <v>0</v>
      </c>
      <c r="DL170" s="161">
        <f t="shared" si="217"/>
        <v>0</v>
      </c>
      <c r="DM170" s="161">
        <f t="shared" si="218"/>
        <v>0</v>
      </c>
      <c r="DN170" s="161">
        <f t="shared" si="219"/>
        <v>0</v>
      </c>
      <c r="DO170" s="161">
        <f t="shared" si="220"/>
        <v>0</v>
      </c>
      <c r="DP170" s="161">
        <f t="shared" si="221"/>
        <v>0</v>
      </c>
      <c r="DQ170" s="161">
        <f t="shared" si="222"/>
        <v>0</v>
      </c>
      <c r="DR170" s="161">
        <f t="shared" si="223"/>
        <v>0</v>
      </c>
      <c r="DS170" s="161">
        <f t="shared" si="224"/>
        <v>0</v>
      </c>
      <c r="DT170" s="161">
        <f t="shared" si="225"/>
        <v>0</v>
      </c>
      <c r="DU170" s="161">
        <f t="shared" si="226"/>
        <v>0</v>
      </c>
      <c r="DV170" s="161">
        <f t="shared" si="227"/>
        <v>0</v>
      </c>
      <c r="DW170" s="161">
        <f t="shared" si="228"/>
        <v>0</v>
      </c>
      <c r="DX170" s="161">
        <f t="shared" si="229"/>
        <v>0</v>
      </c>
      <c r="DY170" s="161">
        <f t="shared" si="230"/>
        <v>0</v>
      </c>
      <c r="DZ170" s="161">
        <f t="shared" si="231"/>
        <v>0</v>
      </c>
      <c r="EA170" s="161">
        <f t="shared" si="232"/>
        <v>0</v>
      </c>
      <c r="EB170" s="161">
        <f t="shared" si="233"/>
        <v>0</v>
      </c>
      <c r="EC170" s="161">
        <f t="shared" si="234"/>
        <v>0</v>
      </c>
      <c r="ED170" s="161">
        <f t="shared" si="235"/>
        <v>0</v>
      </c>
      <c r="EE170" s="161">
        <f t="shared" si="236"/>
        <v>0</v>
      </c>
      <c r="EF170" s="161">
        <f t="shared" si="237"/>
        <v>0</v>
      </c>
      <c r="EG170" s="161">
        <f t="shared" si="238"/>
        <v>0</v>
      </c>
      <c r="EH170" s="161">
        <f t="shared" si="239"/>
        <v>0</v>
      </c>
      <c r="EI170" s="161">
        <f t="shared" si="240"/>
        <v>0</v>
      </c>
      <c r="EJ170" s="161">
        <f t="shared" si="241"/>
        <v>0</v>
      </c>
      <c r="EK170" s="147">
        <f t="shared" si="173"/>
        <v>831.01851851851848</v>
      </c>
      <c r="EL170" s="149"/>
      <c r="EN170" s="146"/>
      <c r="EO170" s="146"/>
      <c r="EP170" s="139">
        <f t="shared" si="174"/>
        <v>0</v>
      </c>
      <c r="EQ170" s="139">
        <f t="shared" si="175"/>
        <v>0.58556944444444448</v>
      </c>
      <c r="ER170" s="139">
        <f t="shared" si="176"/>
        <v>26.955825153326188</v>
      </c>
      <c r="ES170" s="139">
        <f t="shared" si="177"/>
        <v>22.518616192913242</v>
      </c>
      <c r="ET170" s="139">
        <f t="shared" si="178"/>
        <v>3.1395421122460458</v>
      </c>
      <c r="EU170" s="139">
        <f t="shared" si="179"/>
        <v>0</v>
      </c>
      <c r="EV170" s="139">
        <f t="shared" si="180"/>
        <v>0</v>
      </c>
      <c r="EW170" s="139">
        <f t="shared" si="181"/>
        <v>0</v>
      </c>
      <c r="EX170" s="139">
        <f t="shared" si="182"/>
        <v>0</v>
      </c>
      <c r="EY170" s="139">
        <f t="shared" si="183"/>
        <v>0</v>
      </c>
      <c r="EZ170" s="139">
        <f t="shared" si="184"/>
        <v>0</v>
      </c>
      <c r="FA170" s="139">
        <f t="shared" si="185"/>
        <v>0</v>
      </c>
      <c r="FB170" s="139">
        <f t="shared" si="186"/>
        <v>0</v>
      </c>
      <c r="FC170" s="139">
        <f t="shared" si="187"/>
        <v>0</v>
      </c>
      <c r="FD170" s="139">
        <f t="shared" si="188"/>
        <v>0</v>
      </c>
      <c r="FE170" s="139">
        <f t="shared" si="189"/>
        <v>0</v>
      </c>
      <c r="FF170" s="139">
        <f t="shared" si="190"/>
        <v>0</v>
      </c>
      <c r="FG170" s="139">
        <f t="shared" si="191"/>
        <v>0</v>
      </c>
      <c r="FH170" s="139">
        <f t="shared" si="192"/>
        <v>0</v>
      </c>
      <c r="FI170" s="139">
        <f t="shared" si="193"/>
        <v>0</v>
      </c>
      <c r="FJ170" s="139">
        <f t="shared" si="194"/>
        <v>0</v>
      </c>
      <c r="FK170" s="139">
        <f t="shared" si="195"/>
        <v>0</v>
      </c>
      <c r="FL170" s="139">
        <f t="shared" si="196"/>
        <v>0</v>
      </c>
      <c r="FM170" s="139">
        <f t="shared" si="197"/>
        <v>0</v>
      </c>
      <c r="FN170" s="139">
        <f t="shared" si="198"/>
        <v>0</v>
      </c>
      <c r="FO170" s="139">
        <f t="shared" si="199"/>
        <v>0</v>
      </c>
      <c r="FP170" s="139">
        <f t="shared" si="200"/>
        <v>0</v>
      </c>
      <c r="FQ170" s="139">
        <f t="shared" si="201"/>
        <v>0</v>
      </c>
      <c r="FR170" s="139">
        <f t="shared" si="202"/>
        <v>0</v>
      </c>
      <c r="FS170" s="139">
        <f t="shared" si="203"/>
        <v>0</v>
      </c>
      <c r="FT170" s="139">
        <f t="shared" si="204"/>
        <v>0</v>
      </c>
      <c r="FU170" s="148">
        <f t="shared" si="205"/>
        <v>53.199552902929923</v>
      </c>
      <c r="FV170" s="149"/>
      <c r="FY170" s="213">
        <v>165</v>
      </c>
      <c r="FZ170">
        <v>46.522529432191838</v>
      </c>
      <c r="GA170">
        <v>45.627440489940469</v>
      </c>
      <c r="GB170">
        <v>34.926428144380658</v>
      </c>
      <c r="GC170">
        <v>14.794935768149688</v>
      </c>
      <c r="GD170">
        <v>3.6999777678430119</v>
      </c>
      <c r="GE170">
        <v>6.5127006146463371</v>
      </c>
      <c r="GF170">
        <v>4.9260306971153858</v>
      </c>
      <c r="GG170">
        <v>7.5261944758418604</v>
      </c>
      <c r="GH170">
        <v>11.109967582299888</v>
      </c>
      <c r="GI170">
        <v>20.198131982317346</v>
      </c>
      <c r="GJ170"/>
      <c r="GK170"/>
      <c r="GL170"/>
      <c r="GM170"/>
      <c r="GN170" s="208"/>
      <c r="GO170" s="208"/>
      <c r="GP170" s="208"/>
      <c r="GQ170" s="208"/>
      <c r="GR170" s="208"/>
      <c r="GS170" s="208"/>
      <c r="GT170" s="208"/>
      <c r="GU170" s="213">
        <v>165</v>
      </c>
    </row>
    <row r="171" spans="1:203" s="7" customFormat="1">
      <c r="A171" s="1"/>
      <c r="B171" s="76">
        <f ca="1">IF(C171="", "", RAND())</f>
        <v>0.69635623581177608</v>
      </c>
      <c r="C171">
        <v>6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222.12516080657747</v>
      </c>
      <c r="AO171">
        <v>19.601796343871598</v>
      </c>
      <c r="AP171">
        <v>13.456576256986516</v>
      </c>
      <c r="AQ171">
        <v>143.51201091106915</v>
      </c>
      <c r="AR171">
        <v>19.858205464920189</v>
      </c>
      <c r="AS171">
        <v>278.39938089756498</v>
      </c>
      <c r="AT171">
        <v>12.184354654482098</v>
      </c>
      <c r="AU171">
        <v>-6.9147448202463124</v>
      </c>
      <c r="AV171"/>
      <c r="AW171"/>
      <c r="AX171" s="146"/>
      <c r="AY171" s="76">
        <f t="shared" ca="1" si="171"/>
        <v>3.8324718964783955E-3</v>
      </c>
      <c r="AZ171">
        <v>4</v>
      </c>
      <c r="BA171" s="129">
        <f t="shared" si="245"/>
        <v>39949</v>
      </c>
      <c r="BB171" s="207">
        <v>0</v>
      </c>
      <c r="BC171" s="207">
        <v>0</v>
      </c>
      <c r="BD171" s="207">
        <v>0</v>
      </c>
      <c r="BE171" s="207">
        <v>0</v>
      </c>
      <c r="BF171" s="207">
        <v>0</v>
      </c>
      <c r="BG171" s="207">
        <v>0</v>
      </c>
      <c r="BH171" s="207">
        <v>0</v>
      </c>
      <c r="BI171" s="207">
        <v>0</v>
      </c>
      <c r="BJ171" s="207">
        <v>0</v>
      </c>
      <c r="BK171" s="207">
        <v>0</v>
      </c>
      <c r="BL171" s="207">
        <v>0</v>
      </c>
      <c r="BM171" s="207">
        <v>0</v>
      </c>
      <c r="BN171" s="207">
        <v>0</v>
      </c>
      <c r="BO171" s="207">
        <v>0</v>
      </c>
      <c r="BP171" s="207">
        <v>0</v>
      </c>
      <c r="BQ171" s="207">
        <v>0</v>
      </c>
      <c r="BR171" s="207">
        <v>0</v>
      </c>
      <c r="BS171" s="207">
        <v>0</v>
      </c>
      <c r="BT171" s="207">
        <v>0</v>
      </c>
      <c r="BU171" s="207">
        <v>0</v>
      </c>
      <c r="BV171" s="207">
        <v>0</v>
      </c>
      <c r="BW171" s="207">
        <v>0</v>
      </c>
      <c r="BX171" s="207">
        <v>0</v>
      </c>
      <c r="BY171" s="207">
        <v>0</v>
      </c>
      <c r="BZ171" s="207">
        <v>0</v>
      </c>
      <c r="CA171" s="207">
        <v>0</v>
      </c>
      <c r="CB171" s="207">
        <v>0</v>
      </c>
      <c r="CC171" s="207">
        <v>0</v>
      </c>
      <c r="CD171" s="207">
        <v>0</v>
      </c>
      <c r="CE171" s="207">
        <v>0</v>
      </c>
      <c r="CF171" s="207">
        <v>0</v>
      </c>
      <c r="CG171" s="147"/>
      <c r="CH171" s="176"/>
      <c r="CJ171" s="146"/>
      <c r="CK171" s="76">
        <f t="shared" ca="1" si="206"/>
        <v>0.67879383403356286</v>
      </c>
      <c r="CL171" s="179">
        <f t="shared" si="207"/>
        <v>4</v>
      </c>
      <c r="CM171" s="180">
        <f t="shared" si="208"/>
        <v>39949</v>
      </c>
      <c r="CN171" s="208">
        <v>0</v>
      </c>
      <c r="CO171" s="208">
        <v>2</v>
      </c>
      <c r="CP171" s="208">
        <v>0</v>
      </c>
      <c r="CQ171" s="208">
        <v>0</v>
      </c>
      <c r="CR171" s="208">
        <v>0</v>
      </c>
      <c r="CS171" s="208">
        <v>0</v>
      </c>
      <c r="CT171" s="208">
        <v>0</v>
      </c>
      <c r="CU171" s="208">
        <v>0</v>
      </c>
      <c r="CV171" s="160"/>
      <c r="CW171">
        <v>1</v>
      </c>
      <c r="CX171">
        <f>320/73</f>
        <v>4.3835616438356162</v>
      </c>
      <c r="CY171" s="160"/>
      <c r="CZ171" s="177">
        <f t="shared" si="209"/>
        <v>9.6000000000000002E-2</v>
      </c>
      <c r="DB171" s="146"/>
      <c r="DC171" s="76">
        <f t="shared" ca="1" si="172"/>
        <v>0.54892305289542698</v>
      </c>
      <c r="DD171">
        <f t="shared" si="210"/>
        <v>4</v>
      </c>
      <c r="DE171" s="129">
        <f t="shared" si="244"/>
        <v>39949</v>
      </c>
      <c r="DF171" s="161">
        <f t="shared" si="211"/>
        <v>0</v>
      </c>
      <c r="DG171" s="161">
        <f t="shared" si="212"/>
        <v>91.324200913241995</v>
      </c>
      <c r="DH171" s="161">
        <f t="shared" si="213"/>
        <v>0</v>
      </c>
      <c r="DI171" s="161">
        <f t="shared" si="214"/>
        <v>0</v>
      </c>
      <c r="DJ171" s="161">
        <f t="shared" si="215"/>
        <v>0</v>
      </c>
      <c r="DK171" s="161">
        <f t="shared" si="216"/>
        <v>0</v>
      </c>
      <c r="DL171" s="161">
        <f t="shared" si="217"/>
        <v>0</v>
      </c>
      <c r="DM171" s="161">
        <f t="shared" si="218"/>
        <v>0</v>
      </c>
      <c r="DN171" s="161">
        <f t="shared" si="219"/>
        <v>0</v>
      </c>
      <c r="DO171" s="161">
        <f t="shared" si="220"/>
        <v>0</v>
      </c>
      <c r="DP171" s="161">
        <f t="shared" si="221"/>
        <v>0</v>
      </c>
      <c r="DQ171" s="161">
        <f t="shared" si="222"/>
        <v>0</v>
      </c>
      <c r="DR171" s="161">
        <f t="shared" si="223"/>
        <v>0</v>
      </c>
      <c r="DS171" s="161">
        <f t="shared" si="224"/>
        <v>0</v>
      </c>
      <c r="DT171" s="161">
        <f t="shared" si="225"/>
        <v>0</v>
      </c>
      <c r="DU171" s="161">
        <f t="shared" si="226"/>
        <v>0</v>
      </c>
      <c r="DV171" s="161">
        <f t="shared" si="227"/>
        <v>0</v>
      </c>
      <c r="DW171" s="161">
        <f t="shared" si="228"/>
        <v>0</v>
      </c>
      <c r="DX171" s="161">
        <f t="shared" si="229"/>
        <v>0</v>
      </c>
      <c r="DY171" s="161">
        <f t="shared" si="230"/>
        <v>0</v>
      </c>
      <c r="DZ171" s="161">
        <f t="shared" si="231"/>
        <v>0</v>
      </c>
      <c r="EA171" s="161">
        <f t="shared" si="232"/>
        <v>0</v>
      </c>
      <c r="EB171" s="161">
        <f t="shared" si="233"/>
        <v>0</v>
      </c>
      <c r="EC171" s="161">
        <f t="shared" si="234"/>
        <v>0</v>
      </c>
      <c r="ED171" s="161">
        <f t="shared" si="235"/>
        <v>0</v>
      </c>
      <c r="EE171" s="161">
        <f t="shared" si="236"/>
        <v>0</v>
      </c>
      <c r="EF171" s="161">
        <f t="shared" si="237"/>
        <v>0</v>
      </c>
      <c r="EG171" s="161">
        <f t="shared" si="238"/>
        <v>0</v>
      </c>
      <c r="EH171" s="161">
        <f t="shared" si="239"/>
        <v>0</v>
      </c>
      <c r="EI171" s="161">
        <f t="shared" si="240"/>
        <v>0</v>
      </c>
      <c r="EJ171" s="161">
        <f t="shared" si="241"/>
        <v>0</v>
      </c>
      <c r="EK171" s="147">
        <f t="shared" si="173"/>
        <v>91.324200913241995</v>
      </c>
      <c r="EL171" s="149"/>
      <c r="EN171" s="146"/>
      <c r="EO171" s="146"/>
      <c r="EP171" s="139">
        <f t="shared" si="174"/>
        <v>0</v>
      </c>
      <c r="EQ171" s="139">
        <f t="shared" si="175"/>
        <v>0.66005479452054783</v>
      </c>
      <c r="ER171" s="139">
        <f t="shared" si="176"/>
        <v>0</v>
      </c>
      <c r="ES171" s="139">
        <f t="shared" si="177"/>
        <v>0</v>
      </c>
      <c r="ET171" s="139">
        <f t="shared" si="178"/>
        <v>0</v>
      </c>
      <c r="EU171" s="139">
        <f t="shared" si="179"/>
        <v>0</v>
      </c>
      <c r="EV171" s="139">
        <f t="shared" si="180"/>
        <v>0</v>
      </c>
      <c r="EW171" s="139">
        <f t="shared" si="181"/>
        <v>0</v>
      </c>
      <c r="EX171" s="139">
        <f t="shared" si="182"/>
        <v>0</v>
      </c>
      <c r="EY171" s="139">
        <f t="shared" si="183"/>
        <v>0</v>
      </c>
      <c r="EZ171" s="139">
        <f t="shared" si="184"/>
        <v>0</v>
      </c>
      <c r="FA171" s="139">
        <f t="shared" si="185"/>
        <v>0</v>
      </c>
      <c r="FB171" s="139">
        <f t="shared" si="186"/>
        <v>0</v>
      </c>
      <c r="FC171" s="139">
        <f t="shared" si="187"/>
        <v>0</v>
      </c>
      <c r="FD171" s="139">
        <f t="shared" si="188"/>
        <v>0</v>
      </c>
      <c r="FE171" s="139">
        <f t="shared" si="189"/>
        <v>0</v>
      </c>
      <c r="FF171" s="139">
        <f t="shared" si="190"/>
        <v>0</v>
      </c>
      <c r="FG171" s="139">
        <f t="shared" si="191"/>
        <v>0</v>
      </c>
      <c r="FH171" s="139">
        <f t="shared" si="192"/>
        <v>0</v>
      </c>
      <c r="FI171" s="139">
        <f t="shared" si="193"/>
        <v>0</v>
      </c>
      <c r="FJ171" s="139">
        <f t="shared" si="194"/>
        <v>0</v>
      </c>
      <c r="FK171" s="139">
        <f t="shared" si="195"/>
        <v>0</v>
      </c>
      <c r="FL171" s="139">
        <f t="shared" si="196"/>
        <v>0</v>
      </c>
      <c r="FM171" s="139">
        <f t="shared" si="197"/>
        <v>0</v>
      </c>
      <c r="FN171" s="139">
        <f t="shared" si="198"/>
        <v>0</v>
      </c>
      <c r="FO171" s="139">
        <f t="shared" si="199"/>
        <v>0</v>
      </c>
      <c r="FP171" s="139">
        <f t="shared" si="200"/>
        <v>0</v>
      </c>
      <c r="FQ171" s="139">
        <f t="shared" si="201"/>
        <v>0</v>
      </c>
      <c r="FR171" s="139">
        <f t="shared" si="202"/>
        <v>0</v>
      </c>
      <c r="FS171" s="139">
        <f t="shared" si="203"/>
        <v>0</v>
      </c>
      <c r="FT171" s="139">
        <f t="shared" si="204"/>
        <v>0</v>
      </c>
      <c r="FU171" s="148">
        <f t="shared" si="205"/>
        <v>0.66005479452054783</v>
      </c>
      <c r="FV171" s="149"/>
      <c r="FY171" s="213">
        <v>166</v>
      </c>
      <c r="FZ171">
        <v>64.700906788838054</v>
      </c>
      <c r="GA171">
        <v>48.915029013706182</v>
      </c>
      <c r="GB171">
        <v>29.467789960756452</v>
      </c>
      <c r="GC171">
        <v>13.360565297981852</v>
      </c>
      <c r="GD171">
        <v>2.2601142362474915</v>
      </c>
      <c r="GE171">
        <v>3.0444484354975492</v>
      </c>
      <c r="GF171">
        <v>5.9183684732172654</v>
      </c>
      <c r="GG171">
        <v>6.0835699042494218</v>
      </c>
      <c r="GH171">
        <v>7.1204784235571319</v>
      </c>
      <c r="GI171">
        <v>20.261448557062209</v>
      </c>
      <c r="GJ171"/>
      <c r="GK171"/>
      <c r="GL171"/>
      <c r="GM171"/>
      <c r="GN171" s="208"/>
      <c r="GO171" s="208"/>
      <c r="GP171" s="208"/>
      <c r="GQ171" s="208"/>
      <c r="GR171" s="208"/>
      <c r="GS171" s="208"/>
      <c r="GT171" s="208"/>
      <c r="GU171" s="213">
        <v>166</v>
      </c>
    </row>
    <row r="172" spans="1:203" s="7" customFormat="1">
      <c r="A172" s="1"/>
      <c r="B172" s="76">
        <f ca="1">IF(C172="", "", RAND())</f>
        <v>0.24894039117844713</v>
      </c>
      <c r="C172">
        <v>9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232.30316881155395</v>
      </c>
      <c r="AO172">
        <v>23.81920642598104</v>
      </c>
      <c r="AP172">
        <v>10.080127134488396</v>
      </c>
      <c r="AQ172">
        <v>168.91542204392564</v>
      </c>
      <c r="AR172">
        <v>24.64829935275322</v>
      </c>
      <c r="AS172">
        <v>362.40387355066315</v>
      </c>
      <c r="AT172">
        <v>14.825253906138059</v>
      </c>
      <c r="AU172">
        <v>-15.291302273603264</v>
      </c>
      <c r="AV172"/>
      <c r="AW172"/>
      <c r="AX172" s="146"/>
      <c r="AY172" s="76">
        <f t="shared" ca="1" si="171"/>
        <v>0.96793841823498483</v>
      </c>
      <c r="AZ172">
        <v>5</v>
      </c>
      <c r="BA172" s="129">
        <f t="shared" si="245"/>
        <v>39949</v>
      </c>
      <c r="BB172" s="207">
        <v>0</v>
      </c>
      <c r="BC172" s="207">
        <v>0</v>
      </c>
      <c r="BD172" s="207">
        <v>0</v>
      </c>
      <c r="BE172" s="207">
        <v>0</v>
      </c>
      <c r="BF172" s="207">
        <v>0</v>
      </c>
      <c r="BG172" s="207">
        <v>0</v>
      </c>
      <c r="BH172" s="207">
        <v>0</v>
      </c>
      <c r="BI172" s="207">
        <v>0</v>
      </c>
      <c r="BJ172" s="207">
        <v>0</v>
      </c>
      <c r="BK172" s="207">
        <v>0</v>
      </c>
      <c r="BL172" s="207">
        <v>0</v>
      </c>
      <c r="BM172" s="207">
        <v>0</v>
      </c>
      <c r="BN172" s="207">
        <v>0</v>
      </c>
      <c r="BO172" s="207">
        <v>0</v>
      </c>
      <c r="BP172" s="207">
        <v>0</v>
      </c>
      <c r="BQ172" s="207">
        <v>0</v>
      </c>
      <c r="BR172" s="207">
        <v>0</v>
      </c>
      <c r="BS172" s="207">
        <v>0</v>
      </c>
      <c r="BT172" s="207">
        <v>0</v>
      </c>
      <c r="BU172" s="207">
        <v>0</v>
      </c>
      <c r="BV172" s="207">
        <v>0</v>
      </c>
      <c r="BW172" s="207">
        <v>0</v>
      </c>
      <c r="BX172" s="207">
        <v>0</v>
      </c>
      <c r="BY172" s="207">
        <v>0</v>
      </c>
      <c r="BZ172" s="207">
        <v>0</v>
      </c>
      <c r="CA172" s="207">
        <v>0</v>
      </c>
      <c r="CB172" s="207">
        <v>0</v>
      </c>
      <c r="CC172" s="207">
        <v>0</v>
      </c>
      <c r="CD172" s="207">
        <v>0</v>
      </c>
      <c r="CE172" s="207">
        <v>0</v>
      </c>
      <c r="CF172" s="207">
        <v>0</v>
      </c>
      <c r="CG172" s="147"/>
      <c r="CH172" s="176"/>
      <c r="CJ172" s="146"/>
      <c r="CK172" s="76">
        <f t="shared" ca="1" si="206"/>
        <v>0.30384882481267139</v>
      </c>
      <c r="CL172" s="179">
        <f t="shared" si="207"/>
        <v>5</v>
      </c>
      <c r="CM172" s="180">
        <f t="shared" si="208"/>
        <v>39949</v>
      </c>
      <c r="CN172" s="208">
        <v>0</v>
      </c>
      <c r="CO172" s="208">
        <v>0</v>
      </c>
      <c r="CP172" s="208">
        <v>0</v>
      </c>
      <c r="CQ172" s="208">
        <v>0</v>
      </c>
      <c r="CR172" s="208">
        <v>0</v>
      </c>
      <c r="CS172" s="208">
        <v>0</v>
      </c>
      <c r="CT172" s="208">
        <v>0</v>
      </c>
      <c r="CU172" s="208">
        <v>0</v>
      </c>
      <c r="CV172" s="160"/>
      <c r="CW172">
        <v>1</v>
      </c>
      <c r="CX172">
        <v>1</v>
      </c>
      <c r="CY172" s="160"/>
      <c r="CZ172" s="177">
        <f t="shared" si="209"/>
        <v>9.6000000000000002E-2</v>
      </c>
      <c r="DB172" s="146"/>
      <c r="DC172" s="76">
        <f t="shared" ca="1" si="172"/>
        <v>0.37591825888965413</v>
      </c>
      <c r="DD172">
        <f t="shared" si="210"/>
        <v>5</v>
      </c>
      <c r="DE172" s="129">
        <f t="shared" si="244"/>
        <v>39949</v>
      </c>
      <c r="DF172" s="161">
        <f t="shared" si="211"/>
        <v>0</v>
      </c>
      <c r="DG172" s="161">
        <f t="shared" si="212"/>
        <v>0</v>
      </c>
      <c r="DH172" s="161">
        <f t="shared" si="213"/>
        <v>0</v>
      </c>
      <c r="DI172" s="161">
        <f t="shared" si="214"/>
        <v>0</v>
      </c>
      <c r="DJ172" s="161">
        <f t="shared" si="215"/>
        <v>0</v>
      </c>
      <c r="DK172" s="161">
        <f t="shared" si="216"/>
        <v>0</v>
      </c>
      <c r="DL172" s="161">
        <f t="shared" si="217"/>
        <v>0</v>
      </c>
      <c r="DM172" s="161">
        <f t="shared" si="218"/>
        <v>0</v>
      </c>
      <c r="DN172" s="161">
        <f t="shared" si="219"/>
        <v>0</v>
      </c>
      <c r="DO172" s="161">
        <f t="shared" si="220"/>
        <v>0</v>
      </c>
      <c r="DP172" s="161">
        <f t="shared" si="221"/>
        <v>0</v>
      </c>
      <c r="DQ172" s="161">
        <f t="shared" si="222"/>
        <v>0</v>
      </c>
      <c r="DR172" s="161">
        <f t="shared" si="223"/>
        <v>0</v>
      </c>
      <c r="DS172" s="161">
        <f t="shared" si="224"/>
        <v>0</v>
      </c>
      <c r="DT172" s="161">
        <f t="shared" si="225"/>
        <v>0</v>
      </c>
      <c r="DU172" s="161">
        <f t="shared" si="226"/>
        <v>0</v>
      </c>
      <c r="DV172" s="161">
        <f t="shared" si="227"/>
        <v>0</v>
      </c>
      <c r="DW172" s="161">
        <f t="shared" si="228"/>
        <v>0</v>
      </c>
      <c r="DX172" s="161">
        <f t="shared" si="229"/>
        <v>0</v>
      </c>
      <c r="DY172" s="161">
        <f t="shared" si="230"/>
        <v>0</v>
      </c>
      <c r="DZ172" s="161">
        <f t="shared" si="231"/>
        <v>0</v>
      </c>
      <c r="EA172" s="161">
        <f t="shared" si="232"/>
        <v>0</v>
      </c>
      <c r="EB172" s="161">
        <f t="shared" si="233"/>
        <v>0</v>
      </c>
      <c r="EC172" s="161">
        <f t="shared" si="234"/>
        <v>0</v>
      </c>
      <c r="ED172" s="161">
        <f t="shared" si="235"/>
        <v>0</v>
      </c>
      <c r="EE172" s="161">
        <f t="shared" si="236"/>
        <v>0</v>
      </c>
      <c r="EF172" s="161">
        <f t="shared" si="237"/>
        <v>0</v>
      </c>
      <c r="EG172" s="161">
        <f t="shared" si="238"/>
        <v>0</v>
      </c>
      <c r="EH172" s="161">
        <f t="shared" si="239"/>
        <v>0</v>
      </c>
      <c r="EI172" s="161">
        <f t="shared" si="240"/>
        <v>0</v>
      </c>
      <c r="EJ172" s="161">
        <f t="shared" si="241"/>
        <v>0</v>
      </c>
      <c r="EK172" s="147">
        <f t="shared" si="173"/>
        <v>0</v>
      </c>
      <c r="EL172" s="149"/>
      <c r="EN172" s="146"/>
      <c r="EO172" s="146"/>
      <c r="EP172" s="139">
        <f t="shared" si="174"/>
        <v>0</v>
      </c>
      <c r="EQ172" s="139">
        <f t="shared" si="175"/>
        <v>0</v>
      </c>
      <c r="ER172" s="139">
        <f t="shared" si="176"/>
        <v>0</v>
      </c>
      <c r="ES172" s="139">
        <f t="shared" si="177"/>
        <v>0</v>
      </c>
      <c r="ET172" s="139">
        <f t="shared" si="178"/>
        <v>0</v>
      </c>
      <c r="EU172" s="139">
        <f t="shared" si="179"/>
        <v>0</v>
      </c>
      <c r="EV172" s="139">
        <f t="shared" si="180"/>
        <v>0</v>
      </c>
      <c r="EW172" s="139">
        <f t="shared" si="181"/>
        <v>0</v>
      </c>
      <c r="EX172" s="139">
        <f t="shared" si="182"/>
        <v>0</v>
      </c>
      <c r="EY172" s="139">
        <f t="shared" si="183"/>
        <v>0</v>
      </c>
      <c r="EZ172" s="139">
        <f t="shared" si="184"/>
        <v>0</v>
      </c>
      <c r="FA172" s="139">
        <f t="shared" si="185"/>
        <v>0</v>
      </c>
      <c r="FB172" s="139">
        <f t="shared" si="186"/>
        <v>0</v>
      </c>
      <c r="FC172" s="139">
        <f t="shared" si="187"/>
        <v>0</v>
      </c>
      <c r="FD172" s="139">
        <f t="shared" si="188"/>
        <v>0</v>
      </c>
      <c r="FE172" s="139">
        <f t="shared" si="189"/>
        <v>0</v>
      </c>
      <c r="FF172" s="139">
        <f t="shared" si="190"/>
        <v>0</v>
      </c>
      <c r="FG172" s="139">
        <f t="shared" si="191"/>
        <v>0</v>
      </c>
      <c r="FH172" s="139">
        <f t="shared" si="192"/>
        <v>0</v>
      </c>
      <c r="FI172" s="139">
        <f t="shared" si="193"/>
        <v>0</v>
      </c>
      <c r="FJ172" s="139">
        <f t="shared" si="194"/>
        <v>0</v>
      </c>
      <c r="FK172" s="139">
        <f t="shared" si="195"/>
        <v>0</v>
      </c>
      <c r="FL172" s="139">
        <f t="shared" si="196"/>
        <v>0</v>
      </c>
      <c r="FM172" s="139">
        <f t="shared" si="197"/>
        <v>0</v>
      </c>
      <c r="FN172" s="139">
        <f t="shared" si="198"/>
        <v>0</v>
      </c>
      <c r="FO172" s="139">
        <f t="shared" si="199"/>
        <v>0</v>
      </c>
      <c r="FP172" s="139">
        <f t="shared" si="200"/>
        <v>0</v>
      </c>
      <c r="FQ172" s="139">
        <f t="shared" si="201"/>
        <v>0</v>
      </c>
      <c r="FR172" s="139">
        <f t="shared" si="202"/>
        <v>0</v>
      </c>
      <c r="FS172" s="139">
        <f t="shared" si="203"/>
        <v>0</v>
      </c>
      <c r="FT172" s="139">
        <f t="shared" si="204"/>
        <v>0</v>
      </c>
      <c r="FU172" s="148">
        <f t="shared" si="205"/>
        <v>0</v>
      </c>
      <c r="FV172" s="149"/>
      <c r="FY172" s="213">
        <v>167</v>
      </c>
      <c r="FZ172">
        <v>44.041911718118115</v>
      </c>
      <c r="GA172">
        <v>49.714044623758724</v>
      </c>
      <c r="GB172">
        <v>35.890591368420857</v>
      </c>
      <c r="GC172">
        <v>13.842904910706395</v>
      </c>
      <c r="GD172">
        <v>3.2668409028392529</v>
      </c>
      <c r="GE172">
        <v>4.155830227772249</v>
      </c>
      <c r="GF172">
        <v>1.6559981218573216</v>
      </c>
      <c r="GG172">
        <v>4.8472602738075805</v>
      </c>
      <c r="GH172">
        <v>5.5246789752859309</v>
      </c>
      <c r="GI172">
        <v>18.323872819033696</v>
      </c>
      <c r="GJ172"/>
      <c r="GK172"/>
      <c r="GL172"/>
      <c r="GM172"/>
      <c r="GN172" s="208"/>
      <c r="GO172" s="208"/>
      <c r="GP172" s="208"/>
      <c r="GQ172" s="208"/>
      <c r="GR172" s="208"/>
      <c r="GS172" s="208"/>
      <c r="GT172" s="208"/>
      <c r="GU172" s="213">
        <v>167</v>
      </c>
    </row>
    <row r="173" spans="1:203" s="7" customFormat="1">
      <c r="A173" s="1"/>
      <c r="B173" s="76">
        <f ca="1">IF(C173="", "", RAND())</f>
        <v>0.79102411798842853</v>
      </c>
      <c r="C173">
        <v>8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10.416666666666666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293.96096359989878</v>
      </c>
      <c r="AO173">
        <v>30.868386837765371</v>
      </c>
      <c r="AP173">
        <v>53.396627613072233</v>
      </c>
      <c r="AQ173">
        <v>225.65249732828437</v>
      </c>
      <c r="AR173">
        <v>30.449594187927318</v>
      </c>
      <c r="AS173">
        <v>405.56413695716128</v>
      </c>
      <c r="AT173">
        <v>17.994870796171739</v>
      </c>
      <c r="AU173">
        <v>-22.75973920543364</v>
      </c>
      <c r="AV173"/>
      <c r="AW173"/>
      <c r="AX173" s="146"/>
      <c r="AY173" s="76">
        <f t="shared" ca="1" si="171"/>
        <v>0.19677385473347275</v>
      </c>
      <c r="AZ173">
        <v>6</v>
      </c>
      <c r="BA173" s="129">
        <f t="shared" si="245"/>
        <v>39949</v>
      </c>
      <c r="BB173" s="207">
        <v>0</v>
      </c>
      <c r="BC173" s="207">
        <v>0</v>
      </c>
      <c r="BD173" s="207">
        <v>0</v>
      </c>
      <c r="BE173" s="207">
        <v>0</v>
      </c>
      <c r="BF173" s="207">
        <v>0</v>
      </c>
      <c r="BG173" s="207">
        <v>0</v>
      </c>
      <c r="BH173" s="207">
        <v>0</v>
      </c>
      <c r="BI173" s="207">
        <v>0</v>
      </c>
      <c r="BJ173" s="207">
        <v>0</v>
      </c>
      <c r="BK173" s="207">
        <v>0</v>
      </c>
      <c r="BL173" s="207">
        <v>0</v>
      </c>
      <c r="BM173" s="207">
        <v>0</v>
      </c>
      <c r="BN173" s="207">
        <v>0</v>
      </c>
      <c r="BO173" s="207">
        <v>0</v>
      </c>
      <c r="BP173" s="207">
        <v>0</v>
      </c>
      <c r="BQ173" s="207">
        <v>0</v>
      </c>
      <c r="BR173" s="207">
        <v>0</v>
      </c>
      <c r="BS173" s="207">
        <v>0</v>
      </c>
      <c r="BT173" s="207">
        <v>0</v>
      </c>
      <c r="BU173" s="207">
        <v>0</v>
      </c>
      <c r="BV173" s="207">
        <v>0</v>
      </c>
      <c r="BW173" s="207">
        <v>0</v>
      </c>
      <c r="BX173" s="207">
        <v>0</v>
      </c>
      <c r="BY173" s="207">
        <v>0</v>
      </c>
      <c r="BZ173" s="207">
        <v>0</v>
      </c>
      <c r="CA173" s="207">
        <v>0</v>
      </c>
      <c r="CB173" s="207">
        <v>0</v>
      </c>
      <c r="CC173" s="207">
        <v>0</v>
      </c>
      <c r="CD173" s="207">
        <v>0</v>
      </c>
      <c r="CE173" s="207">
        <v>0</v>
      </c>
      <c r="CF173" s="207">
        <v>0</v>
      </c>
      <c r="CG173" s="147"/>
      <c r="CH173" s="176"/>
      <c r="CJ173" s="146"/>
      <c r="CK173" s="76">
        <f t="shared" ca="1" si="206"/>
        <v>0.13499050589546369</v>
      </c>
      <c r="CL173" s="179">
        <f t="shared" si="207"/>
        <v>6</v>
      </c>
      <c r="CM173" s="180">
        <f t="shared" si="208"/>
        <v>39949</v>
      </c>
      <c r="CN173" s="208">
        <v>0</v>
      </c>
      <c r="CO173" s="208">
        <v>0</v>
      </c>
      <c r="CP173" s="208">
        <v>0</v>
      </c>
      <c r="CQ173" s="208">
        <v>0</v>
      </c>
      <c r="CR173" s="208">
        <v>0</v>
      </c>
      <c r="CS173" s="208">
        <v>0</v>
      </c>
      <c r="CT173" s="208">
        <v>0</v>
      </c>
      <c r="CU173" s="208">
        <v>0</v>
      </c>
      <c r="CV173" s="160"/>
      <c r="CW173">
        <v>1</v>
      </c>
      <c r="CX173">
        <v>1</v>
      </c>
      <c r="CY173" s="160"/>
      <c r="CZ173" s="177">
        <f t="shared" si="209"/>
        <v>9.6000000000000002E-2</v>
      </c>
      <c r="DB173" s="146"/>
      <c r="DC173" s="76">
        <f t="shared" ca="1" si="172"/>
        <v>0.97494305793245672</v>
      </c>
      <c r="DD173">
        <f t="shared" si="210"/>
        <v>6</v>
      </c>
      <c r="DE173" s="129">
        <f t="shared" si="244"/>
        <v>39949</v>
      </c>
      <c r="DF173" s="161">
        <f t="shared" si="211"/>
        <v>0</v>
      </c>
      <c r="DG173" s="161">
        <f t="shared" si="212"/>
        <v>0</v>
      </c>
      <c r="DH173" s="161">
        <f t="shared" si="213"/>
        <v>0</v>
      </c>
      <c r="DI173" s="161">
        <f t="shared" si="214"/>
        <v>0</v>
      </c>
      <c r="DJ173" s="161">
        <f t="shared" si="215"/>
        <v>0</v>
      </c>
      <c r="DK173" s="161">
        <f t="shared" si="216"/>
        <v>0</v>
      </c>
      <c r="DL173" s="161">
        <f t="shared" si="217"/>
        <v>0</v>
      </c>
      <c r="DM173" s="161">
        <f t="shared" si="218"/>
        <v>0</v>
      </c>
      <c r="DN173" s="161">
        <f t="shared" si="219"/>
        <v>0</v>
      </c>
      <c r="DO173" s="161">
        <f t="shared" si="220"/>
        <v>0</v>
      </c>
      <c r="DP173" s="161">
        <f t="shared" si="221"/>
        <v>0</v>
      </c>
      <c r="DQ173" s="161">
        <f t="shared" si="222"/>
        <v>0</v>
      </c>
      <c r="DR173" s="161">
        <f t="shared" si="223"/>
        <v>0</v>
      </c>
      <c r="DS173" s="161">
        <f t="shared" si="224"/>
        <v>0</v>
      </c>
      <c r="DT173" s="161">
        <f t="shared" si="225"/>
        <v>0</v>
      </c>
      <c r="DU173" s="161">
        <f t="shared" si="226"/>
        <v>0</v>
      </c>
      <c r="DV173" s="161">
        <f t="shared" si="227"/>
        <v>0</v>
      </c>
      <c r="DW173" s="161">
        <f t="shared" si="228"/>
        <v>0</v>
      </c>
      <c r="DX173" s="161">
        <f t="shared" si="229"/>
        <v>0</v>
      </c>
      <c r="DY173" s="161">
        <f t="shared" si="230"/>
        <v>0</v>
      </c>
      <c r="DZ173" s="161">
        <f t="shared" si="231"/>
        <v>0</v>
      </c>
      <c r="EA173" s="161">
        <f t="shared" si="232"/>
        <v>0</v>
      </c>
      <c r="EB173" s="161">
        <f t="shared" si="233"/>
        <v>0</v>
      </c>
      <c r="EC173" s="161">
        <f t="shared" si="234"/>
        <v>0</v>
      </c>
      <c r="ED173" s="161">
        <f t="shared" si="235"/>
        <v>0</v>
      </c>
      <c r="EE173" s="161">
        <f t="shared" si="236"/>
        <v>0</v>
      </c>
      <c r="EF173" s="161">
        <f t="shared" si="237"/>
        <v>0</v>
      </c>
      <c r="EG173" s="161">
        <f t="shared" si="238"/>
        <v>0</v>
      </c>
      <c r="EH173" s="161">
        <f t="shared" si="239"/>
        <v>0</v>
      </c>
      <c r="EI173" s="161">
        <f t="shared" si="240"/>
        <v>0</v>
      </c>
      <c r="EJ173" s="161">
        <f t="shared" si="241"/>
        <v>0</v>
      </c>
      <c r="EK173" s="147">
        <f t="shared" si="173"/>
        <v>0</v>
      </c>
      <c r="EL173" s="149"/>
      <c r="EN173" s="146"/>
      <c r="EO173" s="146"/>
      <c r="EP173" s="139">
        <f t="shared" si="174"/>
        <v>0</v>
      </c>
      <c r="EQ173" s="139">
        <f t="shared" si="175"/>
        <v>0</v>
      </c>
      <c r="ER173" s="139">
        <f t="shared" si="176"/>
        <v>0</v>
      </c>
      <c r="ES173" s="139">
        <f t="shared" si="177"/>
        <v>0</v>
      </c>
      <c r="ET173" s="139">
        <f t="shared" si="178"/>
        <v>0</v>
      </c>
      <c r="EU173" s="139">
        <f t="shared" si="179"/>
        <v>0</v>
      </c>
      <c r="EV173" s="139">
        <f t="shared" si="180"/>
        <v>0</v>
      </c>
      <c r="EW173" s="139">
        <f t="shared" si="181"/>
        <v>0</v>
      </c>
      <c r="EX173" s="139">
        <f t="shared" si="182"/>
        <v>0</v>
      </c>
      <c r="EY173" s="139">
        <f t="shared" si="183"/>
        <v>0</v>
      </c>
      <c r="EZ173" s="139">
        <f t="shared" si="184"/>
        <v>0</v>
      </c>
      <c r="FA173" s="139">
        <f t="shared" si="185"/>
        <v>0</v>
      </c>
      <c r="FB173" s="139">
        <f t="shared" si="186"/>
        <v>0</v>
      </c>
      <c r="FC173" s="139">
        <f t="shared" si="187"/>
        <v>0</v>
      </c>
      <c r="FD173" s="139">
        <f t="shared" si="188"/>
        <v>0</v>
      </c>
      <c r="FE173" s="139">
        <f t="shared" si="189"/>
        <v>0</v>
      </c>
      <c r="FF173" s="139">
        <f t="shared" si="190"/>
        <v>0</v>
      </c>
      <c r="FG173" s="139">
        <f t="shared" si="191"/>
        <v>0</v>
      </c>
      <c r="FH173" s="139">
        <f t="shared" si="192"/>
        <v>0</v>
      </c>
      <c r="FI173" s="139">
        <f t="shared" si="193"/>
        <v>0</v>
      </c>
      <c r="FJ173" s="139">
        <f t="shared" si="194"/>
        <v>0</v>
      </c>
      <c r="FK173" s="139">
        <f t="shared" si="195"/>
        <v>0</v>
      </c>
      <c r="FL173" s="139">
        <f t="shared" si="196"/>
        <v>0</v>
      </c>
      <c r="FM173" s="139">
        <f t="shared" si="197"/>
        <v>0</v>
      </c>
      <c r="FN173" s="139">
        <f t="shared" si="198"/>
        <v>0</v>
      </c>
      <c r="FO173" s="139">
        <f t="shared" si="199"/>
        <v>0</v>
      </c>
      <c r="FP173" s="139">
        <f t="shared" si="200"/>
        <v>0</v>
      </c>
      <c r="FQ173" s="139">
        <f t="shared" si="201"/>
        <v>0</v>
      </c>
      <c r="FR173" s="139">
        <f t="shared" si="202"/>
        <v>0</v>
      </c>
      <c r="FS173" s="139">
        <f t="shared" si="203"/>
        <v>0</v>
      </c>
      <c r="FT173" s="139">
        <f t="shared" si="204"/>
        <v>0</v>
      </c>
      <c r="FU173" s="148">
        <f t="shared" si="205"/>
        <v>0</v>
      </c>
      <c r="FV173" s="149"/>
      <c r="FY173" s="213">
        <v>168</v>
      </c>
      <c r="FZ173">
        <v>40.103546158463281</v>
      </c>
      <c r="GA173">
        <v>39.253218799812856</v>
      </c>
      <c r="GB173">
        <v>31.217107332351624</v>
      </c>
      <c r="GC173">
        <v>12.181171604066645</v>
      </c>
      <c r="GD173">
        <v>3.1239361178556888</v>
      </c>
      <c r="GE173">
        <v>2.3084511218668657</v>
      </c>
      <c r="GF173">
        <v>3.4335120020296301</v>
      </c>
      <c r="GG173">
        <v>9.1637880732013564</v>
      </c>
      <c r="GH173">
        <v>12.330068325806533</v>
      </c>
      <c r="GI173">
        <v>17.935016531261084</v>
      </c>
      <c r="GJ173"/>
      <c r="GK173"/>
      <c r="GL173"/>
      <c r="GM173"/>
      <c r="GN173" s="208"/>
      <c r="GO173" s="208"/>
      <c r="GP173" s="208"/>
      <c r="GQ173" s="208"/>
      <c r="GR173" s="208"/>
      <c r="GS173" s="208"/>
      <c r="GT173" s="208"/>
      <c r="GU173" s="213">
        <v>168</v>
      </c>
    </row>
    <row r="174" spans="1:203" s="7" customFormat="1">
      <c r="A174" s="1"/>
      <c r="B174" s="76">
        <f ca="1">IF(C174="", "", RAND())</f>
        <v>0.13049567854979971</v>
      </c>
      <c r="C174">
        <v>2</v>
      </c>
      <c r="D174">
        <v>39949</v>
      </c>
      <c r="E174">
        <v>0</v>
      </c>
      <c r="F174">
        <v>0</v>
      </c>
      <c r="G174">
        <v>0</v>
      </c>
      <c r="H174">
        <v>10.416666666666666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265.12496081970966</v>
      </c>
      <c r="AO174">
        <v>25.542720306669153</v>
      </c>
      <c r="AP174">
        <v>12.703331405315476</v>
      </c>
      <c r="AQ174">
        <v>191.12897954297341</v>
      </c>
      <c r="AR174">
        <v>26.34408117699547</v>
      </c>
      <c r="AS174">
        <v>373.69518059070424</v>
      </c>
      <c r="AT174">
        <v>16.64571034450486</v>
      </c>
      <c r="AU174">
        <v>-11.218587800316897</v>
      </c>
      <c r="AV174"/>
      <c r="AW174"/>
      <c r="AX174" s="146"/>
      <c r="AY174" s="76">
        <f t="shared" ca="1" si="171"/>
        <v>5.2622342378384701E-2</v>
      </c>
      <c r="AZ174">
        <v>7</v>
      </c>
      <c r="BA174" s="129">
        <f t="shared" si="245"/>
        <v>39949</v>
      </c>
      <c r="BB174" s="207">
        <v>0</v>
      </c>
      <c r="BC174" s="207">
        <v>0</v>
      </c>
      <c r="BD174" s="207">
        <v>0</v>
      </c>
      <c r="BE174" s="207">
        <v>0</v>
      </c>
      <c r="BF174" s="207">
        <v>0</v>
      </c>
      <c r="BG174" s="207">
        <v>0</v>
      </c>
      <c r="BH174" s="207">
        <v>0</v>
      </c>
      <c r="BI174" s="207">
        <v>0</v>
      </c>
      <c r="BJ174" s="207">
        <v>0</v>
      </c>
      <c r="BK174" s="207">
        <v>0</v>
      </c>
      <c r="BL174" s="207">
        <v>0</v>
      </c>
      <c r="BM174" s="207">
        <v>0</v>
      </c>
      <c r="BN174" s="207">
        <v>0</v>
      </c>
      <c r="BO174" s="207">
        <v>0</v>
      </c>
      <c r="BP174" s="207">
        <v>0</v>
      </c>
      <c r="BQ174" s="207">
        <v>0</v>
      </c>
      <c r="BR174" s="207">
        <v>0</v>
      </c>
      <c r="BS174" s="207">
        <v>0</v>
      </c>
      <c r="BT174" s="207">
        <v>0</v>
      </c>
      <c r="BU174" s="207">
        <v>0</v>
      </c>
      <c r="BV174" s="207">
        <v>0</v>
      </c>
      <c r="BW174" s="207">
        <v>0</v>
      </c>
      <c r="BX174" s="207">
        <v>0</v>
      </c>
      <c r="BY174" s="207">
        <v>0</v>
      </c>
      <c r="BZ174" s="207">
        <v>0</v>
      </c>
      <c r="CA174" s="207">
        <v>0</v>
      </c>
      <c r="CB174" s="207">
        <v>0</v>
      </c>
      <c r="CC174" s="207">
        <v>0</v>
      </c>
      <c r="CD174" s="207">
        <v>0</v>
      </c>
      <c r="CE174" s="207">
        <v>0</v>
      </c>
      <c r="CF174" s="207">
        <v>0</v>
      </c>
      <c r="CG174" s="147"/>
      <c r="CH174" s="176"/>
      <c r="CJ174" s="146"/>
      <c r="CK174" s="76">
        <f t="shared" ca="1" si="206"/>
        <v>0.78594385239817477</v>
      </c>
      <c r="CL174" s="179">
        <f t="shared" si="207"/>
        <v>7</v>
      </c>
      <c r="CM174" s="180">
        <f t="shared" si="208"/>
        <v>39949</v>
      </c>
      <c r="CN174" s="208">
        <v>0</v>
      </c>
      <c r="CO174" s="208">
        <v>0</v>
      </c>
      <c r="CP174" s="208">
        <v>0</v>
      </c>
      <c r="CQ174" s="208">
        <v>0</v>
      </c>
      <c r="CR174" s="208">
        <v>0</v>
      </c>
      <c r="CS174" s="208">
        <v>0</v>
      </c>
      <c r="CT174" s="208">
        <v>0</v>
      </c>
      <c r="CU174" s="208">
        <v>0</v>
      </c>
      <c r="CV174" s="160"/>
      <c r="CW174">
        <v>1</v>
      </c>
      <c r="CX174">
        <v>1</v>
      </c>
      <c r="CY174" s="165"/>
      <c r="CZ174" s="177">
        <f t="shared" si="209"/>
        <v>9.6000000000000002E-2</v>
      </c>
      <c r="DB174" s="146"/>
      <c r="DC174" s="76">
        <f t="shared" ca="1" si="172"/>
        <v>0.36575544497343637</v>
      </c>
      <c r="DD174">
        <f t="shared" si="210"/>
        <v>7</v>
      </c>
      <c r="DE174" s="129">
        <f t="shared" si="244"/>
        <v>39949</v>
      </c>
      <c r="DF174" s="161">
        <f t="shared" si="211"/>
        <v>0</v>
      </c>
      <c r="DG174" s="161">
        <f t="shared" si="212"/>
        <v>0</v>
      </c>
      <c r="DH174" s="161">
        <f t="shared" si="213"/>
        <v>0</v>
      </c>
      <c r="DI174" s="161">
        <f t="shared" si="214"/>
        <v>0</v>
      </c>
      <c r="DJ174" s="161">
        <f t="shared" si="215"/>
        <v>0</v>
      </c>
      <c r="DK174" s="161">
        <f t="shared" si="216"/>
        <v>0</v>
      </c>
      <c r="DL174" s="161">
        <f t="shared" si="217"/>
        <v>0</v>
      </c>
      <c r="DM174" s="161">
        <f t="shared" si="218"/>
        <v>0</v>
      </c>
      <c r="DN174" s="161">
        <f t="shared" si="219"/>
        <v>0</v>
      </c>
      <c r="DO174" s="161">
        <f t="shared" si="220"/>
        <v>0</v>
      </c>
      <c r="DP174" s="161">
        <f t="shared" si="221"/>
        <v>0</v>
      </c>
      <c r="DQ174" s="161">
        <f t="shared" si="222"/>
        <v>0</v>
      </c>
      <c r="DR174" s="161">
        <f t="shared" si="223"/>
        <v>0</v>
      </c>
      <c r="DS174" s="161">
        <f t="shared" si="224"/>
        <v>0</v>
      </c>
      <c r="DT174" s="161">
        <f t="shared" si="225"/>
        <v>0</v>
      </c>
      <c r="DU174" s="161">
        <f t="shared" si="226"/>
        <v>0</v>
      </c>
      <c r="DV174" s="161">
        <f t="shared" si="227"/>
        <v>0</v>
      </c>
      <c r="DW174" s="161">
        <f t="shared" si="228"/>
        <v>0</v>
      </c>
      <c r="DX174" s="161">
        <f t="shared" si="229"/>
        <v>0</v>
      </c>
      <c r="DY174" s="161">
        <f t="shared" si="230"/>
        <v>0</v>
      </c>
      <c r="DZ174" s="161">
        <f t="shared" si="231"/>
        <v>0</v>
      </c>
      <c r="EA174" s="161">
        <f t="shared" si="232"/>
        <v>0</v>
      </c>
      <c r="EB174" s="161">
        <f t="shared" si="233"/>
        <v>0</v>
      </c>
      <c r="EC174" s="161">
        <f t="shared" si="234"/>
        <v>0</v>
      </c>
      <c r="ED174" s="161">
        <f t="shared" si="235"/>
        <v>0</v>
      </c>
      <c r="EE174" s="161">
        <f t="shared" si="236"/>
        <v>0</v>
      </c>
      <c r="EF174" s="161">
        <f t="shared" si="237"/>
        <v>0</v>
      </c>
      <c r="EG174" s="161">
        <f t="shared" si="238"/>
        <v>0</v>
      </c>
      <c r="EH174" s="161">
        <f t="shared" si="239"/>
        <v>0</v>
      </c>
      <c r="EI174" s="161">
        <f t="shared" si="240"/>
        <v>0</v>
      </c>
      <c r="EJ174" s="161">
        <f t="shared" si="241"/>
        <v>0</v>
      </c>
      <c r="EK174" s="147">
        <f t="shared" si="173"/>
        <v>0</v>
      </c>
      <c r="EL174" s="149"/>
      <c r="EN174" s="146"/>
      <c r="EO174" s="146"/>
      <c r="EP174" s="139">
        <f t="shared" si="174"/>
        <v>0</v>
      </c>
      <c r="EQ174" s="139">
        <f t="shared" si="175"/>
        <v>0</v>
      </c>
      <c r="ER174" s="139">
        <f t="shared" si="176"/>
        <v>0</v>
      </c>
      <c r="ES174" s="139">
        <f t="shared" si="177"/>
        <v>0</v>
      </c>
      <c r="ET174" s="139">
        <f t="shared" si="178"/>
        <v>0</v>
      </c>
      <c r="EU174" s="139">
        <f t="shared" si="179"/>
        <v>0</v>
      </c>
      <c r="EV174" s="139">
        <f t="shared" si="180"/>
        <v>0</v>
      </c>
      <c r="EW174" s="139">
        <f t="shared" si="181"/>
        <v>0</v>
      </c>
      <c r="EX174" s="139">
        <f t="shared" si="182"/>
        <v>0</v>
      </c>
      <c r="EY174" s="139">
        <f t="shared" si="183"/>
        <v>0</v>
      </c>
      <c r="EZ174" s="139">
        <f t="shared" si="184"/>
        <v>0</v>
      </c>
      <c r="FA174" s="139">
        <f t="shared" si="185"/>
        <v>0</v>
      </c>
      <c r="FB174" s="139">
        <f t="shared" si="186"/>
        <v>0</v>
      </c>
      <c r="FC174" s="139">
        <f t="shared" si="187"/>
        <v>0</v>
      </c>
      <c r="FD174" s="139">
        <f t="shared" si="188"/>
        <v>0</v>
      </c>
      <c r="FE174" s="139">
        <f t="shared" si="189"/>
        <v>0</v>
      </c>
      <c r="FF174" s="139">
        <f t="shared" si="190"/>
        <v>0</v>
      </c>
      <c r="FG174" s="139">
        <f t="shared" si="191"/>
        <v>0</v>
      </c>
      <c r="FH174" s="139">
        <f t="shared" si="192"/>
        <v>0</v>
      </c>
      <c r="FI174" s="139">
        <f t="shared" si="193"/>
        <v>0</v>
      </c>
      <c r="FJ174" s="139">
        <f t="shared" si="194"/>
        <v>0</v>
      </c>
      <c r="FK174" s="139">
        <f t="shared" si="195"/>
        <v>0</v>
      </c>
      <c r="FL174" s="139">
        <f t="shared" si="196"/>
        <v>0</v>
      </c>
      <c r="FM174" s="139">
        <f t="shared" si="197"/>
        <v>0</v>
      </c>
      <c r="FN174" s="139">
        <f t="shared" si="198"/>
        <v>0</v>
      </c>
      <c r="FO174" s="139">
        <f t="shared" si="199"/>
        <v>0</v>
      </c>
      <c r="FP174" s="139">
        <f t="shared" si="200"/>
        <v>0</v>
      </c>
      <c r="FQ174" s="139">
        <f t="shared" si="201"/>
        <v>0</v>
      </c>
      <c r="FR174" s="139">
        <f t="shared" si="202"/>
        <v>0</v>
      </c>
      <c r="FS174" s="139">
        <f t="shared" si="203"/>
        <v>0</v>
      </c>
      <c r="FT174" s="139">
        <f t="shared" si="204"/>
        <v>0</v>
      </c>
      <c r="FU174" s="148">
        <f t="shared" si="205"/>
        <v>0</v>
      </c>
      <c r="FV174" s="149"/>
      <c r="FY174" s="213">
        <v>169</v>
      </c>
      <c r="FZ174">
        <v>44.207839862698705</v>
      </c>
      <c r="GA174">
        <v>44.647503280156137</v>
      </c>
      <c r="GB174">
        <v>33.385753333801127</v>
      </c>
      <c r="GC174">
        <v>14.849080498639719</v>
      </c>
      <c r="GD174">
        <v>4.2280455145055491</v>
      </c>
      <c r="GE174">
        <v>6.0359392529795652</v>
      </c>
      <c r="GF174">
        <v>1.785307183697173</v>
      </c>
      <c r="GG174">
        <v>2.2694380553448035</v>
      </c>
      <c r="GH174">
        <v>9.6225274166372898</v>
      </c>
      <c r="GI174">
        <v>18.973589402063077</v>
      </c>
      <c r="GJ174"/>
      <c r="GK174"/>
      <c r="GL174"/>
      <c r="GM174"/>
      <c r="GN174" s="208"/>
      <c r="GO174" s="208"/>
      <c r="GP174" s="208"/>
      <c r="GQ174" s="208"/>
      <c r="GR174" s="208"/>
      <c r="GS174" s="208"/>
      <c r="GT174" s="208"/>
      <c r="GU174" s="213">
        <v>169</v>
      </c>
    </row>
    <row r="175" spans="1:203" s="7" customFormat="1">
      <c r="A175" s="1"/>
      <c r="B175" s="76">
        <f ca="1">IF(C175="", "", RAND())</f>
        <v>0.99943377969407132</v>
      </c>
      <c r="C175">
        <v>10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342.07812993455093</v>
      </c>
      <c r="AO175">
        <v>33.098714607344242</v>
      </c>
      <c r="AP175">
        <v>37.368804541729602</v>
      </c>
      <c r="AQ175">
        <v>244.67938233178592</v>
      </c>
      <c r="AR175">
        <v>32.852679257817933</v>
      </c>
      <c r="AS175">
        <v>468.6199901216749</v>
      </c>
      <c r="AT175">
        <v>20.570365382245527</v>
      </c>
      <c r="AU175">
        <v>-37.690720139471949</v>
      </c>
      <c r="AV175"/>
      <c r="AW175"/>
      <c r="AX175" s="146"/>
      <c r="AY175" s="76">
        <f t="shared" ca="1" si="171"/>
        <v>4.3198093397470494E-2</v>
      </c>
      <c r="AZ175">
        <v>8</v>
      </c>
      <c r="BA175" s="129">
        <f t="shared" si="245"/>
        <v>39949</v>
      </c>
      <c r="BB175" s="207">
        <v>0</v>
      </c>
      <c r="BC175" s="207">
        <v>0</v>
      </c>
      <c r="BD175" s="207">
        <v>0</v>
      </c>
      <c r="BE175" s="207">
        <v>0</v>
      </c>
      <c r="BF175" s="207">
        <v>1</v>
      </c>
      <c r="BG175" s="207">
        <v>0</v>
      </c>
      <c r="BH175" s="207">
        <v>0</v>
      </c>
      <c r="BI175" s="207">
        <v>0</v>
      </c>
      <c r="BJ175" s="207">
        <v>0</v>
      </c>
      <c r="BK175" s="207">
        <v>0</v>
      </c>
      <c r="BL175" s="207">
        <v>0</v>
      </c>
      <c r="BM175" s="207">
        <v>0</v>
      </c>
      <c r="BN175" s="207">
        <v>0</v>
      </c>
      <c r="BO175" s="207">
        <v>0</v>
      </c>
      <c r="BP175" s="207">
        <v>0</v>
      </c>
      <c r="BQ175" s="207">
        <v>0</v>
      </c>
      <c r="BR175" s="207">
        <v>0</v>
      </c>
      <c r="BS175" s="207">
        <v>0</v>
      </c>
      <c r="BT175" s="207">
        <v>0</v>
      </c>
      <c r="BU175" s="207">
        <v>0</v>
      </c>
      <c r="BV175" s="207">
        <v>0</v>
      </c>
      <c r="BW175" s="207">
        <v>0</v>
      </c>
      <c r="BX175" s="207">
        <v>0</v>
      </c>
      <c r="BY175" s="207">
        <v>0</v>
      </c>
      <c r="BZ175" s="207">
        <v>0</v>
      </c>
      <c r="CA175" s="207">
        <v>0</v>
      </c>
      <c r="CB175" s="207">
        <v>0</v>
      </c>
      <c r="CC175" s="207">
        <v>0</v>
      </c>
      <c r="CD175" s="207">
        <v>0</v>
      </c>
      <c r="CE175" s="207">
        <v>0</v>
      </c>
      <c r="CF175" s="207">
        <v>0</v>
      </c>
      <c r="CG175" s="147"/>
      <c r="CH175" s="176"/>
      <c r="CJ175" s="146"/>
      <c r="CK175" s="76">
        <f t="shared" ca="1" si="206"/>
        <v>0.55066553631196236</v>
      </c>
      <c r="CL175" s="179">
        <f t="shared" si="207"/>
        <v>8</v>
      </c>
      <c r="CM175" s="180">
        <f t="shared" si="208"/>
        <v>39949</v>
      </c>
      <c r="CN175" s="208">
        <v>0</v>
      </c>
      <c r="CO175" s="208">
        <v>0</v>
      </c>
      <c r="CP175" s="208">
        <v>0</v>
      </c>
      <c r="CQ175" s="208">
        <v>0</v>
      </c>
      <c r="CR175" s="208">
        <v>0</v>
      </c>
      <c r="CS175" s="208">
        <v>0</v>
      </c>
      <c r="CT175" s="208">
        <v>0</v>
      </c>
      <c r="CU175" s="208">
        <v>0</v>
      </c>
      <c r="CV175" s="160"/>
      <c r="CW175">
        <v>1</v>
      </c>
      <c r="CX175">
        <v>1</v>
      </c>
      <c r="CY175" s="165"/>
      <c r="CZ175" s="177">
        <f t="shared" si="209"/>
        <v>9.6000000000000002E-2</v>
      </c>
      <c r="DB175" s="146"/>
      <c r="DC175" s="76">
        <f t="shared" ca="1" si="172"/>
        <v>0.94150479038771362</v>
      </c>
      <c r="DD175">
        <f t="shared" si="210"/>
        <v>8</v>
      </c>
      <c r="DE175" s="129">
        <f t="shared" si="244"/>
        <v>39949</v>
      </c>
      <c r="DF175" s="161">
        <f t="shared" si="211"/>
        <v>0</v>
      </c>
      <c r="DG175" s="161">
        <f t="shared" si="212"/>
        <v>0</v>
      </c>
      <c r="DH175" s="161">
        <f t="shared" si="213"/>
        <v>0</v>
      </c>
      <c r="DI175" s="161">
        <f t="shared" si="214"/>
        <v>0</v>
      </c>
      <c r="DJ175" s="161">
        <f t="shared" si="215"/>
        <v>10.416666666666666</v>
      </c>
      <c r="DK175" s="161">
        <f t="shared" si="216"/>
        <v>0</v>
      </c>
      <c r="DL175" s="161">
        <f t="shared" si="217"/>
        <v>0</v>
      </c>
      <c r="DM175" s="161">
        <f t="shared" si="218"/>
        <v>0</v>
      </c>
      <c r="DN175" s="161">
        <f t="shared" si="219"/>
        <v>0</v>
      </c>
      <c r="DO175" s="161">
        <f t="shared" si="220"/>
        <v>0</v>
      </c>
      <c r="DP175" s="161">
        <f t="shared" si="221"/>
        <v>0</v>
      </c>
      <c r="DQ175" s="161">
        <f t="shared" si="222"/>
        <v>0</v>
      </c>
      <c r="DR175" s="161">
        <f t="shared" si="223"/>
        <v>0</v>
      </c>
      <c r="DS175" s="161">
        <f t="shared" si="224"/>
        <v>0</v>
      </c>
      <c r="DT175" s="161">
        <f t="shared" si="225"/>
        <v>0</v>
      </c>
      <c r="DU175" s="161">
        <f t="shared" si="226"/>
        <v>0</v>
      </c>
      <c r="DV175" s="161">
        <f t="shared" si="227"/>
        <v>0</v>
      </c>
      <c r="DW175" s="161">
        <f t="shared" si="228"/>
        <v>0</v>
      </c>
      <c r="DX175" s="161">
        <f t="shared" si="229"/>
        <v>0</v>
      </c>
      <c r="DY175" s="161">
        <f t="shared" si="230"/>
        <v>0</v>
      </c>
      <c r="DZ175" s="161">
        <f t="shared" si="231"/>
        <v>0</v>
      </c>
      <c r="EA175" s="161">
        <f t="shared" si="232"/>
        <v>0</v>
      </c>
      <c r="EB175" s="161">
        <f t="shared" si="233"/>
        <v>0</v>
      </c>
      <c r="EC175" s="161">
        <f t="shared" si="234"/>
        <v>0</v>
      </c>
      <c r="ED175" s="161">
        <f t="shared" si="235"/>
        <v>0</v>
      </c>
      <c r="EE175" s="161">
        <f t="shared" si="236"/>
        <v>0</v>
      </c>
      <c r="EF175" s="161">
        <f t="shared" si="237"/>
        <v>0</v>
      </c>
      <c r="EG175" s="161">
        <f t="shared" si="238"/>
        <v>0</v>
      </c>
      <c r="EH175" s="161">
        <f t="shared" si="239"/>
        <v>0</v>
      </c>
      <c r="EI175" s="161">
        <f t="shared" si="240"/>
        <v>0</v>
      </c>
      <c r="EJ175" s="161">
        <f t="shared" si="241"/>
        <v>0</v>
      </c>
      <c r="EK175" s="147">
        <f t="shared" si="173"/>
        <v>10.416666666666666</v>
      </c>
      <c r="EL175" s="149"/>
      <c r="EN175" s="146"/>
      <c r="EO175" s="146"/>
      <c r="EP175" s="139">
        <f t="shared" si="174"/>
        <v>0</v>
      </c>
      <c r="EQ175" s="139">
        <f t="shared" si="175"/>
        <v>0</v>
      </c>
      <c r="ER175" s="139">
        <f t="shared" si="176"/>
        <v>0</v>
      </c>
      <c r="ES175" s="139">
        <f t="shared" si="177"/>
        <v>0</v>
      </c>
      <c r="ET175" s="139">
        <f t="shared" si="178"/>
        <v>3.1395421122460458</v>
      </c>
      <c r="EU175" s="139">
        <f t="shared" si="179"/>
        <v>0</v>
      </c>
      <c r="EV175" s="139">
        <f t="shared" si="180"/>
        <v>0</v>
      </c>
      <c r="EW175" s="139">
        <f t="shared" si="181"/>
        <v>0</v>
      </c>
      <c r="EX175" s="139">
        <f t="shared" si="182"/>
        <v>0</v>
      </c>
      <c r="EY175" s="139">
        <f t="shared" si="183"/>
        <v>0</v>
      </c>
      <c r="EZ175" s="139">
        <f t="shared" si="184"/>
        <v>0</v>
      </c>
      <c r="FA175" s="139">
        <f t="shared" si="185"/>
        <v>0</v>
      </c>
      <c r="FB175" s="139">
        <f t="shared" si="186"/>
        <v>0</v>
      </c>
      <c r="FC175" s="139">
        <f t="shared" si="187"/>
        <v>0</v>
      </c>
      <c r="FD175" s="139">
        <f t="shared" si="188"/>
        <v>0</v>
      </c>
      <c r="FE175" s="139">
        <f t="shared" si="189"/>
        <v>0</v>
      </c>
      <c r="FF175" s="139">
        <f t="shared" si="190"/>
        <v>0</v>
      </c>
      <c r="FG175" s="139">
        <f t="shared" si="191"/>
        <v>0</v>
      </c>
      <c r="FH175" s="139">
        <f t="shared" si="192"/>
        <v>0</v>
      </c>
      <c r="FI175" s="139">
        <f t="shared" si="193"/>
        <v>0</v>
      </c>
      <c r="FJ175" s="139">
        <f t="shared" si="194"/>
        <v>0</v>
      </c>
      <c r="FK175" s="139">
        <f t="shared" si="195"/>
        <v>0</v>
      </c>
      <c r="FL175" s="139">
        <f t="shared" si="196"/>
        <v>0</v>
      </c>
      <c r="FM175" s="139">
        <f t="shared" si="197"/>
        <v>0</v>
      </c>
      <c r="FN175" s="139">
        <f t="shared" si="198"/>
        <v>0</v>
      </c>
      <c r="FO175" s="139">
        <f t="shared" si="199"/>
        <v>0</v>
      </c>
      <c r="FP175" s="139">
        <f t="shared" si="200"/>
        <v>0</v>
      </c>
      <c r="FQ175" s="139">
        <f t="shared" si="201"/>
        <v>0</v>
      </c>
      <c r="FR175" s="139">
        <f t="shared" si="202"/>
        <v>0</v>
      </c>
      <c r="FS175" s="139">
        <f t="shared" si="203"/>
        <v>0</v>
      </c>
      <c r="FT175" s="139">
        <f t="shared" si="204"/>
        <v>0</v>
      </c>
      <c r="FU175" s="148">
        <f t="shared" si="205"/>
        <v>3.1395421122460458</v>
      </c>
      <c r="FV175" s="149"/>
      <c r="FY175" s="213">
        <v>170</v>
      </c>
      <c r="FZ175">
        <v>63.487422114851597</v>
      </c>
      <c r="GA175">
        <v>74.513423631224072</v>
      </c>
      <c r="GB175">
        <v>44.622811360744045</v>
      </c>
      <c r="GC175">
        <v>15.711979581745753</v>
      </c>
      <c r="GD175">
        <v>3.5097390525304499</v>
      </c>
      <c r="GE175">
        <v>5.197056165598589</v>
      </c>
      <c r="GF175">
        <v>1.9303330060265573</v>
      </c>
      <c r="GG175">
        <v>6.1188826121615847</v>
      </c>
      <c r="GH175">
        <v>13.698926902443526</v>
      </c>
      <c r="GI175">
        <v>24.836462769262702</v>
      </c>
      <c r="GJ175"/>
      <c r="GK175"/>
      <c r="GL175"/>
      <c r="GM175"/>
      <c r="GN175" s="208"/>
      <c r="GO175" s="208"/>
      <c r="GP175" s="208"/>
      <c r="GQ175" s="208"/>
      <c r="GR175" s="208"/>
      <c r="GS175" s="208"/>
      <c r="GT175" s="208"/>
      <c r="GU175" s="213">
        <v>170</v>
      </c>
    </row>
    <row r="176" spans="1:203" s="7" customFormat="1">
      <c r="A176" s="1"/>
      <c r="B176" s="76">
        <f ca="1">IF(C176="", "", RAND())</f>
        <v>0.33119986652867217</v>
      </c>
      <c r="C176">
        <v>7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222.96237054642228</v>
      </c>
      <c r="AO176">
        <v>18.55564205686693</v>
      </c>
      <c r="AP176">
        <v>11.092148847054151</v>
      </c>
      <c r="AQ176">
        <v>128.19603552853894</v>
      </c>
      <c r="AR176">
        <v>19.501858996483001</v>
      </c>
      <c r="AS176">
        <v>276.89313167543827</v>
      </c>
      <c r="AT176">
        <v>11.989576210359459</v>
      </c>
      <c r="AU176">
        <v>-10.007910092350386</v>
      </c>
      <c r="AV176"/>
      <c r="AW176"/>
      <c r="AX176" s="146"/>
      <c r="AY176" s="76">
        <f t="shared" ca="1" si="171"/>
        <v>0.36012871754470543</v>
      </c>
      <c r="AZ176">
        <v>9</v>
      </c>
      <c r="BA176" s="129">
        <f t="shared" si="245"/>
        <v>39949</v>
      </c>
      <c r="BB176" s="207">
        <v>0</v>
      </c>
      <c r="BC176" s="207">
        <v>0</v>
      </c>
      <c r="BD176" s="207">
        <v>0</v>
      </c>
      <c r="BE176" s="207">
        <v>0</v>
      </c>
      <c r="BF176" s="207">
        <v>0</v>
      </c>
      <c r="BG176" s="207">
        <v>0</v>
      </c>
      <c r="BH176" s="207">
        <v>0</v>
      </c>
      <c r="BI176" s="207">
        <v>0</v>
      </c>
      <c r="BJ176" s="207">
        <v>0</v>
      </c>
      <c r="BK176" s="207">
        <v>0</v>
      </c>
      <c r="BL176" s="207">
        <v>0</v>
      </c>
      <c r="BM176" s="207">
        <v>0</v>
      </c>
      <c r="BN176" s="207">
        <v>0</v>
      </c>
      <c r="BO176" s="207">
        <v>0</v>
      </c>
      <c r="BP176" s="207">
        <v>0</v>
      </c>
      <c r="BQ176" s="207">
        <v>0</v>
      </c>
      <c r="BR176" s="207">
        <v>0</v>
      </c>
      <c r="BS176" s="207">
        <v>0</v>
      </c>
      <c r="BT176" s="207">
        <v>0</v>
      </c>
      <c r="BU176" s="207">
        <v>0</v>
      </c>
      <c r="BV176" s="207">
        <v>0</v>
      </c>
      <c r="BW176" s="207">
        <v>0</v>
      </c>
      <c r="BX176" s="207">
        <v>0</v>
      </c>
      <c r="BY176" s="207">
        <v>0</v>
      </c>
      <c r="BZ176" s="207">
        <v>0</v>
      </c>
      <c r="CA176" s="207">
        <v>0</v>
      </c>
      <c r="CB176" s="207">
        <v>0</v>
      </c>
      <c r="CC176" s="207">
        <v>0</v>
      </c>
      <c r="CD176" s="207">
        <v>0</v>
      </c>
      <c r="CE176" s="207">
        <v>0</v>
      </c>
      <c r="CF176" s="207">
        <v>0</v>
      </c>
      <c r="CG176" s="147"/>
      <c r="CH176" s="176"/>
      <c r="CJ176" s="146"/>
      <c r="CK176" s="76">
        <f t="shared" ca="1" si="206"/>
        <v>0.69412790088803433</v>
      </c>
      <c r="CL176" s="179">
        <f t="shared" si="207"/>
        <v>9</v>
      </c>
      <c r="CM176" s="180">
        <f t="shared" si="208"/>
        <v>39949</v>
      </c>
      <c r="CN176" s="208">
        <v>0</v>
      </c>
      <c r="CO176" s="208">
        <v>0</v>
      </c>
      <c r="CP176" s="208">
        <v>0</v>
      </c>
      <c r="CQ176" s="208">
        <v>0</v>
      </c>
      <c r="CR176" s="208">
        <v>0</v>
      </c>
      <c r="CS176" s="208">
        <v>0</v>
      </c>
      <c r="CT176" s="208">
        <v>0</v>
      </c>
      <c r="CU176" s="208">
        <v>0</v>
      </c>
      <c r="CV176" s="160"/>
      <c r="CW176">
        <v>1</v>
      </c>
      <c r="CX176">
        <v>1</v>
      </c>
      <c r="CY176" s="165"/>
      <c r="CZ176" s="177">
        <f t="shared" si="209"/>
        <v>9.6000000000000002E-2</v>
      </c>
      <c r="DB176" s="146"/>
      <c r="DC176" s="76">
        <f t="shared" ca="1" si="172"/>
        <v>0.90746593458686009</v>
      </c>
      <c r="DD176">
        <f t="shared" si="210"/>
        <v>9</v>
      </c>
      <c r="DE176" s="129">
        <f t="shared" si="244"/>
        <v>39949</v>
      </c>
      <c r="DF176" s="161">
        <f t="shared" si="211"/>
        <v>0</v>
      </c>
      <c r="DG176" s="161">
        <f t="shared" si="212"/>
        <v>0</v>
      </c>
      <c r="DH176" s="161">
        <f t="shared" si="213"/>
        <v>0</v>
      </c>
      <c r="DI176" s="161">
        <f t="shared" si="214"/>
        <v>0</v>
      </c>
      <c r="DJ176" s="161">
        <f t="shared" si="215"/>
        <v>0</v>
      </c>
      <c r="DK176" s="161">
        <f t="shared" si="216"/>
        <v>0</v>
      </c>
      <c r="DL176" s="161">
        <f t="shared" si="217"/>
        <v>0</v>
      </c>
      <c r="DM176" s="161">
        <f t="shared" si="218"/>
        <v>0</v>
      </c>
      <c r="DN176" s="161">
        <f t="shared" si="219"/>
        <v>0</v>
      </c>
      <c r="DO176" s="161">
        <f t="shared" si="220"/>
        <v>0</v>
      </c>
      <c r="DP176" s="161">
        <f t="shared" si="221"/>
        <v>0</v>
      </c>
      <c r="DQ176" s="161">
        <f t="shared" si="222"/>
        <v>0</v>
      </c>
      <c r="DR176" s="161">
        <f t="shared" si="223"/>
        <v>0</v>
      </c>
      <c r="DS176" s="161">
        <f t="shared" si="224"/>
        <v>0</v>
      </c>
      <c r="DT176" s="161">
        <f t="shared" si="225"/>
        <v>0</v>
      </c>
      <c r="DU176" s="161">
        <f t="shared" si="226"/>
        <v>0</v>
      </c>
      <c r="DV176" s="161">
        <f t="shared" si="227"/>
        <v>0</v>
      </c>
      <c r="DW176" s="161">
        <f t="shared" si="228"/>
        <v>0</v>
      </c>
      <c r="DX176" s="161">
        <f t="shared" si="229"/>
        <v>0</v>
      </c>
      <c r="DY176" s="161">
        <f t="shared" si="230"/>
        <v>0</v>
      </c>
      <c r="DZ176" s="161">
        <f t="shared" si="231"/>
        <v>0</v>
      </c>
      <c r="EA176" s="161">
        <f t="shared" si="232"/>
        <v>0</v>
      </c>
      <c r="EB176" s="161">
        <f t="shared" si="233"/>
        <v>0</v>
      </c>
      <c r="EC176" s="161">
        <f t="shared" si="234"/>
        <v>0</v>
      </c>
      <c r="ED176" s="161">
        <f t="shared" si="235"/>
        <v>0</v>
      </c>
      <c r="EE176" s="161">
        <f t="shared" si="236"/>
        <v>0</v>
      </c>
      <c r="EF176" s="161">
        <f t="shared" si="237"/>
        <v>0</v>
      </c>
      <c r="EG176" s="161">
        <f t="shared" si="238"/>
        <v>0</v>
      </c>
      <c r="EH176" s="161">
        <f t="shared" si="239"/>
        <v>0</v>
      </c>
      <c r="EI176" s="161">
        <f t="shared" si="240"/>
        <v>0</v>
      </c>
      <c r="EJ176" s="161">
        <f t="shared" si="241"/>
        <v>0</v>
      </c>
      <c r="EK176" s="147">
        <f t="shared" si="173"/>
        <v>0</v>
      </c>
      <c r="EL176" s="149"/>
      <c r="EN176" s="146"/>
      <c r="EO176" s="146"/>
      <c r="EP176" s="139">
        <f t="shared" si="174"/>
        <v>0</v>
      </c>
      <c r="EQ176" s="139">
        <f t="shared" si="175"/>
        <v>0</v>
      </c>
      <c r="ER176" s="139">
        <f t="shared" si="176"/>
        <v>0</v>
      </c>
      <c r="ES176" s="139">
        <f t="shared" si="177"/>
        <v>0</v>
      </c>
      <c r="ET176" s="139">
        <f t="shared" si="178"/>
        <v>0</v>
      </c>
      <c r="EU176" s="139">
        <f t="shared" si="179"/>
        <v>0</v>
      </c>
      <c r="EV176" s="139">
        <f t="shared" si="180"/>
        <v>0</v>
      </c>
      <c r="EW176" s="139">
        <f t="shared" si="181"/>
        <v>0</v>
      </c>
      <c r="EX176" s="139">
        <f t="shared" si="182"/>
        <v>0</v>
      </c>
      <c r="EY176" s="139">
        <f t="shared" si="183"/>
        <v>0</v>
      </c>
      <c r="EZ176" s="139">
        <f t="shared" si="184"/>
        <v>0</v>
      </c>
      <c r="FA176" s="139">
        <f t="shared" si="185"/>
        <v>0</v>
      </c>
      <c r="FB176" s="139">
        <f t="shared" si="186"/>
        <v>0</v>
      </c>
      <c r="FC176" s="139">
        <f t="shared" si="187"/>
        <v>0</v>
      </c>
      <c r="FD176" s="139">
        <f t="shared" si="188"/>
        <v>0</v>
      </c>
      <c r="FE176" s="139">
        <f t="shared" si="189"/>
        <v>0</v>
      </c>
      <c r="FF176" s="139">
        <f t="shared" si="190"/>
        <v>0</v>
      </c>
      <c r="FG176" s="139">
        <f t="shared" si="191"/>
        <v>0</v>
      </c>
      <c r="FH176" s="139">
        <f t="shared" si="192"/>
        <v>0</v>
      </c>
      <c r="FI176" s="139">
        <f t="shared" si="193"/>
        <v>0</v>
      </c>
      <c r="FJ176" s="139">
        <f t="shared" si="194"/>
        <v>0</v>
      </c>
      <c r="FK176" s="139">
        <f t="shared" si="195"/>
        <v>0</v>
      </c>
      <c r="FL176" s="139">
        <f t="shared" si="196"/>
        <v>0</v>
      </c>
      <c r="FM176" s="139">
        <f t="shared" si="197"/>
        <v>0</v>
      </c>
      <c r="FN176" s="139">
        <f t="shared" si="198"/>
        <v>0</v>
      </c>
      <c r="FO176" s="139">
        <f t="shared" si="199"/>
        <v>0</v>
      </c>
      <c r="FP176" s="139">
        <f t="shared" si="200"/>
        <v>0</v>
      </c>
      <c r="FQ176" s="139">
        <f t="shared" si="201"/>
        <v>0</v>
      </c>
      <c r="FR176" s="139">
        <f t="shared" si="202"/>
        <v>0</v>
      </c>
      <c r="FS176" s="139">
        <f t="shared" si="203"/>
        <v>0</v>
      </c>
      <c r="FT176" s="139">
        <f t="shared" si="204"/>
        <v>0</v>
      </c>
      <c r="FU176" s="148">
        <f t="shared" si="205"/>
        <v>0</v>
      </c>
      <c r="FV176" s="149"/>
      <c r="FY176" s="213">
        <v>171</v>
      </c>
      <c r="FZ176">
        <v>51.134331641466986</v>
      </c>
      <c r="GA176">
        <v>38.376240238783112</v>
      </c>
      <c r="GB176">
        <v>21.410258546413484</v>
      </c>
      <c r="GC176">
        <v>11.411408523804782</v>
      </c>
      <c r="GD176">
        <v>3.0339164911001295</v>
      </c>
      <c r="GE176">
        <v>2.7701180667318068</v>
      </c>
      <c r="GF176">
        <v>5.5435787356773565</v>
      </c>
      <c r="GG176">
        <v>4.008924583978775</v>
      </c>
      <c r="GH176">
        <v>1.9740542485963481</v>
      </c>
      <c r="GI176">
        <v>15.844529750831059</v>
      </c>
      <c r="GJ176"/>
      <c r="GK176"/>
      <c r="GL176"/>
      <c r="GM176"/>
      <c r="GN176" s="208"/>
      <c r="GO176" s="208"/>
      <c r="GP176" s="208"/>
      <c r="GQ176" s="208"/>
      <c r="GR176" s="208"/>
      <c r="GS176" s="208"/>
      <c r="GT176" s="208"/>
      <c r="GU176" s="213">
        <v>171</v>
      </c>
    </row>
    <row r="177" spans="1:203" s="7" customFormat="1">
      <c r="A177" s="1"/>
      <c r="B177" s="76">
        <f ca="1">IF(C177="", "", RAND())</f>
        <v>0.54434159787404668</v>
      </c>
      <c r="C177">
        <v>1</v>
      </c>
      <c r="D177">
        <v>39949</v>
      </c>
      <c r="E177">
        <v>0</v>
      </c>
      <c r="F177">
        <v>0</v>
      </c>
      <c r="G177">
        <v>40.788152610441763</v>
      </c>
      <c r="H177">
        <v>40.788152610441763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318.80230690620277</v>
      </c>
      <c r="AO177">
        <v>31.876575786879737</v>
      </c>
      <c r="AP177">
        <v>30.842725955458437</v>
      </c>
      <c r="AQ177">
        <v>237.93457724268612</v>
      </c>
      <c r="AR177">
        <v>30.968850281319746</v>
      </c>
      <c r="AS177">
        <v>463.40114769771003</v>
      </c>
      <c r="AT177">
        <v>19.099537884806288</v>
      </c>
      <c r="AU177">
        <v>-59.865910833209682</v>
      </c>
      <c r="AV177"/>
      <c r="AW177"/>
      <c r="AX177" s="146"/>
      <c r="AY177" s="76">
        <f t="shared" ca="1" si="171"/>
        <v>0.47627824661598184</v>
      </c>
      <c r="AZ177">
        <v>10</v>
      </c>
      <c r="BA177" s="129">
        <f t="shared" si="245"/>
        <v>39949</v>
      </c>
      <c r="BB177" s="207">
        <v>0</v>
      </c>
      <c r="BC177" s="207">
        <v>0</v>
      </c>
      <c r="BD177" s="207">
        <v>0</v>
      </c>
      <c r="BE177" s="207">
        <v>0</v>
      </c>
      <c r="BF177" s="207">
        <v>0</v>
      </c>
      <c r="BG177" s="207">
        <v>0</v>
      </c>
      <c r="BH177" s="207">
        <v>0</v>
      </c>
      <c r="BI177" s="207">
        <v>0</v>
      </c>
      <c r="BJ177" s="207">
        <v>0</v>
      </c>
      <c r="BK177" s="207">
        <v>0</v>
      </c>
      <c r="BL177" s="207">
        <v>0</v>
      </c>
      <c r="BM177" s="207">
        <v>0</v>
      </c>
      <c r="BN177" s="207">
        <v>0</v>
      </c>
      <c r="BO177" s="207">
        <v>0</v>
      </c>
      <c r="BP177" s="207">
        <v>0</v>
      </c>
      <c r="BQ177" s="207">
        <v>0</v>
      </c>
      <c r="BR177" s="207">
        <v>0</v>
      </c>
      <c r="BS177" s="207">
        <v>0</v>
      </c>
      <c r="BT177" s="207">
        <v>0</v>
      </c>
      <c r="BU177" s="207">
        <v>0</v>
      </c>
      <c r="BV177" s="207">
        <v>0</v>
      </c>
      <c r="BW177" s="207">
        <v>0</v>
      </c>
      <c r="BX177" s="207">
        <v>0</v>
      </c>
      <c r="BY177" s="207">
        <v>0</v>
      </c>
      <c r="BZ177" s="207">
        <v>0</v>
      </c>
      <c r="CA177" s="207">
        <v>0</v>
      </c>
      <c r="CB177" s="207">
        <v>0</v>
      </c>
      <c r="CC177" s="207">
        <v>0</v>
      </c>
      <c r="CD177" s="207">
        <v>0</v>
      </c>
      <c r="CE177" s="207">
        <v>0</v>
      </c>
      <c r="CF177" s="207">
        <v>0</v>
      </c>
      <c r="CG177" s="147"/>
      <c r="CH177" s="176"/>
      <c r="CJ177" s="146"/>
      <c r="CK177" s="76">
        <f t="shared" ca="1" si="206"/>
        <v>0.83495760720805712</v>
      </c>
      <c r="CL177" s="179">
        <f t="shared" si="207"/>
        <v>10</v>
      </c>
      <c r="CM177" s="180">
        <f t="shared" si="208"/>
        <v>39949</v>
      </c>
      <c r="CN177" s="208">
        <v>0</v>
      </c>
      <c r="CO177" s="208">
        <v>0</v>
      </c>
      <c r="CP177" s="208">
        <v>0</v>
      </c>
      <c r="CQ177" s="208">
        <v>0</v>
      </c>
      <c r="CR177" s="208">
        <v>0</v>
      </c>
      <c r="CS177" s="208">
        <v>0</v>
      </c>
      <c r="CT177" s="208">
        <v>0</v>
      </c>
      <c r="CU177" s="208">
        <v>0</v>
      </c>
      <c r="CV177" s="160"/>
      <c r="CW177">
        <v>1</v>
      </c>
      <c r="CX177">
        <f>500/87</f>
        <v>5.7471264367816088</v>
      </c>
      <c r="CY177" s="165"/>
      <c r="CZ177" s="177">
        <f t="shared" si="209"/>
        <v>9.6000000000000002E-2</v>
      </c>
      <c r="DB177" s="146"/>
      <c r="DC177" s="76">
        <f t="shared" ca="1" si="172"/>
        <v>0.72919613706769759</v>
      </c>
      <c r="DD177">
        <f t="shared" si="210"/>
        <v>10</v>
      </c>
      <c r="DE177" s="129">
        <f t="shared" si="244"/>
        <v>39949</v>
      </c>
      <c r="DF177" s="161">
        <f t="shared" si="211"/>
        <v>0</v>
      </c>
      <c r="DG177" s="161">
        <f t="shared" si="212"/>
        <v>0</v>
      </c>
      <c r="DH177" s="161">
        <f t="shared" si="213"/>
        <v>0</v>
      </c>
      <c r="DI177" s="161">
        <f t="shared" si="214"/>
        <v>0</v>
      </c>
      <c r="DJ177" s="161">
        <f t="shared" si="215"/>
        <v>0</v>
      </c>
      <c r="DK177" s="161">
        <f t="shared" si="216"/>
        <v>0</v>
      </c>
      <c r="DL177" s="161">
        <f t="shared" si="217"/>
        <v>0</v>
      </c>
      <c r="DM177" s="161">
        <f t="shared" si="218"/>
        <v>0</v>
      </c>
      <c r="DN177" s="161">
        <f t="shared" si="219"/>
        <v>0</v>
      </c>
      <c r="DO177" s="161">
        <f t="shared" si="220"/>
        <v>0</v>
      </c>
      <c r="DP177" s="161">
        <f t="shared" si="221"/>
        <v>0</v>
      </c>
      <c r="DQ177" s="161">
        <f t="shared" si="222"/>
        <v>0</v>
      </c>
      <c r="DR177" s="161">
        <f t="shared" si="223"/>
        <v>0</v>
      </c>
      <c r="DS177" s="161">
        <f t="shared" si="224"/>
        <v>0</v>
      </c>
      <c r="DT177" s="161">
        <f t="shared" si="225"/>
        <v>0</v>
      </c>
      <c r="DU177" s="161">
        <f t="shared" si="226"/>
        <v>0</v>
      </c>
      <c r="DV177" s="161">
        <f t="shared" si="227"/>
        <v>0</v>
      </c>
      <c r="DW177" s="161">
        <f t="shared" si="228"/>
        <v>0</v>
      </c>
      <c r="DX177" s="161">
        <f t="shared" si="229"/>
        <v>0</v>
      </c>
      <c r="DY177" s="161">
        <f t="shared" si="230"/>
        <v>0</v>
      </c>
      <c r="DZ177" s="161">
        <f t="shared" si="231"/>
        <v>0</v>
      </c>
      <c r="EA177" s="161">
        <f t="shared" si="232"/>
        <v>0</v>
      </c>
      <c r="EB177" s="161">
        <f t="shared" si="233"/>
        <v>0</v>
      </c>
      <c r="EC177" s="161">
        <f t="shared" si="234"/>
        <v>0</v>
      </c>
      <c r="ED177" s="161">
        <f t="shared" si="235"/>
        <v>0</v>
      </c>
      <c r="EE177" s="161">
        <f t="shared" si="236"/>
        <v>0</v>
      </c>
      <c r="EF177" s="161">
        <f t="shared" si="237"/>
        <v>0</v>
      </c>
      <c r="EG177" s="161">
        <f t="shared" si="238"/>
        <v>0</v>
      </c>
      <c r="EH177" s="161">
        <f t="shared" si="239"/>
        <v>0</v>
      </c>
      <c r="EI177" s="161">
        <f t="shared" si="240"/>
        <v>0</v>
      </c>
      <c r="EJ177" s="161">
        <f t="shared" si="241"/>
        <v>0</v>
      </c>
      <c r="EK177" s="147">
        <f t="shared" si="173"/>
        <v>0</v>
      </c>
      <c r="EL177" s="149"/>
      <c r="EN177" s="146"/>
      <c r="EO177" s="146"/>
      <c r="EP177" s="139">
        <f t="shared" si="174"/>
        <v>0</v>
      </c>
      <c r="EQ177" s="139">
        <f t="shared" si="175"/>
        <v>0</v>
      </c>
      <c r="ER177" s="139">
        <f t="shared" si="176"/>
        <v>0</v>
      </c>
      <c r="ES177" s="139">
        <f t="shared" si="177"/>
        <v>0</v>
      </c>
      <c r="ET177" s="139">
        <f t="shared" si="178"/>
        <v>0</v>
      </c>
      <c r="EU177" s="139">
        <f t="shared" si="179"/>
        <v>0</v>
      </c>
      <c r="EV177" s="139">
        <f t="shared" si="180"/>
        <v>0</v>
      </c>
      <c r="EW177" s="139">
        <f t="shared" si="181"/>
        <v>0</v>
      </c>
      <c r="EX177" s="139">
        <f t="shared" si="182"/>
        <v>0</v>
      </c>
      <c r="EY177" s="139">
        <f t="shared" si="183"/>
        <v>0</v>
      </c>
      <c r="EZ177" s="139">
        <f t="shared" si="184"/>
        <v>0</v>
      </c>
      <c r="FA177" s="139">
        <f t="shared" si="185"/>
        <v>0</v>
      </c>
      <c r="FB177" s="139">
        <f t="shared" si="186"/>
        <v>0</v>
      </c>
      <c r="FC177" s="139">
        <f t="shared" si="187"/>
        <v>0</v>
      </c>
      <c r="FD177" s="139">
        <f t="shared" si="188"/>
        <v>0</v>
      </c>
      <c r="FE177" s="139">
        <f t="shared" si="189"/>
        <v>0</v>
      </c>
      <c r="FF177" s="139">
        <f t="shared" si="190"/>
        <v>0</v>
      </c>
      <c r="FG177" s="139">
        <f t="shared" si="191"/>
        <v>0</v>
      </c>
      <c r="FH177" s="139">
        <f t="shared" si="192"/>
        <v>0</v>
      </c>
      <c r="FI177" s="139">
        <f t="shared" si="193"/>
        <v>0</v>
      </c>
      <c r="FJ177" s="139">
        <f t="shared" si="194"/>
        <v>0</v>
      </c>
      <c r="FK177" s="139">
        <f t="shared" si="195"/>
        <v>0</v>
      </c>
      <c r="FL177" s="139">
        <f t="shared" si="196"/>
        <v>0</v>
      </c>
      <c r="FM177" s="139">
        <f t="shared" si="197"/>
        <v>0</v>
      </c>
      <c r="FN177" s="139">
        <f t="shared" si="198"/>
        <v>0</v>
      </c>
      <c r="FO177" s="139">
        <f t="shared" si="199"/>
        <v>0</v>
      </c>
      <c r="FP177" s="139">
        <f t="shared" si="200"/>
        <v>0</v>
      </c>
      <c r="FQ177" s="139">
        <f t="shared" si="201"/>
        <v>0</v>
      </c>
      <c r="FR177" s="139">
        <f t="shared" si="202"/>
        <v>0</v>
      </c>
      <c r="FS177" s="139">
        <f t="shared" si="203"/>
        <v>0</v>
      </c>
      <c r="FT177" s="139">
        <f t="shared" si="204"/>
        <v>0</v>
      </c>
      <c r="FU177" s="148">
        <f t="shared" si="205"/>
        <v>0</v>
      </c>
      <c r="FV177" s="149"/>
      <c r="FY177" s="213">
        <v>172</v>
      </c>
      <c r="FZ177">
        <v>56.959248783653749</v>
      </c>
      <c r="GA177">
        <v>76.678749756736153</v>
      </c>
      <c r="GB177">
        <v>47.474601026744836</v>
      </c>
      <c r="GC177">
        <v>15.402755056361721</v>
      </c>
      <c r="GD177">
        <v>4.2089408334780458</v>
      </c>
      <c r="GE177">
        <v>6.7001178823840748</v>
      </c>
      <c r="GF177">
        <v>5.8922511087007354</v>
      </c>
      <c r="GG177">
        <v>4.2483521042599648</v>
      </c>
      <c r="GH177">
        <v>6.0293278503736678</v>
      </c>
      <c r="GI177">
        <v>24.458486201571613</v>
      </c>
      <c r="GJ177"/>
      <c r="GK177"/>
      <c r="GL177"/>
      <c r="GM177"/>
      <c r="GN177" s="208"/>
      <c r="GO177" s="208"/>
      <c r="GP177" s="208"/>
      <c r="GQ177" s="208"/>
      <c r="GR177" s="208"/>
      <c r="GS177" s="208"/>
      <c r="GT177" s="208"/>
      <c r="GU177" s="213">
        <v>172</v>
      </c>
    </row>
    <row r="178" spans="1:203" s="7" customFormat="1">
      <c r="A178" s="128"/>
      <c r="B178" s="76">
        <f ca="1">IF(C178="", "", RAND())</f>
        <v>0.21650775246576037</v>
      </c>
      <c r="C178">
        <v>8</v>
      </c>
      <c r="D178">
        <v>39987</v>
      </c>
      <c r="E178">
        <v>0</v>
      </c>
      <c r="F178">
        <v>0</v>
      </c>
      <c r="G178">
        <v>56.089743589743591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318.1187571947309</v>
      </c>
      <c r="AO178">
        <v>29.169468477475583</v>
      </c>
      <c r="AP178">
        <v>26.016230978502001</v>
      </c>
      <c r="AQ178">
        <v>214.96740929598812</v>
      </c>
      <c r="AR178">
        <v>29.344086656806219</v>
      </c>
      <c r="AS178">
        <v>452.75423900867037</v>
      </c>
      <c r="AT178">
        <v>18.550614033386218</v>
      </c>
      <c r="AU178">
        <v>-43.195580514287776</v>
      </c>
      <c r="AV178"/>
      <c r="AW178"/>
      <c r="AX178" s="128"/>
      <c r="AY178" s="76">
        <f t="shared" ca="1" si="171"/>
        <v>0.57452117396207791</v>
      </c>
      <c r="AZ178">
        <v>1</v>
      </c>
      <c r="BA178" s="129">
        <f>IF(AZ178="", "",$C$13)</f>
        <v>39987</v>
      </c>
      <c r="BB178" s="207">
        <v>0</v>
      </c>
      <c r="BC178" s="207">
        <v>0</v>
      </c>
      <c r="BD178" s="207">
        <v>0</v>
      </c>
      <c r="BE178" s="207">
        <v>0</v>
      </c>
      <c r="BF178" s="207">
        <v>0</v>
      </c>
      <c r="BG178" s="207">
        <v>0</v>
      </c>
      <c r="BH178" s="207">
        <v>0</v>
      </c>
      <c r="BI178" s="207">
        <v>0</v>
      </c>
      <c r="BJ178" s="207">
        <v>0</v>
      </c>
      <c r="BK178" s="207">
        <v>0</v>
      </c>
      <c r="BL178" s="207">
        <v>0</v>
      </c>
      <c r="BM178" s="207">
        <v>0</v>
      </c>
      <c r="BN178" s="207">
        <v>0</v>
      </c>
      <c r="BO178" s="207">
        <v>0</v>
      </c>
      <c r="BP178" s="207">
        <v>0</v>
      </c>
      <c r="BQ178" s="207">
        <v>0</v>
      </c>
      <c r="BR178" s="207">
        <v>0</v>
      </c>
      <c r="BS178" s="207">
        <v>0</v>
      </c>
      <c r="BT178" s="207">
        <v>0</v>
      </c>
      <c r="BU178" s="207">
        <v>0</v>
      </c>
      <c r="BV178" s="207">
        <v>0</v>
      </c>
      <c r="BW178" s="207">
        <v>0</v>
      </c>
      <c r="BX178" s="207">
        <v>0</v>
      </c>
      <c r="BY178" s="207">
        <v>0</v>
      </c>
      <c r="BZ178" s="207">
        <v>0</v>
      </c>
      <c r="CA178" s="207">
        <v>0</v>
      </c>
      <c r="CB178" s="207">
        <v>0</v>
      </c>
      <c r="CC178" s="207">
        <v>0</v>
      </c>
      <c r="CD178" s="207">
        <v>0</v>
      </c>
      <c r="CE178" s="207">
        <v>0</v>
      </c>
      <c r="CF178" s="207">
        <v>0</v>
      </c>
      <c r="CG178" s="147"/>
      <c r="CH178" s="176"/>
      <c r="CJ178" s="128"/>
      <c r="CK178" s="76">
        <f t="shared" ca="1" si="206"/>
        <v>0.31040568612498287</v>
      </c>
      <c r="CL178" s="179">
        <f t="shared" si="207"/>
        <v>1</v>
      </c>
      <c r="CM178" s="180">
        <f t="shared" si="208"/>
        <v>39987</v>
      </c>
      <c r="CN178" s="208">
        <v>0</v>
      </c>
      <c r="CO178" s="208">
        <v>0</v>
      </c>
      <c r="CP178" s="208">
        <v>0</v>
      </c>
      <c r="CQ178" s="208">
        <v>0</v>
      </c>
      <c r="CR178" s="208">
        <v>0</v>
      </c>
      <c r="CS178" s="208">
        <v>0</v>
      </c>
      <c r="CT178" s="208">
        <v>0</v>
      </c>
      <c r="CU178" s="20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09"/>
        <v>9.6000000000000002E-2</v>
      </c>
      <c r="DB178" s="128"/>
      <c r="DC178" s="76">
        <f t="shared" ca="1" si="172"/>
        <v>0.60858702947783194</v>
      </c>
      <c r="DD178">
        <f t="shared" si="210"/>
        <v>1</v>
      </c>
      <c r="DE178" s="129">
        <f t="shared" ref="DE178:DE187" si="246">IF((DD178)="", "", $C$13)</f>
        <v>39987</v>
      </c>
      <c r="DF178" s="161">
        <f t="shared" si="211"/>
        <v>0</v>
      </c>
      <c r="DG178" s="161">
        <f t="shared" si="212"/>
        <v>0</v>
      </c>
      <c r="DH178" s="161">
        <f t="shared" si="213"/>
        <v>0</v>
      </c>
      <c r="DI178" s="161">
        <f t="shared" si="214"/>
        <v>0</v>
      </c>
      <c r="DJ178" s="161">
        <f t="shared" si="215"/>
        <v>0</v>
      </c>
      <c r="DK178" s="161">
        <f t="shared" si="216"/>
        <v>0</v>
      </c>
      <c r="DL178" s="161">
        <f t="shared" si="217"/>
        <v>0</v>
      </c>
      <c r="DM178" s="161">
        <f t="shared" si="218"/>
        <v>0</v>
      </c>
      <c r="DN178" s="161">
        <f t="shared" si="219"/>
        <v>0</v>
      </c>
      <c r="DO178" s="161">
        <f t="shared" si="220"/>
        <v>0</v>
      </c>
      <c r="DP178" s="161">
        <f t="shared" si="221"/>
        <v>0</v>
      </c>
      <c r="DQ178" s="161">
        <f t="shared" si="222"/>
        <v>0</v>
      </c>
      <c r="DR178" s="161">
        <f t="shared" si="223"/>
        <v>0</v>
      </c>
      <c r="DS178" s="161">
        <f t="shared" si="224"/>
        <v>0</v>
      </c>
      <c r="DT178" s="161">
        <f t="shared" si="225"/>
        <v>0</v>
      </c>
      <c r="DU178" s="161">
        <f t="shared" si="226"/>
        <v>0</v>
      </c>
      <c r="DV178" s="161">
        <f t="shared" si="227"/>
        <v>0</v>
      </c>
      <c r="DW178" s="161">
        <f t="shared" si="228"/>
        <v>0</v>
      </c>
      <c r="DX178" s="161">
        <f t="shared" si="229"/>
        <v>0</v>
      </c>
      <c r="DY178" s="161">
        <f t="shared" si="230"/>
        <v>0</v>
      </c>
      <c r="DZ178" s="161">
        <f t="shared" si="231"/>
        <v>0</v>
      </c>
      <c r="EA178" s="161">
        <f t="shared" si="232"/>
        <v>0</v>
      </c>
      <c r="EB178" s="161">
        <f t="shared" si="233"/>
        <v>0</v>
      </c>
      <c r="EC178" s="161">
        <f t="shared" si="234"/>
        <v>0</v>
      </c>
      <c r="ED178" s="161">
        <f t="shared" si="235"/>
        <v>0</v>
      </c>
      <c r="EE178" s="161">
        <f t="shared" si="236"/>
        <v>0</v>
      </c>
      <c r="EF178" s="161">
        <f t="shared" si="237"/>
        <v>0</v>
      </c>
      <c r="EG178" s="161">
        <f t="shared" si="238"/>
        <v>0</v>
      </c>
      <c r="EH178" s="161">
        <f t="shared" si="239"/>
        <v>0</v>
      </c>
      <c r="EI178" s="161">
        <f t="shared" si="240"/>
        <v>0</v>
      </c>
      <c r="EJ178" s="161">
        <f t="shared" si="241"/>
        <v>0</v>
      </c>
      <c r="EK178" s="147">
        <f t="shared" si="173"/>
        <v>0</v>
      </c>
      <c r="EL178" s="149"/>
      <c r="EN178" s="146"/>
      <c r="EO178" s="146"/>
      <c r="EP178" s="139">
        <f t="shared" si="174"/>
        <v>0</v>
      </c>
      <c r="EQ178" s="139">
        <f t="shared" si="175"/>
        <v>0</v>
      </c>
      <c r="ER178" s="139">
        <f t="shared" si="176"/>
        <v>0</v>
      </c>
      <c r="ES178" s="139">
        <f t="shared" si="177"/>
        <v>0</v>
      </c>
      <c r="ET178" s="139">
        <f t="shared" si="178"/>
        <v>0</v>
      </c>
      <c r="EU178" s="139">
        <f t="shared" si="179"/>
        <v>0</v>
      </c>
      <c r="EV178" s="139">
        <f t="shared" si="180"/>
        <v>0</v>
      </c>
      <c r="EW178" s="139">
        <f t="shared" si="181"/>
        <v>0</v>
      </c>
      <c r="EX178" s="139">
        <f t="shared" si="182"/>
        <v>0</v>
      </c>
      <c r="EY178" s="139">
        <f t="shared" si="183"/>
        <v>0</v>
      </c>
      <c r="EZ178" s="139">
        <f t="shared" si="184"/>
        <v>0</v>
      </c>
      <c r="FA178" s="139">
        <f t="shared" si="185"/>
        <v>0</v>
      </c>
      <c r="FB178" s="139">
        <f t="shared" si="186"/>
        <v>0</v>
      </c>
      <c r="FC178" s="139">
        <f t="shared" si="187"/>
        <v>0</v>
      </c>
      <c r="FD178" s="139">
        <f t="shared" si="188"/>
        <v>0</v>
      </c>
      <c r="FE178" s="139">
        <f t="shared" si="189"/>
        <v>0</v>
      </c>
      <c r="FF178" s="139">
        <f t="shared" si="190"/>
        <v>0</v>
      </c>
      <c r="FG178" s="139">
        <f t="shared" si="191"/>
        <v>0</v>
      </c>
      <c r="FH178" s="139">
        <f t="shared" si="192"/>
        <v>0</v>
      </c>
      <c r="FI178" s="139">
        <f t="shared" si="193"/>
        <v>0</v>
      </c>
      <c r="FJ178" s="139">
        <f t="shared" si="194"/>
        <v>0</v>
      </c>
      <c r="FK178" s="139">
        <f t="shared" si="195"/>
        <v>0</v>
      </c>
      <c r="FL178" s="139">
        <f t="shared" si="196"/>
        <v>0</v>
      </c>
      <c r="FM178" s="139">
        <f t="shared" si="197"/>
        <v>0</v>
      </c>
      <c r="FN178" s="139">
        <f t="shared" si="198"/>
        <v>0</v>
      </c>
      <c r="FO178" s="139">
        <f t="shared" si="199"/>
        <v>0</v>
      </c>
      <c r="FP178" s="139">
        <f t="shared" si="200"/>
        <v>0</v>
      </c>
      <c r="FQ178" s="139">
        <f t="shared" si="201"/>
        <v>0</v>
      </c>
      <c r="FR178" s="139">
        <f t="shared" si="202"/>
        <v>0</v>
      </c>
      <c r="FS178" s="139">
        <f t="shared" si="203"/>
        <v>0</v>
      </c>
      <c r="FT178" s="139">
        <f t="shared" si="204"/>
        <v>0</v>
      </c>
      <c r="FU178" s="148">
        <f t="shared" si="205"/>
        <v>0</v>
      </c>
      <c r="FV178" s="149"/>
      <c r="FY178" s="213">
        <v>173</v>
      </c>
      <c r="FZ178">
        <v>49.713852431604273</v>
      </c>
      <c r="GA178">
        <v>53.714458517674814</v>
      </c>
      <c r="GB178">
        <v>37.18660229659131</v>
      </c>
      <c r="GC178">
        <v>14.884035579521242</v>
      </c>
      <c r="GD178">
        <v>3.4273142421336806</v>
      </c>
      <c r="GE178">
        <v>1.761264858148305</v>
      </c>
      <c r="GF178">
        <v>1.5902511737784342</v>
      </c>
      <c r="GG178">
        <v>2.4646120632331692</v>
      </c>
      <c r="GH178">
        <v>8.1312822356190004</v>
      </c>
      <c r="GI178">
        <v>19.991592634056282</v>
      </c>
      <c r="GJ178"/>
      <c r="GK178"/>
      <c r="GL178"/>
      <c r="GM178"/>
      <c r="GN178" s="208"/>
      <c r="GO178" s="208"/>
      <c r="GP178" s="208"/>
      <c r="GQ178" s="208"/>
      <c r="GR178" s="208"/>
      <c r="GS178" s="208"/>
      <c r="GT178" s="208"/>
      <c r="GU178" s="213">
        <v>173</v>
      </c>
    </row>
    <row r="179" spans="1:203" s="7" customFormat="1">
      <c r="A179" s="1"/>
      <c r="B179" s="76">
        <f ca="1">IF(C179="", "", RAND())</f>
        <v>0.58051037367636327</v>
      </c>
      <c r="C179">
        <v>9</v>
      </c>
      <c r="D179">
        <v>39987</v>
      </c>
      <c r="E179">
        <v>0</v>
      </c>
      <c r="F179">
        <v>0</v>
      </c>
      <c r="G179">
        <v>70.112179487179489</v>
      </c>
      <c r="H179">
        <v>0</v>
      </c>
      <c r="I179">
        <v>10.416666666666666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270.83101417190397</v>
      </c>
      <c r="AO179">
        <v>27.021370443775879</v>
      </c>
      <c r="AP179">
        <v>51.436620986888585</v>
      </c>
      <c r="AQ179">
        <v>193.56100047101026</v>
      </c>
      <c r="AR179">
        <v>26.721275854103315</v>
      </c>
      <c r="AS179">
        <v>397.85779049296389</v>
      </c>
      <c r="AT179">
        <v>17.057403609488265</v>
      </c>
      <c r="AU179">
        <v>-33.691200172844532</v>
      </c>
      <c r="AV179"/>
      <c r="AW179"/>
      <c r="AX179" s="146"/>
      <c r="AY179" s="76">
        <f t="shared" ca="1" si="171"/>
        <v>0.18360402219223904</v>
      </c>
      <c r="AZ179">
        <v>2</v>
      </c>
      <c r="BA179" s="129">
        <f t="shared" ref="BA179:BA187" si="247">IF(AZ179="", "",$C$13)</f>
        <v>39987</v>
      </c>
      <c r="BB179" s="207">
        <v>0</v>
      </c>
      <c r="BC179" s="207">
        <v>0</v>
      </c>
      <c r="BD179" s="207">
        <v>0</v>
      </c>
      <c r="BE179" s="207">
        <v>0</v>
      </c>
      <c r="BF179" s="207">
        <v>0</v>
      </c>
      <c r="BG179" s="207">
        <v>0</v>
      </c>
      <c r="BH179" s="207">
        <v>0</v>
      </c>
      <c r="BI179" s="207">
        <v>0</v>
      </c>
      <c r="BJ179" s="207">
        <v>0</v>
      </c>
      <c r="BK179" s="207">
        <v>0</v>
      </c>
      <c r="BL179" s="207">
        <v>0</v>
      </c>
      <c r="BM179" s="207">
        <v>0</v>
      </c>
      <c r="BN179" s="207">
        <v>0</v>
      </c>
      <c r="BO179" s="207">
        <v>0</v>
      </c>
      <c r="BP179" s="207">
        <v>0</v>
      </c>
      <c r="BQ179" s="207">
        <v>0</v>
      </c>
      <c r="BR179" s="207">
        <v>0</v>
      </c>
      <c r="BS179" s="207">
        <v>0</v>
      </c>
      <c r="BT179" s="207">
        <v>0</v>
      </c>
      <c r="BU179" s="207">
        <v>0</v>
      </c>
      <c r="BV179" s="207">
        <v>0</v>
      </c>
      <c r="BW179" s="207">
        <v>0</v>
      </c>
      <c r="BX179" s="207">
        <v>0</v>
      </c>
      <c r="BY179" s="207">
        <v>0</v>
      </c>
      <c r="BZ179" s="207">
        <v>0</v>
      </c>
      <c r="CA179" s="207">
        <v>0</v>
      </c>
      <c r="CB179" s="207">
        <v>0</v>
      </c>
      <c r="CC179" s="207">
        <v>0</v>
      </c>
      <c r="CD179" s="207">
        <v>0</v>
      </c>
      <c r="CE179" s="207">
        <v>0</v>
      </c>
      <c r="CF179" s="207">
        <v>0</v>
      </c>
      <c r="CG179" s="147"/>
      <c r="CH179" s="176"/>
      <c r="CJ179" s="146"/>
      <c r="CK179" s="76">
        <f t="shared" ca="1" si="206"/>
        <v>3.1376508102920475E-4</v>
      </c>
      <c r="CL179" s="179">
        <f t="shared" si="207"/>
        <v>2</v>
      </c>
      <c r="CM179" s="180">
        <f t="shared" si="208"/>
        <v>39987</v>
      </c>
      <c r="CN179" s="208">
        <v>0</v>
      </c>
      <c r="CO179" s="208">
        <v>0</v>
      </c>
      <c r="CP179" s="208">
        <v>0</v>
      </c>
      <c r="CQ179" s="208">
        <v>0</v>
      </c>
      <c r="CR179" s="208">
        <v>0</v>
      </c>
      <c r="CS179" s="208">
        <v>0</v>
      </c>
      <c r="CT179" s="208">
        <v>0</v>
      </c>
      <c r="CU179" s="208">
        <v>0</v>
      </c>
      <c r="CV179" s="160"/>
      <c r="CW179">
        <v>1</v>
      </c>
      <c r="CX179">
        <f>355/64</f>
        <v>5.546875</v>
      </c>
      <c r="CY179" s="160"/>
      <c r="CZ179" s="177">
        <f t="shared" si="209"/>
        <v>9.6000000000000002E-2</v>
      </c>
      <c r="DB179" s="146"/>
      <c r="DC179" s="76">
        <f t="shared" ca="1" si="172"/>
        <v>0.92123159469648108</v>
      </c>
      <c r="DD179">
        <f t="shared" si="210"/>
        <v>2</v>
      </c>
      <c r="DE179" s="129">
        <f t="shared" si="246"/>
        <v>39987</v>
      </c>
      <c r="DF179" s="161">
        <f t="shared" si="211"/>
        <v>0</v>
      </c>
      <c r="DG179" s="161">
        <f t="shared" si="212"/>
        <v>0</v>
      </c>
      <c r="DH179" s="161">
        <f t="shared" si="213"/>
        <v>0</v>
      </c>
      <c r="DI179" s="161">
        <f t="shared" si="214"/>
        <v>0</v>
      </c>
      <c r="DJ179" s="161">
        <f t="shared" si="215"/>
        <v>0</v>
      </c>
      <c r="DK179" s="161">
        <f t="shared" si="216"/>
        <v>0</v>
      </c>
      <c r="DL179" s="161">
        <f t="shared" si="217"/>
        <v>0</v>
      </c>
      <c r="DM179" s="161">
        <f t="shared" si="218"/>
        <v>0</v>
      </c>
      <c r="DN179" s="161">
        <f t="shared" si="219"/>
        <v>0</v>
      </c>
      <c r="DO179" s="161">
        <f t="shared" si="220"/>
        <v>0</v>
      </c>
      <c r="DP179" s="161">
        <f t="shared" si="221"/>
        <v>0</v>
      </c>
      <c r="DQ179" s="161">
        <f t="shared" si="222"/>
        <v>0</v>
      </c>
      <c r="DR179" s="161">
        <f t="shared" si="223"/>
        <v>0</v>
      </c>
      <c r="DS179" s="161">
        <f t="shared" si="224"/>
        <v>0</v>
      </c>
      <c r="DT179" s="161">
        <f t="shared" si="225"/>
        <v>0</v>
      </c>
      <c r="DU179" s="161">
        <f t="shared" si="226"/>
        <v>0</v>
      </c>
      <c r="DV179" s="161">
        <f t="shared" si="227"/>
        <v>0</v>
      </c>
      <c r="DW179" s="161">
        <f t="shared" si="228"/>
        <v>0</v>
      </c>
      <c r="DX179" s="161">
        <f t="shared" si="229"/>
        <v>0</v>
      </c>
      <c r="DY179" s="161">
        <f t="shared" si="230"/>
        <v>0</v>
      </c>
      <c r="DZ179" s="161">
        <f t="shared" si="231"/>
        <v>0</v>
      </c>
      <c r="EA179" s="161">
        <f t="shared" si="232"/>
        <v>0</v>
      </c>
      <c r="EB179" s="161">
        <f t="shared" si="233"/>
        <v>0</v>
      </c>
      <c r="EC179" s="161">
        <f t="shared" si="234"/>
        <v>0</v>
      </c>
      <c r="ED179" s="161">
        <f t="shared" si="235"/>
        <v>0</v>
      </c>
      <c r="EE179" s="161">
        <f t="shared" si="236"/>
        <v>0</v>
      </c>
      <c r="EF179" s="161">
        <f t="shared" si="237"/>
        <v>0</v>
      </c>
      <c r="EG179" s="161">
        <f t="shared" si="238"/>
        <v>0</v>
      </c>
      <c r="EH179" s="161">
        <f t="shared" si="239"/>
        <v>0</v>
      </c>
      <c r="EI179" s="161">
        <f t="shared" si="240"/>
        <v>0</v>
      </c>
      <c r="EJ179" s="161">
        <f t="shared" si="241"/>
        <v>0</v>
      </c>
      <c r="EK179" s="147">
        <f t="shared" si="173"/>
        <v>0</v>
      </c>
      <c r="EL179" s="149"/>
      <c r="EN179" s="146"/>
      <c r="EO179" s="146"/>
      <c r="EP179" s="139">
        <f t="shared" si="174"/>
        <v>0</v>
      </c>
      <c r="EQ179" s="139">
        <f t="shared" si="175"/>
        <v>0</v>
      </c>
      <c r="ER179" s="139">
        <f t="shared" si="176"/>
        <v>0</v>
      </c>
      <c r="ES179" s="139">
        <f t="shared" si="177"/>
        <v>0</v>
      </c>
      <c r="ET179" s="139">
        <f t="shared" si="178"/>
        <v>0</v>
      </c>
      <c r="EU179" s="139">
        <f t="shared" si="179"/>
        <v>0</v>
      </c>
      <c r="EV179" s="139">
        <f t="shared" si="180"/>
        <v>0</v>
      </c>
      <c r="EW179" s="139">
        <f t="shared" si="181"/>
        <v>0</v>
      </c>
      <c r="EX179" s="139">
        <f t="shared" si="182"/>
        <v>0</v>
      </c>
      <c r="EY179" s="139">
        <f t="shared" si="183"/>
        <v>0</v>
      </c>
      <c r="EZ179" s="139">
        <f t="shared" si="184"/>
        <v>0</v>
      </c>
      <c r="FA179" s="139">
        <f t="shared" si="185"/>
        <v>0</v>
      </c>
      <c r="FB179" s="139">
        <f t="shared" si="186"/>
        <v>0</v>
      </c>
      <c r="FC179" s="139">
        <f t="shared" si="187"/>
        <v>0</v>
      </c>
      <c r="FD179" s="139">
        <f t="shared" si="188"/>
        <v>0</v>
      </c>
      <c r="FE179" s="139">
        <f t="shared" si="189"/>
        <v>0</v>
      </c>
      <c r="FF179" s="139">
        <f t="shared" si="190"/>
        <v>0</v>
      </c>
      <c r="FG179" s="139">
        <f t="shared" si="191"/>
        <v>0</v>
      </c>
      <c r="FH179" s="139">
        <f t="shared" si="192"/>
        <v>0</v>
      </c>
      <c r="FI179" s="139">
        <f t="shared" si="193"/>
        <v>0</v>
      </c>
      <c r="FJ179" s="139">
        <f t="shared" si="194"/>
        <v>0</v>
      </c>
      <c r="FK179" s="139">
        <f t="shared" si="195"/>
        <v>0</v>
      </c>
      <c r="FL179" s="139">
        <f t="shared" si="196"/>
        <v>0</v>
      </c>
      <c r="FM179" s="139">
        <f t="shared" si="197"/>
        <v>0</v>
      </c>
      <c r="FN179" s="139">
        <f t="shared" si="198"/>
        <v>0</v>
      </c>
      <c r="FO179" s="139">
        <f t="shared" si="199"/>
        <v>0</v>
      </c>
      <c r="FP179" s="139">
        <f t="shared" si="200"/>
        <v>0</v>
      </c>
      <c r="FQ179" s="139">
        <f t="shared" si="201"/>
        <v>0</v>
      </c>
      <c r="FR179" s="139">
        <f t="shared" si="202"/>
        <v>0</v>
      </c>
      <c r="FS179" s="139">
        <f t="shared" si="203"/>
        <v>0</v>
      </c>
      <c r="FT179" s="139">
        <f t="shared" si="204"/>
        <v>0</v>
      </c>
      <c r="FU179" s="148">
        <f t="shared" si="205"/>
        <v>0</v>
      </c>
      <c r="FV179" s="149"/>
      <c r="FY179" s="213">
        <v>174</v>
      </c>
      <c r="FZ179">
        <v>46.116180272099207</v>
      </c>
      <c r="GA179">
        <v>32.479429075922091</v>
      </c>
      <c r="GB179">
        <v>33.074378636579283</v>
      </c>
      <c r="GC179">
        <v>19.331844899294698</v>
      </c>
      <c r="GD179">
        <v>4.3494552443697856</v>
      </c>
      <c r="GE179">
        <v>6.5219338394257242</v>
      </c>
      <c r="GF179">
        <v>7.6210309119027837</v>
      </c>
      <c r="GG179">
        <v>8.6162563638162943</v>
      </c>
      <c r="GH179">
        <v>7.7747527530396816</v>
      </c>
      <c r="GI179">
        <v>20.017761384992355</v>
      </c>
      <c r="GJ179"/>
      <c r="GK179"/>
      <c r="GL179"/>
      <c r="GM179"/>
      <c r="GN179" s="208"/>
      <c r="GO179" s="208"/>
      <c r="GP179" s="208"/>
      <c r="GQ179" s="208"/>
      <c r="GR179" s="208"/>
      <c r="GS179" s="208"/>
      <c r="GT179" s="208"/>
      <c r="GU179" s="213">
        <v>174</v>
      </c>
    </row>
    <row r="180" spans="1:203" s="7" customFormat="1">
      <c r="A180" s="1"/>
      <c r="B180" s="76">
        <f ca="1">IF(C180="", "", RAND())</f>
        <v>0.22894507930882813</v>
      </c>
      <c r="C180">
        <v>6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10.416666666666666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248.91454247227907</v>
      </c>
      <c r="AO180">
        <v>22.550258467671267</v>
      </c>
      <c r="AP180">
        <v>46.39908258160942</v>
      </c>
      <c r="AQ180">
        <v>154.31477636818033</v>
      </c>
      <c r="AR180">
        <v>23.855914483836006</v>
      </c>
      <c r="AS180">
        <v>326.28289388731673</v>
      </c>
      <c r="AT180">
        <v>14.851070309318764</v>
      </c>
      <c r="AU180">
        <v>25.0664535320292</v>
      </c>
      <c r="AV180"/>
      <c r="AW180"/>
      <c r="AX180" s="146"/>
      <c r="AY180" s="76">
        <f t="shared" ca="1" si="171"/>
        <v>0.48034565377403293</v>
      </c>
      <c r="AZ180">
        <v>3</v>
      </c>
      <c r="BA180" s="129">
        <f t="shared" si="247"/>
        <v>39987</v>
      </c>
      <c r="BB180" s="207">
        <v>0</v>
      </c>
      <c r="BC180" s="207">
        <v>0</v>
      </c>
      <c r="BD180" s="207">
        <v>0</v>
      </c>
      <c r="BE180" s="207">
        <v>0</v>
      </c>
      <c r="BF180" s="207">
        <v>0</v>
      </c>
      <c r="BG180" s="207">
        <v>0</v>
      </c>
      <c r="BH180" s="207">
        <v>0</v>
      </c>
      <c r="BI180" s="207">
        <v>0</v>
      </c>
      <c r="BJ180" s="207">
        <v>0</v>
      </c>
      <c r="BK180" s="207">
        <v>0</v>
      </c>
      <c r="BL180" s="207">
        <v>0</v>
      </c>
      <c r="BM180" s="207">
        <v>0</v>
      </c>
      <c r="BN180" s="207">
        <v>0</v>
      </c>
      <c r="BO180" s="207">
        <v>0</v>
      </c>
      <c r="BP180" s="207">
        <v>0</v>
      </c>
      <c r="BQ180" s="207">
        <v>0</v>
      </c>
      <c r="BR180" s="207">
        <v>0</v>
      </c>
      <c r="BS180" s="207">
        <v>0</v>
      </c>
      <c r="BT180" s="207">
        <v>0</v>
      </c>
      <c r="BU180" s="207">
        <v>0</v>
      </c>
      <c r="BV180" s="207">
        <v>0</v>
      </c>
      <c r="BW180" s="207">
        <v>0</v>
      </c>
      <c r="BX180" s="207">
        <v>0</v>
      </c>
      <c r="BY180" s="207">
        <v>0</v>
      </c>
      <c r="BZ180" s="207">
        <v>0</v>
      </c>
      <c r="CA180" s="207">
        <v>0</v>
      </c>
      <c r="CB180" s="207">
        <v>0</v>
      </c>
      <c r="CC180" s="207">
        <v>0</v>
      </c>
      <c r="CD180" s="207">
        <v>0</v>
      </c>
      <c r="CE180" s="207">
        <v>0</v>
      </c>
      <c r="CF180" s="207">
        <v>0</v>
      </c>
      <c r="CG180" s="147"/>
      <c r="CH180" s="176"/>
      <c r="CJ180" s="146"/>
      <c r="CK180" s="76">
        <f t="shared" ca="1" si="206"/>
        <v>0.41735399322698985</v>
      </c>
      <c r="CL180" s="179">
        <f t="shared" si="207"/>
        <v>3</v>
      </c>
      <c r="CM180" s="180">
        <f t="shared" si="208"/>
        <v>39987</v>
      </c>
      <c r="CN180" s="208">
        <v>0</v>
      </c>
      <c r="CO180" s="208">
        <v>0</v>
      </c>
      <c r="CP180" s="208">
        <v>0</v>
      </c>
      <c r="CQ180" s="208">
        <v>0</v>
      </c>
      <c r="CR180" s="208">
        <v>0</v>
      </c>
      <c r="CS180" s="208">
        <v>0</v>
      </c>
      <c r="CT180" s="208">
        <v>0</v>
      </c>
      <c r="CU180" s="208">
        <v>0</v>
      </c>
      <c r="CV180" s="160"/>
      <c r="CW180">
        <v>1</v>
      </c>
      <c r="CX180">
        <f>350/54</f>
        <v>6.4814814814814818</v>
      </c>
      <c r="CY180" s="160"/>
      <c r="CZ180" s="177">
        <f t="shared" si="209"/>
        <v>9.6000000000000002E-2</v>
      </c>
      <c r="DB180" s="146"/>
      <c r="DC180" s="76">
        <f t="shared" ca="1" si="172"/>
        <v>0.80638194684136022</v>
      </c>
      <c r="DD180">
        <f t="shared" si="210"/>
        <v>3</v>
      </c>
      <c r="DE180" s="129">
        <f t="shared" si="246"/>
        <v>39987</v>
      </c>
      <c r="DF180" s="161">
        <f t="shared" si="211"/>
        <v>0</v>
      </c>
      <c r="DG180" s="161">
        <f t="shared" si="212"/>
        <v>0</v>
      </c>
      <c r="DH180" s="161">
        <f t="shared" si="213"/>
        <v>0</v>
      </c>
      <c r="DI180" s="161">
        <f t="shared" si="214"/>
        <v>0</v>
      </c>
      <c r="DJ180" s="161">
        <f t="shared" si="215"/>
        <v>0</v>
      </c>
      <c r="DK180" s="161">
        <f t="shared" si="216"/>
        <v>0</v>
      </c>
      <c r="DL180" s="161">
        <f t="shared" si="217"/>
        <v>0</v>
      </c>
      <c r="DM180" s="161">
        <f t="shared" si="218"/>
        <v>0</v>
      </c>
      <c r="DN180" s="161">
        <f t="shared" si="219"/>
        <v>0</v>
      </c>
      <c r="DO180" s="161">
        <f t="shared" si="220"/>
        <v>0</v>
      </c>
      <c r="DP180" s="161">
        <f t="shared" si="221"/>
        <v>0</v>
      </c>
      <c r="DQ180" s="161">
        <f t="shared" si="222"/>
        <v>0</v>
      </c>
      <c r="DR180" s="161">
        <f t="shared" si="223"/>
        <v>0</v>
      </c>
      <c r="DS180" s="161">
        <f t="shared" si="224"/>
        <v>0</v>
      </c>
      <c r="DT180" s="161">
        <f t="shared" si="225"/>
        <v>0</v>
      </c>
      <c r="DU180" s="161">
        <f t="shared" si="226"/>
        <v>0</v>
      </c>
      <c r="DV180" s="161">
        <f t="shared" si="227"/>
        <v>0</v>
      </c>
      <c r="DW180" s="161">
        <f t="shared" si="228"/>
        <v>0</v>
      </c>
      <c r="DX180" s="161">
        <f t="shared" si="229"/>
        <v>0</v>
      </c>
      <c r="DY180" s="161">
        <f t="shared" si="230"/>
        <v>0</v>
      </c>
      <c r="DZ180" s="161">
        <f t="shared" si="231"/>
        <v>0</v>
      </c>
      <c r="EA180" s="161">
        <f t="shared" si="232"/>
        <v>0</v>
      </c>
      <c r="EB180" s="161">
        <f t="shared" si="233"/>
        <v>0</v>
      </c>
      <c r="EC180" s="161">
        <f t="shared" si="234"/>
        <v>0</v>
      </c>
      <c r="ED180" s="161">
        <f t="shared" si="235"/>
        <v>0</v>
      </c>
      <c r="EE180" s="161">
        <f t="shared" si="236"/>
        <v>0</v>
      </c>
      <c r="EF180" s="161">
        <f t="shared" si="237"/>
        <v>0</v>
      </c>
      <c r="EG180" s="161">
        <f t="shared" si="238"/>
        <v>0</v>
      </c>
      <c r="EH180" s="161">
        <f t="shared" si="239"/>
        <v>0</v>
      </c>
      <c r="EI180" s="161">
        <f t="shared" si="240"/>
        <v>0</v>
      </c>
      <c r="EJ180" s="161">
        <f t="shared" si="241"/>
        <v>0</v>
      </c>
      <c r="EK180" s="147">
        <f t="shared" si="173"/>
        <v>0</v>
      </c>
      <c r="EL180" s="149"/>
      <c r="EN180" s="146"/>
      <c r="EO180" s="146"/>
      <c r="EP180" s="139">
        <f t="shared" si="174"/>
        <v>0</v>
      </c>
      <c r="EQ180" s="139">
        <f t="shared" si="175"/>
        <v>0</v>
      </c>
      <c r="ER180" s="139">
        <f t="shared" si="176"/>
        <v>0</v>
      </c>
      <c r="ES180" s="139">
        <f t="shared" si="177"/>
        <v>0</v>
      </c>
      <c r="ET180" s="139">
        <f t="shared" si="178"/>
        <v>0</v>
      </c>
      <c r="EU180" s="139">
        <f t="shared" si="179"/>
        <v>0</v>
      </c>
      <c r="EV180" s="139">
        <f t="shared" si="180"/>
        <v>0</v>
      </c>
      <c r="EW180" s="139">
        <f t="shared" si="181"/>
        <v>0</v>
      </c>
      <c r="EX180" s="139">
        <f t="shared" si="182"/>
        <v>0</v>
      </c>
      <c r="EY180" s="139">
        <f t="shared" si="183"/>
        <v>0</v>
      </c>
      <c r="EZ180" s="139">
        <f t="shared" si="184"/>
        <v>0</v>
      </c>
      <c r="FA180" s="139">
        <f t="shared" si="185"/>
        <v>0</v>
      </c>
      <c r="FB180" s="139">
        <f t="shared" si="186"/>
        <v>0</v>
      </c>
      <c r="FC180" s="139">
        <f t="shared" si="187"/>
        <v>0</v>
      </c>
      <c r="FD180" s="139">
        <f t="shared" si="188"/>
        <v>0</v>
      </c>
      <c r="FE180" s="139">
        <f t="shared" si="189"/>
        <v>0</v>
      </c>
      <c r="FF180" s="139">
        <f t="shared" si="190"/>
        <v>0</v>
      </c>
      <c r="FG180" s="139">
        <f t="shared" si="191"/>
        <v>0</v>
      </c>
      <c r="FH180" s="139">
        <f t="shared" si="192"/>
        <v>0</v>
      </c>
      <c r="FI180" s="139">
        <f t="shared" si="193"/>
        <v>0</v>
      </c>
      <c r="FJ180" s="139">
        <f t="shared" si="194"/>
        <v>0</v>
      </c>
      <c r="FK180" s="139">
        <f t="shared" si="195"/>
        <v>0</v>
      </c>
      <c r="FL180" s="139">
        <f t="shared" si="196"/>
        <v>0</v>
      </c>
      <c r="FM180" s="139">
        <f t="shared" si="197"/>
        <v>0</v>
      </c>
      <c r="FN180" s="139">
        <f t="shared" si="198"/>
        <v>0</v>
      </c>
      <c r="FO180" s="139">
        <f t="shared" si="199"/>
        <v>0</v>
      </c>
      <c r="FP180" s="139">
        <f t="shared" si="200"/>
        <v>0</v>
      </c>
      <c r="FQ180" s="139">
        <f t="shared" si="201"/>
        <v>0</v>
      </c>
      <c r="FR180" s="139">
        <f t="shared" si="202"/>
        <v>0</v>
      </c>
      <c r="FS180" s="139">
        <f t="shared" si="203"/>
        <v>0</v>
      </c>
      <c r="FT180" s="139">
        <f t="shared" si="204"/>
        <v>0</v>
      </c>
      <c r="FU180" s="148">
        <f t="shared" si="205"/>
        <v>0</v>
      </c>
      <c r="FV180" s="149"/>
      <c r="FY180" s="213">
        <v>175</v>
      </c>
      <c r="FZ180">
        <v>52.679281949801492</v>
      </c>
      <c r="GA180">
        <v>34.633254047541826</v>
      </c>
      <c r="GB180">
        <v>30.574124863674946</v>
      </c>
      <c r="GC180">
        <v>18.009585425811686</v>
      </c>
      <c r="GD180">
        <v>4.4691331950418522</v>
      </c>
      <c r="GE180">
        <v>5.196894601655317</v>
      </c>
      <c r="GF180">
        <v>6.893808452386379</v>
      </c>
      <c r="GG180">
        <v>4.2958438883561403</v>
      </c>
      <c r="GH180">
        <v>4.2788815389245176</v>
      </c>
      <c r="GI180">
        <v>19.774631849958659</v>
      </c>
      <c r="GJ180"/>
      <c r="GK180"/>
      <c r="GL180"/>
      <c r="GM180"/>
      <c r="GN180" s="208"/>
      <c r="GO180" s="208"/>
      <c r="GP180" s="208"/>
      <c r="GQ180" s="208"/>
      <c r="GR180" s="208"/>
      <c r="GS180" s="208"/>
      <c r="GT180" s="208"/>
      <c r="GU180" s="213">
        <v>175</v>
      </c>
    </row>
    <row r="181" spans="1:203" s="7" customFormat="1">
      <c r="A181" s="1"/>
      <c r="B181" s="76">
        <f ca="1">IF(C181="", "", RAND())</f>
        <v>4.6887777153914456E-2</v>
      </c>
      <c r="C181">
        <v>4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20.833333333333332</v>
      </c>
      <c r="J181">
        <v>0</v>
      </c>
      <c r="K181">
        <v>0</v>
      </c>
      <c r="L181">
        <v>20.833333333333332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309.37264089783389</v>
      </c>
      <c r="AO181">
        <v>27.333296910873077</v>
      </c>
      <c r="AP181">
        <v>43.394096213426543</v>
      </c>
      <c r="AQ181">
        <v>195.84433695472646</v>
      </c>
      <c r="AR181">
        <v>27.703386340639831</v>
      </c>
      <c r="AS181">
        <v>424.81344833370792</v>
      </c>
      <c r="AT181">
        <v>16.820145324783436</v>
      </c>
      <c r="AU181">
        <v>8.4593827488321374</v>
      </c>
      <c r="AV181"/>
      <c r="AW181"/>
      <c r="AX181" s="146"/>
      <c r="AY181" s="76">
        <f t="shared" ca="1" si="171"/>
        <v>0.57923795433156577</v>
      </c>
      <c r="AZ181">
        <v>4</v>
      </c>
      <c r="BA181" s="129">
        <f t="shared" si="247"/>
        <v>39987</v>
      </c>
      <c r="BB181" s="207">
        <v>0</v>
      </c>
      <c r="BC181" s="207">
        <v>0</v>
      </c>
      <c r="BD181" s="207">
        <v>0</v>
      </c>
      <c r="BE181" s="207">
        <v>0</v>
      </c>
      <c r="BF181" s="207">
        <v>2</v>
      </c>
      <c r="BG181" s="207">
        <v>0</v>
      </c>
      <c r="BH181" s="207">
        <v>0</v>
      </c>
      <c r="BI181" s="207">
        <v>2</v>
      </c>
      <c r="BJ181" s="207">
        <v>0</v>
      </c>
      <c r="BK181" s="207">
        <v>0</v>
      </c>
      <c r="BL181" s="207">
        <v>0</v>
      </c>
      <c r="BM181" s="207">
        <v>0</v>
      </c>
      <c r="BN181" s="207">
        <v>0</v>
      </c>
      <c r="BO181" s="207">
        <v>0</v>
      </c>
      <c r="BP181" s="207">
        <v>0</v>
      </c>
      <c r="BQ181" s="207">
        <v>0</v>
      </c>
      <c r="BR181" s="207">
        <v>0</v>
      </c>
      <c r="BS181" s="207">
        <v>0</v>
      </c>
      <c r="BT181" s="207">
        <v>0</v>
      </c>
      <c r="BU181" s="207">
        <v>0</v>
      </c>
      <c r="BV181" s="207">
        <v>0</v>
      </c>
      <c r="BW181" s="207">
        <v>0</v>
      </c>
      <c r="BX181" s="207">
        <v>0</v>
      </c>
      <c r="BY181" s="207">
        <v>0</v>
      </c>
      <c r="BZ181" s="207">
        <v>0</v>
      </c>
      <c r="CA181" s="207">
        <v>0</v>
      </c>
      <c r="CB181" s="207">
        <v>0</v>
      </c>
      <c r="CC181" s="207">
        <v>0</v>
      </c>
      <c r="CD181" s="207">
        <v>0</v>
      </c>
      <c r="CE181" s="207">
        <v>0</v>
      </c>
      <c r="CF181" s="207">
        <v>0</v>
      </c>
      <c r="CG181" s="147"/>
      <c r="CH181" s="176"/>
      <c r="CJ181" s="146"/>
      <c r="CK181" s="76">
        <f t="shared" ca="1" si="206"/>
        <v>0.81660727442014558</v>
      </c>
      <c r="CL181" s="179">
        <f t="shared" si="207"/>
        <v>4</v>
      </c>
      <c r="CM181" s="180">
        <f t="shared" si="208"/>
        <v>39987</v>
      </c>
      <c r="CN181" s="208">
        <v>0</v>
      </c>
      <c r="CO181" s="208">
        <v>0</v>
      </c>
      <c r="CP181" s="208">
        <v>0</v>
      </c>
      <c r="CQ181" s="208">
        <v>0</v>
      </c>
      <c r="CR181" s="208">
        <v>0</v>
      </c>
      <c r="CS181" s="208">
        <v>0</v>
      </c>
      <c r="CT181" s="208">
        <v>0</v>
      </c>
      <c r="CU181" s="208">
        <v>0</v>
      </c>
      <c r="CV181" s="160"/>
      <c r="CW181">
        <v>1</v>
      </c>
      <c r="CX181">
        <f>350/41</f>
        <v>8.536585365853659</v>
      </c>
      <c r="CY181" s="160"/>
      <c r="CZ181" s="177">
        <f t="shared" si="209"/>
        <v>9.6000000000000002E-2</v>
      </c>
      <c r="DB181" s="146"/>
      <c r="DC181" s="76">
        <f t="shared" ca="1" si="172"/>
        <v>0.45619037452303157</v>
      </c>
      <c r="DD181">
        <f t="shared" si="210"/>
        <v>4</v>
      </c>
      <c r="DE181" s="129">
        <f t="shared" si="246"/>
        <v>39987</v>
      </c>
      <c r="DF181" s="161">
        <f t="shared" si="211"/>
        <v>0</v>
      </c>
      <c r="DG181" s="161">
        <f t="shared" si="212"/>
        <v>0</v>
      </c>
      <c r="DH181" s="161">
        <f t="shared" si="213"/>
        <v>0</v>
      </c>
      <c r="DI181" s="161">
        <f t="shared" si="214"/>
        <v>0</v>
      </c>
      <c r="DJ181" s="161">
        <f t="shared" si="215"/>
        <v>20.833333333333332</v>
      </c>
      <c r="DK181" s="161">
        <f t="shared" si="216"/>
        <v>0</v>
      </c>
      <c r="DL181" s="161">
        <f t="shared" si="217"/>
        <v>0</v>
      </c>
      <c r="DM181" s="161">
        <f t="shared" si="218"/>
        <v>20.833333333333332</v>
      </c>
      <c r="DN181" s="161">
        <f t="shared" si="219"/>
        <v>0</v>
      </c>
      <c r="DO181" s="161">
        <f t="shared" si="220"/>
        <v>0</v>
      </c>
      <c r="DP181" s="161">
        <f t="shared" si="221"/>
        <v>0</v>
      </c>
      <c r="DQ181" s="161">
        <f t="shared" si="222"/>
        <v>0</v>
      </c>
      <c r="DR181" s="161">
        <f t="shared" si="223"/>
        <v>0</v>
      </c>
      <c r="DS181" s="161">
        <f t="shared" si="224"/>
        <v>0</v>
      </c>
      <c r="DT181" s="161">
        <f t="shared" si="225"/>
        <v>0</v>
      </c>
      <c r="DU181" s="161">
        <f t="shared" si="226"/>
        <v>0</v>
      </c>
      <c r="DV181" s="161">
        <f t="shared" si="227"/>
        <v>0</v>
      </c>
      <c r="DW181" s="161">
        <f t="shared" si="228"/>
        <v>0</v>
      </c>
      <c r="DX181" s="161">
        <f t="shared" si="229"/>
        <v>0</v>
      </c>
      <c r="DY181" s="161">
        <f t="shared" si="230"/>
        <v>0</v>
      </c>
      <c r="DZ181" s="161">
        <f t="shared" si="231"/>
        <v>0</v>
      </c>
      <c r="EA181" s="161">
        <f t="shared" si="232"/>
        <v>0</v>
      </c>
      <c r="EB181" s="161">
        <f t="shared" si="233"/>
        <v>0</v>
      </c>
      <c r="EC181" s="161">
        <f t="shared" si="234"/>
        <v>0</v>
      </c>
      <c r="ED181" s="161">
        <f t="shared" si="235"/>
        <v>0</v>
      </c>
      <c r="EE181" s="161">
        <f t="shared" si="236"/>
        <v>0</v>
      </c>
      <c r="EF181" s="161">
        <f t="shared" si="237"/>
        <v>0</v>
      </c>
      <c r="EG181" s="161">
        <f t="shared" si="238"/>
        <v>0</v>
      </c>
      <c r="EH181" s="161">
        <f t="shared" si="239"/>
        <v>0</v>
      </c>
      <c r="EI181" s="161">
        <f t="shared" si="240"/>
        <v>0</v>
      </c>
      <c r="EJ181" s="161">
        <f t="shared" si="241"/>
        <v>0</v>
      </c>
      <c r="EK181" s="147">
        <f t="shared" si="173"/>
        <v>41.666666666666664</v>
      </c>
      <c r="EL181" s="149"/>
      <c r="EN181" s="146"/>
      <c r="EO181" s="146"/>
      <c r="EP181" s="139">
        <f t="shared" si="174"/>
        <v>0</v>
      </c>
      <c r="EQ181" s="139">
        <f t="shared" si="175"/>
        <v>0</v>
      </c>
      <c r="ER181" s="139">
        <f t="shared" si="176"/>
        <v>0</v>
      </c>
      <c r="ES181" s="139">
        <f t="shared" si="177"/>
        <v>0</v>
      </c>
      <c r="ET181" s="139">
        <f t="shared" si="178"/>
        <v>6.2790842244920917</v>
      </c>
      <c r="EU181" s="139">
        <f t="shared" si="179"/>
        <v>0</v>
      </c>
      <c r="EV181" s="139">
        <f t="shared" si="180"/>
        <v>0</v>
      </c>
      <c r="EW181" s="139">
        <f t="shared" si="181"/>
        <v>28.308163644547104</v>
      </c>
      <c r="EX181" s="139">
        <f t="shared" si="182"/>
        <v>0</v>
      </c>
      <c r="EY181" s="139">
        <f t="shared" si="183"/>
        <v>0</v>
      </c>
      <c r="EZ181" s="139">
        <f t="shared" si="184"/>
        <v>0</v>
      </c>
      <c r="FA181" s="139">
        <f t="shared" si="185"/>
        <v>0</v>
      </c>
      <c r="FB181" s="139">
        <f t="shared" si="186"/>
        <v>0</v>
      </c>
      <c r="FC181" s="139">
        <f t="shared" si="187"/>
        <v>0</v>
      </c>
      <c r="FD181" s="139">
        <f t="shared" si="188"/>
        <v>0</v>
      </c>
      <c r="FE181" s="139">
        <f t="shared" si="189"/>
        <v>0</v>
      </c>
      <c r="FF181" s="139">
        <f t="shared" si="190"/>
        <v>0</v>
      </c>
      <c r="FG181" s="139">
        <f t="shared" si="191"/>
        <v>0</v>
      </c>
      <c r="FH181" s="139">
        <f t="shared" si="192"/>
        <v>0</v>
      </c>
      <c r="FI181" s="139">
        <f t="shared" si="193"/>
        <v>0</v>
      </c>
      <c r="FJ181" s="139">
        <f t="shared" si="194"/>
        <v>0</v>
      </c>
      <c r="FK181" s="139">
        <f t="shared" si="195"/>
        <v>0</v>
      </c>
      <c r="FL181" s="139">
        <f t="shared" si="196"/>
        <v>0</v>
      </c>
      <c r="FM181" s="139">
        <f t="shared" si="197"/>
        <v>0</v>
      </c>
      <c r="FN181" s="139">
        <f t="shared" si="198"/>
        <v>0</v>
      </c>
      <c r="FO181" s="139">
        <f t="shared" si="199"/>
        <v>0</v>
      </c>
      <c r="FP181" s="139">
        <f t="shared" si="200"/>
        <v>0</v>
      </c>
      <c r="FQ181" s="139">
        <f t="shared" si="201"/>
        <v>0</v>
      </c>
      <c r="FR181" s="139">
        <f t="shared" si="202"/>
        <v>0</v>
      </c>
      <c r="FS181" s="139">
        <f t="shared" si="203"/>
        <v>0</v>
      </c>
      <c r="FT181" s="139">
        <f t="shared" si="204"/>
        <v>0</v>
      </c>
      <c r="FU181" s="148">
        <f t="shared" si="205"/>
        <v>34.587247869039196</v>
      </c>
      <c r="FV181" s="149"/>
      <c r="FY181" s="213">
        <v>176</v>
      </c>
      <c r="FZ181">
        <v>55.003865602772315</v>
      </c>
      <c r="GA181">
        <v>42.301371536587666</v>
      </c>
      <c r="GB181">
        <v>30.857997396117735</v>
      </c>
      <c r="GC181">
        <v>13.517679682480766</v>
      </c>
      <c r="GD181">
        <v>3.5954726550880185</v>
      </c>
      <c r="GE181">
        <v>5.9337719258666564</v>
      </c>
      <c r="GF181">
        <v>5.7005609695431527</v>
      </c>
      <c r="GG181">
        <v>5.9440690040728201</v>
      </c>
      <c r="GH181">
        <v>6.2362945388025608</v>
      </c>
      <c r="GI181">
        <v>19.758491315781288</v>
      </c>
      <c r="GJ181"/>
      <c r="GK181"/>
      <c r="GL181"/>
      <c r="GM181"/>
      <c r="GN181" s="208"/>
      <c r="GO181" s="208"/>
      <c r="GP181" s="208"/>
      <c r="GQ181" s="208"/>
      <c r="GR181" s="208"/>
      <c r="GS181" s="208"/>
      <c r="GT181" s="208"/>
      <c r="GU181" s="213">
        <v>176</v>
      </c>
    </row>
    <row r="182" spans="1:203" s="7" customFormat="1">
      <c r="A182" s="1"/>
      <c r="B182" s="76">
        <f ca="1">IF(C182="", "", RAND())</f>
        <v>0.26250382058326704</v>
      </c>
      <c r="C182">
        <v>5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231.53632143919748</v>
      </c>
      <c r="AO182">
        <v>26.472780693244136</v>
      </c>
      <c r="AP182">
        <v>40.893386350372822</v>
      </c>
      <c r="AQ182">
        <v>201.13271909111361</v>
      </c>
      <c r="AR182">
        <v>27.929616107945055</v>
      </c>
      <c r="AS182">
        <v>404.48254227178268</v>
      </c>
      <c r="AT182">
        <v>16.444137024818311</v>
      </c>
      <c r="AU182">
        <v>24.607720165401027</v>
      </c>
      <c r="AV182"/>
      <c r="AW182"/>
      <c r="AX182" s="146"/>
      <c r="AY182" s="76">
        <f t="shared" ca="1" si="171"/>
        <v>0.71786675966665081</v>
      </c>
      <c r="AZ182">
        <v>5</v>
      </c>
      <c r="BA182" s="129">
        <f t="shared" si="247"/>
        <v>39987</v>
      </c>
      <c r="BB182" s="207">
        <v>0</v>
      </c>
      <c r="BC182" s="207">
        <v>0</v>
      </c>
      <c r="BD182" s="207">
        <v>0</v>
      </c>
      <c r="BE182" s="207">
        <v>0</v>
      </c>
      <c r="BF182" s="207">
        <v>0</v>
      </c>
      <c r="BG182" s="207">
        <v>0</v>
      </c>
      <c r="BH182" s="207">
        <v>0</v>
      </c>
      <c r="BI182" s="207">
        <v>0</v>
      </c>
      <c r="BJ182" s="207">
        <v>0</v>
      </c>
      <c r="BK182" s="207">
        <v>0</v>
      </c>
      <c r="BL182" s="207">
        <v>0</v>
      </c>
      <c r="BM182" s="207">
        <v>0</v>
      </c>
      <c r="BN182" s="207">
        <v>0</v>
      </c>
      <c r="BO182" s="207">
        <v>0</v>
      </c>
      <c r="BP182" s="207">
        <v>0</v>
      </c>
      <c r="BQ182" s="207">
        <v>0</v>
      </c>
      <c r="BR182" s="207">
        <v>0</v>
      </c>
      <c r="BS182" s="207">
        <v>0</v>
      </c>
      <c r="BT182" s="207">
        <v>0</v>
      </c>
      <c r="BU182" s="207">
        <v>0</v>
      </c>
      <c r="BV182" s="207">
        <v>0</v>
      </c>
      <c r="BW182" s="207">
        <v>0</v>
      </c>
      <c r="BX182" s="207">
        <v>0</v>
      </c>
      <c r="BY182" s="207">
        <v>0</v>
      </c>
      <c r="BZ182" s="207">
        <v>0</v>
      </c>
      <c r="CA182" s="207">
        <v>0</v>
      </c>
      <c r="CB182" s="207">
        <v>0</v>
      </c>
      <c r="CC182" s="207">
        <v>0</v>
      </c>
      <c r="CD182" s="207">
        <v>0</v>
      </c>
      <c r="CE182" s="207">
        <v>0</v>
      </c>
      <c r="CF182" s="207">
        <v>0</v>
      </c>
      <c r="CG182" s="147"/>
      <c r="CH182" s="176"/>
      <c r="CJ182" s="146"/>
      <c r="CK182" s="76">
        <f t="shared" ca="1" si="206"/>
        <v>0.60680091356720744</v>
      </c>
      <c r="CL182" s="179">
        <f t="shared" si="207"/>
        <v>5</v>
      </c>
      <c r="CM182" s="180">
        <f t="shared" si="208"/>
        <v>39987</v>
      </c>
      <c r="CN182" s="208">
        <v>0</v>
      </c>
      <c r="CO182" s="208">
        <v>0</v>
      </c>
      <c r="CP182" s="208">
        <v>0</v>
      </c>
      <c r="CQ182" s="208">
        <v>0</v>
      </c>
      <c r="CR182" s="208">
        <v>0</v>
      </c>
      <c r="CS182" s="208">
        <v>0</v>
      </c>
      <c r="CT182" s="208">
        <v>0</v>
      </c>
      <c r="CU182" s="208">
        <v>0</v>
      </c>
      <c r="CV182" s="160"/>
      <c r="CW182">
        <v>1</v>
      </c>
      <c r="CX182">
        <f>350/60</f>
        <v>5.833333333333333</v>
      </c>
      <c r="CY182" s="160"/>
      <c r="CZ182" s="177">
        <f t="shared" si="209"/>
        <v>9.6000000000000002E-2</v>
      </c>
      <c r="DB182" s="146"/>
      <c r="DC182" s="76">
        <f t="shared" ca="1" si="172"/>
        <v>0.56405667155061701</v>
      </c>
      <c r="DD182">
        <f t="shared" si="210"/>
        <v>5</v>
      </c>
      <c r="DE182" s="129">
        <f t="shared" si="246"/>
        <v>39987</v>
      </c>
      <c r="DF182" s="161">
        <f t="shared" si="211"/>
        <v>0</v>
      </c>
      <c r="DG182" s="161">
        <f t="shared" si="212"/>
        <v>0</v>
      </c>
      <c r="DH182" s="161">
        <f t="shared" si="213"/>
        <v>0</v>
      </c>
      <c r="DI182" s="161">
        <f t="shared" si="214"/>
        <v>0</v>
      </c>
      <c r="DJ182" s="161">
        <f t="shared" si="215"/>
        <v>0</v>
      </c>
      <c r="DK182" s="161">
        <f t="shared" si="216"/>
        <v>0</v>
      </c>
      <c r="DL182" s="161">
        <f t="shared" si="217"/>
        <v>0</v>
      </c>
      <c r="DM182" s="161">
        <f t="shared" si="218"/>
        <v>0</v>
      </c>
      <c r="DN182" s="161">
        <f t="shared" si="219"/>
        <v>0</v>
      </c>
      <c r="DO182" s="161">
        <f t="shared" si="220"/>
        <v>0</v>
      </c>
      <c r="DP182" s="161">
        <f t="shared" si="221"/>
        <v>0</v>
      </c>
      <c r="DQ182" s="161">
        <f t="shared" si="222"/>
        <v>0</v>
      </c>
      <c r="DR182" s="161">
        <f t="shared" si="223"/>
        <v>0</v>
      </c>
      <c r="DS182" s="161">
        <f t="shared" si="224"/>
        <v>0</v>
      </c>
      <c r="DT182" s="161">
        <f t="shared" si="225"/>
        <v>0</v>
      </c>
      <c r="DU182" s="161">
        <f t="shared" si="226"/>
        <v>0</v>
      </c>
      <c r="DV182" s="161">
        <f t="shared" si="227"/>
        <v>0</v>
      </c>
      <c r="DW182" s="161">
        <f t="shared" si="228"/>
        <v>0</v>
      </c>
      <c r="DX182" s="161">
        <f t="shared" si="229"/>
        <v>0</v>
      </c>
      <c r="DY182" s="161">
        <f t="shared" si="230"/>
        <v>0</v>
      </c>
      <c r="DZ182" s="161">
        <f t="shared" si="231"/>
        <v>0</v>
      </c>
      <c r="EA182" s="161">
        <f t="shared" si="232"/>
        <v>0</v>
      </c>
      <c r="EB182" s="161">
        <f t="shared" si="233"/>
        <v>0</v>
      </c>
      <c r="EC182" s="161">
        <f t="shared" si="234"/>
        <v>0</v>
      </c>
      <c r="ED182" s="161">
        <f t="shared" si="235"/>
        <v>0</v>
      </c>
      <c r="EE182" s="161">
        <f t="shared" si="236"/>
        <v>0</v>
      </c>
      <c r="EF182" s="161">
        <f t="shared" si="237"/>
        <v>0</v>
      </c>
      <c r="EG182" s="161">
        <f t="shared" si="238"/>
        <v>0</v>
      </c>
      <c r="EH182" s="161">
        <f t="shared" si="239"/>
        <v>0</v>
      </c>
      <c r="EI182" s="161">
        <f t="shared" si="240"/>
        <v>0</v>
      </c>
      <c r="EJ182" s="161">
        <f t="shared" si="241"/>
        <v>0</v>
      </c>
      <c r="EK182" s="147">
        <f t="shared" si="173"/>
        <v>0</v>
      </c>
      <c r="EL182" s="149"/>
      <c r="EN182" s="146"/>
      <c r="EO182" s="146"/>
      <c r="EP182" s="139">
        <f t="shared" si="174"/>
        <v>0</v>
      </c>
      <c r="EQ182" s="139">
        <f t="shared" si="175"/>
        <v>0</v>
      </c>
      <c r="ER182" s="139">
        <f t="shared" si="176"/>
        <v>0</v>
      </c>
      <c r="ES182" s="139">
        <f t="shared" si="177"/>
        <v>0</v>
      </c>
      <c r="ET182" s="139">
        <f t="shared" si="178"/>
        <v>0</v>
      </c>
      <c r="EU182" s="139">
        <f t="shared" si="179"/>
        <v>0</v>
      </c>
      <c r="EV182" s="139">
        <f t="shared" si="180"/>
        <v>0</v>
      </c>
      <c r="EW182" s="139">
        <f t="shared" si="181"/>
        <v>0</v>
      </c>
      <c r="EX182" s="139">
        <f t="shared" si="182"/>
        <v>0</v>
      </c>
      <c r="EY182" s="139">
        <f t="shared" si="183"/>
        <v>0</v>
      </c>
      <c r="EZ182" s="139">
        <f t="shared" si="184"/>
        <v>0</v>
      </c>
      <c r="FA182" s="139">
        <f t="shared" si="185"/>
        <v>0</v>
      </c>
      <c r="FB182" s="139">
        <f t="shared" si="186"/>
        <v>0</v>
      </c>
      <c r="FC182" s="139">
        <f t="shared" si="187"/>
        <v>0</v>
      </c>
      <c r="FD182" s="139">
        <f t="shared" si="188"/>
        <v>0</v>
      </c>
      <c r="FE182" s="139">
        <f t="shared" si="189"/>
        <v>0</v>
      </c>
      <c r="FF182" s="139">
        <f t="shared" si="190"/>
        <v>0</v>
      </c>
      <c r="FG182" s="139">
        <f t="shared" si="191"/>
        <v>0</v>
      </c>
      <c r="FH182" s="139">
        <f t="shared" si="192"/>
        <v>0</v>
      </c>
      <c r="FI182" s="139">
        <f t="shared" si="193"/>
        <v>0</v>
      </c>
      <c r="FJ182" s="139">
        <f t="shared" si="194"/>
        <v>0</v>
      </c>
      <c r="FK182" s="139">
        <f t="shared" si="195"/>
        <v>0</v>
      </c>
      <c r="FL182" s="139">
        <f t="shared" si="196"/>
        <v>0</v>
      </c>
      <c r="FM182" s="139">
        <f t="shared" si="197"/>
        <v>0</v>
      </c>
      <c r="FN182" s="139">
        <f t="shared" si="198"/>
        <v>0</v>
      </c>
      <c r="FO182" s="139">
        <f t="shared" si="199"/>
        <v>0</v>
      </c>
      <c r="FP182" s="139">
        <f t="shared" si="200"/>
        <v>0</v>
      </c>
      <c r="FQ182" s="139">
        <f t="shared" si="201"/>
        <v>0</v>
      </c>
      <c r="FR182" s="139">
        <f t="shared" si="202"/>
        <v>0</v>
      </c>
      <c r="FS182" s="139">
        <f t="shared" si="203"/>
        <v>0</v>
      </c>
      <c r="FT182" s="139">
        <f t="shared" si="204"/>
        <v>0</v>
      </c>
      <c r="FU182" s="148">
        <f t="shared" si="205"/>
        <v>0</v>
      </c>
      <c r="FV182" s="149"/>
      <c r="FY182" s="213">
        <v>177</v>
      </c>
      <c r="FZ182">
        <v>40.225151087780027</v>
      </c>
      <c r="GA182">
        <v>30.318202117058462</v>
      </c>
      <c r="GB182">
        <v>28.563115428908265</v>
      </c>
      <c r="GC182">
        <v>15.123403245902605</v>
      </c>
      <c r="GD182">
        <v>5.5732921904010091</v>
      </c>
      <c r="GE182">
        <v>8.8148071426044385</v>
      </c>
      <c r="GF182">
        <v>4.3233251646187751</v>
      </c>
      <c r="GG182">
        <v>3.7864421588714889</v>
      </c>
      <c r="GH182">
        <v>9.0104196238712273</v>
      </c>
      <c r="GI182">
        <v>18.335137819654438</v>
      </c>
      <c r="GJ182"/>
      <c r="GK182"/>
      <c r="GL182"/>
      <c r="GM182"/>
      <c r="GN182" s="208"/>
      <c r="GO182" s="208"/>
      <c r="GP182" s="208"/>
      <c r="GQ182" s="208"/>
      <c r="GR182" s="208"/>
      <c r="GS182" s="208"/>
      <c r="GT182" s="208"/>
      <c r="GU182" s="213">
        <v>177</v>
      </c>
    </row>
    <row r="183" spans="1:203" s="7" customFormat="1">
      <c r="A183" s="1"/>
      <c r="B183" s="76">
        <f ca="1">IF(C183="", "", RAND())</f>
        <v>0.46407924339136652</v>
      </c>
      <c r="C183">
        <v>7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142.97385620915031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288.35686216193204</v>
      </c>
      <c r="AO183">
        <v>24.959867187809856</v>
      </c>
      <c r="AP183">
        <v>15.888012897907167</v>
      </c>
      <c r="AQ183">
        <v>181.2639339416001</v>
      </c>
      <c r="AR183">
        <v>25.084609667986587</v>
      </c>
      <c r="AS183">
        <v>369.51072837611588</v>
      </c>
      <c r="AT183">
        <v>16.056597332922532</v>
      </c>
      <c r="AU183">
        <v>-24.331772397790473</v>
      </c>
      <c r="AV183"/>
      <c r="AW183"/>
      <c r="AX183" s="146"/>
      <c r="AY183" s="76">
        <f t="shared" ca="1" si="171"/>
        <v>0.44316840527287615</v>
      </c>
      <c r="AZ183">
        <v>6</v>
      </c>
      <c r="BA183" s="129">
        <f t="shared" si="247"/>
        <v>39987</v>
      </c>
      <c r="BB183" s="207">
        <v>0</v>
      </c>
      <c r="BC183" s="207">
        <v>0</v>
      </c>
      <c r="BD183" s="207">
        <v>0</v>
      </c>
      <c r="BE183" s="207">
        <v>0</v>
      </c>
      <c r="BF183" s="207">
        <v>1</v>
      </c>
      <c r="BG183" s="207">
        <v>0</v>
      </c>
      <c r="BH183" s="207">
        <v>0</v>
      </c>
      <c r="BI183" s="207">
        <v>0</v>
      </c>
      <c r="BJ183" s="207">
        <v>0</v>
      </c>
      <c r="BK183" s="207">
        <v>0</v>
      </c>
      <c r="BL183" s="207">
        <v>0</v>
      </c>
      <c r="BM183" s="207">
        <v>0</v>
      </c>
      <c r="BN183" s="207">
        <v>0</v>
      </c>
      <c r="BO183" s="207">
        <v>0</v>
      </c>
      <c r="BP183" s="207">
        <v>0</v>
      </c>
      <c r="BQ183" s="207">
        <v>0</v>
      </c>
      <c r="BR183" s="207">
        <v>0</v>
      </c>
      <c r="BS183" s="207">
        <v>0</v>
      </c>
      <c r="BT183" s="207">
        <v>0</v>
      </c>
      <c r="BU183" s="207">
        <v>0</v>
      </c>
      <c r="BV183" s="207">
        <v>0</v>
      </c>
      <c r="BW183" s="207">
        <v>0</v>
      </c>
      <c r="BX183" s="207">
        <v>0</v>
      </c>
      <c r="BY183" s="207">
        <v>0</v>
      </c>
      <c r="BZ183" s="207">
        <v>0</v>
      </c>
      <c r="CA183" s="207">
        <v>0</v>
      </c>
      <c r="CB183" s="207">
        <v>0</v>
      </c>
      <c r="CC183" s="207">
        <v>0</v>
      </c>
      <c r="CD183" s="207">
        <v>0</v>
      </c>
      <c r="CE183" s="207">
        <v>0</v>
      </c>
      <c r="CF183" s="207">
        <v>0</v>
      </c>
      <c r="CG183" s="147"/>
      <c r="CH183" s="176"/>
      <c r="CJ183" s="146"/>
      <c r="CK183" s="76">
        <f t="shared" ca="1" si="206"/>
        <v>0.78697360926266469</v>
      </c>
      <c r="CL183" s="179">
        <f t="shared" si="207"/>
        <v>6</v>
      </c>
      <c r="CM183" s="180">
        <f t="shared" si="208"/>
        <v>39987</v>
      </c>
      <c r="CN183" s="208">
        <v>0</v>
      </c>
      <c r="CO183" s="208">
        <v>0</v>
      </c>
      <c r="CP183" s="208">
        <v>0</v>
      </c>
      <c r="CQ183" s="208">
        <v>0</v>
      </c>
      <c r="CR183" s="208">
        <v>0</v>
      </c>
      <c r="CS183" s="208">
        <v>0</v>
      </c>
      <c r="CT183" s="208">
        <v>0</v>
      </c>
      <c r="CU183" s="208">
        <v>0</v>
      </c>
      <c r="CV183" s="160"/>
      <c r="CW183">
        <v>1</v>
      </c>
      <c r="CX183">
        <f>350/50</f>
        <v>7</v>
      </c>
      <c r="CY183" s="160"/>
      <c r="CZ183" s="177">
        <f t="shared" si="209"/>
        <v>9.6000000000000002E-2</v>
      </c>
      <c r="DB183" s="146"/>
      <c r="DC183" s="76">
        <f t="shared" ca="1" si="172"/>
        <v>0.28611457061865453</v>
      </c>
      <c r="DD183">
        <f t="shared" si="210"/>
        <v>6</v>
      </c>
      <c r="DE183" s="129">
        <f t="shared" si="246"/>
        <v>39987</v>
      </c>
      <c r="DF183" s="161">
        <f t="shared" si="211"/>
        <v>0</v>
      </c>
      <c r="DG183" s="161">
        <f t="shared" si="212"/>
        <v>0</v>
      </c>
      <c r="DH183" s="161">
        <f t="shared" si="213"/>
        <v>0</v>
      </c>
      <c r="DI183" s="161">
        <f t="shared" si="214"/>
        <v>0</v>
      </c>
      <c r="DJ183" s="161">
        <f t="shared" si="215"/>
        <v>10.416666666666666</v>
      </c>
      <c r="DK183" s="161">
        <f t="shared" si="216"/>
        <v>0</v>
      </c>
      <c r="DL183" s="161">
        <f t="shared" si="217"/>
        <v>0</v>
      </c>
      <c r="DM183" s="161">
        <f t="shared" si="218"/>
        <v>0</v>
      </c>
      <c r="DN183" s="161">
        <f t="shared" si="219"/>
        <v>0</v>
      </c>
      <c r="DO183" s="161">
        <f t="shared" si="220"/>
        <v>0</v>
      </c>
      <c r="DP183" s="161">
        <f t="shared" si="221"/>
        <v>0</v>
      </c>
      <c r="DQ183" s="161">
        <f t="shared" si="222"/>
        <v>0</v>
      </c>
      <c r="DR183" s="161">
        <f t="shared" si="223"/>
        <v>0</v>
      </c>
      <c r="DS183" s="161">
        <f t="shared" si="224"/>
        <v>0</v>
      </c>
      <c r="DT183" s="161">
        <f t="shared" si="225"/>
        <v>0</v>
      </c>
      <c r="DU183" s="161">
        <f t="shared" si="226"/>
        <v>0</v>
      </c>
      <c r="DV183" s="161">
        <f t="shared" si="227"/>
        <v>0</v>
      </c>
      <c r="DW183" s="161">
        <f t="shared" si="228"/>
        <v>0</v>
      </c>
      <c r="DX183" s="161">
        <f t="shared" si="229"/>
        <v>0</v>
      </c>
      <c r="DY183" s="161">
        <f t="shared" si="230"/>
        <v>0</v>
      </c>
      <c r="DZ183" s="161">
        <f t="shared" si="231"/>
        <v>0</v>
      </c>
      <c r="EA183" s="161">
        <f t="shared" si="232"/>
        <v>0</v>
      </c>
      <c r="EB183" s="161">
        <f t="shared" si="233"/>
        <v>0</v>
      </c>
      <c r="EC183" s="161">
        <f t="shared" si="234"/>
        <v>0</v>
      </c>
      <c r="ED183" s="161">
        <f t="shared" si="235"/>
        <v>0</v>
      </c>
      <c r="EE183" s="161">
        <f t="shared" si="236"/>
        <v>0</v>
      </c>
      <c r="EF183" s="161">
        <f t="shared" si="237"/>
        <v>0</v>
      </c>
      <c r="EG183" s="161">
        <f t="shared" si="238"/>
        <v>0</v>
      </c>
      <c r="EH183" s="161">
        <f t="shared" si="239"/>
        <v>0</v>
      </c>
      <c r="EI183" s="161">
        <f t="shared" si="240"/>
        <v>0</v>
      </c>
      <c r="EJ183" s="161">
        <f t="shared" si="241"/>
        <v>0</v>
      </c>
      <c r="EK183" s="147">
        <f t="shared" si="173"/>
        <v>10.416666666666666</v>
      </c>
      <c r="EL183" s="149"/>
      <c r="EN183" s="146"/>
      <c r="EO183" s="146"/>
      <c r="EP183" s="139">
        <f t="shared" si="174"/>
        <v>0</v>
      </c>
      <c r="EQ183" s="139">
        <f t="shared" si="175"/>
        <v>0</v>
      </c>
      <c r="ER183" s="139">
        <f t="shared" si="176"/>
        <v>0</v>
      </c>
      <c r="ES183" s="139">
        <f t="shared" si="177"/>
        <v>0</v>
      </c>
      <c r="ET183" s="139">
        <f t="shared" si="178"/>
        <v>3.1395421122460458</v>
      </c>
      <c r="EU183" s="139">
        <f t="shared" si="179"/>
        <v>0</v>
      </c>
      <c r="EV183" s="139">
        <f t="shared" si="180"/>
        <v>0</v>
      </c>
      <c r="EW183" s="139">
        <f t="shared" si="181"/>
        <v>0</v>
      </c>
      <c r="EX183" s="139">
        <f t="shared" si="182"/>
        <v>0</v>
      </c>
      <c r="EY183" s="139">
        <f t="shared" si="183"/>
        <v>0</v>
      </c>
      <c r="EZ183" s="139">
        <f t="shared" si="184"/>
        <v>0</v>
      </c>
      <c r="FA183" s="139">
        <f t="shared" si="185"/>
        <v>0</v>
      </c>
      <c r="FB183" s="139">
        <f t="shared" si="186"/>
        <v>0</v>
      </c>
      <c r="FC183" s="139">
        <f t="shared" si="187"/>
        <v>0</v>
      </c>
      <c r="FD183" s="139">
        <f t="shared" si="188"/>
        <v>0</v>
      </c>
      <c r="FE183" s="139">
        <f t="shared" si="189"/>
        <v>0</v>
      </c>
      <c r="FF183" s="139">
        <f t="shared" si="190"/>
        <v>0</v>
      </c>
      <c r="FG183" s="139">
        <f t="shared" si="191"/>
        <v>0</v>
      </c>
      <c r="FH183" s="139">
        <f t="shared" si="192"/>
        <v>0</v>
      </c>
      <c r="FI183" s="139">
        <f t="shared" si="193"/>
        <v>0</v>
      </c>
      <c r="FJ183" s="139">
        <f t="shared" si="194"/>
        <v>0</v>
      </c>
      <c r="FK183" s="139">
        <f t="shared" si="195"/>
        <v>0</v>
      </c>
      <c r="FL183" s="139">
        <f t="shared" si="196"/>
        <v>0</v>
      </c>
      <c r="FM183" s="139">
        <f t="shared" si="197"/>
        <v>0</v>
      </c>
      <c r="FN183" s="139">
        <f t="shared" si="198"/>
        <v>0</v>
      </c>
      <c r="FO183" s="139">
        <f t="shared" si="199"/>
        <v>0</v>
      </c>
      <c r="FP183" s="139">
        <f t="shared" si="200"/>
        <v>0</v>
      </c>
      <c r="FQ183" s="139">
        <f t="shared" si="201"/>
        <v>0</v>
      </c>
      <c r="FR183" s="139">
        <f t="shared" si="202"/>
        <v>0</v>
      </c>
      <c r="FS183" s="139">
        <f t="shared" si="203"/>
        <v>0</v>
      </c>
      <c r="FT183" s="139">
        <f t="shared" si="204"/>
        <v>0</v>
      </c>
      <c r="FU183" s="148">
        <f t="shared" si="205"/>
        <v>3.1395421122460458</v>
      </c>
      <c r="FV183" s="149"/>
      <c r="FY183" s="213">
        <v>178</v>
      </c>
      <c r="FZ183">
        <v>51.364395501096432</v>
      </c>
      <c r="GA183">
        <v>49.661022358162207</v>
      </c>
      <c r="GB183">
        <v>27.730789113412989</v>
      </c>
      <c r="GC183">
        <v>12.514690782994197</v>
      </c>
      <c r="GD183">
        <v>3.9682668965890064</v>
      </c>
      <c r="GE183">
        <v>3.6092414674112927</v>
      </c>
      <c r="GF183">
        <v>2.3582842533004325</v>
      </c>
      <c r="GG183">
        <v>1.4576207614829606</v>
      </c>
      <c r="GH183">
        <v>3.5371166174095077</v>
      </c>
      <c r="GI183">
        <v>17.632701260600818</v>
      </c>
      <c r="GJ183"/>
      <c r="GK183"/>
      <c r="GL183"/>
      <c r="GM183"/>
      <c r="GN183" s="208"/>
      <c r="GO183" s="208"/>
      <c r="GP183" s="208"/>
      <c r="GQ183" s="208"/>
      <c r="GR183" s="208"/>
      <c r="GS183" s="208"/>
      <c r="GT183" s="208"/>
      <c r="GU183" s="213">
        <v>178</v>
      </c>
    </row>
    <row r="184" spans="1:203" s="7" customFormat="1">
      <c r="A184" s="1"/>
      <c r="B184" s="76">
        <f ca="1">IF(C184="", "", RAND())</f>
        <v>0.926419135003822</v>
      </c>
      <c r="C184">
        <v>10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20.833333333333332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232.45718244365085</v>
      </c>
      <c r="AO184">
        <v>23.458356644494252</v>
      </c>
      <c r="AP184">
        <v>23.310100549190352</v>
      </c>
      <c r="AQ184">
        <v>171.04981606671555</v>
      </c>
      <c r="AR184">
        <v>24.544734250310828</v>
      </c>
      <c r="AS184">
        <v>349.98715505580969</v>
      </c>
      <c r="AT184">
        <v>15.580300459328207</v>
      </c>
      <c r="AU184">
        <v>-9.3769509384880436</v>
      </c>
      <c r="AV184"/>
      <c r="AW184"/>
      <c r="AX184" s="146"/>
      <c r="AY184" s="76">
        <f t="shared" ca="1" si="171"/>
        <v>0.66197827579886748</v>
      </c>
      <c r="AZ184">
        <v>7</v>
      </c>
      <c r="BA184" s="129">
        <f t="shared" si="247"/>
        <v>39987</v>
      </c>
      <c r="BB184" s="207">
        <v>0</v>
      </c>
      <c r="BC184" s="207">
        <v>0</v>
      </c>
      <c r="BD184" s="207">
        <v>0</v>
      </c>
      <c r="BE184" s="207">
        <v>0</v>
      </c>
      <c r="BF184" s="207">
        <v>0</v>
      </c>
      <c r="BG184" s="207">
        <v>0</v>
      </c>
      <c r="BH184" s="207">
        <v>0</v>
      </c>
      <c r="BI184" s="207">
        <v>0</v>
      </c>
      <c r="BJ184" s="207">
        <v>0</v>
      </c>
      <c r="BK184" s="207">
        <v>0</v>
      </c>
      <c r="BL184" s="207">
        <v>0</v>
      </c>
      <c r="BM184" s="207">
        <v>0</v>
      </c>
      <c r="BN184" s="207">
        <v>0</v>
      </c>
      <c r="BO184" s="207">
        <v>0</v>
      </c>
      <c r="BP184" s="207">
        <v>0</v>
      </c>
      <c r="BQ184" s="207">
        <v>0</v>
      </c>
      <c r="BR184" s="207">
        <v>0</v>
      </c>
      <c r="BS184" s="207">
        <v>0</v>
      </c>
      <c r="BT184" s="207">
        <v>0</v>
      </c>
      <c r="BU184" s="207">
        <v>0</v>
      </c>
      <c r="BV184" s="207">
        <v>0</v>
      </c>
      <c r="BW184" s="207">
        <v>0</v>
      </c>
      <c r="BX184" s="207">
        <v>0</v>
      </c>
      <c r="BY184" s="207">
        <v>0</v>
      </c>
      <c r="BZ184" s="207">
        <v>0</v>
      </c>
      <c r="CA184" s="207">
        <v>0</v>
      </c>
      <c r="CB184" s="207">
        <v>0</v>
      </c>
      <c r="CC184" s="207">
        <v>0</v>
      </c>
      <c r="CD184" s="207">
        <v>0</v>
      </c>
      <c r="CE184" s="207">
        <v>0</v>
      </c>
      <c r="CF184" s="207">
        <v>0</v>
      </c>
      <c r="CG184" s="147"/>
      <c r="CH184" s="176"/>
      <c r="CJ184" s="146"/>
      <c r="CK184" s="76">
        <f t="shared" ca="1" si="206"/>
        <v>0.92037924398454196</v>
      </c>
      <c r="CL184" s="179">
        <f t="shared" si="207"/>
        <v>7</v>
      </c>
      <c r="CM184" s="180">
        <f t="shared" si="208"/>
        <v>39987</v>
      </c>
      <c r="CN184" s="208">
        <v>0</v>
      </c>
      <c r="CO184" s="208">
        <v>0</v>
      </c>
      <c r="CP184" s="208">
        <v>0</v>
      </c>
      <c r="CQ184" s="208">
        <v>0</v>
      </c>
      <c r="CR184" s="208">
        <v>2</v>
      </c>
      <c r="CS184" s="208">
        <v>0</v>
      </c>
      <c r="CT184" s="208">
        <v>0</v>
      </c>
      <c r="CU184" s="208">
        <v>0</v>
      </c>
      <c r="CV184" s="160"/>
      <c r="CW184">
        <v>1</v>
      </c>
      <c r="CX184">
        <f>350/51</f>
        <v>6.8627450980392153</v>
      </c>
      <c r="CY184" s="165"/>
      <c r="CZ184" s="177">
        <f t="shared" si="209"/>
        <v>9.6000000000000002E-2</v>
      </c>
      <c r="DB184" s="146"/>
      <c r="DC184" s="76">
        <f t="shared" ca="1" si="172"/>
        <v>0.98611081550896729</v>
      </c>
      <c r="DD184">
        <f t="shared" si="210"/>
        <v>7</v>
      </c>
      <c r="DE184" s="129">
        <f t="shared" si="246"/>
        <v>39987</v>
      </c>
      <c r="DF184" s="161">
        <f t="shared" si="211"/>
        <v>0</v>
      </c>
      <c r="DG184" s="161">
        <f t="shared" si="212"/>
        <v>0</v>
      </c>
      <c r="DH184" s="161">
        <f t="shared" si="213"/>
        <v>0</v>
      </c>
      <c r="DI184" s="161">
        <f t="shared" si="214"/>
        <v>0</v>
      </c>
      <c r="DJ184" s="161">
        <f t="shared" si="215"/>
        <v>142.97385620915031</v>
      </c>
      <c r="DK184" s="161">
        <f t="shared" si="216"/>
        <v>0</v>
      </c>
      <c r="DL184" s="161">
        <f t="shared" si="217"/>
        <v>0</v>
      </c>
      <c r="DM184" s="161">
        <f t="shared" si="218"/>
        <v>0</v>
      </c>
      <c r="DN184" s="161">
        <f t="shared" si="219"/>
        <v>0</v>
      </c>
      <c r="DO184" s="161">
        <f t="shared" si="220"/>
        <v>0</v>
      </c>
      <c r="DP184" s="161">
        <f t="shared" si="221"/>
        <v>0</v>
      </c>
      <c r="DQ184" s="161">
        <f t="shared" si="222"/>
        <v>0</v>
      </c>
      <c r="DR184" s="161">
        <f t="shared" si="223"/>
        <v>0</v>
      </c>
      <c r="DS184" s="161">
        <f t="shared" si="224"/>
        <v>0</v>
      </c>
      <c r="DT184" s="161">
        <f t="shared" si="225"/>
        <v>0</v>
      </c>
      <c r="DU184" s="161">
        <f t="shared" si="226"/>
        <v>0</v>
      </c>
      <c r="DV184" s="161">
        <f t="shared" si="227"/>
        <v>0</v>
      </c>
      <c r="DW184" s="161">
        <f t="shared" si="228"/>
        <v>0</v>
      </c>
      <c r="DX184" s="161">
        <f t="shared" si="229"/>
        <v>0</v>
      </c>
      <c r="DY184" s="161">
        <f t="shared" si="230"/>
        <v>0</v>
      </c>
      <c r="DZ184" s="161">
        <f t="shared" si="231"/>
        <v>0</v>
      </c>
      <c r="EA184" s="161">
        <f t="shared" si="232"/>
        <v>0</v>
      </c>
      <c r="EB184" s="161">
        <f t="shared" si="233"/>
        <v>0</v>
      </c>
      <c r="EC184" s="161">
        <f t="shared" si="234"/>
        <v>0</v>
      </c>
      <c r="ED184" s="161">
        <f t="shared" si="235"/>
        <v>0</v>
      </c>
      <c r="EE184" s="161">
        <f t="shared" si="236"/>
        <v>0</v>
      </c>
      <c r="EF184" s="161">
        <f t="shared" si="237"/>
        <v>0</v>
      </c>
      <c r="EG184" s="161">
        <f t="shared" si="238"/>
        <v>0</v>
      </c>
      <c r="EH184" s="161">
        <f t="shared" si="239"/>
        <v>0</v>
      </c>
      <c r="EI184" s="161">
        <f t="shared" si="240"/>
        <v>0</v>
      </c>
      <c r="EJ184" s="161">
        <f t="shared" si="241"/>
        <v>0</v>
      </c>
      <c r="EK184" s="147">
        <f t="shared" ref="EK184:EK207" si="248">IF(DF184="", "", SUM(DF184:EJ184))</f>
        <v>142.97385620915031</v>
      </c>
      <c r="EL184" s="149"/>
      <c r="EN184" s="146"/>
      <c r="EO184" s="146"/>
      <c r="EP184" s="139">
        <f t="shared" ref="EP184:EP207" si="249">IF(DF184="", "", DF184*G$36)</f>
        <v>0</v>
      </c>
      <c r="EQ184" s="139">
        <f t="shared" ref="EQ184:EQ207" si="250">IF(DG184="", "", DG184*H$36)</f>
        <v>0</v>
      </c>
      <c r="ER184" s="139">
        <f t="shared" ref="ER184:ER207" si="251">IF(DH184="", "", DH184*I$36)</f>
        <v>0</v>
      </c>
      <c r="ES184" s="139">
        <f t="shared" ref="ES184:ES207" si="252">IF(DI184="", "", DI184*J$36)</f>
        <v>0</v>
      </c>
      <c r="ET184" s="139">
        <f t="shared" ref="ET184:ET207" si="253">IF(DJ184="", "", DJ184*K$36)</f>
        <v>43.091754481808472</v>
      </c>
      <c r="EU184" s="139">
        <f t="shared" ref="EU184:EU207" si="254">IF(DK184="", "", DK184*L$36)</f>
        <v>0</v>
      </c>
      <c r="EV184" s="139">
        <f t="shared" ref="EV184:EV207" si="255">IF(DL184="", "", DL184*M$36)</f>
        <v>0</v>
      </c>
      <c r="EW184" s="139">
        <f t="shared" ref="EW184:EW207" si="256">IF(DM184="", "", DM184*N$36)</f>
        <v>0</v>
      </c>
      <c r="EX184" s="139">
        <f t="shared" ref="EX184:EX207" si="257">IF(DN184="", "", DN184*O$36)</f>
        <v>0</v>
      </c>
      <c r="EY184" s="139">
        <f t="shared" ref="EY184:EY207" si="258">IF(DO184="", "", DO184*P$36)</f>
        <v>0</v>
      </c>
      <c r="EZ184" s="139">
        <f t="shared" ref="EZ184:EZ207" si="259">IF(DP184="", "", DP184*Q$36)</f>
        <v>0</v>
      </c>
      <c r="FA184" s="139">
        <f t="shared" ref="FA184:FA207" si="260">IF(DQ184="", "", DQ184*R$36)</f>
        <v>0</v>
      </c>
      <c r="FB184" s="139">
        <f t="shared" ref="FB184:FB207" si="261">IF(DR184="", "", DR184*S$36)</f>
        <v>0</v>
      </c>
      <c r="FC184" s="139">
        <f t="shared" ref="FC184:FC207" si="262">IF(DS184="", "", DS184*T$36)</f>
        <v>0</v>
      </c>
      <c r="FD184" s="139">
        <f t="shared" ref="FD184:FD207" si="263">IF(DT184="", "", DT184*U$36)</f>
        <v>0</v>
      </c>
      <c r="FE184" s="139">
        <f t="shared" ref="FE184:FE207" si="264">IF(DU184="", "", DU184*V$36)</f>
        <v>0</v>
      </c>
      <c r="FF184" s="139">
        <f t="shared" ref="FF184:FF207" si="265">IF(DV184="", "", DV184*W$36)</f>
        <v>0</v>
      </c>
      <c r="FG184" s="139">
        <f t="shared" ref="FG184:FG207" si="266">IF(DW184="", "", DW184*X$36)</f>
        <v>0</v>
      </c>
      <c r="FH184" s="139">
        <f t="shared" ref="FH184:FH207" si="267">IF(DX184="", "", DX184*Y$36)</f>
        <v>0</v>
      </c>
      <c r="FI184" s="139">
        <f t="shared" ref="FI184:FI207" si="268">IF(DY184="", "", DY184*Z$36)</f>
        <v>0</v>
      </c>
      <c r="FJ184" s="139">
        <f t="shared" ref="FJ184:FJ207" si="269">IF(DZ184="", "", DZ184*AA$36)</f>
        <v>0</v>
      </c>
      <c r="FK184" s="139">
        <f t="shared" ref="FK184:FK207" si="270">IF(EA184="", "", EA184*AB$36)</f>
        <v>0</v>
      </c>
      <c r="FL184" s="139">
        <f t="shared" ref="FL184:FL207" si="271">IF(EB184="", "", EB184*AC$36)</f>
        <v>0</v>
      </c>
      <c r="FM184" s="139">
        <f t="shared" ref="FM184:FM207" si="272">IF(EC184="", "", EC184*AD$36)</f>
        <v>0</v>
      </c>
      <c r="FN184" s="139">
        <f t="shared" ref="FN184:FN207" si="273">IF(ED184="", "", ED184*AE$36)</f>
        <v>0</v>
      </c>
      <c r="FO184" s="139">
        <f t="shared" ref="FO184:FO207" si="274">IF(EE184="", "", EE184*AF$36)</f>
        <v>0</v>
      </c>
      <c r="FP184" s="139">
        <f t="shared" ref="FP184:FP207" si="275">IF(EF184="", "", EF184*AG$36)</f>
        <v>0</v>
      </c>
      <c r="FQ184" s="139">
        <f t="shared" ref="FQ184:FQ207" si="276">IF(EG184="", "", EG184*AH$36)</f>
        <v>0</v>
      </c>
      <c r="FR184" s="139">
        <f t="shared" ref="FR184:FR207" si="277">IF(EH184="", "", EH184*AI$36)</f>
        <v>0</v>
      </c>
      <c r="FS184" s="139">
        <f t="shared" ref="FS184:FS207" si="278">IF(EI184="", "", EI184*AJ$36)</f>
        <v>0</v>
      </c>
      <c r="FT184" s="139">
        <f t="shared" ref="FT184:FT207" si="279">IF(EJ184="", "", EJ184*AK$36)</f>
        <v>0</v>
      </c>
      <c r="FU184" s="148">
        <f t="shared" ref="FU184:FU207" si="280">IF(EP184="","",SUM(EP184:FT184))</f>
        <v>43.091754481808472</v>
      </c>
      <c r="FV184" s="149"/>
      <c r="FY184" s="213">
        <v>179</v>
      </c>
      <c r="FZ184">
        <v>53.901062752425467</v>
      </c>
      <c r="GA184">
        <v>29.981035127170848</v>
      </c>
      <c r="GB184">
        <v>21.890579585015672</v>
      </c>
      <c r="GC184">
        <v>12.391526783337223</v>
      </c>
      <c r="GD184">
        <v>2.6569018510327735</v>
      </c>
      <c r="GE184">
        <v>3.1524575973422362</v>
      </c>
      <c r="GF184">
        <v>2.1758136817266136</v>
      </c>
      <c r="GG184">
        <v>4.4491926377042983</v>
      </c>
      <c r="GH184">
        <v>9.6724024995279532</v>
      </c>
      <c r="GI184">
        <v>16.761946736722976</v>
      </c>
      <c r="GJ184"/>
      <c r="GK184"/>
      <c r="GL184"/>
      <c r="GM184"/>
      <c r="GN184" s="208"/>
      <c r="GO184" s="208"/>
      <c r="GP184" s="208"/>
      <c r="GQ184" s="208"/>
      <c r="GR184" s="208"/>
      <c r="GS184" s="208"/>
      <c r="GT184" s="208"/>
      <c r="GU184" s="213">
        <v>179</v>
      </c>
    </row>
    <row r="185" spans="1:203" s="7" customFormat="1">
      <c r="A185" s="1"/>
      <c r="B185" s="76">
        <f ca="1">IF(C185="", "", RAND())</f>
        <v>0.78290296687570837</v>
      </c>
      <c r="C185">
        <v>3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284.88047153397349</v>
      </c>
      <c r="AO185">
        <v>25.294010790455935</v>
      </c>
      <c r="AP185">
        <v>40.048311271889958</v>
      </c>
      <c r="AQ185">
        <v>180.00502380052316</v>
      </c>
      <c r="AR185">
        <v>25.904180160801936</v>
      </c>
      <c r="AS185">
        <v>373.02182276691076</v>
      </c>
      <c r="AT185">
        <v>16.483731837151044</v>
      </c>
      <c r="AU185">
        <v>2.0801163659821142</v>
      </c>
      <c r="AV185"/>
      <c r="AW185"/>
      <c r="AX185" s="146"/>
      <c r="AY185" s="76">
        <f t="shared" ca="1" si="171"/>
        <v>0.24340115282642616</v>
      </c>
      <c r="AZ185">
        <v>8</v>
      </c>
      <c r="BA185" s="129">
        <f t="shared" si="247"/>
        <v>39987</v>
      </c>
      <c r="BB185" s="207">
        <v>0</v>
      </c>
      <c r="BC185" s="207">
        <v>0</v>
      </c>
      <c r="BD185" s="207">
        <v>0</v>
      </c>
      <c r="BE185" s="207">
        <v>0</v>
      </c>
      <c r="BF185" s="207">
        <v>0</v>
      </c>
      <c r="BG185" s="207">
        <v>0</v>
      </c>
      <c r="BH185" s="207">
        <v>0</v>
      </c>
      <c r="BI185" s="207">
        <v>0</v>
      </c>
      <c r="BJ185" s="207">
        <v>0</v>
      </c>
      <c r="BK185" s="207">
        <v>0</v>
      </c>
      <c r="BL185" s="207">
        <v>0</v>
      </c>
      <c r="BM185" s="207">
        <v>0</v>
      </c>
      <c r="BN185" s="207">
        <v>0</v>
      </c>
      <c r="BO185" s="207">
        <v>0</v>
      </c>
      <c r="BP185" s="207">
        <v>0</v>
      </c>
      <c r="BQ185" s="207">
        <v>0</v>
      </c>
      <c r="BR185" s="207">
        <v>0</v>
      </c>
      <c r="BS185" s="207">
        <v>0</v>
      </c>
      <c r="BT185" s="207">
        <v>0</v>
      </c>
      <c r="BU185" s="207">
        <v>0</v>
      </c>
      <c r="BV185" s="207">
        <v>0</v>
      </c>
      <c r="BW185" s="207">
        <v>0</v>
      </c>
      <c r="BX185" s="207">
        <v>0</v>
      </c>
      <c r="BY185" s="207">
        <v>0</v>
      </c>
      <c r="BZ185" s="207">
        <v>0</v>
      </c>
      <c r="CA185" s="207">
        <v>0</v>
      </c>
      <c r="CB185" s="207">
        <v>0</v>
      </c>
      <c r="CC185" s="207">
        <v>0</v>
      </c>
      <c r="CD185" s="207">
        <v>0</v>
      </c>
      <c r="CE185" s="207">
        <v>0</v>
      </c>
      <c r="CF185" s="207">
        <v>0</v>
      </c>
      <c r="CG185" s="147"/>
      <c r="CH185" s="176"/>
      <c r="CJ185" s="146"/>
      <c r="CK185" s="76">
        <f t="shared" ca="1" si="206"/>
        <v>0.25853631383000231</v>
      </c>
      <c r="CL185" s="179">
        <f t="shared" si="207"/>
        <v>8</v>
      </c>
      <c r="CM185" s="180">
        <f t="shared" si="208"/>
        <v>39987</v>
      </c>
      <c r="CN185" s="208">
        <v>0</v>
      </c>
      <c r="CO185" s="208">
        <v>0</v>
      </c>
      <c r="CP185" s="208">
        <v>1</v>
      </c>
      <c r="CQ185" s="208">
        <v>0</v>
      </c>
      <c r="CR185" s="208">
        <v>0</v>
      </c>
      <c r="CS185" s="208">
        <v>0</v>
      </c>
      <c r="CT185" s="208">
        <v>0</v>
      </c>
      <c r="CU185" s="208">
        <v>0</v>
      </c>
      <c r="CV185" s="160"/>
      <c r="CW185">
        <v>1</v>
      </c>
      <c r="CX185">
        <f>350/65</f>
        <v>5.384615384615385</v>
      </c>
      <c r="CY185" s="165"/>
      <c r="CZ185" s="177">
        <f t="shared" si="209"/>
        <v>9.6000000000000002E-2</v>
      </c>
      <c r="DB185" s="146"/>
      <c r="DC185" s="76">
        <f t="shared" ca="1" si="172"/>
        <v>1.8813927971182531E-2</v>
      </c>
      <c r="DD185">
        <f t="shared" si="210"/>
        <v>8</v>
      </c>
      <c r="DE185" s="129">
        <f t="shared" si="246"/>
        <v>39987</v>
      </c>
      <c r="DF185" s="161">
        <f t="shared" si="211"/>
        <v>0</v>
      </c>
      <c r="DG185" s="161">
        <f t="shared" si="212"/>
        <v>0</v>
      </c>
      <c r="DH185" s="161">
        <f t="shared" si="213"/>
        <v>56.089743589743591</v>
      </c>
      <c r="DI185" s="161">
        <f t="shared" si="214"/>
        <v>0</v>
      </c>
      <c r="DJ185" s="161">
        <f t="shared" si="215"/>
        <v>0</v>
      </c>
      <c r="DK185" s="161">
        <f t="shared" si="216"/>
        <v>0</v>
      </c>
      <c r="DL185" s="161">
        <f t="shared" si="217"/>
        <v>0</v>
      </c>
      <c r="DM185" s="161">
        <f t="shared" si="218"/>
        <v>0</v>
      </c>
      <c r="DN185" s="161">
        <f t="shared" si="219"/>
        <v>0</v>
      </c>
      <c r="DO185" s="161">
        <f t="shared" si="220"/>
        <v>0</v>
      </c>
      <c r="DP185" s="161">
        <f t="shared" si="221"/>
        <v>0</v>
      </c>
      <c r="DQ185" s="161">
        <f t="shared" si="222"/>
        <v>0</v>
      </c>
      <c r="DR185" s="161">
        <f t="shared" si="223"/>
        <v>0</v>
      </c>
      <c r="DS185" s="161">
        <f t="shared" si="224"/>
        <v>0</v>
      </c>
      <c r="DT185" s="161">
        <f t="shared" si="225"/>
        <v>0</v>
      </c>
      <c r="DU185" s="161">
        <f t="shared" si="226"/>
        <v>0</v>
      </c>
      <c r="DV185" s="161">
        <f t="shared" si="227"/>
        <v>0</v>
      </c>
      <c r="DW185" s="161">
        <f t="shared" si="228"/>
        <v>0</v>
      </c>
      <c r="DX185" s="161">
        <f t="shared" si="229"/>
        <v>0</v>
      </c>
      <c r="DY185" s="161">
        <f t="shared" si="230"/>
        <v>0</v>
      </c>
      <c r="DZ185" s="161">
        <f t="shared" si="231"/>
        <v>0</v>
      </c>
      <c r="EA185" s="161">
        <f t="shared" si="232"/>
        <v>0</v>
      </c>
      <c r="EB185" s="161">
        <f t="shared" si="233"/>
        <v>0</v>
      </c>
      <c r="EC185" s="161">
        <f t="shared" si="234"/>
        <v>0</v>
      </c>
      <c r="ED185" s="161">
        <f t="shared" si="235"/>
        <v>0</v>
      </c>
      <c r="EE185" s="161">
        <f t="shared" si="236"/>
        <v>0</v>
      </c>
      <c r="EF185" s="161">
        <f t="shared" si="237"/>
        <v>0</v>
      </c>
      <c r="EG185" s="161">
        <f t="shared" si="238"/>
        <v>0</v>
      </c>
      <c r="EH185" s="161">
        <f t="shared" si="239"/>
        <v>0</v>
      </c>
      <c r="EI185" s="161">
        <f t="shared" si="240"/>
        <v>0</v>
      </c>
      <c r="EJ185" s="161">
        <f t="shared" si="241"/>
        <v>0</v>
      </c>
      <c r="EK185" s="147">
        <f t="shared" si="248"/>
        <v>56.089743589743591</v>
      </c>
      <c r="EL185" s="149"/>
      <c r="EN185" s="146"/>
      <c r="EO185" s="146"/>
      <c r="EP185" s="139">
        <f t="shared" si="249"/>
        <v>0</v>
      </c>
      <c r="EQ185" s="139">
        <f t="shared" si="250"/>
        <v>0</v>
      </c>
      <c r="ER185" s="139">
        <f t="shared" si="251"/>
        <v>2.6178772693996453</v>
      </c>
      <c r="ES185" s="139">
        <f t="shared" si="252"/>
        <v>0</v>
      </c>
      <c r="ET185" s="139">
        <f t="shared" si="253"/>
        <v>0</v>
      </c>
      <c r="EU185" s="139">
        <f t="shared" si="254"/>
        <v>0</v>
      </c>
      <c r="EV185" s="139">
        <f t="shared" si="255"/>
        <v>0</v>
      </c>
      <c r="EW185" s="139">
        <f t="shared" si="256"/>
        <v>0</v>
      </c>
      <c r="EX185" s="139">
        <f t="shared" si="257"/>
        <v>0</v>
      </c>
      <c r="EY185" s="139">
        <f t="shared" si="258"/>
        <v>0</v>
      </c>
      <c r="EZ185" s="139">
        <f t="shared" si="259"/>
        <v>0</v>
      </c>
      <c r="FA185" s="139">
        <f t="shared" si="260"/>
        <v>0</v>
      </c>
      <c r="FB185" s="139">
        <f t="shared" si="261"/>
        <v>0</v>
      </c>
      <c r="FC185" s="139">
        <f t="shared" si="262"/>
        <v>0</v>
      </c>
      <c r="FD185" s="139">
        <f t="shared" si="263"/>
        <v>0</v>
      </c>
      <c r="FE185" s="139">
        <f t="shared" si="264"/>
        <v>0</v>
      </c>
      <c r="FF185" s="139">
        <f t="shared" si="265"/>
        <v>0</v>
      </c>
      <c r="FG185" s="139">
        <f t="shared" si="266"/>
        <v>0</v>
      </c>
      <c r="FH185" s="139">
        <f t="shared" si="267"/>
        <v>0</v>
      </c>
      <c r="FI185" s="139">
        <f t="shared" si="268"/>
        <v>0</v>
      </c>
      <c r="FJ185" s="139">
        <f t="shared" si="269"/>
        <v>0</v>
      </c>
      <c r="FK185" s="139">
        <f t="shared" si="270"/>
        <v>0</v>
      </c>
      <c r="FL185" s="139">
        <f t="shared" si="271"/>
        <v>0</v>
      </c>
      <c r="FM185" s="139">
        <f t="shared" si="272"/>
        <v>0</v>
      </c>
      <c r="FN185" s="139">
        <f t="shared" si="273"/>
        <v>0</v>
      </c>
      <c r="FO185" s="139">
        <f t="shared" si="274"/>
        <v>0</v>
      </c>
      <c r="FP185" s="139">
        <f t="shared" si="275"/>
        <v>0</v>
      </c>
      <c r="FQ185" s="139">
        <f t="shared" si="276"/>
        <v>0</v>
      </c>
      <c r="FR185" s="139">
        <f t="shared" si="277"/>
        <v>0</v>
      </c>
      <c r="FS185" s="139">
        <f t="shared" si="278"/>
        <v>0</v>
      </c>
      <c r="FT185" s="139">
        <f t="shared" si="279"/>
        <v>0</v>
      </c>
      <c r="FU185" s="148">
        <f t="shared" si="280"/>
        <v>2.6178772693996453</v>
      </c>
      <c r="FV185" s="149"/>
      <c r="FY185" s="213">
        <v>180</v>
      </c>
      <c r="FZ185">
        <v>44.303401426143132</v>
      </c>
      <c r="GA185">
        <v>34.446043632745543</v>
      </c>
      <c r="GB185">
        <v>29.591205962867363</v>
      </c>
      <c r="GC185">
        <v>13.507420020855845</v>
      </c>
      <c r="GD185">
        <v>4.2963291626398963</v>
      </c>
      <c r="GE185">
        <v>6.1361175842665601</v>
      </c>
      <c r="GF185">
        <v>2.9665982550039844</v>
      </c>
      <c r="GG185">
        <v>3.0008795996669133</v>
      </c>
      <c r="GH185">
        <v>5.2167682115294092</v>
      </c>
      <c r="GI185">
        <v>17.610836383556016</v>
      </c>
      <c r="GJ185"/>
      <c r="GK185"/>
      <c r="GL185"/>
      <c r="GM185"/>
      <c r="GN185" s="208"/>
      <c r="GO185" s="208"/>
      <c r="GP185" s="208"/>
      <c r="GQ185" s="208"/>
      <c r="GR185" s="208"/>
      <c r="GS185" s="208"/>
      <c r="GT185" s="208"/>
      <c r="GU185" s="213">
        <v>180</v>
      </c>
    </row>
    <row r="186" spans="1:203" s="7" customFormat="1">
      <c r="A186" s="1"/>
      <c r="B186" s="76">
        <f ca="1">IF(C186="", "", RAND())</f>
        <v>0.55257102340392361</v>
      </c>
      <c r="C186">
        <v>2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331.2316942524759</v>
      </c>
      <c r="AO186">
        <v>33.3760522332934</v>
      </c>
      <c r="AP186">
        <v>41.780435863537562</v>
      </c>
      <c r="AQ186">
        <v>253.6270371965889</v>
      </c>
      <c r="AR186">
        <v>34.003729618170389</v>
      </c>
      <c r="AS186">
        <v>468.54429402669803</v>
      </c>
      <c r="AT186">
        <v>21.163977418673628</v>
      </c>
      <c r="AU186">
        <v>-3.5679999151853039</v>
      </c>
      <c r="AV186"/>
      <c r="AW186"/>
      <c r="AX186" s="146"/>
      <c r="AY186" s="76">
        <f t="shared" ca="1" si="171"/>
        <v>0.5293207321420641</v>
      </c>
      <c r="AZ186">
        <v>9</v>
      </c>
      <c r="BA186" s="129">
        <f t="shared" si="247"/>
        <v>39987</v>
      </c>
      <c r="BB186" s="207">
        <v>0</v>
      </c>
      <c r="BC186" s="207">
        <v>0</v>
      </c>
      <c r="BD186" s="207">
        <v>0</v>
      </c>
      <c r="BE186" s="207">
        <v>0</v>
      </c>
      <c r="BF186" s="207">
        <v>1</v>
      </c>
      <c r="BG186" s="207">
        <v>0</v>
      </c>
      <c r="BH186" s="207">
        <v>0</v>
      </c>
      <c r="BI186" s="207">
        <v>0</v>
      </c>
      <c r="BJ186" s="207">
        <v>0</v>
      </c>
      <c r="BK186" s="207">
        <v>0</v>
      </c>
      <c r="BL186" s="207">
        <v>0</v>
      </c>
      <c r="BM186" s="207">
        <v>0</v>
      </c>
      <c r="BN186" s="207">
        <v>0</v>
      </c>
      <c r="BO186" s="207">
        <v>0</v>
      </c>
      <c r="BP186" s="207">
        <v>0</v>
      </c>
      <c r="BQ186" s="207">
        <v>0</v>
      </c>
      <c r="BR186" s="207">
        <v>0</v>
      </c>
      <c r="BS186" s="207">
        <v>0</v>
      </c>
      <c r="BT186" s="207">
        <v>0</v>
      </c>
      <c r="BU186" s="207">
        <v>0</v>
      </c>
      <c r="BV186" s="207">
        <v>0</v>
      </c>
      <c r="BW186" s="207">
        <v>0</v>
      </c>
      <c r="BX186" s="207">
        <v>0</v>
      </c>
      <c r="BY186" s="207">
        <v>0</v>
      </c>
      <c r="BZ186" s="207">
        <v>0</v>
      </c>
      <c r="CA186" s="207">
        <v>0</v>
      </c>
      <c r="CB186" s="207">
        <v>0</v>
      </c>
      <c r="CC186" s="207">
        <v>0</v>
      </c>
      <c r="CD186" s="207">
        <v>0</v>
      </c>
      <c r="CE186" s="207">
        <v>0</v>
      </c>
      <c r="CF186" s="207">
        <v>0</v>
      </c>
      <c r="CG186" s="147"/>
      <c r="CH186" s="176"/>
      <c r="CJ186" s="146"/>
      <c r="CK186" s="76">
        <f t="shared" ca="1" si="206"/>
        <v>0.33153716687444801</v>
      </c>
      <c r="CL186" s="179">
        <f t="shared" si="207"/>
        <v>9</v>
      </c>
      <c r="CM186" s="180">
        <f t="shared" si="208"/>
        <v>39987</v>
      </c>
      <c r="CN186" s="208">
        <v>0</v>
      </c>
      <c r="CO186" s="208">
        <v>0</v>
      </c>
      <c r="CP186" s="208">
        <v>1</v>
      </c>
      <c r="CQ186" s="208">
        <v>0</v>
      </c>
      <c r="CR186" s="208">
        <v>0</v>
      </c>
      <c r="CS186" s="208">
        <v>0</v>
      </c>
      <c r="CT186" s="208">
        <v>0</v>
      </c>
      <c r="CU186" s="208">
        <v>0</v>
      </c>
      <c r="CV186" s="160"/>
      <c r="CW186">
        <v>1</v>
      </c>
      <c r="CX186">
        <f>350/52</f>
        <v>6.7307692307692308</v>
      </c>
      <c r="CY186" s="165"/>
      <c r="CZ186" s="177">
        <f t="shared" si="209"/>
        <v>9.6000000000000002E-2</v>
      </c>
      <c r="DB186" s="146"/>
      <c r="DC186" s="76">
        <f t="shared" ca="1" si="172"/>
        <v>0.23440105412381751</v>
      </c>
      <c r="DD186">
        <f t="shared" si="210"/>
        <v>9</v>
      </c>
      <c r="DE186" s="129">
        <f t="shared" si="246"/>
        <v>39987</v>
      </c>
      <c r="DF186" s="161">
        <f t="shared" si="211"/>
        <v>0</v>
      </c>
      <c r="DG186" s="161">
        <f t="shared" si="212"/>
        <v>0</v>
      </c>
      <c r="DH186" s="161">
        <f t="shared" si="213"/>
        <v>70.112179487179489</v>
      </c>
      <c r="DI186" s="161">
        <f t="shared" si="214"/>
        <v>0</v>
      </c>
      <c r="DJ186" s="161">
        <f t="shared" si="215"/>
        <v>10.416666666666666</v>
      </c>
      <c r="DK186" s="161">
        <f t="shared" si="216"/>
        <v>0</v>
      </c>
      <c r="DL186" s="161">
        <f t="shared" si="217"/>
        <v>0</v>
      </c>
      <c r="DM186" s="161">
        <f t="shared" si="218"/>
        <v>0</v>
      </c>
      <c r="DN186" s="161">
        <f t="shared" si="219"/>
        <v>0</v>
      </c>
      <c r="DO186" s="161">
        <f t="shared" si="220"/>
        <v>0</v>
      </c>
      <c r="DP186" s="161">
        <f t="shared" si="221"/>
        <v>0</v>
      </c>
      <c r="DQ186" s="161">
        <f t="shared" si="222"/>
        <v>0</v>
      </c>
      <c r="DR186" s="161">
        <f t="shared" si="223"/>
        <v>0</v>
      </c>
      <c r="DS186" s="161">
        <f t="shared" si="224"/>
        <v>0</v>
      </c>
      <c r="DT186" s="161">
        <f t="shared" si="225"/>
        <v>0</v>
      </c>
      <c r="DU186" s="161">
        <f t="shared" si="226"/>
        <v>0</v>
      </c>
      <c r="DV186" s="161">
        <f t="shared" si="227"/>
        <v>0</v>
      </c>
      <c r="DW186" s="161">
        <f t="shared" si="228"/>
        <v>0</v>
      </c>
      <c r="DX186" s="161">
        <f t="shared" si="229"/>
        <v>0</v>
      </c>
      <c r="DY186" s="161">
        <f t="shared" si="230"/>
        <v>0</v>
      </c>
      <c r="DZ186" s="161">
        <f t="shared" si="231"/>
        <v>0</v>
      </c>
      <c r="EA186" s="161">
        <f t="shared" si="232"/>
        <v>0</v>
      </c>
      <c r="EB186" s="161">
        <f t="shared" si="233"/>
        <v>0</v>
      </c>
      <c r="EC186" s="161">
        <f t="shared" si="234"/>
        <v>0</v>
      </c>
      <c r="ED186" s="161">
        <f t="shared" si="235"/>
        <v>0</v>
      </c>
      <c r="EE186" s="161">
        <f t="shared" si="236"/>
        <v>0</v>
      </c>
      <c r="EF186" s="161">
        <f t="shared" si="237"/>
        <v>0</v>
      </c>
      <c r="EG186" s="161">
        <f t="shared" si="238"/>
        <v>0</v>
      </c>
      <c r="EH186" s="161">
        <f t="shared" si="239"/>
        <v>0</v>
      </c>
      <c r="EI186" s="161">
        <f t="shared" si="240"/>
        <v>0</v>
      </c>
      <c r="EJ186" s="161">
        <f t="shared" si="241"/>
        <v>0</v>
      </c>
      <c r="EK186" s="147">
        <f t="shared" si="248"/>
        <v>80.52884615384616</v>
      </c>
      <c r="EL186" s="149"/>
      <c r="EN186" s="146"/>
      <c r="EO186" s="146"/>
      <c r="EP186" s="139">
        <f t="shared" si="249"/>
        <v>0</v>
      </c>
      <c r="EQ186" s="139">
        <f t="shared" si="250"/>
        <v>0</v>
      </c>
      <c r="ER186" s="139">
        <f t="shared" si="251"/>
        <v>3.2723465867495563</v>
      </c>
      <c r="ES186" s="139">
        <f t="shared" si="252"/>
        <v>0</v>
      </c>
      <c r="ET186" s="139">
        <f t="shared" si="253"/>
        <v>3.1395421122460458</v>
      </c>
      <c r="EU186" s="139">
        <f t="shared" si="254"/>
        <v>0</v>
      </c>
      <c r="EV186" s="139">
        <f t="shared" si="255"/>
        <v>0</v>
      </c>
      <c r="EW186" s="139">
        <f t="shared" si="256"/>
        <v>0</v>
      </c>
      <c r="EX186" s="139">
        <f t="shared" si="257"/>
        <v>0</v>
      </c>
      <c r="EY186" s="139">
        <f t="shared" si="258"/>
        <v>0</v>
      </c>
      <c r="EZ186" s="139">
        <f t="shared" si="259"/>
        <v>0</v>
      </c>
      <c r="FA186" s="139">
        <f t="shared" si="260"/>
        <v>0</v>
      </c>
      <c r="FB186" s="139">
        <f t="shared" si="261"/>
        <v>0</v>
      </c>
      <c r="FC186" s="139">
        <f t="shared" si="262"/>
        <v>0</v>
      </c>
      <c r="FD186" s="139">
        <f t="shared" si="263"/>
        <v>0</v>
      </c>
      <c r="FE186" s="139">
        <f t="shared" si="264"/>
        <v>0</v>
      </c>
      <c r="FF186" s="139">
        <f t="shared" si="265"/>
        <v>0</v>
      </c>
      <c r="FG186" s="139">
        <f t="shared" si="266"/>
        <v>0</v>
      </c>
      <c r="FH186" s="139">
        <f t="shared" si="267"/>
        <v>0</v>
      </c>
      <c r="FI186" s="139">
        <f t="shared" si="268"/>
        <v>0</v>
      </c>
      <c r="FJ186" s="139">
        <f t="shared" si="269"/>
        <v>0</v>
      </c>
      <c r="FK186" s="139">
        <f t="shared" si="270"/>
        <v>0</v>
      </c>
      <c r="FL186" s="139">
        <f t="shared" si="271"/>
        <v>0</v>
      </c>
      <c r="FM186" s="139">
        <f t="shared" si="272"/>
        <v>0</v>
      </c>
      <c r="FN186" s="139">
        <f t="shared" si="273"/>
        <v>0</v>
      </c>
      <c r="FO186" s="139">
        <f t="shared" si="274"/>
        <v>0</v>
      </c>
      <c r="FP186" s="139">
        <f t="shared" si="275"/>
        <v>0</v>
      </c>
      <c r="FQ186" s="139">
        <f t="shared" si="276"/>
        <v>0</v>
      </c>
      <c r="FR186" s="139">
        <f t="shared" si="277"/>
        <v>0</v>
      </c>
      <c r="FS186" s="139">
        <f t="shared" si="278"/>
        <v>0</v>
      </c>
      <c r="FT186" s="139">
        <f t="shared" si="279"/>
        <v>0</v>
      </c>
      <c r="FU186" s="148">
        <f t="shared" si="280"/>
        <v>6.4118886989956021</v>
      </c>
      <c r="FV186" s="149"/>
      <c r="FY186" s="213">
        <v>181</v>
      </c>
      <c r="FZ186">
        <v>54.580322694469416</v>
      </c>
      <c r="GA186">
        <v>57.116486767890862</v>
      </c>
      <c r="GB186">
        <v>35.150346561970203</v>
      </c>
      <c r="GC186">
        <v>15.138580493986222</v>
      </c>
      <c r="GD186">
        <v>3.8918373427497519</v>
      </c>
      <c r="GE186">
        <v>3.4388680690683651</v>
      </c>
      <c r="GF186">
        <v>1.9927140833442876</v>
      </c>
      <c r="GG186">
        <v>3.6350497007473379</v>
      </c>
      <c r="GH186">
        <v>7.1041515222433693</v>
      </c>
      <c r="GI186">
        <v>20.363289760242164</v>
      </c>
      <c r="GJ186"/>
      <c r="GK186"/>
      <c r="GL186"/>
      <c r="GM186"/>
      <c r="GN186" s="208"/>
      <c r="GO186" s="208"/>
      <c r="GP186" s="208"/>
      <c r="GQ186" s="208"/>
      <c r="GR186" s="208"/>
      <c r="GS186" s="208"/>
      <c r="GT186" s="208"/>
      <c r="GU186" s="213">
        <v>181</v>
      </c>
    </row>
    <row r="187" spans="1:203" s="7" customFormat="1">
      <c r="A187" s="1"/>
      <c r="B187" s="76">
        <f ca="1">IF(C187="", "", RAND())</f>
        <v>0.4435050427681384</v>
      </c>
      <c r="C187">
        <v>1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207.07548930364663</v>
      </c>
      <c r="AO187">
        <v>20.899475927147403</v>
      </c>
      <c r="AP187">
        <v>16.00380253532952</v>
      </c>
      <c r="AQ187">
        <v>155.50736082738385</v>
      </c>
      <c r="AR187">
        <v>21.795110883265469</v>
      </c>
      <c r="AS187">
        <v>277.63287191775032</v>
      </c>
      <c r="AT187">
        <v>12.732837851903051</v>
      </c>
      <c r="AU187">
        <v>-5.4800052893999904</v>
      </c>
      <c r="AV187"/>
      <c r="AW187"/>
      <c r="AX187" s="146"/>
      <c r="AY187" s="76">
        <f t="shared" ca="1" si="171"/>
        <v>2.1361069210376948E-2</v>
      </c>
      <c r="AZ187">
        <v>10</v>
      </c>
      <c r="BA187" s="129">
        <f t="shared" si="247"/>
        <v>39987</v>
      </c>
      <c r="BB187" s="207">
        <v>0</v>
      </c>
      <c r="BC187" s="207">
        <v>0</v>
      </c>
      <c r="BD187" s="207">
        <v>0</v>
      </c>
      <c r="BE187" s="207">
        <v>0</v>
      </c>
      <c r="BF187" s="207">
        <v>0</v>
      </c>
      <c r="BG187" s="207">
        <v>2</v>
      </c>
      <c r="BH187" s="207">
        <v>0</v>
      </c>
      <c r="BI187" s="207">
        <v>0</v>
      </c>
      <c r="BJ187" s="207">
        <v>0</v>
      </c>
      <c r="BK187" s="207">
        <v>0</v>
      </c>
      <c r="BL187" s="207">
        <v>0</v>
      </c>
      <c r="BM187" s="207">
        <v>0</v>
      </c>
      <c r="BN187" s="207">
        <v>0</v>
      </c>
      <c r="BO187" s="207">
        <v>0</v>
      </c>
      <c r="BP187" s="207">
        <v>0</v>
      </c>
      <c r="BQ187" s="207">
        <v>0</v>
      </c>
      <c r="BR187" s="207">
        <v>0</v>
      </c>
      <c r="BS187" s="207">
        <v>0</v>
      </c>
      <c r="BT187" s="207">
        <v>0</v>
      </c>
      <c r="BU187" s="207">
        <v>0</v>
      </c>
      <c r="BV187" s="207">
        <v>0</v>
      </c>
      <c r="BW187" s="207">
        <v>0</v>
      </c>
      <c r="BX187" s="207">
        <v>0</v>
      </c>
      <c r="BY187" s="207">
        <v>0</v>
      </c>
      <c r="BZ187" s="207">
        <v>0</v>
      </c>
      <c r="CA187" s="207">
        <v>0</v>
      </c>
      <c r="CB187" s="207">
        <v>0</v>
      </c>
      <c r="CC187" s="207">
        <v>0</v>
      </c>
      <c r="CD187" s="207">
        <v>0</v>
      </c>
      <c r="CE187" s="207">
        <v>0</v>
      </c>
      <c r="CF187" s="207">
        <v>0</v>
      </c>
      <c r="CG187" s="147"/>
      <c r="CH187" s="176"/>
      <c r="CJ187" s="146"/>
      <c r="CK187" s="76">
        <f t="shared" ca="1" si="206"/>
        <v>0.38945133998022863</v>
      </c>
      <c r="CL187" s="179">
        <f t="shared" si="207"/>
        <v>10</v>
      </c>
      <c r="CM187" s="180">
        <f t="shared" si="208"/>
        <v>39987</v>
      </c>
      <c r="CN187" s="208">
        <v>0</v>
      </c>
      <c r="CO187" s="208">
        <v>0</v>
      </c>
      <c r="CP187" s="208">
        <v>0</v>
      </c>
      <c r="CQ187" s="208">
        <v>0</v>
      </c>
      <c r="CR187" s="208">
        <v>0</v>
      </c>
      <c r="CS187" s="208">
        <v>0</v>
      </c>
      <c r="CT187" s="208">
        <v>0</v>
      </c>
      <c r="CU187" s="208">
        <v>0</v>
      </c>
      <c r="CV187" s="160"/>
      <c r="CW187">
        <v>1</v>
      </c>
      <c r="CX187">
        <f>350/73</f>
        <v>4.7945205479452051</v>
      </c>
      <c r="CY187" s="165"/>
      <c r="CZ187" s="177">
        <f t="shared" si="209"/>
        <v>9.6000000000000002E-2</v>
      </c>
      <c r="DB187" s="146"/>
      <c r="DC187" s="76">
        <f t="shared" ca="1" si="172"/>
        <v>0.84441801112211978</v>
      </c>
      <c r="DD187">
        <f t="shared" si="210"/>
        <v>10</v>
      </c>
      <c r="DE187" s="129">
        <f t="shared" si="246"/>
        <v>39987</v>
      </c>
      <c r="DF187" s="161">
        <f t="shared" si="211"/>
        <v>0</v>
      </c>
      <c r="DG187" s="161">
        <f t="shared" si="212"/>
        <v>0</v>
      </c>
      <c r="DH187" s="161">
        <f t="shared" si="213"/>
        <v>0</v>
      </c>
      <c r="DI187" s="161">
        <f t="shared" si="214"/>
        <v>0</v>
      </c>
      <c r="DJ187" s="161">
        <f t="shared" si="215"/>
        <v>0</v>
      </c>
      <c r="DK187" s="161">
        <f t="shared" si="216"/>
        <v>20.833333333333332</v>
      </c>
      <c r="DL187" s="161">
        <f t="shared" si="217"/>
        <v>0</v>
      </c>
      <c r="DM187" s="161">
        <f t="shared" si="218"/>
        <v>0</v>
      </c>
      <c r="DN187" s="161">
        <f t="shared" si="219"/>
        <v>0</v>
      </c>
      <c r="DO187" s="161">
        <f t="shared" si="220"/>
        <v>0</v>
      </c>
      <c r="DP187" s="161">
        <f t="shared" si="221"/>
        <v>0</v>
      </c>
      <c r="DQ187" s="161">
        <f t="shared" si="222"/>
        <v>0</v>
      </c>
      <c r="DR187" s="161">
        <f t="shared" si="223"/>
        <v>0</v>
      </c>
      <c r="DS187" s="161">
        <f t="shared" si="224"/>
        <v>0</v>
      </c>
      <c r="DT187" s="161">
        <f t="shared" si="225"/>
        <v>0</v>
      </c>
      <c r="DU187" s="161">
        <f t="shared" si="226"/>
        <v>0</v>
      </c>
      <c r="DV187" s="161">
        <f t="shared" si="227"/>
        <v>0</v>
      </c>
      <c r="DW187" s="161">
        <f t="shared" si="228"/>
        <v>0</v>
      </c>
      <c r="DX187" s="161">
        <f t="shared" si="229"/>
        <v>0</v>
      </c>
      <c r="DY187" s="161">
        <f t="shared" si="230"/>
        <v>0</v>
      </c>
      <c r="DZ187" s="161">
        <f t="shared" si="231"/>
        <v>0</v>
      </c>
      <c r="EA187" s="161">
        <f t="shared" si="232"/>
        <v>0</v>
      </c>
      <c r="EB187" s="161">
        <f t="shared" si="233"/>
        <v>0</v>
      </c>
      <c r="EC187" s="161">
        <f t="shared" si="234"/>
        <v>0</v>
      </c>
      <c r="ED187" s="161">
        <f t="shared" si="235"/>
        <v>0</v>
      </c>
      <c r="EE187" s="161">
        <f t="shared" si="236"/>
        <v>0</v>
      </c>
      <c r="EF187" s="161">
        <f t="shared" si="237"/>
        <v>0</v>
      </c>
      <c r="EG187" s="161">
        <f t="shared" si="238"/>
        <v>0</v>
      </c>
      <c r="EH187" s="161">
        <f t="shared" si="239"/>
        <v>0</v>
      </c>
      <c r="EI187" s="161">
        <f t="shared" si="240"/>
        <v>0</v>
      </c>
      <c r="EJ187" s="161">
        <f t="shared" si="241"/>
        <v>0</v>
      </c>
      <c r="EK187" s="147">
        <f t="shared" si="248"/>
        <v>20.833333333333332</v>
      </c>
      <c r="EL187" s="149"/>
      <c r="EN187" s="146"/>
      <c r="EO187" s="146"/>
      <c r="EP187" s="139">
        <f t="shared" si="249"/>
        <v>0</v>
      </c>
      <c r="EQ187" s="139">
        <f t="shared" si="250"/>
        <v>0</v>
      </c>
      <c r="ER187" s="139">
        <f t="shared" si="251"/>
        <v>0</v>
      </c>
      <c r="ES187" s="139">
        <f t="shared" si="252"/>
        <v>0</v>
      </c>
      <c r="ET187" s="139">
        <f t="shared" si="253"/>
        <v>0</v>
      </c>
      <c r="EU187" s="139">
        <f t="shared" si="254"/>
        <v>11.446722475101499</v>
      </c>
      <c r="EV187" s="139">
        <f t="shared" si="255"/>
        <v>0</v>
      </c>
      <c r="EW187" s="139">
        <f t="shared" si="256"/>
        <v>0</v>
      </c>
      <c r="EX187" s="139">
        <f t="shared" si="257"/>
        <v>0</v>
      </c>
      <c r="EY187" s="139">
        <f t="shared" si="258"/>
        <v>0</v>
      </c>
      <c r="EZ187" s="139">
        <f t="shared" si="259"/>
        <v>0</v>
      </c>
      <c r="FA187" s="139">
        <f t="shared" si="260"/>
        <v>0</v>
      </c>
      <c r="FB187" s="139">
        <f t="shared" si="261"/>
        <v>0</v>
      </c>
      <c r="FC187" s="139">
        <f t="shared" si="262"/>
        <v>0</v>
      </c>
      <c r="FD187" s="139">
        <f t="shared" si="263"/>
        <v>0</v>
      </c>
      <c r="FE187" s="139">
        <f t="shared" si="264"/>
        <v>0</v>
      </c>
      <c r="FF187" s="139">
        <f t="shared" si="265"/>
        <v>0</v>
      </c>
      <c r="FG187" s="139">
        <f t="shared" si="266"/>
        <v>0</v>
      </c>
      <c r="FH187" s="139">
        <f t="shared" si="267"/>
        <v>0</v>
      </c>
      <c r="FI187" s="139">
        <f t="shared" si="268"/>
        <v>0</v>
      </c>
      <c r="FJ187" s="139">
        <f t="shared" si="269"/>
        <v>0</v>
      </c>
      <c r="FK187" s="139">
        <f t="shared" si="270"/>
        <v>0</v>
      </c>
      <c r="FL187" s="139">
        <f t="shared" si="271"/>
        <v>0</v>
      </c>
      <c r="FM187" s="139">
        <f t="shared" si="272"/>
        <v>0</v>
      </c>
      <c r="FN187" s="139">
        <f t="shared" si="273"/>
        <v>0</v>
      </c>
      <c r="FO187" s="139">
        <f t="shared" si="274"/>
        <v>0</v>
      </c>
      <c r="FP187" s="139">
        <f t="shared" si="275"/>
        <v>0</v>
      </c>
      <c r="FQ187" s="139">
        <f t="shared" si="276"/>
        <v>0</v>
      </c>
      <c r="FR187" s="139">
        <f t="shared" si="277"/>
        <v>0</v>
      </c>
      <c r="FS187" s="139">
        <f t="shared" si="278"/>
        <v>0</v>
      </c>
      <c r="FT187" s="139">
        <f t="shared" si="279"/>
        <v>0</v>
      </c>
      <c r="FU187" s="148">
        <f t="shared" si="280"/>
        <v>11.446722475101499</v>
      </c>
      <c r="FV187" s="149"/>
      <c r="FY187" s="213">
        <v>182</v>
      </c>
      <c r="FZ187">
        <v>52.551333440212993</v>
      </c>
      <c r="GA187">
        <v>21.467561451017723</v>
      </c>
      <c r="GB187">
        <v>23.405684109590439</v>
      </c>
      <c r="GC187">
        <v>14.976044995569676</v>
      </c>
      <c r="GD187">
        <v>3.6387060541241603</v>
      </c>
      <c r="GE187">
        <v>2.9138448289789629</v>
      </c>
      <c r="GF187">
        <v>1.785307183697173</v>
      </c>
      <c r="GG187">
        <v>4.2983668003660682</v>
      </c>
      <c r="GH187">
        <v>12.401409151315313</v>
      </c>
      <c r="GI187">
        <v>17.856039845426931</v>
      </c>
      <c r="GJ187"/>
      <c r="GK187"/>
      <c r="GL187"/>
      <c r="GM187"/>
      <c r="GN187" s="208"/>
      <c r="GO187" s="208"/>
      <c r="GP187" s="208"/>
      <c r="GQ187" s="208"/>
      <c r="GR187" s="208"/>
      <c r="GS187" s="208"/>
      <c r="GT187" s="208"/>
      <c r="GU187" s="213">
        <v>182</v>
      </c>
    </row>
    <row r="188" spans="1:203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327.0909817763503</v>
      </c>
      <c r="AO188">
        <v>33.301644781057689</v>
      </c>
      <c r="AP188">
        <v>19.865436441561503</v>
      </c>
      <c r="AQ188">
        <v>248.05283060426456</v>
      </c>
      <c r="AR188">
        <v>33.596054962790433</v>
      </c>
      <c r="AS188">
        <v>485.54356138951255</v>
      </c>
      <c r="AT188">
        <v>20.76640957430077</v>
      </c>
      <c r="AU188">
        <v>-40.768669947265138</v>
      </c>
      <c r="AV188"/>
      <c r="AW188"/>
      <c r="AX188" s="128"/>
      <c r="AY188" s="76" t="str">
        <f t="shared" ca="1" si="171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6"/>
        <v/>
      </c>
      <c r="CL188" s="179" t="str">
        <f t="shared" si="207"/>
        <v/>
      </c>
      <c r="CM188" s="180" t="str">
        <f t="shared" si="208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9"/>
        <v/>
      </c>
      <c r="DB188" s="128"/>
      <c r="DC188" s="76" t="str">
        <f t="shared" ca="1" si="172"/>
        <v/>
      </c>
      <c r="DD188" t="str">
        <f t="shared" si="210"/>
        <v/>
      </c>
      <c r="DE188" s="129" t="str">
        <f t="shared" ref="DE188:DE197" si="281">IF((DD188)="", "", $C$14)</f>
        <v/>
      </c>
      <c r="DF188" s="161" t="str">
        <f t="shared" ref="DF188:DF207" si="282">IF($AZ188="", "", ((BB188*$CW188)+(CN188*$CX188))/$CZ188)</f>
        <v/>
      </c>
      <c r="DG188" s="161" t="str">
        <f t="shared" ref="DG188:DG207" si="283">IF($AZ188="", "", ((BC188*$CW188)+(CO188*$CX188))/$CZ188)</f>
        <v/>
      </c>
      <c r="DH188" s="161" t="str">
        <f t="shared" ref="DH188:DH207" si="284">IF($AZ188="", "", ((BD188*$CW188)+(CP188*$CX188))/$CZ188)</f>
        <v/>
      </c>
      <c r="DI188" s="161" t="str">
        <f t="shared" ref="DI188:DI207" si="285">IF($AZ188="", "", ((BE188*$CW188)+(CQ188*$CX188))/$CZ188)</f>
        <v/>
      </c>
      <c r="DJ188" s="161" t="str">
        <f t="shared" ref="DJ188:DJ207" si="286">IF($AZ188="", "", ((BF188*$CW188)+(CR188*$CX188))/$CZ188)</f>
        <v/>
      </c>
      <c r="DK188" s="161" t="str">
        <f t="shared" ref="DK188:DK207" si="287">IF($AZ188="", "", ((BG188*$CW188)+(CS188*$CX188))/$CZ188)</f>
        <v/>
      </c>
      <c r="DL188" s="161" t="str">
        <f t="shared" ref="DL188:DL207" si="288">IF($AZ188="", "", ((BH188*$CW188)+(CT188*$CX188))/$CZ188)</f>
        <v/>
      </c>
      <c r="DM188" s="161" t="str">
        <f t="shared" ref="DM188:DM207" si="289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90">IF($AZ188="", "", (BK187*$CW188)/$CZ188)</f>
        <v/>
      </c>
      <c r="DP188" s="161" t="str">
        <f t="shared" ref="DP188:DP193" si="291">IF($AZ188="", "", (BL187*$CW188)/$CZ188)</f>
        <v/>
      </c>
      <c r="DQ188" s="161" t="str">
        <f t="shared" ref="DQ188:DQ193" si="292">IF($AZ188="", "", (BM187*$CW188)/$CZ188)</f>
        <v/>
      </c>
      <c r="DR188" s="161" t="str">
        <f t="shared" ref="DR188:DR193" si="293">IF($AZ188="", "", (BN187*$CW188)/$CZ188)</f>
        <v/>
      </c>
      <c r="DS188" s="161" t="str">
        <f t="shared" ref="DS188:DS193" si="294">IF($AZ188="", "", (BO187*$CW188)/$CZ188)</f>
        <v/>
      </c>
      <c r="DT188" s="161" t="str">
        <f t="shared" ref="DT188:DT193" si="295">IF($AZ188="", "", (BP187*$CW188)/$CZ188)</f>
        <v/>
      </c>
      <c r="DU188" s="161" t="str">
        <f t="shared" ref="DU188:DU193" si="296">IF($AZ188="", "", (BQ187*$CW188)/$CZ188)</f>
        <v/>
      </c>
      <c r="DV188" s="161" t="str">
        <f t="shared" ref="DV188:DV193" si="297">IF($AZ188="", "", (BR187*$CW188)/$CZ188)</f>
        <v/>
      </c>
      <c r="DW188" s="161" t="str">
        <f t="shared" ref="DW188:DW193" si="298">IF($AZ188="", "", (BS187*$CW188)/$CZ188)</f>
        <v/>
      </c>
      <c r="DX188" s="161" t="str">
        <f t="shared" ref="DX188:DX193" si="299">IF($AZ188="", "", (BT187*$CW188)/$CZ188)</f>
        <v/>
      </c>
      <c r="DY188" s="161" t="str">
        <f t="shared" ref="DY188:DY193" si="300">IF($AZ188="", "", (BU187*$CW188)/$CZ188)</f>
        <v/>
      </c>
      <c r="DZ188" s="161" t="str">
        <f t="shared" ref="DZ188:DZ193" si="301">IF($AZ188="", "", (BV187*$CW188)/$CZ188)</f>
        <v/>
      </c>
      <c r="EA188" s="161" t="str">
        <f t="shared" ref="EA188:EA193" si="302">IF($AZ188="", "", (BW187*$CW188)/$CZ188)</f>
        <v/>
      </c>
      <c r="EB188" s="161" t="str">
        <f t="shared" ref="EB188:EB193" si="303">IF($AZ188="", "", (BX187*$CW188)/$CZ188)</f>
        <v/>
      </c>
      <c r="EC188" s="161" t="str">
        <f t="shared" ref="EC188:EC193" si="304">IF($AZ188="", "", (BY187*$CW188)/$CZ188)</f>
        <v/>
      </c>
      <c r="ED188" s="161" t="str">
        <f t="shared" ref="ED188:ED193" si="305">IF($AZ188="", "", (BZ187*$CW188)/$CZ188)</f>
        <v/>
      </c>
      <c r="EE188" s="161" t="str">
        <f t="shared" ref="EE188:EE193" si="306">IF($AZ188="", "", (CA187*$CW188)/$CZ188)</f>
        <v/>
      </c>
      <c r="EF188" s="161" t="str">
        <f t="shared" ref="EF188:EF193" si="307">IF($AZ188="", "", (CB187*$CW188)/$CZ188)</f>
        <v/>
      </c>
      <c r="EG188" s="161" t="str">
        <f t="shared" ref="EG188:EG193" si="308">IF($AZ188="", "", (CC187*$CW188)/$CZ188)</f>
        <v/>
      </c>
      <c r="EH188" s="161" t="str">
        <f t="shared" ref="EH188:EH193" si="309">IF($AZ188="", "", (CD187*$CW188)/$CZ188)</f>
        <v/>
      </c>
      <c r="EI188" s="161" t="str">
        <f t="shared" ref="EI188:EI193" si="310">IF($AZ188="", "", (CE187*$CW188)/$CZ188)</f>
        <v/>
      </c>
      <c r="EJ188" s="161" t="str">
        <f t="shared" ref="EJ188:EJ193" si="311">IF($AZ188="", "", (CF187*$CW188)/$CZ188)</f>
        <v/>
      </c>
      <c r="EK188" s="147" t="str">
        <f t="shared" si="248"/>
        <v/>
      </c>
      <c r="EL188" s="149"/>
      <c r="EN188" s="146"/>
      <c r="EO188" s="146"/>
      <c r="EP188" s="139" t="str">
        <f t="shared" si="249"/>
        <v/>
      </c>
      <c r="EQ188" s="139" t="str">
        <f t="shared" si="250"/>
        <v/>
      </c>
      <c r="ER188" s="139" t="str">
        <f t="shared" si="251"/>
        <v/>
      </c>
      <c r="ES188" s="139" t="str">
        <f t="shared" si="252"/>
        <v/>
      </c>
      <c r="ET188" s="139" t="str">
        <f t="shared" si="253"/>
        <v/>
      </c>
      <c r="EU188" s="139" t="str">
        <f t="shared" si="254"/>
        <v/>
      </c>
      <c r="EV188" s="139" t="str">
        <f t="shared" si="255"/>
        <v/>
      </c>
      <c r="EW188" s="139" t="str">
        <f t="shared" si="256"/>
        <v/>
      </c>
      <c r="EX188" s="139" t="str">
        <f t="shared" si="257"/>
        <v/>
      </c>
      <c r="EY188" s="139" t="str">
        <f t="shared" si="258"/>
        <v/>
      </c>
      <c r="EZ188" s="139" t="str">
        <f t="shared" si="259"/>
        <v/>
      </c>
      <c r="FA188" s="139" t="str">
        <f t="shared" si="260"/>
        <v/>
      </c>
      <c r="FB188" s="139" t="str">
        <f t="shared" si="261"/>
        <v/>
      </c>
      <c r="FC188" s="139" t="str">
        <f t="shared" si="262"/>
        <v/>
      </c>
      <c r="FD188" s="139" t="str">
        <f t="shared" si="263"/>
        <v/>
      </c>
      <c r="FE188" s="139" t="str">
        <f t="shared" si="264"/>
        <v/>
      </c>
      <c r="FF188" s="139" t="str">
        <f t="shared" si="265"/>
        <v/>
      </c>
      <c r="FG188" s="139" t="str">
        <f t="shared" si="266"/>
        <v/>
      </c>
      <c r="FH188" s="139" t="str">
        <f t="shared" si="267"/>
        <v/>
      </c>
      <c r="FI188" s="139" t="str">
        <f t="shared" si="268"/>
        <v/>
      </c>
      <c r="FJ188" s="139" t="str">
        <f t="shared" si="269"/>
        <v/>
      </c>
      <c r="FK188" s="139" t="str">
        <f t="shared" si="270"/>
        <v/>
      </c>
      <c r="FL188" s="139" t="str">
        <f t="shared" si="271"/>
        <v/>
      </c>
      <c r="FM188" s="139" t="str">
        <f t="shared" si="272"/>
        <v/>
      </c>
      <c r="FN188" s="139" t="str">
        <f t="shared" si="273"/>
        <v/>
      </c>
      <c r="FO188" s="139" t="str">
        <f t="shared" si="274"/>
        <v/>
      </c>
      <c r="FP188" s="139" t="str">
        <f t="shared" si="275"/>
        <v/>
      </c>
      <c r="FQ188" s="139" t="str">
        <f t="shared" si="276"/>
        <v/>
      </c>
      <c r="FR188" s="139" t="str">
        <f t="shared" si="277"/>
        <v/>
      </c>
      <c r="FS188" s="139" t="str">
        <f t="shared" si="278"/>
        <v/>
      </c>
      <c r="FT188" s="139" t="str">
        <f t="shared" si="279"/>
        <v/>
      </c>
      <c r="FU188" s="148" t="str">
        <f t="shared" si="280"/>
        <v/>
      </c>
      <c r="FV188" s="149"/>
      <c r="FY188" s="213">
        <v>183</v>
      </c>
      <c r="FZ188">
        <v>57.249239479974392</v>
      </c>
      <c r="GA188">
        <v>72.640404475893959</v>
      </c>
      <c r="GB188">
        <v>47.965943465834627</v>
      </c>
      <c r="GC188">
        <v>18.699230800503127</v>
      </c>
      <c r="GD188">
        <v>6.2572013940186348</v>
      </c>
      <c r="GE188">
        <v>10.336781941029116</v>
      </c>
      <c r="GF188">
        <v>8.1669638362886072</v>
      </c>
      <c r="GG188">
        <v>5.8079755370336859</v>
      </c>
      <c r="GH188">
        <v>9.2735284639938893</v>
      </c>
      <c r="GI188">
        <v>26.727668074020674</v>
      </c>
      <c r="GJ188"/>
      <c r="GK188"/>
      <c r="GL188"/>
      <c r="GM188"/>
      <c r="GN188" s="208"/>
      <c r="GO188" s="208"/>
      <c r="GP188" s="208"/>
      <c r="GQ188" s="208"/>
      <c r="GR188" s="208"/>
      <c r="GS188" s="208"/>
      <c r="GT188" s="208"/>
      <c r="GU188" s="213">
        <v>183</v>
      </c>
    </row>
    <row r="189" spans="1:203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258.90560535817707</v>
      </c>
      <c r="AO189">
        <v>26.268715430042683</v>
      </c>
      <c r="AP189">
        <v>20.324271465203431</v>
      </c>
      <c r="AQ189">
        <v>192.86526603236052</v>
      </c>
      <c r="AR189">
        <v>27.456865842553754</v>
      </c>
      <c r="AS189">
        <v>368.74536169778202</v>
      </c>
      <c r="AT189">
        <v>17.013369568349393</v>
      </c>
      <c r="AU189">
        <v>-6.0445062396763021</v>
      </c>
      <c r="AV189"/>
      <c r="AW189"/>
      <c r="AX189" s="146"/>
      <c r="AY189" s="76" t="str">
        <f t="shared" ca="1" si="171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6"/>
        <v/>
      </c>
      <c r="CL189" s="179" t="str">
        <f t="shared" si="207"/>
        <v/>
      </c>
      <c r="CM189" s="180" t="str">
        <f t="shared" si="208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9"/>
        <v/>
      </c>
      <c r="DB189" s="146"/>
      <c r="DC189" s="76" t="str">
        <f t="shared" ca="1" si="172"/>
        <v/>
      </c>
      <c r="DD189" t="str">
        <f t="shared" si="210"/>
        <v/>
      </c>
      <c r="DE189" s="129" t="str">
        <f t="shared" si="281"/>
        <v/>
      </c>
      <c r="DF189" s="161" t="str">
        <f t="shared" si="282"/>
        <v/>
      </c>
      <c r="DG189" s="161" t="str">
        <f t="shared" si="283"/>
        <v/>
      </c>
      <c r="DH189" s="161" t="str">
        <f t="shared" si="284"/>
        <v/>
      </c>
      <c r="DI189" s="161" t="str">
        <f t="shared" si="285"/>
        <v/>
      </c>
      <c r="DJ189" s="161" t="str">
        <f t="shared" si="286"/>
        <v/>
      </c>
      <c r="DK189" s="161" t="str">
        <f t="shared" si="287"/>
        <v/>
      </c>
      <c r="DL189" s="161" t="str">
        <f t="shared" si="288"/>
        <v/>
      </c>
      <c r="DM189" s="161" t="str">
        <f t="shared" si="289"/>
        <v/>
      </c>
      <c r="DN189" s="161" t="str">
        <f>IF($AZ189="", "", (BJ189*$CW189)/$CZ189)</f>
        <v/>
      </c>
      <c r="DO189" s="161" t="str">
        <f t="shared" si="290"/>
        <v/>
      </c>
      <c r="DP189" s="161" t="str">
        <f t="shared" si="291"/>
        <v/>
      </c>
      <c r="DQ189" s="161" t="str">
        <f t="shared" si="292"/>
        <v/>
      </c>
      <c r="DR189" s="161" t="str">
        <f t="shared" si="293"/>
        <v/>
      </c>
      <c r="DS189" s="161" t="str">
        <f t="shared" si="294"/>
        <v/>
      </c>
      <c r="DT189" s="161" t="str">
        <f t="shared" si="295"/>
        <v/>
      </c>
      <c r="DU189" s="161" t="str">
        <f t="shared" si="296"/>
        <v/>
      </c>
      <c r="DV189" s="161" t="str">
        <f t="shared" si="297"/>
        <v/>
      </c>
      <c r="DW189" s="161" t="str">
        <f t="shared" si="298"/>
        <v/>
      </c>
      <c r="DX189" s="161" t="str">
        <f t="shared" si="299"/>
        <v/>
      </c>
      <c r="DY189" s="161" t="str">
        <f t="shared" si="300"/>
        <v/>
      </c>
      <c r="DZ189" s="161" t="str">
        <f t="shared" si="301"/>
        <v/>
      </c>
      <c r="EA189" s="161" t="str">
        <f t="shared" si="302"/>
        <v/>
      </c>
      <c r="EB189" s="161" t="str">
        <f t="shared" si="303"/>
        <v/>
      </c>
      <c r="EC189" s="161" t="str">
        <f t="shared" si="304"/>
        <v/>
      </c>
      <c r="ED189" s="161" t="str">
        <f t="shared" si="305"/>
        <v/>
      </c>
      <c r="EE189" s="161" t="str">
        <f t="shared" si="306"/>
        <v/>
      </c>
      <c r="EF189" s="161" t="str">
        <f t="shared" si="307"/>
        <v/>
      </c>
      <c r="EG189" s="161" t="str">
        <f t="shared" si="308"/>
        <v/>
      </c>
      <c r="EH189" s="161" t="str">
        <f t="shared" si="309"/>
        <v/>
      </c>
      <c r="EI189" s="161" t="str">
        <f t="shared" si="310"/>
        <v/>
      </c>
      <c r="EJ189" s="161" t="str">
        <f t="shared" si="311"/>
        <v/>
      </c>
      <c r="EK189" s="147" t="str">
        <f t="shared" si="248"/>
        <v/>
      </c>
      <c r="EL189" s="149"/>
      <c r="EN189" s="146"/>
      <c r="EO189" s="146"/>
      <c r="EP189" s="139" t="str">
        <f t="shared" si="249"/>
        <v/>
      </c>
      <c r="EQ189" s="139" t="str">
        <f t="shared" si="250"/>
        <v/>
      </c>
      <c r="ER189" s="139" t="str">
        <f t="shared" si="251"/>
        <v/>
      </c>
      <c r="ES189" s="139" t="str">
        <f t="shared" si="252"/>
        <v/>
      </c>
      <c r="ET189" s="139" t="str">
        <f t="shared" si="253"/>
        <v/>
      </c>
      <c r="EU189" s="139" t="str">
        <f t="shared" si="254"/>
        <v/>
      </c>
      <c r="EV189" s="139" t="str">
        <f t="shared" si="255"/>
        <v/>
      </c>
      <c r="EW189" s="139" t="str">
        <f t="shared" si="256"/>
        <v/>
      </c>
      <c r="EX189" s="139" t="str">
        <f t="shared" si="257"/>
        <v/>
      </c>
      <c r="EY189" s="139" t="str">
        <f t="shared" si="258"/>
        <v/>
      </c>
      <c r="EZ189" s="139" t="str">
        <f t="shared" si="259"/>
        <v/>
      </c>
      <c r="FA189" s="139" t="str">
        <f t="shared" si="260"/>
        <v/>
      </c>
      <c r="FB189" s="139" t="str">
        <f t="shared" si="261"/>
        <v/>
      </c>
      <c r="FC189" s="139" t="str">
        <f t="shared" si="262"/>
        <v/>
      </c>
      <c r="FD189" s="139" t="str">
        <f t="shared" si="263"/>
        <v/>
      </c>
      <c r="FE189" s="139" t="str">
        <f t="shared" si="264"/>
        <v/>
      </c>
      <c r="FF189" s="139" t="str">
        <f t="shared" si="265"/>
        <v/>
      </c>
      <c r="FG189" s="139" t="str">
        <f t="shared" si="266"/>
        <v/>
      </c>
      <c r="FH189" s="139" t="str">
        <f t="shared" si="267"/>
        <v/>
      </c>
      <c r="FI189" s="139" t="str">
        <f t="shared" si="268"/>
        <v/>
      </c>
      <c r="FJ189" s="139" t="str">
        <f t="shared" si="269"/>
        <v/>
      </c>
      <c r="FK189" s="139" t="str">
        <f t="shared" si="270"/>
        <v/>
      </c>
      <c r="FL189" s="139" t="str">
        <f t="shared" si="271"/>
        <v/>
      </c>
      <c r="FM189" s="139" t="str">
        <f t="shared" si="272"/>
        <v/>
      </c>
      <c r="FN189" s="139" t="str">
        <f t="shared" si="273"/>
        <v/>
      </c>
      <c r="FO189" s="139" t="str">
        <f t="shared" si="274"/>
        <v/>
      </c>
      <c r="FP189" s="139" t="str">
        <f t="shared" si="275"/>
        <v/>
      </c>
      <c r="FQ189" s="139" t="str">
        <f t="shared" si="276"/>
        <v/>
      </c>
      <c r="FR189" s="139" t="str">
        <f t="shared" si="277"/>
        <v/>
      </c>
      <c r="FS189" s="139" t="str">
        <f t="shared" si="278"/>
        <v/>
      </c>
      <c r="FT189" s="139" t="str">
        <f t="shared" si="279"/>
        <v/>
      </c>
      <c r="FU189" s="148" t="str">
        <f t="shared" si="280"/>
        <v/>
      </c>
      <c r="FV189" s="149"/>
      <c r="FY189" s="213">
        <v>184</v>
      </c>
      <c r="FZ189">
        <v>39.075249626079575</v>
      </c>
      <c r="GA189">
        <v>45.588910013038252</v>
      </c>
      <c r="GB189">
        <v>40.420645420170125</v>
      </c>
      <c r="GC189">
        <v>15.375222641117384</v>
      </c>
      <c r="GD189">
        <v>2.6632726706518151</v>
      </c>
      <c r="GE189">
        <v>6.4935956342576366</v>
      </c>
      <c r="GF189">
        <v>11.095353533938006</v>
      </c>
      <c r="GG189">
        <v>12.505738532514989</v>
      </c>
      <c r="GH189">
        <v>14.501574421225603</v>
      </c>
      <c r="GI189">
        <v>21.512073669662257</v>
      </c>
      <c r="GJ189"/>
      <c r="GK189"/>
      <c r="GL189"/>
      <c r="GM189"/>
      <c r="GN189" s="208"/>
      <c r="GO189" s="208"/>
      <c r="GP189" s="208"/>
      <c r="GQ189" s="208"/>
      <c r="GR189" s="208"/>
      <c r="GS189" s="208"/>
      <c r="GT189" s="208"/>
      <c r="GU189" s="213">
        <v>184</v>
      </c>
    </row>
    <row r="190" spans="1:203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316.2950613117481</v>
      </c>
      <c r="AO190">
        <v>27.508842851778503</v>
      </c>
      <c r="AP190">
        <v>20.632205626910945</v>
      </c>
      <c r="AQ190">
        <v>185.90302338144187</v>
      </c>
      <c r="AR190">
        <v>27.408920569427124</v>
      </c>
      <c r="AS190">
        <v>432.54472394357293</v>
      </c>
      <c r="AT190">
        <v>16.45066749057116</v>
      </c>
      <c r="AU190">
        <v>0.78504067933946331</v>
      </c>
      <c r="AV190"/>
      <c r="AW190"/>
      <c r="AX190" s="146"/>
      <c r="AY190" s="76" t="str">
        <f t="shared" ca="1" si="171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6"/>
        <v/>
      </c>
      <c r="CL190" s="179" t="str">
        <f t="shared" si="207"/>
        <v/>
      </c>
      <c r="CM190" s="180" t="str">
        <f t="shared" si="208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9"/>
        <v/>
      </c>
      <c r="DB190" s="146"/>
      <c r="DC190" s="76" t="str">
        <f t="shared" ca="1" si="172"/>
        <v/>
      </c>
      <c r="DD190" t="str">
        <f t="shared" si="210"/>
        <v/>
      </c>
      <c r="DE190" s="129" t="str">
        <f t="shared" si="281"/>
        <v/>
      </c>
      <c r="DF190" s="161" t="str">
        <f t="shared" si="282"/>
        <v/>
      </c>
      <c r="DG190" s="161" t="str">
        <f t="shared" si="283"/>
        <v/>
      </c>
      <c r="DH190" s="161" t="str">
        <f t="shared" si="284"/>
        <v/>
      </c>
      <c r="DI190" s="161" t="str">
        <f t="shared" si="285"/>
        <v/>
      </c>
      <c r="DJ190" s="161" t="str">
        <f t="shared" si="286"/>
        <v/>
      </c>
      <c r="DK190" s="161" t="str">
        <f t="shared" si="287"/>
        <v/>
      </c>
      <c r="DL190" s="161" t="str">
        <f t="shared" si="288"/>
        <v/>
      </c>
      <c r="DM190" s="161" t="str">
        <f t="shared" si="289"/>
        <v/>
      </c>
      <c r="DN190" s="161" t="str">
        <f>IF($AZ190="", "", (BJ190*$CW190)/$CZ190)</f>
        <v/>
      </c>
      <c r="DO190" s="161" t="str">
        <f t="shared" si="290"/>
        <v/>
      </c>
      <c r="DP190" s="161" t="str">
        <f t="shared" si="291"/>
        <v/>
      </c>
      <c r="DQ190" s="161" t="str">
        <f t="shared" si="292"/>
        <v/>
      </c>
      <c r="DR190" s="161" t="str">
        <f t="shared" si="293"/>
        <v/>
      </c>
      <c r="DS190" s="161" t="str">
        <f t="shared" si="294"/>
        <v/>
      </c>
      <c r="DT190" s="161" t="str">
        <f t="shared" si="295"/>
        <v/>
      </c>
      <c r="DU190" s="161" t="str">
        <f t="shared" si="296"/>
        <v/>
      </c>
      <c r="DV190" s="161" t="str">
        <f t="shared" si="297"/>
        <v/>
      </c>
      <c r="DW190" s="161" t="str">
        <f t="shared" si="298"/>
        <v/>
      </c>
      <c r="DX190" s="161" t="str">
        <f t="shared" si="299"/>
        <v/>
      </c>
      <c r="DY190" s="161" t="str">
        <f t="shared" si="300"/>
        <v/>
      </c>
      <c r="DZ190" s="161" t="str">
        <f t="shared" si="301"/>
        <v/>
      </c>
      <c r="EA190" s="161" t="str">
        <f t="shared" si="302"/>
        <v/>
      </c>
      <c r="EB190" s="161" t="str">
        <f t="shared" si="303"/>
        <v/>
      </c>
      <c r="EC190" s="161" t="str">
        <f t="shared" si="304"/>
        <v/>
      </c>
      <c r="ED190" s="161" t="str">
        <f t="shared" si="305"/>
        <v/>
      </c>
      <c r="EE190" s="161" t="str">
        <f t="shared" si="306"/>
        <v/>
      </c>
      <c r="EF190" s="161" t="str">
        <f t="shared" si="307"/>
        <v/>
      </c>
      <c r="EG190" s="161" t="str">
        <f t="shared" si="308"/>
        <v/>
      </c>
      <c r="EH190" s="161" t="str">
        <f t="shared" si="309"/>
        <v/>
      </c>
      <c r="EI190" s="161" t="str">
        <f t="shared" si="310"/>
        <v/>
      </c>
      <c r="EJ190" s="161" t="str">
        <f t="shared" si="311"/>
        <v/>
      </c>
      <c r="EK190" s="147" t="str">
        <f t="shared" si="248"/>
        <v/>
      </c>
      <c r="EL190" s="149"/>
      <c r="EN190" s="146"/>
      <c r="EO190" s="146"/>
      <c r="EP190" s="139" t="str">
        <f t="shared" si="249"/>
        <v/>
      </c>
      <c r="EQ190" s="139" t="str">
        <f t="shared" si="250"/>
        <v/>
      </c>
      <c r="ER190" s="139" t="str">
        <f t="shared" si="251"/>
        <v/>
      </c>
      <c r="ES190" s="139" t="str">
        <f t="shared" si="252"/>
        <v/>
      </c>
      <c r="ET190" s="139" t="str">
        <f t="shared" si="253"/>
        <v/>
      </c>
      <c r="EU190" s="139" t="str">
        <f t="shared" si="254"/>
        <v/>
      </c>
      <c r="EV190" s="139" t="str">
        <f t="shared" si="255"/>
        <v/>
      </c>
      <c r="EW190" s="139" t="str">
        <f t="shared" si="256"/>
        <v/>
      </c>
      <c r="EX190" s="139" t="str">
        <f t="shared" si="257"/>
        <v/>
      </c>
      <c r="EY190" s="139" t="str">
        <f t="shared" si="258"/>
        <v/>
      </c>
      <c r="EZ190" s="139" t="str">
        <f t="shared" si="259"/>
        <v/>
      </c>
      <c r="FA190" s="139" t="str">
        <f t="shared" si="260"/>
        <v/>
      </c>
      <c r="FB190" s="139" t="str">
        <f t="shared" si="261"/>
        <v/>
      </c>
      <c r="FC190" s="139" t="str">
        <f t="shared" si="262"/>
        <v/>
      </c>
      <c r="FD190" s="139" t="str">
        <f t="shared" si="263"/>
        <v/>
      </c>
      <c r="FE190" s="139" t="str">
        <f t="shared" si="264"/>
        <v/>
      </c>
      <c r="FF190" s="139" t="str">
        <f t="shared" si="265"/>
        <v/>
      </c>
      <c r="FG190" s="139" t="str">
        <f t="shared" si="266"/>
        <v/>
      </c>
      <c r="FH190" s="139" t="str">
        <f t="shared" si="267"/>
        <v/>
      </c>
      <c r="FI190" s="139" t="str">
        <f t="shared" si="268"/>
        <v/>
      </c>
      <c r="FJ190" s="139" t="str">
        <f t="shared" si="269"/>
        <v/>
      </c>
      <c r="FK190" s="139" t="str">
        <f t="shared" si="270"/>
        <v/>
      </c>
      <c r="FL190" s="139" t="str">
        <f t="shared" si="271"/>
        <v/>
      </c>
      <c r="FM190" s="139" t="str">
        <f t="shared" si="272"/>
        <v/>
      </c>
      <c r="FN190" s="139" t="str">
        <f t="shared" si="273"/>
        <v/>
      </c>
      <c r="FO190" s="139" t="str">
        <f t="shared" si="274"/>
        <v/>
      </c>
      <c r="FP190" s="139" t="str">
        <f t="shared" si="275"/>
        <v/>
      </c>
      <c r="FQ190" s="139" t="str">
        <f t="shared" si="276"/>
        <v/>
      </c>
      <c r="FR190" s="139" t="str">
        <f t="shared" si="277"/>
        <v/>
      </c>
      <c r="FS190" s="139" t="str">
        <f t="shared" si="278"/>
        <v/>
      </c>
      <c r="FT190" s="139" t="str">
        <f t="shared" si="279"/>
        <v/>
      </c>
      <c r="FU190" s="148" t="str">
        <f t="shared" si="280"/>
        <v/>
      </c>
      <c r="FV190" s="149"/>
      <c r="FY190" s="213">
        <v>185</v>
      </c>
      <c r="FZ190">
        <v>48.606493479473393</v>
      </c>
      <c r="GA190">
        <v>45.096039246550809</v>
      </c>
      <c r="GB190">
        <v>23.86675969531197</v>
      </c>
      <c r="GC190">
        <v>11.45740308426941</v>
      </c>
      <c r="GD190">
        <v>3.8199430376576022</v>
      </c>
      <c r="GE190">
        <v>5.6546548837639552</v>
      </c>
      <c r="GF190">
        <v>6.4001102570336155</v>
      </c>
      <c r="GG190">
        <v>4.3878530044365665</v>
      </c>
      <c r="GH190">
        <v>6.3581126071246876</v>
      </c>
      <c r="GI190">
        <v>17.373712938081354</v>
      </c>
      <c r="GJ190"/>
      <c r="GK190"/>
      <c r="GL190"/>
      <c r="GM190"/>
      <c r="GN190" s="208"/>
      <c r="GO190" s="208"/>
      <c r="GP190" s="208"/>
      <c r="GQ190" s="208"/>
      <c r="GR190" s="208"/>
      <c r="GS190" s="208"/>
      <c r="GT190" s="208"/>
      <c r="GU190" s="213">
        <v>185</v>
      </c>
    </row>
    <row r="191" spans="1:203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265.79785459693267</v>
      </c>
      <c r="AO191">
        <v>26.25720813156126</v>
      </c>
      <c r="AP191">
        <v>45.943723784837957</v>
      </c>
      <c r="AQ191">
        <v>180.80543981315279</v>
      </c>
      <c r="AR191">
        <v>27.095468251608796</v>
      </c>
      <c r="AS191">
        <v>369.28139306782992</v>
      </c>
      <c r="AT191">
        <v>16.680155718279188</v>
      </c>
      <c r="AU191">
        <v>1.8245178911764768</v>
      </c>
      <c r="AV191"/>
      <c r="AW191"/>
      <c r="AX191" s="146"/>
      <c r="AY191" s="76" t="str">
        <f t="shared" ca="1" si="171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6"/>
        <v/>
      </c>
      <c r="CL191" s="179" t="str">
        <f t="shared" si="207"/>
        <v/>
      </c>
      <c r="CM191" s="180" t="str">
        <f t="shared" si="208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9"/>
        <v/>
      </c>
      <c r="DB191" s="146"/>
      <c r="DC191" s="76" t="str">
        <f t="shared" ca="1" si="172"/>
        <v/>
      </c>
      <c r="DD191" t="str">
        <f t="shared" si="210"/>
        <v/>
      </c>
      <c r="DE191" s="129" t="str">
        <f t="shared" si="281"/>
        <v/>
      </c>
      <c r="DF191" s="161" t="str">
        <f t="shared" si="282"/>
        <v/>
      </c>
      <c r="DG191" s="161" t="str">
        <f t="shared" si="283"/>
        <v/>
      </c>
      <c r="DH191" s="161" t="str">
        <f t="shared" si="284"/>
        <v/>
      </c>
      <c r="DI191" s="161" t="str">
        <f t="shared" si="285"/>
        <v/>
      </c>
      <c r="DJ191" s="161" t="str">
        <f t="shared" si="286"/>
        <v/>
      </c>
      <c r="DK191" s="161" t="str">
        <f t="shared" si="287"/>
        <v/>
      </c>
      <c r="DL191" s="161" t="str">
        <f t="shared" si="288"/>
        <v/>
      </c>
      <c r="DM191" s="161" t="str">
        <f t="shared" si="289"/>
        <v/>
      </c>
      <c r="DN191" s="161" t="str">
        <f>IF($AZ191="", "", (BJ191*$CW191)/$CZ191)</f>
        <v/>
      </c>
      <c r="DO191" s="161" t="str">
        <f t="shared" si="290"/>
        <v/>
      </c>
      <c r="DP191" s="161" t="str">
        <f t="shared" si="291"/>
        <v/>
      </c>
      <c r="DQ191" s="161" t="str">
        <f t="shared" si="292"/>
        <v/>
      </c>
      <c r="DR191" s="161" t="str">
        <f t="shared" si="293"/>
        <v/>
      </c>
      <c r="DS191" s="161" t="str">
        <f t="shared" si="294"/>
        <v/>
      </c>
      <c r="DT191" s="161" t="str">
        <f t="shared" si="295"/>
        <v/>
      </c>
      <c r="DU191" s="161" t="str">
        <f t="shared" si="296"/>
        <v/>
      </c>
      <c r="DV191" s="161" t="str">
        <f t="shared" si="297"/>
        <v/>
      </c>
      <c r="DW191" s="161" t="str">
        <f t="shared" si="298"/>
        <v/>
      </c>
      <c r="DX191" s="161" t="str">
        <f t="shared" si="299"/>
        <v/>
      </c>
      <c r="DY191" s="161" t="str">
        <f t="shared" si="300"/>
        <v/>
      </c>
      <c r="DZ191" s="161" t="str">
        <f t="shared" si="301"/>
        <v/>
      </c>
      <c r="EA191" s="161" t="str">
        <f t="shared" si="302"/>
        <v/>
      </c>
      <c r="EB191" s="161" t="str">
        <f t="shared" si="303"/>
        <v/>
      </c>
      <c r="EC191" s="161" t="str">
        <f t="shared" si="304"/>
        <v/>
      </c>
      <c r="ED191" s="161" t="str">
        <f t="shared" si="305"/>
        <v/>
      </c>
      <c r="EE191" s="161" t="str">
        <f t="shared" si="306"/>
        <v/>
      </c>
      <c r="EF191" s="161" t="str">
        <f t="shared" si="307"/>
        <v/>
      </c>
      <c r="EG191" s="161" t="str">
        <f t="shared" si="308"/>
        <v/>
      </c>
      <c r="EH191" s="161" t="str">
        <f t="shared" si="309"/>
        <v/>
      </c>
      <c r="EI191" s="161" t="str">
        <f t="shared" si="310"/>
        <v/>
      </c>
      <c r="EJ191" s="161" t="str">
        <f t="shared" si="311"/>
        <v/>
      </c>
      <c r="EK191" s="147" t="str">
        <f t="shared" si="248"/>
        <v/>
      </c>
      <c r="EL191" s="149"/>
      <c r="EN191" s="146"/>
      <c r="EO191" s="146"/>
      <c r="EP191" s="139" t="str">
        <f t="shared" si="249"/>
        <v/>
      </c>
      <c r="EQ191" s="139" t="str">
        <f t="shared" si="250"/>
        <v/>
      </c>
      <c r="ER191" s="139" t="str">
        <f t="shared" si="251"/>
        <v/>
      </c>
      <c r="ES191" s="139" t="str">
        <f t="shared" si="252"/>
        <v/>
      </c>
      <c r="ET191" s="139" t="str">
        <f t="shared" si="253"/>
        <v/>
      </c>
      <c r="EU191" s="139" t="str">
        <f t="shared" si="254"/>
        <v/>
      </c>
      <c r="EV191" s="139" t="str">
        <f t="shared" si="255"/>
        <v/>
      </c>
      <c r="EW191" s="139" t="str">
        <f t="shared" si="256"/>
        <v/>
      </c>
      <c r="EX191" s="139" t="str">
        <f t="shared" si="257"/>
        <v/>
      </c>
      <c r="EY191" s="139" t="str">
        <f t="shared" si="258"/>
        <v/>
      </c>
      <c r="EZ191" s="139" t="str">
        <f t="shared" si="259"/>
        <v/>
      </c>
      <c r="FA191" s="139" t="str">
        <f t="shared" si="260"/>
        <v/>
      </c>
      <c r="FB191" s="139" t="str">
        <f t="shared" si="261"/>
        <v/>
      </c>
      <c r="FC191" s="139" t="str">
        <f t="shared" si="262"/>
        <v/>
      </c>
      <c r="FD191" s="139" t="str">
        <f t="shared" si="263"/>
        <v/>
      </c>
      <c r="FE191" s="139" t="str">
        <f t="shared" si="264"/>
        <v/>
      </c>
      <c r="FF191" s="139" t="str">
        <f t="shared" si="265"/>
        <v/>
      </c>
      <c r="FG191" s="139" t="str">
        <f t="shared" si="266"/>
        <v/>
      </c>
      <c r="FH191" s="139" t="str">
        <f t="shared" si="267"/>
        <v/>
      </c>
      <c r="FI191" s="139" t="str">
        <f t="shared" si="268"/>
        <v/>
      </c>
      <c r="FJ191" s="139" t="str">
        <f t="shared" si="269"/>
        <v/>
      </c>
      <c r="FK191" s="139" t="str">
        <f t="shared" si="270"/>
        <v/>
      </c>
      <c r="FL191" s="139" t="str">
        <f t="shared" si="271"/>
        <v/>
      </c>
      <c r="FM191" s="139" t="str">
        <f t="shared" si="272"/>
        <v/>
      </c>
      <c r="FN191" s="139" t="str">
        <f t="shared" si="273"/>
        <v/>
      </c>
      <c r="FO191" s="139" t="str">
        <f t="shared" si="274"/>
        <v/>
      </c>
      <c r="FP191" s="139" t="str">
        <f t="shared" si="275"/>
        <v/>
      </c>
      <c r="FQ191" s="139" t="str">
        <f t="shared" si="276"/>
        <v/>
      </c>
      <c r="FR191" s="139" t="str">
        <f t="shared" si="277"/>
        <v/>
      </c>
      <c r="FS191" s="139" t="str">
        <f t="shared" si="278"/>
        <v/>
      </c>
      <c r="FT191" s="139" t="str">
        <f t="shared" si="279"/>
        <v/>
      </c>
      <c r="FU191" s="148" t="str">
        <f t="shared" si="280"/>
        <v/>
      </c>
      <c r="FV191" s="149"/>
      <c r="FY191" s="213">
        <v>186</v>
      </c>
      <c r="FZ191">
        <v>59.754923498566477</v>
      </c>
      <c r="GA191">
        <v>48.098756387712221</v>
      </c>
      <c r="GB191">
        <v>25.253827612691143</v>
      </c>
      <c r="GC191">
        <v>10.886870443049066</v>
      </c>
      <c r="GD191">
        <v>3.5785107944177135</v>
      </c>
      <c r="GE191">
        <v>5.6347377197287596</v>
      </c>
      <c r="GF191">
        <v>8.1881542846834385</v>
      </c>
      <c r="GG191">
        <v>6.172865005996826</v>
      </c>
      <c r="GH191">
        <v>4.5470520162774468</v>
      </c>
      <c r="GI191">
        <v>19.248835951633833</v>
      </c>
      <c r="GJ191"/>
      <c r="GK191"/>
      <c r="GL191"/>
      <c r="GM191"/>
      <c r="GN191" s="208"/>
      <c r="GO191" s="208"/>
      <c r="GP191" s="208"/>
      <c r="GQ191" s="208"/>
      <c r="GR191" s="208"/>
      <c r="GS191" s="208"/>
      <c r="GT191" s="208"/>
      <c r="GU191" s="213">
        <v>186</v>
      </c>
    </row>
    <row r="192" spans="1:203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277.9263281431202</v>
      </c>
      <c r="AO192">
        <v>25.879013480761252</v>
      </c>
      <c r="AP192">
        <v>12.863892355343866</v>
      </c>
      <c r="AQ192">
        <v>188.84957462711299</v>
      </c>
      <c r="AR192">
        <v>27.047943322389298</v>
      </c>
      <c r="AS192">
        <v>365.38508710393364</v>
      </c>
      <c r="AT192">
        <v>16.341923360759733</v>
      </c>
      <c r="AU192">
        <v>-5.0407788636896456</v>
      </c>
      <c r="AV192"/>
      <c r="AW192"/>
      <c r="AX192" s="146"/>
      <c r="AY192" s="76" t="str">
        <f t="shared" ca="1" si="171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6"/>
        <v/>
      </c>
      <c r="CL192" s="179" t="str">
        <f t="shared" si="207"/>
        <v/>
      </c>
      <c r="CM192" s="180" t="str">
        <f t="shared" si="208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9"/>
        <v/>
      </c>
      <c r="DB192" s="146"/>
      <c r="DC192" s="76" t="str">
        <f t="shared" ca="1" si="172"/>
        <v/>
      </c>
      <c r="DD192" t="str">
        <f t="shared" si="210"/>
        <v/>
      </c>
      <c r="DE192" s="129" t="str">
        <f t="shared" si="281"/>
        <v/>
      </c>
      <c r="DF192" s="161" t="str">
        <f t="shared" si="282"/>
        <v/>
      </c>
      <c r="DG192" s="161" t="str">
        <f t="shared" si="283"/>
        <v/>
      </c>
      <c r="DH192" s="161" t="str">
        <f t="shared" si="284"/>
        <v/>
      </c>
      <c r="DI192" s="161" t="str">
        <f t="shared" si="285"/>
        <v/>
      </c>
      <c r="DJ192" s="161" t="str">
        <f t="shared" si="286"/>
        <v/>
      </c>
      <c r="DK192" s="161" t="str">
        <f t="shared" si="287"/>
        <v/>
      </c>
      <c r="DL192" s="161" t="str">
        <f t="shared" si="288"/>
        <v/>
      </c>
      <c r="DM192" s="161" t="str">
        <f t="shared" si="289"/>
        <v/>
      </c>
      <c r="DN192" s="161" t="str">
        <f>IF($AZ192="", "", (BJ192*$CW192)/$CZ192)</f>
        <v/>
      </c>
      <c r="DO192" s="161" t="str">
        <f t="shared" si="290"/>
        <v/>
      </c>
      <c r="DP192" s="161" t="str">
        <f t="shared" si="291"/>
        <v/>
      </c>
      <c r="DQ192" s="161" t="str">
        <f t="shared" si="292"/>
        <v/>
      </c>
      <c r="DR192" s="161" t="str">
        <f t="shared" si="293"/>
        <v/>
      </c>
      <c r="DS192" s="161" t="str">
        <f t="shared" si="294"/>
        <v/>
      </c>
      <c r="DT192" s="161" t="str">
        <f t="shared" si="295"/>
        <v/>
      </c>
      <c r="DU192" s="161" t="str">
        <f t="shared" si="296"/>
        <v/>
      </c>
      <c r="DV192" s="161" t="str">
        <f t="shared" si="297"/>
        <v/>
      </c>
      <c r="DW192" s="161" t="str">
        <f t="shared" si="298"/>
        <v/>
      </c>
      <c r="DX192" s="161" t="str">
        <f t="shared" si="299"/>
        <v/>
      </c>
      <c r="DY192" s="161" t="str">
        <f t="shared" si="300"/>
        <v/>
      </c>
      <c r="DZ192" s="161" t="str">
        <f t="shared" si="301"/>
        <v/>
      </c>
      <c r="EA192" s="161" t="str">
        <f t="shared" si="302"/>
        <v/>
      </c>
      <c r="EB192" s="161" t="str">
        <f t="shared" si="303"/>
        <v/>
      </c>
      <c r="EC192" s="161" t="str">
        <f t="shared" si="304"/>
        <v/>
      </c>
      <c r="ED192" s="161" t="str">
        <f t="shared" si="305"/>
        <v/>
      </c>
      <c r="EE192" s="161" t="str">
        <f t="shared" si="306"/>
        <v/>
      </c>
      <c r="EF192" s="161" t="str">
        <f t="shared" si="307"/>
        <v/>
      </c>
      <c r="EG192" s="161" t="str">
        <f t="shared" si="308"/>
        <v/>
      </c>
      <c r="EH192" s="161" t="str">
        <f t="shared" si="309"/>
        <v/>
      </c>
      <c r="EI192" s="161" t="str">
        <f t="shared" si="310"/>
        <v/>
      </c>
      <c r="EJ192" s="161" t="str">
        <f t="shared" si="311"/>
        <v/>
      </c>
      <c r="EK192" s="147" t="str">
        <f t="shared" si="248"/>
        <v/>
      </c>
      <c r="EL192" s="149"/>
      <c r="EN192" s="146"/>
      <c r="EO192" s="146"/>
      <c r="EP192" s="139" t="str">
        <f t="shared" si="249"/>
        <v/>
      </c>
      <c r="EQ192" s="139" t="str">
        <f t="shared" si="250"/>
        <v/>
      </c>
      <c r="ER192" s="139" t="str">
        <f t="shared" si="251"/>
        <v/>
      </c>
      <c r="ES192" s="139" t="str">
        <f t="shared" si="252"/>
        <v/>
      </c>
      <c r="ET192" s="139" t="str">
        <f t="shared" si="253"/>
        <v/>
      </c>
      <c r="EU192" s="139" t="str">
        <f t="shared" si="254"/>
        <v/>
      </c>
      <c r="EV192" s="139" t="str">
        <f t="shared" si="255"/>
        <v/>
      </c>
      <c r="EW192" s="139" t="str">
        <f t="shared" si="256"/>
        <v/>
      </c>
      <c r="EX192" s="139" t="str">
        <f t="shared" si="257"/>
        <v/>
      </c>
      <c r="EY192" s="139" t="str">
        <f t="shared" si="258"/>
        <v/>
      </c>
      <c r="EZ192" s="139" t="str">
        <f t="shared" si="259"/>
        <v/>
      </c>
      <c r="FA192" s="139" t="str">
        <f t="shared" si="260"/>
        <v/>
      </c>
      <c r="FB192" s="139" t="str">
        <f t="shared" si="261"/>
        <v/>
      </c>
      <c r="FC192" s="139" t="str">
        <f t="shared" si="262"/>
        <v/>
      </c>
      <c r="FD192" s="139" t="str">
        <f t="shared" si="263"/>
        <v/>
      </c>
      <c r="FE192" s="139" t="str">
        <f t="shared" si="264"/>
        <v/>
      </c>
      <c r="FF192" s="139" t="str">
        <f t="shared" si="265"/>
        <v/>
      </c>
      <c r="FG192" s="139" t="str">
        <f t="shared" si="266"/>
        <v/>
      </c>
      <c r="FH192" s="139" t="str">
        <f t="shared" si="267"/>
        <v/>
      </c>
      <c r="FI192" s="139" t="str">
        <f t="shared" si="268"/>
        <v/>
      </c>
      <c r="FJ192" s="139" t="str">
        <f t="shared" si="269"/>
        <v/>
      </c>
      <c r="FK192" s="139" t="str">
        <f t="shared" si="270"/>
        <v/>
      </c>
      <c r="FL192" s="139" t="str">
        <f t="shared" si="271"/>
        <v/>
      </c>
      <c r="FM192" s="139" t="str">
        <f t="shared" si="272"/>
        <v/>
      </c>
      <c r="FN192" s="139" t="str">
        <f t="shared" si="273"/>
        <v/>
      </c>
      <c r="FO192" s="139" t="str">
        <f t="shared" si="274"/>
        <v/>
      </c>
      <c r="FP192" s="139" t="str">
        <f t="shared" si="275"/>
        <v/>
      </c>
      <c r="FQ192" s="139" t="str">
        <f t="shared" si="276"/>
        <v/>
      </c>
      <c r="FR192" s="139" t="str">
        <f t="shared" si="277"/>
        <v/>
      </c>
      <c r="FS192" s="139" t="str">
        <f t="shared" si="278"/>
        <v/>
      </c>
      <c r="FT192" s="139" t="str">
        <f t="shared" si="279"/>
        <v/>
      </c>
      <c r="FU192" s="148" t="str">
        <f t="shared" si="280"/>
        <v/>
      </c>
      <c r="FV192" s="149"/>
      <c r="FY192" s="213">
        <v>187</v>
      </c>
      <c r="FZ192">
        <v>44.820884927588516</v>
      </c>
      <c r="GA192">
        <v>50.20836744546898</v>
      </c>
      <c r="GB192">
        <v>32.960228047393791</v>
      </c>
      <c r="GC192">
        <v>9.946293805787974</v>
      </c>
      <c r="GD192">
        <v>4.8025875122755339</v>
      </c>
      <c r="GE192">
        <v>7.9452346250735602</v>
      </c>
      <c r="GF192">
        <v>12.900540586136259</v>
      </c>
      <c r="GG192">
        <v>10.964172841113752</v>
      </c>
      <c r="GH192">
        <v>5.6150244572298718</v>
      </c>
      <c r="GI192">
        <v>20.671199915754638</v>
      </c>
      <c r="GJ192"/>
      <c r="GK192"/>
      <c r="GL192"/>
      <c r="GM192"/>
      <c r="GN192" s="208"/>
      <c r="GO192" s="208"/>
      <c r="GP192" s="208"/>
      <c r="GQ192" s="208"/>
      <c r="GR192" s="208"/>
      <c r="GS192" s="208"/>
      <c r="GT192" s="208"/>
      <c r="GU192" s="213">
        <v>187</v>
      </c>
    </row>
    <row r="193" spans="1:203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298.17539635667919</v>
      </c>
      <c r="AO193">
        <v>24.442834991598978</v>
      </c>
      <c r="AP193">
        <v>35.634259178568492</v>
      </c>
      <c r="AQ193">
        <v>164.07329597967077</v>
      </c>
      <c r="AR193">
        <v>25.096797319676451</v>
      </c>
      <c r="AS193">
        <v>340.32642004700244</v>
      </c>
      <c r="AT193">
        <v>15.269640695073711</v>
      </c>
      <c r="AU193">
        <v>0.43186738252775569</v>
      </c>
      <c r="AV193"/>
      <c r="AW193"/>
      <c r="AX193" s="146"/>
      <c r="AY193" s="76" t="str">
        <f t="shared" ca="1" si="171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6"/>
        <v/>
      </c>
      <c r="CL193" s="179" t="str">
        <f t="shared" si="207"/>
        <v/>
      </c>
      <c r="CM193" s="180" t="str">
        <f t="shared" si="208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9"/>
        <v/>
      </c>
      <c r="DB193" s="146"/>
      <c r="DC193" s="76" t="str">
        <f t="shared" ca="1" si="172"/>
        <v/>
      </c>
      <c r="DD193" t="str">
        <f t="shared" si="210"/>
        <v/>
      </c>
      <c r="DE193" s="129" t="str">
        <f t="shared" si="281"/>
        <v/>
      </c>
      <c r="DF193" s="161" t="str">
        <f t="shared" si="282"/>
        <v/>
      </c>
      <c r="DG193" s="161" t="str">
        <f t="shared" si="283"/>
        <v/>
      </c>
      <c r="DH193" s="161" t="str">
        <f t="shared" si="284"/>
        <v/>
      </c>
      <c r="DI193" s="161" t="str">
        <f t="shared" si="285"/>
        <v/>
      </c>
      <c r="DJ193" s="161" t="str">
        <f t="shared" si="286"/>
        <v/>
      </c>
      <c r="DK193" s="161" t="str">
        <f t="shared" si="287"/>
        <v/>
      </c>
      <c r="DL193" s="161" t="str">
        <f t="shared" si="288"/>
        <v/>
      </c>
      <c r="DM193" s="161" t="str">
        <f t="shared" si="289"/>
        <v/>
      </c>
      <c r="DN193" s="161" t="str">
        <f t="shared" ref="DN193:DN207" si="312">IF($AZ193="", "", (BJ193*$CW193)/$CZ193)</f>
        <v/>
      </c>
      <c r="DO193" s="161" t="str">
        <f t="shared" si="290"/>
        <v/>
      </c>
      <c r="DP193" s="161" t="str">
        <f t="shared" si="291"/>
        <v/>
      </c>
      <c r="DQ193" s="161" t="str">
        <f t="shared" si="292"/>
        <v/>
      </c>
      <c r="DR193" s="161" t="str">
        <f t="shared" si="293"/>
        <v/>
      </c>
      <c r="DS193" s="161" t="str">
        <f t="shared" si="294"/>
        <v/>
      </c>
      <c r="DT193" s="161" t="str">
        <f t="shared" si="295"/>
        <v/>
      </c>
      <c r="DU193" s="161" t="str">
        <f t="shared" si="296"/>
        <v/>
      </c>
      <c r="DV193" s="161" t="str">
        <f t="shared" si="297"/>
        <v/>
      </c>
      <c r="DW193" s="161" t="str">
        <f t="shared" si="298"/>
        <v/>
      </c>
      <c r="DX193" s="161" t="str">
        <f t="shared" si="299"/>
        <v/>
      </c>
      <c r="DY193" s="161" t="str">
        <f t="shared" si="300"/>
        <v/>
      </c>
      <c r="DZ193" s="161" t="str">
        <f t="shared" si="301"/>
        <v/>
      </c>
      <c r="EA193" s="161" t="str">
        <f t="shared" si="302"/>
        <v/>
      </c>
      <c r="EB193" s="161" t="str">
        <f t="shared" si="303"/>
        <v/>
      </c>
      <c r="EC193" s="161" t="str">
        <f t="shared" si="304"/>
        <v/>
      </c>
      <c r="ED193" s="161" t="str">
        <f t="shared" si="305"/>
        <v/>
      </c>
      <c r="EE193" s="161" t="str">
        <f t="shared" si="306"/>
        <v/>
      </c>
      <c r="EF193" s="161" t="str">
        <f t="shared" si="307"/>
        <v/>
      </c>
      <c r="EG193" s="161" t="str">
        <f t="shared" si="308"/>
        <v/>
      </c>
      <c r="EH193" s="161" t="str">
        <f t="shared" si="309"/>
        <v/>
      </c>
      <c r="EI193" s="161" t="str">
        <f t="shared" si="310"/>
        <v/>
      </c>
      <c r="EJ193" s="161" t="str">
        <f t="shared" si="311"/>
        <v/>
      </c>
      <c r="EK193" s="147" t="str">
        <f t="shared" si="248"/>
        <v/>
      </c>
      <c r="EL193" s="149"/>
      <c r="EN193" s="146"/>
      <c r="EO193" s="146"/>
      <c r="EP193" s="139" t="str">
        <f t="shared" si="249"/>
        <v/>
      </c>
      <c r="EQ193" s="139" t="str">
        <f t="shared" si="250"/>
        <v/>
      </c>
      <c r="ER193" s="139" t="str">
        <f t="shared" si="251"/>
        <v/>
      </c>
      <c r="ES193" s="139" t="str">
        <f t="shared" si="252"/>
        <v/>
      </c>
      <c r="ET193" s="139" t="str">
        <f t="shared" si="253"/>
        <v/>
      </c>
      <c r="EU193" s="139" t="str">
        <f t="shared" si="254"/>
        <v/>
      </c>
      <c r="EV193" s="139" t="str">
        <f t="shared" si="255"/>
        <v/>
      </c>
      <c r="EW193" s="139" t="str">
        <f t="shared" si="256"/>
        <v/>
      </c>
      <c r="EX193" s="139" t="str">
        <f t="shared" si="257"/>
        <v/>
      </c>
      <c r="EY193" s="139" t="str">
        <f t="shared" si="258"/>
        <v/>
      </c>
      <c r="EZ193" s="139" t="str">
        <f t="shared" si="259"/>
        <v/>
      </c>
      <c r="FA193" s="139" t="str">
        <f t="shared" si="260"/>
        <v/>
      </c>
      <c r="FB193" s="139" t="str">
        <f t="shared" si="261"/>
        <v/>
      </c>
      <c r="FC193" s="139" t="str">
        <f t="shared" si="262"/>
        <v/>
      </c>
      <c r="FD193" s="139" t="str">
        <f t="shared" si="263"/>
        <v/>
      </c>
      <c r="FE193" s="139" t="str">
        <f t="shared" si="264"/>
        <v/>
      </c>
      <c r="FF193" s="139" t="str">
        <f t="shared" si="265"/>
        <v/>
      </c>
      <c r="FG193" s="139" t="str">
        <f t="shared" si="266"/>
        <v/>
      </c>
      <c r="FH193" s="139" t="str">
        <f t="shared" si="267"/>
        <v/>
      </c>
      <c r="FI193" s="139" t="str">
        <f t="shared" si="268"/>
        <v/>
      </c>
      <c r="FJ193" s="139" t="str">
        <f t="shared" si="269"/>
        <v/>
      </c>
      <c r="FK193" s="139" t="str">
        <f t="shared" si="270"/>
        <v/>
      </c>
      <c r="FL193" s="139" t="str">
        <f t="shared" si="271"/>
        <v/>
      </c>
      <c r="FM193" s="139" t="str">
        <f t="shared" si="272"/>
        <v/>
      </c>
      <c r="FN193" s="139" t="str">
        <f t="shared" si="273"/>
        <v/>
      </c>
      <c r="FO193" s="139" t="str">
        <f t="shared" si="274"/>
        <v/>
      </c>
      <c r="FP193" s="139" t="str">
        <f t="shared" si="275"/>
        <v/>
      </c>
      <c r="FQ193" s="139" t="str">
        <f t="shared" si="276"/>
        <v/>
      </c>
      <c r="FR193" s="139" t="str">
        <f t="shared" si="277"/>
        <v/>
      </c>
      <c r="FS193" s="139" t="str">
        <f t="shared" si="278"/>
        <v/>
      </c>
      <c r="FT193" s="139" t="str">
        <f t="shared" si="279"/>
        <v/>
      </c>
      <c r="FU193" s="148" t="str">
        <f t="shared" si="280"/>
        <v/>
      </c>
      <c r="FV193" s="149"/>
      <c r="FY193" s="213">
        <v>188</v>
      </c>
      <c r="FZ193">
        <v>48.305440829939528</v>
      </c>
      <c r="GA193">
        <v>43.038900398179727</v>
      </c>
      <c r="GB193">
        <v>33.780216216027114</v>
      </c>
      <c r="GC193">
        <v>14.304281919395663</v>
      </c>
      <c r="GD193">
        <v>3.3266277484389835</v>
      </c>
      <c r="GE193">
        <v>4.5651586864931826</v>
      </c>
      <c r="GF193">
        <v>7.0953616552108869</v>
      </c>
      <c r="GG193">
        <v>11.580689142534561</v>
      </c>
      <c r="GH193">
        <v>18.897445057732352</v>
      </c>
      <c r="GI193">
        <v>21.593902811982989</v>
      </c>
      <c r="GJ193"/>
      <c r="GK193"/>
      <c r="GL193"/>
      <c r="GM193"/>
      <c r="GN193" s="208"/>
      <c r="GO193" s="208"/>
      <c r="GP193" s="208"/>
      <c r="GQ193" s="208"/>
      <c r="GR193" s="208"/>
      <c r="GS193" s="208"/>
      <c r="GT193" s="208"/>
      <c r="GU193" s="213">
        <v>188</v>
      </c>
    </row>
    <row r="194" spans="1:203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226.5690083410208</v>
      </c>
      <c r="AO194">
        <v>23.456131887553163</v>
      </c>
      <c r="AP194">
        <v>12.461124006905202</v>
      </c>
      <c r="AQ194">
        <v>173.83412901245984</v>
      </c>
      <c r="AR194">
        <v>24.190631941650704</v>
      </c>
      <c r="AS194">
        <v>349.80544102883971</v>
      </c>
      <c r="AT194">
        <v>14.717769322572167</v>
      </c>
      <c r="AU194">
        <v>-3.5940630255978121</v>
      </c>
      <c r="AV194"/>
      <c r="AW194"/>
      <c r="AX194" s="146"/>
      <c r="AY194" s="76" t="str">
        <f t="shared" ca="1" si="171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6"/>
        <v/>
      </c>
      <c r="CL194" s="179" t="str">
        <f t="shared" si="207"/>
        <v/>
      </c>
      <c r="CM194" s="180" t="str">
        <f t="shared" si="208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9"/>
        <v/>
      </c>
      <c r="DB194" s="146"/>
      <c r="DC194" s="76" t="str">
        <f t="shared" ca="1" si="172"/>
        <v/>
      </c>
      <c r="DD194" t="str">
        <f t="shared" si="210"/>
        <v/>
      </c>
      <c r="DE194" s="129" t="str">
        <f t="shared" si="281"/>
        <v/>
      </c>
      <c r="DF194" s="161" t="str">
        <f t="shared" si="282"/>
        <v/>
      </c>
      <c r="DG194" s="161" t="str">
        <f t="shared" si="283"/>
        <v/>
      </c>
      <c r="DH194" s="161" t="str">
        <f t="shared" si="284"/>
        <v/>
      </c>
      <c r="DI194" s="161" t="str">
        <f t="shared" si="285"/>
        <v/>
      </c>
      <c r="DJ194" s="161" t="str">
        <f t="shared" si="286"/>
        <v/>
      </c>
      <c r="DK194" s="161" t="str">
        <f t="shared" si="287"/>
        <v/>
      </c>
      <c r="DL194" s="161" t="str">
        <f t="shared" si="288"/>
        <v/>
      </c>
      <c r="DM194" s="161" t="str">
        <f t="shared" si="289"/>
        <v/>
      </c>
      <c r="DN194" s="161" t="str">
        <f t="shared" si="312"/>
        <v/>
      </c>
      <c r="DO194" s="161" t="str">
        <f t="shared" ref="DO194:DO206" si="313">IF($AZ194="", "", (BK193*$CW194)/$CZ194)</f>
        <v/>
      </c>
      <c r="DP194" s="161" t="str">
        <f t="shared" ref="DP194:DP206" si="314">IF($AZ194="", "", (BL193*$CW194)/$CZ194)</f>
        <v/>
      </c>
      <c r="DQ194" s="161" t="str">
        <f t="shared" ref="DQ194:DQ206" si="315">IF($AZ194="", "", (BM193*$CW194)/$CZ194)</f>
        <v/>
      </c>
      <c r="DR194" s="161" t="str">
        <f t="shared" ref="DR194:DR206" si="316">IF($AZ194="", "", (BN193*$CW194)/$CZ194)</f>
        <v/>
      </c>
      <c r="DS194" s="161" t="str">
        <f t="shared" ref="DS194:DS206" si="317">IF($AZ194="", "", (BO193*$CW194)/$CZ194)</f>
        <v/>
      </c>
      <c r="DT194" s="161" t="str">
        <f t="shared" ref="DT194:DT206" si="318">IF($AZ194="", "", (BP193*$CW194)/$CZ194)</f>
        <v/>
      </c>
      <c r="DU194" s="161" t="str">
        <f t="shared" ref="DU194:DU206" si="319">IF($AZ194="", "", (BQ193*$CW194)/$CZ194)</f>
        <v/>
      </c>
      <c r="DV194" s="161" t="str">
        <f t="shared" ref="DV194:DV206" si="320">IF($AZ194="", "", (BR193*$CW194)/$CZ194)</f>
        <v/>
      </c>
      <c r="DW194" s="161" t="str">
        <f t="shared" ref="DW194:DW206" si="321">IF($AZ194="", "", (BS193*$CW194)/$CZ194)</f>
        <v/>
      </c>
      <c r="DX194" s="161" t="str">
        <f t="shared" ref="DX194:DX206" si="322">IF($AZ194="", "", (BT193*$CW194)/$CZ194)</f>
        <v/>
      </c>
      <c r="DY194" s="161" t="str">
        <f t="shared" ref="DY194:DY206" si="323">IF($AZ194="", "", (BU193*$CW194)/$CZ194)</f>
        <v/>
      </c>
      <c r="DZ194" s="161" t="str">
        <f t="shared" ref="DZ194:DZ206" si="324">IF($AZ194="", "", (BV193*$CW194)/$CZ194)</f>
        <v/>
      </c>
      <c r="EA194" s="161" t="str">
        <f t="shared" ref="EA194:EA206" si="325">IF($AZ194="", "", (BW193*$CW194)/$CZ194)</f>
        <v/>
      </c>
      <c r="EB194" s="161" t="str">
        <f t="shared" ref="EB194:EB206" si="326">IF($AZ194="", "", (BX193*$CW194)/$CZ194)</f>
        <v/>
      </c>
      <c r="EC194" s="161" t="str">
        <f t="shared" ref="EC194:EC206" si="327">IF($AZ194="", "", (BY193*$CW194)/$CZ194)</f>
        <v/>
      </c>
      <c r="ED194" s="161" t="str">
        <f t="shared" ref="ED194:ED206" si="328">IF($AZ194="", "", (BZ193*$CW194)/$CZ194)</f>
        <v/>
      </c>
      <c r="EE194" s="161" t="str">
        <f t="shared" ref="EE194:EE206" si="329">IF($AZ194="", "", (CA193*$CW194)/$CZ194)</f>
        <v/>
      </c>
      <c r="EF194" s="161" t="str">
        <f t="shared" ref="EF194:EF206" si="330">IF($AZ194="", "", (CB193*$CW194)/$CZ194)</f>
        <v/>
      </c>
      <c r="EG194" s="161" t="str">
        <f t="shared" ref="EG194:EG206" si="331">IF($AZ194="", "", (CC193*$CW194)/$CZ194)</f>
        <v/>
      </c>
      <c r="EH194" s="161" t="str">
        <f t="shared" ref="EH194:EH206" si="332">IF($AZ194="", "", (CD193*$CW194)/$CZ194)</f>
        <v/>
      </c>
      <c r="EI194" s="161" t="str">
        <f t="shared" ref="EI194:EI206" si="333">IF($AZ194="", "", (CE193*$CW194)/$CZ194)</f>
        <v/>
      </c>
      <c r="EJ194" s="161" t="str">
        <f t="shared" ref="EJ194:EJ206" si="334">IF($AZ194="", "", (CF193*$CW194)/$CZ194)</f>
        <v/>
      </c>
      <c r="EK194" s="147" t="str">
        <f t="shared" si="248"/>
        <v/>
      </c>
      <c r="EL194" s="149"/>
      <c r="EN194" s="146"/>
      <c r="EO194" s="146"/>
      <c r="EP194" s="139" t="str">
        <f t="shared" si="249"/>
        <v/>
      </c>
      <c r="EQ194" s="139" t="str">
        <f t="shared" si="250"/>
        <v/>
      </c>
      <c r="ER194" s="139" t="str">
        <f t="shared" si="251"/>
        <v/>
      </c>
      <c r="ES194" s="139" t="str">
        <f t="shared" si="252"/>
        <v/>
      </c>
      <c r="ET194" s="139" t="str">
        <f t="shared" si="253"/>
        <v/>
      </c>
      <c r="EU194" s="139" t="str">
        <f t="shared" si="254"/>
        <v/>
      </c>
      <c r="EV194" s="139" t="str">
        <f t="shared" si="255"/>
        <v/>
      </c>
      <c r="EW194" s="139" t="str">
        <f t="shared" si="256"/>
        <v/>
      </c>
      <c r="EX194" s="139" t="str">
        <f t="shared" si="257"/>
        <v/>
      </c>
      <c r="EY194" s="139" t="str">
        <f t="shared" si="258"/>
        <v/>
      </c>
      <c r="EZ194" s="139" t="str">
        <f t="shared" si="259"/>
        <v/>
      </c>
      <c r="FA194" s="139" t="str">
        <f t="shared" si="260"/>
        <v/>
      </c>
      <c r="FB194" s="139" t="str">
        <f t="shared" si="261"/>
        <v/>
      </c>
      <c r="FC194" s="139" t="str">
        <f t="shared" si="262"/>
        <v/>
      </c>
      <c r="FD194" s="139" t="str">
        <f t="shared" si="263"/>
        <v/>
      </c>
      <c r="FE194" s="139" t="str">
        <f t="shared" si="264"/>
        <v/>
      </c>
      <c r="FF194" s="139" t="str">
        <f t="shared" si="265"/>
        <v/>
      </c>
      <c r="FG194" s="139" t="str">
        <f t="shared" si="266"/>
        <v/>
      </c>
      <c r="FH194" s="139" t="str">
        <f t="shared" si="267"/>
        <v/>
      </c>
      <c r="FI194" s="139" t="str">
        <f t="shared" si="268"/>
        <v/>
      </c>
      <c r="FJ194" s="139" t="str">
        <f t="shared" si="269"/>
        <v/>
      </c>
      <c r="FK194" s="139" t="str">
        <f t="shared" si="270"/>
        <v/>
      </c>
      <c r="FL194" s="139" t="str">
        <f t="shared" si="271"/>
        <v/>
      </c>
      <c r="FM194" s="139" t="str">
        <f t="shared" si="272"/>
        <v/>
      </c>
      <c r="FN194" s="139" t="str">
        <f t="shared" si="273"/>
        <v/>
      </c>
      <c r="FO194" s="139" t="str">
        <f t="shared" si="274"/>
        <v/>
      </c>
      <c r="FP194" s="139" t="str">
        <f t="shared" si="275"/>
        <v/>
      </c>
      <c r="FQ194" s="139" t="str">
        <f t="shared" si="276"/>
        <v/>
      </c>
      <c r="FR194" s="139" t="str">
        <f t="shared" si="277"/>
        <v/>
      </c>
      <c r="FS194" s="139" t="str">
        <f t="shared" si="278"/>
        <v/>
      </c>
      <c r="FT194" s="139" t="str">
        <f t="shared" si="279"/>
        <v/>
      </c>
      <c r="FU194" s="148" t="str">
        <f t="shared" si="280"/>
        <v/>
      </c>
      <c r="FV194" s="149"/>
      <c r="FY194" s="213">
        <v>189</v>
      </c>
      <c r="FZ194">
        <v>44.106305078059314</v>
      </c>
      <c r="GA194">
        <v>36.58774373639185</v>
      </c>
      <c r="GB194">
        <v>27.184230103041262</v>
      </c>
      <c r="GC194">
        <v>12.461497733865599</v>
      </c>
      <c r="GD194">
        <v>5.073400780664822</v>
      </c>
      <c r="GE194">
        <v>8.1459505521833719</v>
      </c>
      <c r="GF194">
        <v>6.3116118151993552</v>
      </c>
      <c r="GG194">
        <v>5.3465524959333308</v>
      </c>
      <c r="GH194">
        <v>5.4045677013168918</v>
      </c>
      <c r="GI194">
        <v>18.064184801014324</v>
      </c>
      <c r="GJ194"/>
      <c r="GK194"/>
      <c r="GL194"/>
      <c r="GM194"/>
      <c r="GN194" s="208"/>
      <c r="GO194" s="208"/>
      <c r="GP194" s="208"/>
      <c r="GQ194" s="208"/>
      <c r="GR194" s="208"/>
      <c r="GS194" s="208"/>
      <c r="GT194" s="208"/>
      <c r="GU194" s="213">
        <v>189</v>
      </c>
    </row>
    <row r="195" spans="1:203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212.93051625820709</v>
      </c>
      <c r="AO195">
        <v>21.317484912837653</v>
      </c>
      <c r="AP195">
        <v>25.118973798679363</v>
      </c>
      <c r="AQ195">
        <v>157.03291925200602</v>
      </c>
      <c r="AR195">
        <v>22.98973841088748</v>
      </c>
      <c r="AS195">
        <v>299.94035597722444</v>
      </c>
      <c r="AT195">
        <v>14.319645252973546</v>
      </c>
      <c r="AU195">
        <v>25.205483711195978</v>
      </c>
      <c r="AV195"/>
      <c r="AW195"/>
      <c r="AX195" s="146"/>
      <c r="AY195" s="76" t="str">
        <f t="shared" ca="1" si="171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6"/>
        <v/>
      </c>
      <c r="CL195" s="179" t="str">
        <f t="shared" si="207"/>
        <v/>
      </c>
      <c r="CM195" s="180" t="str">
        <f t="shared" si="208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9"/>
        <v/>
      </c>
      <c r="DB195" s="146"/>
      <c r="DC195" s="76" t="str">
        <f t="shared" ca="1" si="172"/>
        <v/>
      </c>
      <c r="DD195" t="str">
        <f t="shared" si="210"/>
        <v/>
      </c>
      <c r="DE195" s="129" t="str">
        <f t="shared" si="281"/>
        <v/>
      </c>
      <c r="DF195" s="161" t="str">
        <f t="shared" si="282"/>
        <v/>
      </c>
      <c r="DG195" s="161" t="str">
        <f t="shared" si="283"/>
        <v/>
      </c>
      <c r="DH195" s="161" t="str">
        <f t="shared" si="284"/>
        <v/>
      </c>
      <c r="DI195" s="161" t="str">
        <f t="shared" si="285"/>
        <v/>
      </c>
      <c r="DJ195" s="161" t="str">
        <f t="shared" si="286"/>
        <v/>
      </c>
      <c r="DK195" s="161" t="str">
        <f t="shared" si="287"/>
        <v/>
      </c>
      <c r="DL195" s="161" t="str">
        <f t="shared" si="288"/>
        <v/>
      </c>
      <c r="DM195" s="161" t="str">
        <f t="shared" si="289"/>
        <v/>
      </c>
      <c r="DN195" s="161" t="str">
        <f t="shared" si="312"/>
        <v/>
      </c>
      <c r="DO195" s="161" t="str">
        <f t="shared" si="313"/>
        <v/>
      </c>
      <c r="DP195" s="161" t="str">
        <f t="shared" si="314"/>
        <v/>
      </c>
      <c r="DQ195" s="161" t="str">
        <f t="shared" si="315"/>
        <v/>
      </c>
      <c r="DR195" s="161" t="str">
        <f t="shared" si="316"/>
        <v/>
      </c>
      <c r="DS195" s="161" t="str">
        <f t="shared" si="317"/>
        <v/>
      </c>
      <c r="DT195" s="161" t="str">
        <f t="shared" si="318"/>
        <v/>
      </c>
      <c r="DU195" s="161" t="str">
        <f t="shared" si="319"/>
        <v/>
      </c>
      <c r="DV195" s="161" t="str">
        <f t="shared" si="320"/>
        <v/>
      </c>
      <c r="DW195" s="161" t="str">
        <f t="shared" si="321"/>
        <v/>
      </c>
      <c r="DX195" s="161" t="str">
        <f t="shared" si="322"/>
        <v/>
      </c>
      <c r="DY195" s="161" t="str">
        <f t="shared" si="323"/>
        <v/>
      </c>
      <c r="DZ195" s="161" t="str">
        <f t="shared" si="324"/>
        <v/>
      </c>
      <c r="EA195" s="161" t="str">
        <f t="shared" si="325"/>
        <v/>
      </c>
      <c r="EB195" s="161" t="str">
        <f t="shared" si="326"/>
        <v/>
      </c>
      <c r="EC195" s="161" t="str">
        <f t="shared" si="327"/>
        <v/>
      </c>
      <c r="ED195" s="161" t="str">
        <f t="shared" si="328"/>
        <v/>
      </c>
      <c r="EE195" s="161" t="str">
        <f t="shared" si="329"/>
        <v/>
      </c>
      <c r="EF195" s="161" t="str">
        <f t="shared" si="330"/>
        <v/>
      </c>
      <c r="EG195" s="161" t="str">
        <f t="shared" si="331"/>
        <v/>
      </c>
      <c r="EH195" s="161" t="str">
        <f t="shared" si="332"/>
        <v/>
      </c>
      <c r="EI195" s="161" t="str">
        <f t="shared" si="333"/>
        <v/>
      </c>
      <c r="EJ195" s="161" t="str">
        <f t="shared" si="334"/>
        <v/>
      </c>
      <c r="EK195" s="147" t="str">
        <f t="shared" si="248"/>
        <v/>
      </c>
      <c r="EL195" s="149"/>
      <c r="EN195" s="146"/>
      <c r="EO195" s="146"/>
      <c r="EP195" s="139" t="str">
        <f t="shared" si="249"/>
        <v/>
      </c>
      <c r="EQ195" s="139" t="str">
        <f t="shared" si="250"/>
        <v/>
      </c>
      <c r="ER195" s="139" t="str">
        <f t="shared" si="251"/>
        <v/>
      </c>
      <c r="ES195" s="139" t="str">
        <f t="shared" si="252"/>
        <v/>
      </c>
      <c r="ET195" s="139" t="str">
        <f t="shared" si="253"/>
        <v/>
      </c>
      <c r="EU195" s="139" t="str">
        <f t="shared" si="254"/>
        <v/>
      </c>
      <c r="EV195" s="139" t="str">
        <f t="shared" si="255"/>
        <v/>
      </c>
      <c r="EW195" s="139" t="str">
        <f t="shared" si="256"/>
        <v/>
      </c>
      <c r="EX195" s="139" t="str">
        <f t="shared" si="257"/>
        <v/>
      </c>
      <c r="EY195" s="139" t="str">
        <f t="shared" si="258"/>
        <v/>
      </c>
      <c r="EZ195" s="139" t="str">
        <f t="shared" si="259"/>
        <v/>
      </c>
      <c r="FA195" s="139" t="str">
        <f t="shared" si="260"/>
        <v/>
      </c>
      <c r="FB195" s="139" t="str">
        <f t="shared" si="261"/>
        <v/>
      </c>
      <c r="FC195" s="139" t="str">
        <f t="shared" si="262"/>
        <v/>
      </c>
      <c r="FD195" s="139" t="str">
        <f t="shared" si="263"/>
        <v/>
      </c>
      <c r="FE195" s="139" t="str">
        <f t="shared" si="264"/>
        <v/>
      </c>
      <c r="FF195" s="139" t="str">
        <f t="shared" si="265"/>
        <v/>
      </c>
      <c r="FG195" s="139" t="str">
        <f t="shared" si="266"/>
        <v/>
      </c>
      <c r="FH195" s="139" t="str">
        <f t="shared" si="267"/>
        <v/>
      </c>
      <c r="FI195" s="139" t="str">
        <f t="shared" si="268"/>
        <v/>
      </c>
      <c r="FJ195" s="139" t="str">
        <f t="shared" si="269"/>
        <v/>
      </c>
      <c r="FK195" s="139" t="str">
        <f t="shared" si="270"/>
        <v/>
      </c>
      <c r="FL195" s="139" t="str">
        <f t="shared" si="271"/>
        <v/>
      </c>
      <c r="FM195" s="139" t="str">
        <f t="shared" si="272"/>
        <v/>
      </c>
      <c r="FN195" s="139" t="str">
        <f t="shared" si="273"/>
        <v/>
      </c>
      <c r="FO195" s="139" t="str">
        <f t="shared" si="274"/>
        <v/>
      </c>
      <c r="FP195" s="139" t="str">
        <f t="shared" si="275"/>
        <v/>
      </c>
      <c r="FQ195" s="139" t="str">
        <f t="shared" si="276"/>
        <v/>
      </c>
      <c r="FR195" s="139" t="str">
        <f t="shared" si="277"/>
        <v/>
      </c>
      <c r="FS195" s="139" t="str">
        <f t="shared" si="278"/>
        <v/>
      </c>
      <c r="FT195" s="139" t="str">
        <f t="shared" si="279"/>
        <v/>
      </c>
      <c r="FU195" s="148" t="str">
        <f t="shared" si="280"/>
        <v/>
      </c>
      <c r="FV195" s="149"/>
      <c r="FY195" s="213">
        <v>190</v>
      </c>
      <c r="FZ195">
        <v>43.407473353593801</v>
      </c>
      <c r="GA195">
        <v>27.081597449489177</v>
      </c>
      <c r="GB195">
        <v>23.676378092601293</v>
      </c>
      <c r="GC195">
        <v>12.160866339768603</v>
      </c>
      <c r="GD195">
        <v>4.422924622702892</v>
      </c>
      <c r="GE195">
        <v>7.7874356392544266</v>
      </c>
      <c r="GF195">
        <v>3.3690611645698385</v>
      </c>
      <c r="GG195">
        <v>3.7321428944410071</v>
      </c>
      <c r="GH195">
        <v>11.961113656714806</v>
      </c>
      <c r="GI195">
        <v>17.229339083113409</v>
      </c>
      <c r="GJ195"/>
      <c r="GK195"/>
      <c r="GL195"/>
      <c r="GM195"/>
      <c r="GN195" s="208"/>
      <c r="GO195" s="208"/>
      <c r="GP195" s="208"/>
      <c r="GQ195" s="208"/>
      <c r="GR195" s="208"/>
      <c r="GS195" s="208"/>
      <c r="GT195" s="208"/>
      <c r="GU195" s="213">
        <v>190</v>
      </c>
    </row>
    <row r="196" spans="1:203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265.71723916700637</v>
      </c>
      <c r="AO196">
        <v>23.027021929524615</v>
      </c>
      <c r="AP196">
        <v>7.9093202733778218</v>
      </c>
      <c r="AQ196">
        <v>161.07560023927465</v>
      </c>
      <c r="AR196">
        <v>24.079114264242705</v>
      </c>
      <c r="AS196">
        <v>354.82254321846551</v>
      </c>
      <c r="AT196">
        <v>14.619622234344222</v>
      </c>
      <c r="AU196">
        <v>-4.5144730907607382</v>
      </c>
      <c r="AV196"/>
      <c r="AW196"/>
      <c r="AX196" s="146"/>
      <c r="AY196" s="76" t="str">
        <f t="shared" ca="1" si="171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6"/>
        <v/>
      </c>
      <c r="CL196" s="179" t="str">
        <f t="shared" si="207"/>
        <v/>
      </c>
      <c r="CM196" s="180" t="str">
        <f t="shared" si="208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9"/>
        <v/>
      </c>
      <c r="DB196" s="146"/>
      <c r="DC196" s="76" t="str">
        <f t="shared" ca="1" si="172"/>
        <v/>
      </c>
      <c r="DD196" t="str">
        <f t="shared" si="210"/>
        <v/>
      </c>
      <c r="DE196" s="129" t="str">
        <f t="shared" si="281"/>
        <v/>
      </c>
      <c r="DF196" s="161" t="str">
        <f t="shared" si="282"/>
        <v/>
      </c>
      <c r="DG196" s="161" t="str">
        <f t="shared" si="283"/>
        <v/>
      </c>
      <c r="DH196" s="161" t="str">
        <f t="shared" si="284"/>
        <v/>
      </c>
      <c r="DI196" s="161" t="str">
        <f t="shared" si="285"/>
        <v/>
      </c>
      <c r="DJ196" s="161" t="str">
        <f t="shared" si="286"/>
        <v/>
      </c>
      <c r="DK196" s="161" t="str">
        <f t="shared" si="287"/>
        <v/>
      </c>
      <c r="DL196" s="161" t="str">
        <f t="shared" si="288"/>
        <v/>
      </c>
      <c r="DM196" s="161" t="str">
        <f t="shared" si="289"/>
        <v/>
      </c>
      <c r="DN196" s="161" t="str">
        <f t="shared" si="312"/>
        <v/>
      </c>
      <c r="DO196" s="161" t="str">
        <f t="shared" si="313"/>
        <v/>
      </c>
      <c r="DP196" s="161" t="str">
        <f t="shared" si="314"/>
        <v/>
      </c>
      <c r="DQ196" s="161" t="str">
        <f t="shared" si="315"/>
        <v/>
      </c>
      <c r="DR196" s="161" t="str">
        <f t="shared" si="316"/>
        <v/>
      </c>
      <c r="DS196" s="161" t="str">
        <f t="shared" si="317"/>
        <v/>
      </c>
      <c r="DT196" s="161" t="str">
        <f t="shared" si="318"/>
        <v/>
      </c>
      <c r="DU196" s="161" t="str">
        <f t="shared" si="319"/>
        <v/>
      </c>
      <c r="DV196" s="161" t="str">
        <f t="shared" si="320"/>
        <v/>
      </c>
      <c r="DW196" s="161" t="str">
        <f t="shared" si="321"/>
        <v/>
      </c>
      <c r="DX196" s="161" t="str">
        <f t="shared" si="322"/>
        <v/>
      </c>
      <c r="DY196" s="161" t="str">
        <f t="shared" si="323"/>
        <v/>
      </c>
      <c r="DZ196" s="161" t="str">
        <f t="shared" si="324"/>
        <v/>
      </c>
      <c r="EA196" s="161" t="str">
        <f t="shared" si="325"/>
        <v/>
      </c>
      <c r="EB196" s="161" t="str">
        <f t="shared" si="326"/>
        <v/>
      </c>
      <c r="EC196" s="161" t="str">
        <f t="shared" si="327"/>
        <v/>
      </c>
      <c r="ED196" s="161" t="str">
        <f t="shared" si="328"/>
        <v/>
      </c>
      <c r="EE196" s="161" t="str">
        <f t="shared" si="329"/>
        <v/>
      </c>
      <c r="EF196" s="161" t="str">
        <f t="shared" si="330"/>
        <v/>
      </c>
      <c r="EG196" s="161" t="str">
        <f t="shared" si="331"/>
        <v/>
      </c>
      <c r="EH196" s="161" t="str">
        <f t="shared" si="332"/>
        <v/>
      </c>
      <c r="EI196" s="161" t="str">
        <f t="shared" si="333"/>
        <v/>
      </c>
      <c r="EJ196" s="161" t="str">
        <f t="shared" si="334"/>
        <v/>
      </c>
      <c r="EK196" s="147" t="str">
        <f t="shared" si="248"/>
        <v/>
      </c>
      <c r="EL196" s="149"/>
      <c r="EN196" s="146"/>
      <c r="EO196" s="146"/>
      <c r="EP196" s="139" t="str">
        <f t="shared" si="249"/>
        <v/>
      </c>
      <c r="EQ196" s="139" t="str">
        <f t="shared" si="250"/>
        <v/>
      </c>
      <c r="ER196" s="139" t="str">
        <f t="shared" si="251"/>
        <v/>
      </c>
      <c r="ES196" s="139" t="str">
        <f t="shared" si="252"/>
        <v/>
      </c>
      <c r="ET196" s="139" t="str">
        <f t="shared" si="253"/>
        <v/>
      </c>
      <c r="EU196" s="139" t="str">
        <f t="shared" si="254"/>
        <v/>
      </c>
      <c r="EV196" s="139" t="str">
        <f t="shared" si="255"/>
        <v/>
      </c>
      <c r="EW196" s="139" t="str">
        <f t="shared" si="256"/>
        <v/>
      </c>
      <c r="EX196" s="139" t="str">
        <f t="shared" si="257"/>
        <v/>
      </c>
      <c r="EY196" s="139" t="str">
        <f t="shared" si="258"/>
        <v/>
      </c>
      <c r="EZ196" s="139" t="str">
        <f t="shared" si="259"/>
        <v/>
      </c>
      <c r="FA196" s="139" t="str">
        <f t="shared" si="260"/>
        <v/>
      </c>
      <c r="FB196" s="139" t="str">
        <f t="shared" si="261"/>
        <v/>
      </c>
      <c r="FC196" s="139" t="str">
        <f t="shared" si="262"/>
        <v/>
      </c>
      <c r="FD196" s="139" t="str">
        <f t="shared" si="263"/>
        <v/>
      </c>
      <c r="FE196" s="139" t="str">
        <f t="shared" si="264"/>
        <v/>
      </c>
      <c r="FF196" s="139" t="str">
        <f t="shared" si="265"/>
        <v/>
      </c>
      <c r="FG196" s="139" t="str">
        <f t="shared" si="266"/>
        <v/>
      </c>
      <c r="FH196" s="139" t="str">
        <f t="shared" si="267"/>
        <v/>
      </c>
      <c r="FI196" s="139" t="str">
        <f t="shared" si="268"/>
        <v/>
      </c>
      <c r="FJ196" s="139" t="str">
        <f t="shared" si="269"/>
        <v/>
      </c>
      <c r="FK196" s="139" t="str">
        <f t="shared" si="270"/>
        <v/>
      </c>
      <c r="FL196" s="139" t="str">
        <f t="shared" si="271"/>
        <v/>
      </c>
      <c r="FM196" s="139" t="str">
        <f t="shared" si="272"/>
        <v/>
      </c>
      <c r="FN196" s="139" t="str">
        <f t="shared" si="273"/>
        <v/>
      </c>
      <c r="FO196" s="139" t="str">
        <f t="shared" si="274"/>
        <v/>
      </c>
      <c r="FP196" s="139" t="str">
        <f t="shared" si="275"/>
        <v/>
      </c>
      <c r="FQ196" s="139" t="str">
        <f t="shared" si="276"/>
        <v/>
      </c>
      <c r="FR196" s="139" t="str">
        <f t="shared" si="277"/>
        <v/>
      </c>
      <c r="FS196" s="139" t="str">
        <f t="shared" si="278"/>
        <v/>
      </c>
      <c r="FT196" s="139" t="str">
        <f t="shared" si="279"/>
        <v/>
      </c>
      <c r="FU196" s="148" t="str">
        <f t="shared" si="280"/>
        <v/>
      </c>
      <c r="FV196" s="149"/>
      <c r="FY196" s="213">
        <v>191</v>
      </c>
      <c r="FZ196">
        <v>40.579362043071249</v>
      </c>
      <c r="GA196">
        <v>51.670618466055998</v>
      </c>
      <c r="GB196">
        <v>30.555611403114106</v>
      </c>
      <c r="GC196">
        <v>10.774527901932853</v>
      </c>
      <c r="GD196">
        <v>4.7296080116855732</v>
      </c>
      <c r="GE196">
        <v>7.2364003274510456</v>
      </c>
      <c r="GF196">
        <v>1.5109722995279375</v>
      </c>
      <c r="GG196">
        <v>3.6570203839486322</v>
      </c>
      <c r="GH196">
        <v>10.150491706362654</v>
      </c>
      <c r="GI196">
        <v>18.047621094023391</v>
      </c>
      <c r="GJ196"/>
      <c r="GK196"/>
      <c r="GL196"/>
      <c r="GM196"/>
      <c r="GN196" s="208"/>
      <c r="GO196" s="208"/>
      <c r="GP196" s="208"/>
      <c r="GQ196" s="208"/>
      <c r="GR196" s="208"/>
      <c r="GS196" s="208"/>
      <c r="GT196" s="208"/>
      <c r="GU196" s="213">
        <v>191</v>
      </c>
    </row>
    <row r="197" spans="1:203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266.67938624485907</v>
      </c>
      <c r="AO197">
        <v>27.552309257377772</v>
      </c>
      <c r="AP197">
        <v>26.489570822867496</v>
      </c>
      <c r="AQ197">
        <v>202.41164699671197</v>
      </c>
      <c r="AR197">
        <v>28.098883700806265</v>
      </c>
      <c r="AS197">
        <v>396.03935628239827</v>
      </c>
      <c r="AT197">
        <v>17.146303529635428</v>
      </c>
      <c r="AU197">
        <v>-22.017329958689018</v>
      </c>
      <c r="AV197"/>
      <c r="AW197"/>
      <c r="AX197" s="146"/>
      <c r="AY197" s="76" t="str">
        <f t="shared" ca="1" si="171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6"/>
        <v/>
      </c>
      <c r="CL197" s="179" t="str">
        <f t="shared" si="207"/>
        <v/>
      </c>
      <c r="CM197" s="180" t="str">
        <f t="shared" si="208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9"/>
        <v/>
      </c>
      <c r="DB197" s="146"/>
      <c r="DC197" s="76" t="str">
        <f t="shared" ca="1" si="172"/>
        <v/>
      </c>
      <c r="DD197" t="str">
        <f t="shared" si="210"/>
        <v/>
      </c>
      <c r="DE197" s="129" t="str">
        <f t="shared" si="281"/>
        <v/>
      </c>
      <c r="DF197" s="161" t="str">
        <f t="shared" si="282"/>
        <v/>
      </c>
      <c r="DG197" s="161" t="str">
        <f t="shared" si="283"/>
        <v/>
      </c>
      <c r="DH197" s="161" t="str">
        <f t="shared" si="284"/>
        <v/>
      </c>
      <c r="DI197" s="161" t="str">
        <f t="shared" si="285"/>
        <v/>
      </c>
      <c r="DJ197" s="161" t="str">
        <f t="shared" si="286"/>
        <v/>
      </c>
      <c r="DK197" s="161" t="str">
        <f t="shared" si="287"/>
        <v/>
      </c>
      <c r="DL197" s="161" t="str">
        <f t="shared" si="288"/>
        <v/>
      </c>
      <c r="DM197" s="161" t="str">
        <f t="shared" si="289"/>
        <v/>
      </c>
      <c r="DN197" s="161" t="str">
        <f t="shared" si="312"/>
        <v/>
      </c>
      <c r="DO197" s="161" t="str">
        <f t="shared" si="313"/>
        <v/>
      </c>
      <c r="DP197" s="161" t="str">
        <f t="shared" si="314"/>
        <v/>
      </c>
      <c r="DQ197" s="161" t="str">
        <f t="shared" si="315"/>
        <v/>
      </c>
      <c r="DR197" s="161" t="str">
        <f t="shared" si="316"/>
        <v/>
      </c>
      <c r="DS197" s="161" t="str">
        <f t="shared" si="317"/>
        <v/>
      </c>
      <c r="DT197" s="161" t="str">
        <f t="shared" si="318"/>
        <v/>
      </c>
      <c r="DU197" s="161" t="str">
        <f t="shared" si="319"/>
        <v/>
      </c>
      <c r="DV197" s="161" t="str">
        <f t="shared" si="320"/>
        <v/>
      </c>
      <c r="DW197" s="161" t="str">
        <f t="shared" si="321"/>
        <v/>
      </c>
      <c r="DX197" s="161" t="str">
        <f t="shared" si="322"/>
        <v/>
      </c>
      <c r="DY197" s="161" t="str">
        <f t="shared" si="323"/>
        <v/>
      </c>
      <c r="DZ197" s="161" t="str">
        <f t="shared" si="324"/>
        <v/>
      </c>
      <c r="EA197" s="161" t="str">
        <f t="shared" si="325"/>
        <v/>
      </c>
      <c r="EB197" s="161" t="str">
        <f t="shared" si="326"/>
        <v/>
      </c>
      <c r="EC197" s="161" t="str">
        <f t="shared" si="327"/>
        <v/>
      </c>
      <c r="ED197" s="161" t="str">
        <f t="shared" si="328"/>
        <v/>
      </c>
      <c r="EE197" s="161" t="str">
        <f t="shared" si="329"/>
        <v/>
      </c>
      <c r="EF197" s="161" t="str">
        <f t="shared" si="330"/>
        <v/>
      </c>
      <c r="EG197" s="161" t="str">
        <f t="shared" si="331"/>
        <v/>
      </c>
      <c r="EH197" s="161" t="str">
        <f t="shared" si="332"/>
        <v/>
      </c>
      <c r="EI197" s="161" t="str">
        <f t="shared" si="333"/>
        <v/>
      </c>
      <c r="EJ197" s="161" t="str">
        <f t="shared" si="334"/>
        <v/>
      </c>
      <c r="EK197" s="147" t="str">
        <f t="shared" si="248"/>
        <v/>
      </c>
      <c r="EL197" s="149"/>
      <c r="EN197" s="146"/>
      <c r="EO197" s="146"/>
      <c r="EP197" s="139" t="str">
        <f t="shared" si="249"/>
        <v/>
      </c>
      <c r="EQ197" s="139" t="str">
        <f t="shared" si="250"/>
        <v/>
      </c>
      <c r="ER197" s="139" t="str">
        <f t="shared" si="251"/>
        <v/>
      </c>
      <c r="ES197" s="139" t="str">
        <f t="shared" si="252"/>
        <v/>
      </c>
      <c r="ET197" s="139" t="str">
        <f t="shared" si="253"/>
        <v/>
      </c>
      <c r="EU197" s="139" t="str">
        <f t="shared" si="254"/>
        <v/>
      </c>
      <c r="EV197" s="139" t="str">
        <f t="shared" si="255"/>
        <v/>
      </c>
      <c r="EW197" s="139" t="str">
        <f t="shared" si="256"/>
        <v/>
      </c>
      <c r="EX197" s="139" t="str">
        <f t="shared" si="257"/>
        <v/>
      </c>
      <c r="EY197" s="139" t="str">
        <f t="shared" si="258"/>
        <v/>
      </c>
      <c r="EZ197" s="139" t="str">
        <f t="shared" si="259"/>
        <v/>
      </c>
      <c r="FA197" s="139" t="str">
        <f t="shared" si="260"/>
        <v/>
      </c>
      <c r="FB197" s="139" t="str">
        <f t="shared" si="261"/>
        <v/>
      </c>
      <c r="FC197" s="139" t="str">
        <f t="shared" si="262"/>
        <v/>
      </c>
      <c r="FD197" s="139" t="str">
        <f t="shared" si="263"/>
        <v/>
      </c>
      <c r="FE197" s="139" t="str">
        <f t="shared" si="264"/>
        <v/>
      </c>
      <c r="FF197" s="139" t="str">
        <f t="shared" si="265"/>
        <v/>
      </c>
      <c r="FG197" s="139" t="str">
        <f t="shared" si="266"/>
        <v/>
      </c>
      <c r="FH197" s="139" t="str">
        <f t="shared" si="267"/>
        <v/>
      </c>
      <c r="FI197" s="139" t="str">
        <f t="shared" si="268"/>
        <v/>
      </c>
      <c r="FJ197" s="139" t="str">
        <f t="shared" si="269"/>
        <v/>
      </c>
      <c r="FK197" s="139" t="str">
        <f t="shared" si="270"/>
        <v/>
      </c>
      <c r="FL197" s="139" t="str">
        <f t="shared" si="271"/>
        <v/>
      </c>
      <c r="FM197" s="139" t="str">
        <f t="shared" si="272"/>
        <v/>
      </c>
      <c r="FN197" s="139" t="str">
        <f t="shared" si="273"/>
        <v/>
      </c>
      <c r="FO197" s="139" t="str">
        <f t="shared" si="274"/>
        <v/>
      </c>
      <c r="FP197" s="139" t="str">
        <f t="shared" si="275"/>
        <v/>
      </c>
      <c r="FQ197" s="139" t="str">
        <f t="shared" si="276"/>
        <v/>
      </c>
      <c r="FR197" s="139" t="str">
        <f t="shared" si="277"/>
        <v/>
      </c>
      <c r="FS197" s="139" t="str">
        <f t="shared" si="278"/>
        <v/>
      </c>
      <c r="FT197" s="139" t="str">
        <f t="shared" si="279"/>
        <v/>
      </c>
      <c r="FU197" s="148" t="str">
        <f t="shared" si="280"/>
        <v/>
      </c>
      <c r="FV197" s="149"/>
      <c r="FY197" s="213">
        <v>192</v>
      </c>
      <c r="FZ197">
        <v>47.687653023692611</v>
      </c>
      <c r="GA197">
        <v>38.950348093039473</v>
      </c>
      <c r="GB197">
        <v>40.263192203881992</v>
      </c>
      <c r="GC197">
        <v>20.190144913762246</v>
      </c>
      <c r="GD197">
        <v>5.8826564371490608</v>
      </c>
      <c r="GE197">
        <v>9.0603805200224663</v>
      </c>
      <c r="GF197">
        <v>9.4523353286175684</v>
      </c>
      <c r="GG197">
        <v>8.7105770535910914</v>
      </c>
      <c r="GH197">
        <v>3.9072362978717994</v>
      </c>
      <c r="GI197">
        <v>22.609476763123251</v>
      </c>
      <c r="GJ197"/>
      <c r="GK197"/>
      <c r="GL197"/>
      <c r="GM197"/>
      <c r="GN197" s="208"/>
      <c r="GO197" s="208"/>
      <c r="GP197" s="208"/>
      <c r="GQ197" s="208"/>
      <c r="GR197" s="208"/>
      <c r="GS197" s="208"/>
      <c r="GT197" s="208"/>
      <c r="GU197" s="213">
        <v>192</v>
      </c>
    </row>
    <row r="198" spans="1:203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214.07900645446998</v>
      </c>
      <c r="AO198">
        <v>22.251444403161436</v>
      </c>
      <c r="AP198">
        <v>30.914606094700581</v>
      </c>
      <c r="AQ198">
        <v>155.29429786029942</v>
      </c>
      <c r="AR198">
        <v>24.582376046770715</v>
      </c>
      <c r="AS198">
        <v>324.11134669749941</v>
      </c>
      <c r="AT198">
        <v>15.129186754323912</v>
      </c>
      <c r="AU198">
        <v>42.076534156355713</v>
      </c>
      <c r="AV198"/>
      <c r="AW198"/>
      <c r="AX198" s="128"/>
      <c r="AY198" s="76" t="str">
        <f t="shared" ca="1" si="171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6"/>
        <v/>
      </c>
      <c r="CL198" s="179" t="str">
        <f t="shared" si="207"/>
        <v/>
      </c>
      <c r="CM198" s="180" t="str">
        <f t="shared" si="208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9"/>
        <v/>
      </c>
      <c r="DB198" s="128"/>
      <c r="DC198" s="76" t="str">
        <f t="shared" ca="1" si="172"/>
        <v/>
      </c>
      <c r="DD198" t="str">
        <f t="shared" si="210"/>
        <v/>
      </c>
      <c r="DE198" s="129" t="str">
        <f t="shared" ref="DE198:DE207" si="335">IF((DD198)="", "", $C$15)</f>
        <v/>
      </c>
      <c r="DF198" s="161" t="str">
        <f t="shared" si="282"/>
        <v/>
      </c>
      <c r="DG198" s="161" t="str">
        <f t="shared" si="283"/>
        <v/>
      </c>
      <c r="DH198" s="161" t="str">
        <f t="shared" si="284"/>
        <v/>
      </c>
      <c r="DI198" s="161" t="str">
        <f t="shared" si="285"/>
        <v/>
      </c>
      <c r="DJ198" s="161" t="str">
        <f t="shared" si="286"/>
        <v/>
      </c>
      <c r="DK198" s="161" t="str">
        <f t="shared" si="287"/>
        <v/>
      </c>
      <c r="DL198" s="161" t="str">
        <f t="shared" si="288"/>
        <v/>
      </c>
      <c r="DM198" s="161" t="str">
        <f t="shared" si="289"/>
        <v/>
      </c>
      <c r="DN198" s="161" t="str">
        <f t="shared" si="312"/>
        <v/>
      </c>
      <c r="DO198" s="161" t="str">
        <f t="shared" si="313"/>
        <v/>
      </c>
      <c r="DP198" s="161" t="str">
        <f t="shared" si="314"/>
        <v/>
      </c>
      <c r="DQ198" s="161" t="str">
        <f t="shared" si="315"/>
        <v/>
      </c>
      <c r="DR198" s="161" t="str">
        <f t="shared" si="316"/>
        <v/>
      </c>
      <c r="DS198" s="161" t="str">
        <f t="shared" si="317"/>
        <v/>
      </c>
      <c r="DT198" s="161" t="str">
        <f t="shared" si="318"/>
        <v/>
      </c>
      <c r="DU198" s="161" t="str">
        <f t="shared" si="319"/>
        <v/>
      </c>
      <c r="DV198" s="161" t="str">
        <f t="shared" si="320"/>
        <v/>
      </c>
      <c r="DW198" s="161" t="str">
        <f t="shared" si="321"/>
        <v/>
      </c>
      <c r="DX198" s="161" t="str">
        <f t="shared" si="322"/>
        <v/>
      </c>
      <c r="DY198" s="161" t="str">
        <f t="shared" si="323"/>
        <v/>
      </c>
      <c r="DZ198" s="161" t="str">
        <f t="shared" si="324"/>
        <v/>
      </c>
      <c r="EA198" s="161" t="str">
        <f t="shared" si="325"/>
        <v/>
      </c>
      <c r="EB198" s="161" t="str">
        <f t="shared" si="326"/>
        <v/>
      </c>
      <c r="EC198" s="161" t="str">
        <f t="shared" si="327"/>
        <v/>
      </c>
      <c r="ED198" s="161" t="str">
        <f t="shared" si="328"/>
        <v/>
      </c>
      <c r="EE198" s="161" t="str">
        <f t="shared" si="329"/>
        <v/>
      </c>
      <c r="EF198" s="161" t="str">
        <f t="shared" si="330"/>
        <v/>
      </c>
      <c r="EG198" s="161" t="str">
        <f t="shared" si="331"/>
        <v/>
      </c>
      <c r="EH198" s="161" t="str">
        <f t="shared" si="332"/>
        <v/>
      </c>
      <c r="EI198" s="161" t="str">
        <f t="shared" si="333"/>
        <v/>
      </c>
      <c r="EJ198" s="161" t="str">
        <f t="shared" si="334"/>
        <v/>
      </c>
      <c r="EK198" s="147" t="str">
        <f t="shared" si="248"/>
        <v/>
      </c>
      <c r="EL198" s="149"/>
      <c r="EN198" s="146"/>
      <c r="EO198" s="146"/>
      <c r="EP198" s="139" t="str">
        <f t="shared" si="249"/>
        <v/>
      </c>
      <c r="EQ198" s="139" t="str">
        <f t="shared" si="250"/>
        <v/>
      </c>
      <c r="ER198" s="139" t="str">
        <f t="shared" si="251"/>
        <v/>
      </c>
      <c r="ES198" s="139" t="str">
        <f t="shared" si="252"/>
        <v/>
      </c>
      <c r="ET198" s="139" t="str">
        <f t="shared" si="253"/>
        <v/>
      </c>
      <c r="EU198" s="139" t="str">
        <f t="shared" si="254"/>
        <v/>
      </c>
      <c r="EV198" s="139" t="str">
        <f t="shared" si="255"/>
        <v/>
      </c>
      <c r="EW198" s="139" t="str">
        <f t="shared" si="256"/>
        <v/>
      </c>
      <c r="EX198" s="139" t="str">
        <f t="shared" si="257"/>
        <v/>
      </c>
      <c r="EY198" s="139" t="str">
        <f t="shared" si="258"/>
        <v/>
      </c>
      <c r="EZ198" s="139" t="str">
        <f t="shared" si="259"/>
        <v/>
      </c>
      <c r="FA198" s="139" t="str">
        <f t="shared" si="260"/>
        <v/>
      </c>
      <c r="FB198" s="139" t="str">
        <f t="shared" si="261"/>
        <v/>
      </c>
      <c r="FC198" s="139" t="str">
        <f t="shared" si="262"/>
        <v/>
      </c>
      <c r="FD198" s="139" t="str">
        <f t="shared" si="263"/>
        <v/>
      </c>
      <c r="FE198" s="139" t="str">
        <f t="shared" si="264"/>
        <v/>
      </c>
      <c r="FF198" s="139" t="str">
        <f t="shared" si="265"/>
        <v/>
      </c>
      <c r="FG198" s="139" t="str">
        <f t="shared" si="266"/>
        <v/>
      </c>
      <c r="FH198" s="139" t="str">
        <f t="shared" si="267"/>
        <v/>
      </c>
      <c r="FI198" s="139" t="str">
        <f t="shared" si="268"/>
        <v/>
      </c>
      <c r="FJ198" s="139" t="str">
        <f t="shared" si="269"/>
        <v/>
      </c>
      <c r="FK198" s="139" t="str">
        <f t="shared" si="270"/>
        <v/>
      </c>
      <c r="FL198" s="139" t="str">
        <f t="shared" si="271"/>
        <v/>
      </c>
      <c r="FM198" s="139" t="str">
        <f t="shared" si="272"/>
        <v/>
      </c>
      <c r="FN198" s="139" t="str">
        <f t="shared" si="273"/>
        <v/>
      </c>
      <c r="FO198" s="139" t="str">
        <f t="shared" si="274"/>
        <v/>
      </c>
      <c r="FP198" s="139" t="str">
        <f t="shared" si="275"/>
        <v/>
      </c>
      <c r="FQ198" s="139" t="str">
        <f t="shared" si="276"/>
        <v/>
      </c>
      <c r="FR198" s="139" t="str">
        <f t="shared" si="277"/>
        <v/>
      </c>
      <c r="FS198" s="139" t="str">
        <f t="shared" si="278"/>
        <v/>
      </c>
      <c r="FT198" s="139" t="str">
        <f t="shared" si="279"/>
        <v/>
      </c>
      <c r="FU198" s="148" t="str">
        <f t="shared" si="280"/>
        <v/>
      </c>
      <c r="FV198" s="149"/>
      <c r="FY198" s="213">
        <v>193</v>
      </c>
      <c r="FZ198">
        <v>30.894106435808844</v>
      </c>
      <c r="GA198">
        <v>23.727647158991928</v>
      </c>
      <c r="GB198">
        <v>28.066068763773004</v>
      </c>
      <c r="GC198">
        <v>14.035207093586303</v>
      </c>
      <c r="GD198">
        <v>2.5833261732901343</v>
      </c>
      <c r="GE198">
        <v>2.6912108545160556</v>
      </c>
      <c r="GF198">
        <v>4.506669990616766</v>
      </c>
      <c r="GG198">
        <v>4.471384805333841</v>
      </c>
      <c r="GH198">
        <v>8.7613083427676415</v>
      </c>
      <c r="GI198">
        <v>15.132064495967137</v>
      </c>
      <c r="GJ198"/>
      <c r="GK198"/>
      <c r="GL198"/>
      <c r="GM198"/>
      <c r="GN198" s="208"/>
      <c r="GO198" s="208"/>
      <c r="GP198" s="208"/>
      <c r="GQ198" s="208"/>
      <c r="GR198" s="208"/>
      <c r="GS198" s="208"/>
      <c r="GT198" s="208"/>
      <c r="GU198" s="213">
        <v>193</v>
      </c>
    </row>
    <row r="199" spans="1:203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435.29169963034644</v>
      </c>
      <c r="AO199">
        <v>36.676441842937848</v>
      </c>
      <c r="AP199">
        <v>53.523987693075703</v>
      </c>
      <c r="AQ199">
        <v>263.12493746859076</v>
      </c>
      <c r="AR199">
        <v>36.625772037564595</v>
      </c>
      <c r="AS199">
        <v>568.57772102723754</v>
      </c>
      <c r="AT199">
        <v>21.760041131192065</v>
      </c>
      <c r="AU199">
        <v>-38.281018055200121</v>
      </c>
      <c r="AV199"/>
      <c r="AW199"/>
      <c r="AX199" s="146"/>
      <c r="AY199" s="76" t="str">
        <f t="shared" ca="1" si="171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6"/>
        <v/>
      </c>
      <c r="CL199" s="179" t="str">
        <f t="shared" si="207"/>
        <v/>
      </c>
      <c r="CM199" s="180" t="str">
        <f t="shared" si="208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9"/>
        <v/>
      </c>
      <c r="DB199" s="146"/>
      <c r="DC199" s="76" t="str">
        <f t="shared" ca="1" si="172"/>
        <v/>
      </c>
      <c r="DD199" t="str">
        <f t="shared" si="210"/>
        <v/>
      </c>
      <c r="DE199" s="129" t="str">
        <f t="shared" si="335"/>
        <v/>
      </c>
      <c r="DF199" s="161" t="str">
        <f t="shared" si="282"/>
        <v/>
      </c>
      <c r="DG199" s="161" t="str">
        <f t="shared" si="283"/>
        <v/>
      </c>
      <c r="DH199" s="161" t="str">
        <f t="shared" si="284"/>
        <v/>
      </c>
      <c r="DI199" s="161" t="str">
        <f t="shared" si="285"/>
        <v/>
      </c>
      <c r="DJ199" s="161" t="str">
        <f t="shared" si="286"/>
        <v/>
      </c>
      <c r="DK199" s="161" t="str">
        <f t="shared" si="287"/>
        <v/>
      </c>
      <c r="DL199" s="161" t="str">
        <f t="shared" si="288"/>
        <v/>
      </c>
      <c r="DM199" s="161" t="str">
        <f t="shared" si="289"/>
        <v/>
      </c>
      <c r="DN199" s="161" t="str">
        <f t="shared" si="312"/>
        <v/>
      </c>
      <c r="DO199" s="161" t="str">
        <f t="shared" si="313"/>
        <v/>
      </c>
      <c r="DP199" s="161" t="str">
        <f t="shared" si="314"/>
        <v/>
      </c>
      <c r="DQ199" s="161" t="str">
        <f t="shared" si="315"/>
        <v/>
      </c>
      <c r="DR199" s="161" t="str">
        <f t="shared" si="316"/>
        <v/>
      </c>
      <c r="DS199" s="161" t="str">
        <f t="shared" si="317"/>
        <v/>
      </c>
      <c r="DT199" s="161" t="str">
        <f t="shared" si="318"/>
        <v/>
      </c>
      <c r="DU199" s="161" t="str">
        <f t="shared" si="319"/>
        <v/>
      </c>
      <c r="DV199" s="161" t="str">
        <f t="shared" si="320"/>
        <v/>
      </c>
      <c r="DW199" s="161" t="str">
        <f t="shared" si="321"/>
        <v/>
      </c>
      <c r="DX199" s="161" t="str">
        <f t="shared" si="322"/>
        <v/>
      </c>
      <c r="DY199" s="161" t="str">
        <f t="shared" si="323"/>
        <v/>
      </c>
      <c r="DZ199" s="161" t="str">
        <f t="shared" si="324"/>
        <v/>
      </c>
      <c r="EA199" s="161" t="str">
        <f t="shared" si="325"/>
        <v/>
      </c>
      <c r="EB199" s="161" t="str">
        <f t="shared" si="326"/>
        <v/>
      </c>
      <c r="EC199" s="161" t="str">
        <f t="shared" si="327"/>
        <v/>
      </c>
      <c r="ED199" s="161" t="str">
        <f t="shared" si="328"/>
        <v/>
      </c>
      <c r="EE199" s="161" t="str">
        <f t="shared" si="329"/>
        <v/>
      </c>
      <c r="EF199" s="161" t="str">
        <f t="shared" si="330"/>
        <v/>
      </c>
      <c r="EG199" s="161" t="str">
        <f t="shared" si="331"/>
        <v/>
      </c>
      <c r="EH199" s="161" t="str">
        <f t="shared" si="332"/>
        <v/>
      </c>
      <c r="EI199" s="161" t="str">
        <f t="shared" si="333"/>
        <v/>
      </c>
      <c r="EJ199" s="161" t="str">
        <f t="shared" si="334"/>
        <v/>
      </c>
      <c r="EK199" s="147" t="str">
        <f t="shared" si="248"/>
        <v/>
      </c>
      <c r="EL199" s="149"/>
      <c r="EN199" s="146"/>
      <c r="EO199" s="146"/>
      <c r="EP199" s="139" t="str">
        <f t="shared" si="249"/>
        <v/>
      </c>
      <c r="EQ199" s="139" t="str">
        <f t="shared" si="250"/>
        <v/>
      </c>
      <c r="ER199" s="139" t="str">
        <f t="shared" si="251"/>
        <v/>
      </c>
      <c r="ES199" s="139" t="str">
        <f t="shared" si="252"/>
        <v/>
      </c>
      <c r="ET199" s="139" t="str">
        <f t="shared" si="253"/>
        <v/>
      </c>
      <c r="EU199" s="139" t="str">
        <f t="shared" si="254"/>
        <v/>
      </c>
      <c r="EV199" s="139" t="str">
        <f t="shared" si="255"/>
        <v/>
      </c>
      <c r="EW199" s="139" t="str">
        <f t="shared" si="256"/>
        <v/>
      </c>
      <c r="EX199" s="139" t="str">
        <f t="shared" si="257"/>
        <v/>
      </c>
      <c r="EY199" s="139" t="str">
        <f t="shared" si="258"/>
        <v/>
      </c>
      <c r="EZ199" s="139" t="str">
        <f t="shared" si="259"/>
        <v/>
      </c>
      <c r="FA199" s="139" t="str">
        <f t="shared" si="260"/>
        <v/>
      </c>
      <c r="FB199" s="139" t="str">
        <f t="shared" si="261"/>
        <v/>
      </c>
      <c r="FC199" s="139" t="str">
        <f t="shared" si="262"/>
        <v/>
      </c>
      <c r="FD199" s="139" t="str">
        <f t="shared" si="263"/>
        <v/>
      </c>
      <c r="FE199" s="139" t="str">
        <f t="shared" si="264"/>
        <v/>
      </c>
      <c r="FF199" s="139" t="str">
        <f t="shared" si="265"/>
        <v/>
      </c>
      <c r="FG199" s="139" t="str">
        <f t="shared" si="266"/>
        <v/>
      </c>
      <c r="FH199" s="139" t="str">
        <f t="shared" si="267"/>
        <v/>
      </c>
      <c r="FI199" s="139" t="str">
        <f t="shared" si="268"/>
        <v/>
      </c>
      <c r="FJ199" s="139" t="str">
        <f t="shared" si="269"/>
        <v/>
      </c>
      <c r="FK199" s="139" t="str">
        <f t="shared" si="270"/>
        <v/>
      </c>
      <c r="FL199" s="139" t="str">
        <f t="shared" si="271"/>
        <v/>
      </c>
      <c r="FM199" s="139" t="str">
        <f t="shared" si="272"/>
        <v/>
      </c>
      <c r="FN199" s="139" t="str">
        <f t="shared" si="273"/>
        <v/>
      </c>
      <c r="FO199" s="139" t="str">
        <f t="shared" si="274"/>
        <v/>
      </c>
      <c r="FP199" s="139" t="str">
        <f t="shared" si="275"/>
        <v/>
      </c>
      <c r="FQ199" s="139" t="str">
        <f t="shared" si="276"/>
        <v/>
      </c>
      <c r="FR199" s="139" t="str">
        <f t="shared" si="277"/>
        <v/>
      </c>
      <c r="FS199" s="139" t="str">
        <f t="shared" si="278"/>
        <v/>
      </c>
      <c r="FT199" s="139" t="str">
        <f t="shared" si="279"/>
        <v/>
      </c>
      <c r="FU199" s="148" t="str">
        <f t="shared" si="280"/>
        <v/>
      </c>
      <c r="FV199" s="149"/>
      <c r="FY199" s="213">
        <v>194</v>
      </c>
      <c r="FZ199">
        <v>42.396442364689726</v>
      </c>
      <c r="GA199">
        <v>59.055707894800065</v>
      </c>
      <c r="GB199">
        <v>44.160101711330846</v>
      </c>
      <c r="GC199">
        <v>16.440889490549612</v>
      </c>
      <c r="GD199">
        <v>4.3591240178893518</v>
      </c>
      <c r="GE199">
        <v>4.4498527633359544</v>
      </c>
      <c r="GF199">
        <v>4.4089519811987437</v>
      </c>
      <c r="GG199">
        <v>7.4618606959452709</v>
      </c>
      <c r="GH199">
        <v>6.4207123858672555</v>
      </c>
      <c r="GI199">
        <v>21.372024737591016</v>
      </c>
      <c r="GJ199"/>
      <c r="GK199"/>
      <c r="GL199"/>
      <c r="GM199"/>
      <c r="GN199" s="208"/>
      <c r="GO199" s="208"/>
      <c r="GP199" s="208"/>
      <c r="GQ199" s="208"/>
      <c r="GR199" s="208"/>
      <c r="GS199" s="208"/>
      <c r="GT199" s="208"/>
      <c r="GU199" s="213">
        <v>194</v>
      </c>
    </row>
    <row r="200" spans="1:203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329.14185485296298</v>
      </c>
      <c r="AO200">
        <v>29.230920039052513</v>
      </c>
      <c r="AP200">
        <v>67.268316266258083</v>
      </c>
      <c r="AQ200">
        <v>209.23163616265566</v>
      </c>
      <c r="AR200">
        <v>29.478669776278384</v>
      </c>
      <c r="AS200">
        <v>440.01737043177747</v>
      </c>
      <c r="AT200">
        <v>18.119436357580604</v>
      </c>
      <c r="AU200">
        <v>0.53342704091112836</v>
      </c>
      <c r="AV200"/>
      <c r="AW200"/>
      <c r="AX200" s="146"/>
      <c r="AY200" s="76" t="str">
        <f t="shared" ca="1" si="171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6"/>
        <v/>
      </c>
      <c r="CL200" s="179" t="str">
        <f t="shared" si="207"/>
        <v/>
      </c>
      <c r="CM200" s="180" t="str">
        <f t="shared" si="208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9"/>
        <v/>
      </c>
      <c r="DB200" s="146"/>
      <c r="DC200" s="76" t="str">
        <f t="shared" ca="1" si="172"/>
        <v/>
      </c>
      <c r="DD200" t="str">
        <f t="shared" si="210"/>
        <v/>
      </c>
      <c r="DE200" s="129" t="str">
        <f t="shared" si="335"/>
        <v/>
      </c>
      <c r="DF200" s="161" t="str">
        <f t="shared" si="282"/>
        <v/>
      </c>
      <c r="DG200" s="161" t="str">
        <f t="shared" si="283"/>
        <v/>
      </c>
      <c r="DH200" s="161" t="str">
        <f t="shared" si="284"/>
        <v/>
      </c>
      <c r="DI200" s="161" t="str">
        <f t="shared" si="285"/>
        <v/>
      </c>
      <c r="DJ200" s="161" t="str">
        <f t="shared" si="286"/>
        <v/>
      </c>
      <c r="DK200" s="161" t="str">
        <f t="shared" si="287"/>
        <v/>
      </c>
      <c r="DL200" s="161" t="str">
        <f t="shared" si="288"/>
        <v/>
      </c>
      <c r="DM200" s="161" t="str">
        <f t="shared" si="289"/>
        <v/>
      </c>
      <c r="DN200" s="161" t="str">
        <f t="shared" si="312"/>
        <v/>
      </c>
      <c r="DO200" s="161" t="str">
        <f t="shared" si="313"/>
        <v/>
      </c>
      <c r="DP200" s="161" t="str">
        <f t="shared" si="314"/>
        <v/>
      </c>
      <c r="DQ200" s="161" t="str">
        <f t="shared" si="315"/>
        <v/>
      </c>
      <c r="DR200" s="161" t="str">
        <f t="shared" si="316"/>
        <v/>
      </c>
      <c r="DS200" s="161" t="str">
        <f t="shared" si="317"/>
        <v/>
      </c>
      <c r="DT200" s="161" t="str">
        <f t="shared" si="318"/>
        <v/>
      </c>
      <c r="DU200" s="161" t="str">
        <f t="shared" si="319"/>
        <v/>
      </c>
      <c r="DV200" s="161" t="str">
        <f t="shared" si="320"/>
        <v/>
      </c>
      <c r="DW200" s="161" t="str">
        <f t="shared" si="321"/>
        <v/>
      </c>
      <c r="DX200" s="161" t="str">
        <f t="shared" si="322"/>
        <v/>
      </c>
      <c r="DY200" s="161" t="str">
        <f t="shared" si="323"/>
        <v/>
      </c>
      <c r="DZ200" s="161" t="str">
        <f t="shared" si="324"/>
        <v/>
      </c>
      <c r="EA200" s="161" t="str">
        <f t="shared" si="325"/>
        <v/>
      </c>
      <c r="EB200" s="161" t="str">
        <f t="shared" si="326"/>
        <v/>
      </c>
      <c r="EC200" s="161" t="str">
        <f t="shared" si="327"/>
        <v/>
      </c>
      <c r="ED200" s="161" t="str">
        <f t="shared" si="328"/>
        <v/>
      </c>
      <c r="EE200" s="161" t="str">
        <f t="shared" si="329"/>
        <v/>
      </c>
      <c r="EF200" s="161" t="str">
        <f t="shared" si="330"/>
        <v/>
      </c>
      <c r="EG200" s="161" t="str">
        <f t="shared" si="331"/>
        <v/>
      </c>
      <c r="EH200" s="161" t="str">
        <f t="shared" si="332"/>
        <v/>
      </c>
      <c r="EI200" s="161" t="str">
        <f t="shared" si="333"/>
        <v/>
      </c>
      <c r="EJ200" s="161" t="str">
        <f t="shared" si="334"/>
        <v/>
      </c>
      <c r="EK200" s="147" t="str">
        <f t="shared" si="248"/>
        <v/>
      </c>
      <c r="EL200" s="149"/>
      <c r="EN200" s="146"/>
      <c r="EO200" s="146"/>
      <c r="EP200" s="139" t="str">
        <f t="shared" si="249"/>
        <v/>
      </c>
      <c r="EQ200" s="139" t="str">
        <f t="shared" si="250"/>
        <v/>
      </c>
      <c r="ER200" s="139" t="str">
        <f t="shared" si="251"/>
        <v/>
      </c>
      <c r="ES200" s="139" t="str">
        <f t="shared" si="252"/>
        <v/>
      </c>
      <c r="ET200" s="139" t="str">
        <f t="shared" si="253"/>
        <v/>
      </c>
      <c r="EU200" s="139" t="str">
        <f t="shared" si="254"/>
        <v/>
      </c>
      <c r="EV200" s="139" t="str">
        <f t="shared" si="255"/>
        <v/>
      </c>
      <c r="EW200" s="139" t="str">
        <f t="shared" si="256"/>
        <v/>
      </c>
      <c r="EX200" s="139" t="str">
        <f t="shared" si="257"/>
        <v/>
      </c>
      <c r="EY200" s="139" t="str">
        <f t="shared" si="258"/>
        <v/>
      </c>
      <c r="EZ200" s="139" t="str">
        <f t="shared" si="259"/>
        <v/>
      </c>
      <c r="FA200" s="139" t="str">
        <f t="shared" si="260"/>
        <v/>
      </c>
      <c r="FB200" s="139" t="str">
        <f t="shared" si="261"/>
        <v/>
      </c>
      <c r="FC200" s="139" t="str">
        <f t="shared" si="262"/>
        <v/>
      </c>
      <c r="FD200" s="139" t="str">
        <f t="shared" si="263"/>
        <v/>
      </c>
      <c r="FE200" s="139" t="str">
        <f t="shared" si="264"/>
        <v/>
      </c>
      <c r="FF200" s="139" t="str">
        <f t="shared" si="265"/>
        <v/>
      </c>
      <c r="FG200" s="139" t="str">
        <f t="shared" si="266"/>
        <v/>
      </c>
      <c r="FH200" s="139" t="str">
        <f t="shared" si="267"/>
        <v/>
      </c>
      <c r="FI200" s="139" t="str">
        <f t="shared" si="268"/>
        <v/>
      </c>
      <c r="FJ200" s="139" t="str">
        <f t="shared" si="269"/>
        <v/>
      </c>
      <c r="FK200" s="139" t="str">
        <f t="shared" si="270"/>
        <v/>
      </c>
      <c r="FL200" s="139" t="str">
        <f t="shared" si="271"/>
        <v/>
      </c>
      <c r="FM200" s="139" t="str">
        <f t="shared" si="272"/>
        <v/>
      </c>
      <c r="FN200" s="139" t="str">
        <f t="shared" si="273"/>
        <v/>
      </c>
      <c r="FO200" s="139" t="str">
        <f t="shared" si="274"/>
        <v/>
      </c>
      <c r="FP200" s="139" t="str">
        <f t="shared" si="275"/>
        <v/>
      </c>
      <c r="FQ200" s="139" t="str">
        <f t="shared" si="276"/>
        <v/>
      </c>
      <c r="FR200" s="139" t="str">
        <f t="shared" si="277"/>
        <v/>
      </c>
      <c r="FS200" s="139" t="str">
        <f t="shared" si="278"/>
        <v/>
      </c>
      <c r="FT200" s="139" t="str">
        <f t="shared" si="279"/>
        <v/>
      </c>
      <c r="FU200" s="148" t="str">
        <f t="shared" si="280"/>
        <v/>
      </c>
      <c r="FV200" s="149"/>
      <c r="FY200" s="213">
        <v>195</v>
      </c>
      <c r="FZ200">
        <v>59.430193405586309</v>
      </c>
      <c r="GA200">
        <v>42.913488891332804</v>
      </c>
      <c r="GB200">
        <v>28.975351596817539</v>
      </c>
      <c r="GC200">
        <v>13.620237284485095</v>
      </c>
      <c r="GD200">
        <v>3.1302943519212914</v>
      </c>
      <c r="GE200">
        <v>5.568074630645099</v>
      </c>
      <c r="GF200">
        <v>7.868581347744902</v>
      </c>
      <c r="GG200">
        <v>5.8565796515591</v>
      </c>
      <c r="GH200">
        <v>5.2520526509166103</v>
      </c>
      <c r="GI200">
        <v>19.935728628812832</v>
      </c>
      <c r="GJ200"/>
      <c r="GK200"/>
      <c r="GL200"/>
      <c r="GM200"/>
      <c r="GN200" s="208"/>
      <c r="GO200" s="208"/>
      <c r="GP200" s="208"/>
      <c r="GQ200" s="208"/>
      <c r="GR200" s="208"/>
      <c r="GS200" s="208"/>
      <c r="GT200" s="208"/>
      <c r="GU200" s="213">
        <v>195</v>
      </c>
    </row>
    <row r="201" spans="1:203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232.84285934342552</v>
      </c>
      <c r="AO201">
        <v>23.377777601765889</v>
      </c>
      <c r="AP201">
        <v>39.039701009399714</v>
      </c>
      <c r="AQ201">
        <v>173.02108223370337</v>
      </c>
      <c r="AR201">
        <v>23.849581707532892</v>
      </c>
      <c r="AS201">
        <v>329.93054571236752</v>
      </c>
      <c r="AT201">
        <v>14.525939097332397</v>
      </c>
      <c r="AU201">
        <v>-9.6966558590061211</v>
      </c>
      <c r="AV201"/>
      <c r="AW201"/>
      <c r="AX201" s="146"/>
      <c r="AY201" s="76" t="str">
        <f t="shared" ca="1" si="171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6"/>
        <v/>
      </c>
      <c r="CL201" s="179" t="str">
        <f t="shared" si="207"/>
        <v/>
      </c>
      <c r="CM201" s="180" t="str">
        <f t="shared" si="208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9"/>
        <v/>
      </c>
      <c r="DB201" s="146"/>
      <c r="DC201" s="76" t="str">
        <f t="shared" ca="1" si="172"/>
        <v/>
      </c>
      <c r="DD201" t="str">
        <f t="shared" si="210"/>
        <v/>
      </c>
      <c r="DE201" s="129" t="str">
        <f t="shared" si="335"/>
        <v/>
      </c>
      <c r="DF201" s="161" t="str">
        <f t="shared" si="282"/>
        <v/>
      </c>
      <c r="DG201" s="161" t="str">
        <f t="shared" si="283"/>
        <v/>
      </c>
      <c r="DH201" s="161" t="str">
        <f t="shared" si="284"/>
        <v/>
      </c>
      <c r="DI201" s="161" t="str">
        <f t="shared" si="285"/>
        <v/>
      </c>
      <c r="DJ201" s="161" t="str">
        <f t="shared" si="286"/>
        <v/>
      </c>
      <c r="DK201" s="161" t="str">
        <f t="shared" si="287"/>
        <v/>
      </c>
      <c r="DL201" s="161" t="str">
        <f t="shared" si="288"/>
        <v/>
      </c>
      <c r="DM201" s="161" t="str">
        <f t="shared" si="289"/>
        <v/>
      </c>
      <c r="DN201" s="161" t="str">
        <f t="shared" si="312"/>
        <v/>
      </c>
      <c r="DO201" s="161" t="str">
        <f t="shared" si="313"/>
        <v/>
      </c>
      <c r="DP201" s="161" t="str">
        <f t="shared" si="314"/>
        <v/>
      </c>
      <c r="DQ201" s="161" t="str">
        <f t="shared" si="315"/>
        <v/>
      </c>
      <c r="DR201" s="161" t="str">
        <f t="shared" si="316"/>
        <v/>
      </c>
      <c r="DS201" s="161" t="str">
        <f t="shared" si="317"/>
        <v/>
      </c>
      <c r="DT201" s="161" t="str">
        <f t="shared" si="318"/>
        <v/>
      </c>
      <c r="DU201" s="161" t="str">
        <f t="shared" si="319"/>
        <v/>
      </c>
      <c r="DV201" s="161" t="str">
        <f t="shared" si="320"/>
        <v/>
      </c>
      <c r="DW201" s="161" t="str">
        <f t="shared" si="321"/>
        <v/>
      </c>
      <c r="DX201" s="161" t="str">
        <f t="shared" si="322"/>
        <v/>
      </c>
      <c r="DY201" s="161" t="str">
        <f t="shared" si="323"/>
        <v/>
      </c>
      <c r="DZ201" s="161" t="str">
        <f t="shared" si="324"/>
        <v/>
      </c>
      <c r="EA201" s="161" t="str">
        <f t="shared" si="325"/>
        <v/>
      </c>
      <c r="EB201" s="161" t="str">
        <f t="shared" si="326"/>
        <v/>
      </c>
      <c r="EC201" s="161" t="str">
        <f t="shared" si="327"/>
        <v/>
      </c>
      <c r="ED201" s="161" t="str">
        <f t="shared" si="328"/>
        <v/>
      </c>
      <c r="EE201" s="161" t="str">
        <f t="shared" si="329"/>
        <v/>
      </c>
      <c r="EF201" s="161" t="str">
        <f t="shared" si="330"/>
        <v/>
      </c>
      <c r="EG201" s="161" t="str">
        <f t="shared" si="331"/>
        <v/>
      </c>
      <c r="EH201" s="161" t="str">
        <f t="shared" si="332"/>
        <v/>
      </c>
      <c r="EI201" s="161" t="str">
        <f t="shared" si="333"/>
        <v/>
      </c>
      <c r="EJ201" s="161" t="str">
        <f t="shared" si="334"/>
        <v/>
      </c>
      <c r="EK201" s="147" t="str">
        <f t="shared" si="248"/>
        <v/>
      </c>
      <c r="EL201" s="149"/>
      <c r="EN201" s="146"/>
      <c r="EO201" s="146"/>
      <c r="EP201" s="139" t="str">
        <f t="shared" si="249"/>
        <v/>
      </c>
      <c r="EQ201" s="139" t="str">
        <f t="shared" si="250"/>
        <v/>
      </c>
      <c r="ER201" s="139" t="str">
        <f t="shared" si="251"/>
        <v/>
      </c>
      <c r="ES201" s="139" t="str">
        <f t="shared" si="252"/>
        <v/>
      </c>
      <c r="ET201" s="139" t="str">
        <f t="shared" si="253"/>
        <v/>
      </c>
      <c r="EU201" s="139" t="str">
        <f t="shared" si="254"/>
        <v/>
      </c>
      <c r="EV201" s="139" t="str">
        <f t="shared" si="255"/>
        <v/>
      </c>
      <c r="EW201" s="139" t="str">
        <f t="shared" si="256"/>
        <v/>
      </c>
      <c r="EX201" s="139" t="str">
        <f t="shared" si="257"/>
        <v/>
      </c>
      <c r="EY201" s="139" t="str">
        <f t="shared" si="258"/>
        <v/>
      </c>
      <c r="EZ201" s="139" t="str">
        <f t="shared" si="259"/>
        <v/>
      </c>
      <c r="FA201" s="139" t="str">
        <f t="shared" si="260"/>
        <v/>
      </c>
      <c r="FB201" s="139" t="str">
        <f t="shared" si="261"/>
        <v/>
      </c>
      <c r="FC201" s="139" t="str">
        <f t="shared" si="262"/>
        <v/>
      </c>
      <c r="FD201" s="139" t="str">
        <f t="shared" si="263"/>
        <v/>
      </c>
      <c r="FE201" s="139" t="str">
        <f t="shared" si="264"/>
        <v/>
      </c>
      <c r="FF201" s="139" t="str">
        <f t="shared" si="265"/>
        <v/>
      </c>
      <c r="FG201" s="139" t="str">
        <f t="shared" si="266"/>
        <v/>
      </c>
      <c r="FH201" s="139" t="str">
        <f t="shared" si="267"/>
        <v/>
      </c>
      <c r="FI201" s="139" t="str">
        <f t="shared" si="268"/>
        <v/>
      </c>
      <c r="FJ201" s="139" t="str">
        <f t="shared" si="269"/>
        <v/>
      </c>
      <c r="FK201" s="139" t="str">
        <f t="shared" si="270"/>
        <v/>
      </c>
      <c r="FL201" s="139" t="str">
        <f t="shared" si="271"/>
        <v/>
      </c>
      <c r="FM201" s="139" t="str">
        <f t="shared" si="272"/>
        <v/>
      </c>
      <c r="FN201" s="139" t="str">
        <f t="shared" si="273"/>
        <v/>
      </c>
      <c r="FO201" s="139" t="str">
        <f t="shared" si="274"/>
        <v/>
      </c>
      <c r="FP201" s="139" t="str">
        <f t="shared" si="275"/>
        <v/>
      </c>
      <c r="FQ201" s="139" t="str">
        <f t="shared" si="276"/>
        <v/>
      </c>
      <c r="FR201" s="139" t="str">
        <f t="shared" si="277"/>
        <v/>
      </c>
      <c r="FS201" s="139" t="str">
        <f t="shared" si="278"/>
        <v/>
      </c>
      <c r="FT201" s="139" t="str">
        <f t="shared" si="279"/>
        <v/>
      </c>
      <c r="FU201" s="148" t="str">
        <f t="shared" si="280"/>
        <v/>
      </c>
      <c r="FV201" s="149"/>
      <c r="FY201" s="213">
        <v>196</v>
      </c>
      <c r="FZ201">
        <v>71.152993180875313</v>
      </c>
      <c r="GA201">
        <v>53.963837123613281</v>
      </c>
      <c r="GB201">
        <v>24.251939057051946</v>
      </c>
      <c r="GC201">
        <v>10.560465093903913</v>
      </c>
      <c r="GD201">
        <v>1.4550900031865157</v>
      </c>
      <c r="GE201">
        <v>2.2341457805942055</v>
      </c>
      <c r="GF201">
        <v>1.274711191411644</v>
      </c>
      <c r="GG201">
        <v>2.8550345822867036</v>
      </c>
      <c r="GH201">
        <v>8.5133074975688157</v>
      </c>
      <c r="GI201">
        <v>18.839333182878338</v>
      </c>
      <c r="GJ201"/>
      <c r="GK201"/>
      <c r="GL201"/>
      <c r="GM201"/>
      <c r="GN201" s="208"/>
      <c r="GO201" s="208"/>
      <c r="GP201" s="208"/>
      <c r="GQ201" s="208"/>
      <c r="GR201" s="208"/>
      <c r="GS201" s="208"/>
      <c r="GT201" s="208"/>
      <c r="GU201" s="213">
        <v>196</v>
      </c>
    </row>
    <row r="202" spans="1:203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258.35814753804448</v>
      </c>
      <c r="AO202">
        <v>25.236596162568919</v>
      </c>
      <c r="AP202">
        <v>15.308545730767143</v>
      </c>
      <c r="AQ202">
        <v>191.36453371475693</v>
      </c>
      <c r="AR202">
        <v>26.48844533342541</v>
      </c>
      <c r="AS202">
        <v>353.57491397150864</v>
      </c>
      <c r="AT202">
        <v>15.774885210486461</v>
      </c>
      <c r="AU202">
        <v>1.7472051270763629</v>
      </c>
      <c r="AV202"/>
      <c r="AW202"/>
      <c r="AX202" s="146"/>
      <c r="AY202" s="76" t="str">
        <f t="shared" ca="1" si="171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6"/>
        <v/>
      </c>
      <c r="CL202" s="179" t="str">
        <f t="shared" si="207"/>
        <v/>
      </c>
      <c r="CM202" s="180" t="str">
        <f t="shared" si="208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9"/>
        <v/>
      </c>
      <c r="DB202" s="146"/>
      <c r="DC202" s="76" t="str">
        <f t="shared" ca="1" si="172"/>
        <v/>
      </c>
      <c r="DD202" t="str">
        <f t="shared" si="210"/>
        <v/>
      </c>
      <c r="DE202" s="129" t="str">
        <f t="shared" si="335"/>
        <v/>
      </c>
      <c r="DF202" s="161" t="str">
        <f t="shared" si="282"/>
        <v/>
      </c>
      <c r="DG202" s="161" t="str">
        <f t="shared" si="283"/>
        <v/>
      </c>
      <c r="DH202" s="161" t="str">
        <f t="shared" si="284"/>
        <v/>
      </c>
      <c r="DI202" s="161" t="str">
        <f t="shared" si="285"/>
        <v/>
      </c>
      <c r="DJ202" s="161" t="str">
        <f t="shared" si="286"/>
        <v/>
      </c>
      <c r="DK202" s="161" t="str">
        <f t="shared" si="287"/>
        <v/>
      </c>
      <c r="DL202" s="161" t="str">
        <f t="shared" si="288"/>
        <v/>
      </c>
      <c r="DM202" s="161" t="str">
        <f t="shared" si="289"/>
        <v/>
      </c>
      <c r="DN202" s="161" t="str">
        <f t="shared" si="312"/>
        <v/>
      </c>
      <c r="DO202" s="161" t="str">
        <f t="shared" si="313"/>
        <v/>
      </c>
      <c r="DP202" s="161" t="str">
        <f t="shared" si="314"/>
        <v/>
      </c>
      <c r="DQ202" s="161" t="str">
        <f t="shared" si="315"/>
        <v/>
      </c>
      <c r="DR202" s="161" t="str">
        <f t="shared" si="316"/>
        <v/>
      </c>
      <c r="DS202" s="161" t="str">
        <f t="shared" si="317"/>
        <v/>
      </c>
      <c r="DT202" s="161" t="str">
        <f t="shared" si="318"/>
        <v/>
      </c>
      <c r="DU202" s="161" t="str">
        <f t="shared" si="319"/>
        <v/>
      </c>
      <c r="DV202" s="161" t="str">
        <f t="shared" si="320"/>
        <v/>
      </c>
      <c r="DW202" s="161" t="str">
        <f t="shared" si="321"/>
        <v/>
      </c>
      <c r="DX202" s="161" t="str">
        <f t="shared" si="322"/>
        <v/>
      </c>
      <c r="DY202" s="161" t="str">
        <f t="shared" si="323"/>
        <v/>
      </c>
      <c r="DZ202" s="161" t="str">
        <f t="shared" si="324"/>
        <v/>
      </c>
      <c r="EA202" s="161" t="str">
        <f t="shared" si="325"/>
        <v/>
      </c>
      <c r="EB202" s="161" t="str">
        <f t="shared" si="326"/>
        <v/>
      </c>
      <c r="EC202" s="161" t="str">
        <f t="shared" si="327"/>
        <v/>
      </c>
      <c r="ED202" s="161" t="str">
        <f t="shared" si="328"/>
        <v/>
      </c>
      <c r="EE202" s="161" t="str">
        <f t="shared" si="329"/>
        <v/>
      </c>
      <c r="EF202" s="161" t="str">
        <f t="shared" si="330"/>
        <v/>
      </c>
      <c r="EG202" s="161" t="str">
        <f t="shared" si="331"/>
        <v/>
      </c>
      <c r="EH202" s="161" t="str">
        <f t="shared" si="332"/>
        <v/>
      </c>
      <c r="EI202" s="161" t="str">
        <f t="shared" si="333"/>
        <v/>
      </c>
      <c r="EJ202" s="161" t="str">
        <f t="shared" si="334"/>
        <v/>
      </c>
      <c r="EK202" s="147" t="str">
        <f t="shared" si="248"/>
        <v/>
      </c>
      <c r="EL202" s="149"/>
      <c r="EN202" s="146"/>
      <c r="EO202" s="146"/>
      <c r="EP202" s="139" t="str">
        <f t="shared" si="249"/>
        <v/>
      </c>
      <c r="EQ202" s="139" t="str">
        <f t="shared" si="250"/>
        <v/>
      </c>
      <c r="ER202" s="139" t="str">
        <f t="shared" si="251"/>
        <v/>
      </c>
      <c r="ES202" s="139" t="str">
        <f t="shared" si="252"/>
        <v/>
      </c>
      <c r="ET202" s="139" t="str">
        <f t="shared" si="253"/>
        <v/>
      </c>
      <c r="EU202" s="139" t="str">
        <f t="shared" si="254"/>
        <v/>
      </c>
      <c r="EV202" s="139" t="str">
        <f t="shared" si="255"/>
        <v/>
      </c>
      <c r="EW202" s="139" t="str">
        <f t="shared" si="256"/>
        <v/>
      </c>
      <c r="EX202" s="139" t="str">
        <f t="shared" si="257"/>
        <v/>
      </c>
      <c r="EY202" s="139" t="str">
        <f t="shared" si="258"/>
        <v/>
      </c>
      <c r="EZ202" s="139" t="str">
        <f t="shared" si="259"/>
        <v/>
      </c>
      <c r="FA202" s="139" t="str">
        <f t="shared" si="260"/>
        <v/>
      </c>
      <c r="FB202" s="139" t="str">
        <f t="shared" si="261"/>
        <v/>
      </c>
      <c r="FC202" s="139" t="str">
        <f t="shared" si="262"/>
        <v/>
      </c>
      <c r="FD202" s="139" t="str">
        <f t="shared" si="263"/>
        <v/>
      </c>
      <c r="FE202" s="139" t="str">
        <f t="shared" si="264"/>
        <v/>
      </c>
      <c r="FF202" s="139" t="str">
        <f t="shared" si="265"/>
        <v/>
      </c>
      <c r="FG202" s="139" t="str">
        <f t="shared" si="266"/>
        <v/>
      </c>
      <c r="FH202" s="139" t="str">
        <f t="shared" si="267"/>
        <v/>
      </c>
      <c r="FI202" s="139" t="str">
        <f t="shared" si="268"/>
        <v/>
      </c>
      <c r="FJ202" s="139" t="str">
        <f t="shared" si="269"/>
        <v/>
      </c>
      <c r="FK202" s="139" t="str">
        <f t="shared" si="270"/>
        <v/>
      </c>
      <c r="FL202" s="139" t="str">
        <f t="shared" si="271"/>
        <v/>
      </c>
      <c r="FM202" s="139" t="str">
        <f t="shared" si="272"/>
        <v/>
      </c>
      <c r="FN202" s="139" t="str">
        <f t="shared" si="273"/>
        <v/>
      </c>
      <c r="FO202" s="139" t="str">
        <f t="shared" si="274"/>
        <v/>
      </c>
      <c r="FP202" s="139" t="str">
        <f t="shared" si="275"/>
        <v/>
      </c>
      <c r="FQ202" s="139" t="str">
        <f t="shared" si="276"/>
        <v/>
      </c>
      <c r="FR202" s="139" t="str">
        <f t="shared" si="277"/>
        <v/>
      </c>
      <c r="FS202" s="139" t="str">
        <f t="shared" si="278"/>
        <v/>
      </c>
      <c r="FT202" s="139" t="str">
        <f t="shared" si="279"/>
        <v/>
      </c>
      <c r="FU202" s="148" t="str">
        <f t="shared" si="280"/>
        <v/>
      </c>
      <c r="FV202" s="149"/>
      <c r="FY202" s="213">
        <v>197</v>
      </c>
      <c r="FZ202">
        <v>40.31458152058935</v>
      </c>
      <c r="GA202">
        <v>44.656761741127902</v>
      </c>
      <c r="GB202">
        <v>31.804351948114103</v>
      </c>
      <c r="GC202">
        <v>11.577604420914636</v>
      </c>
      <c r="GD202">
        <v>3.3485231156610666</v>
      </c>
      <c r="GE202">
        <v>6.1290082892982545</v>
      </c>
      <c r="GF202">
        <v>7.2566417783898736</v>
      </c>
      <c r="GG202">
        <v>10.101316907654097</v>
      </c>
      <c r="GH202">
        <v>11.477144809839018</v>
      </c>
      <c r="GI202">
        <v>18.782811449007752</v>
      </c>
      <c r="GJ202"/>
      <c r="GK202"/>
      <c r="GL202"/>
      <c r="GM202"/>
      <c r="GN202" s="208"/>
      <c r="GO202" s="208"/>
      <c r="GP202" s="208"/>
      <c r="GQ202" s="208"/>
      <c r="GR202" s="208"/>
      <c r="GS202" s="208"/>
      <c r="GT202" s="208"/>
      <c r="GU202" s="213">
        <v>197</v>
      </c>
    </row>
    <row r="203" spans="1:203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301.52919804039618</v>
      </c>
      <c r="AO203">
        <v>27.31334674190045</v>
      </c>
      <c r="AP203">
        <v>30.549445768959448</v>
      </c>
      <c r="AQ203">
        <v>200.83453416382289</v>
      </c>
      <c r="AR203">
        <v>28.325354800409414</v>
      </c>
      <c r="AS203">
        <v>425.91271943800541</v>
      </c>
      <c r="AT203">
        <v>17.739823748367687</v>
      </c>
      <c r="AU203">
        <v>-3.0085539445127552</v>
      </c>
      <c r="AV203"/>
      <c r="AW203"/>
      <c r="AX203" s="146"/>
      <c r="AY203" s="76" t="str">
        <f t="shared" ca="1" si="171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6"/>
        <v/>
      </c>
      <c r="CL203" s="179" t="str">
        <f t="shared" si="207"/>
        <v/>
      </c>
      <c r="CM203" s="180" t="str">
        <f t="shared" si="208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9"/>
        <v/>
      </c>
      <c r="DB203" s="146"/>
      <c r="DC203" s="76" t="str">
        <f t="shared" ca="1" si="172"/>
        <v/>
      </c>
      <c r="DD203" t="str">
        <f t="shared" si="210"/>
        <v/>
      </c>
      <c r="DE203" s="129" t="str">
        <f t="shared" si="335"/>
        <v/>
      </c>
      <c r="DF203" s="161" t="str">
        <f t="shared" si="282"/>
        <v/>
      </c>
      <c r="DG203" s="161" t="str">
        <f t="shared" si="283"/>
        <v/>
      </c>
      <c r="DH203" s="161" t="str">
        <f t="shared" si="284"/>
        <v/>
      </c>
      <c r="DI203" s="161" t="str">
        <f t="shared" si="285"/>
        <v/>
      </c>
      <c r="DJ203" s="161" t="str">
        <f t="shared" si="286"/>
        <v/>
      </c>
      <c r="DK203" s="161" t="str">
        <f t="shared" si="287"/>
        <v/>
      </c>
      <c r="DL203" s="161" t="str">
        <f t="shared" si="288"/>
        <v/>
      </c>
      <c r="DM203" s="161" t="str">
        <f t="shared" si="289"/>
        <v/>
      </c>
      <c r="DN203" s="161" t="str">
        <f t="shared" si="312"/>
        <v/>
      </c>
      <c r="DO203" s="161" t="str">
        <f t="shared" si="313"/>
        <v/>
      </c>
      <c r="DP203" s="161" t="str">
        <f t="shared" si="314"/>
        <v/>
      </c>
      <c r="DQ203" s="161" t="str">
        <f t="shared" si="315"/>
        <v/>
      </c>
      <c r="DR203" s="161" t="str">
        <f t="shared" si="316"/>
        <v/>
      </c>
      <c r="DS203" s="161" t="str">
        <f t="shared" si="317"/>
        <v/>
      </c>
      <c r="DT203" s="161" t="str">
        <f t="shared" si="318"/>
        <v/>
      </c>
      <c r="DU203" s="161" t="str">
        <f t="shared" si="319"/>
        <v/>
      </c>
      <c r="DV203" s="161" t="str">
        <f t="shared" si="320"/>
        <v/>
      </c>
      <c r="DW203" s="161" t="str">
        <f t="shared" si="321"/>
        <v/>
      </c>
      <c r="DX203" s="161" t="str">
        <f t="shared" si="322"/>
        <v/>
      </c>
      <c r="DY203" s="161" t="str">
        <f t="shared" si="323"/>
        <v/>
      </c>
      <c r="DZ203" s="161" t="str">
        <f t="shared" si="324"/>
        <v/>
      </c>
      <c r="EA203" s="161" t="str">
        <f t="shared" si="325"/>
        <v/>
      </c>
      <c r="EB203" s="161" t="str">
        <f t="shared" si="326"/>
        <v/>
      </c>
      <c r="EC203" s="161" t="str">
        <f t="shared" si="327"/>
        <v/>
      </c>
      <c r="ED203" s="161" t="str">
        <f t="shared" si="328"/>
        <v/>
      </c>
      <c r="EE203" s="161" t="str">
        <f t="shared" si="329"/>
        <v/>
      </c>
      <c r="EF203" s="161" t="str">
        <f t="shared" si="330"/>
        <v/>
      </c>
      <c r="EG203" s="161" t="str">
        <f t="shared" si="331"/>
        <v/>
      </c>
      <c r="EH203" s="161" t="str">
        <f t="shared" si="332"/>
        <v/>
      </c>
      <c r="EI203" s="161" t="str">
        <f t="shared" si="333"/>
        <v/>
      </c>
      <c r="EJ203" s="161" t="str">
        <f t="shared" si="334"/>
        <v/>
      </c>
      <c r="EK203" s="147" t="str">
        <f t="shared" si="248"/>
        <v/>
      </c>
      <c r="EL203" s="149"/>
      <c r="EN203" s="146"/>
      <c r="EO203" s="146"/>
      <c r="EP203" s="139" t="str">
        <f t="shared" si="249"/>
        <v/>
      </c>
      <c r="EQ203" s="139" t="str">
        <f t="shared" si="250"/>
        <v/>
      </c>
      <c r="ER203" s="139" t="str">
        <f t="shared" si="251"/>
        <v/>
      </c>
      <c r="ES203" s="139" t="str">
        <f t="shared" si="252"/>
        <v/>
      </c>
      <c r="ET203" s="139" t="str">
        <f t="shared" si="253"/>
        <v/>
      </c>
      <c r="EU203" s="139" t="str">
        <f t="shared" si="254"/>
        <v/>
      </c>
      <c r="EV203" s="139" t="str">
        <f t="shared" si="255"/>
        <v/>
      </c>
      <c r="EW203" s="139" t="str">
        <f t="shared" si="256"/>
        <v/>
      </c>
      <c r="EX203" s="139" t="str">
        <f t="shared" si="257"/>
        <v/>
      </c>
      <c r="EY203" s="139" t="str">
        <f t="shared" si="258"/>
        <v/>
      </c>
      <c r="EZ203" s="139" t="str">
        <f t="shared" si="259"/>
        <v/>
      </c>
      <c r="FA203" s="139" t="str">
        <f t="shared" si="260"/>
        <v/>
      </c>
      <c r="FB203" s="139" t="str">
        <f t="shared" si="261"/>
        <v/>
      </c>
      <c r="FC203" s="139" t="str">
        <f t="shared" si="262"/>
        <v/>
      </c>
      <c r="FD203" s="139" t="str">
        <f t="shared" si="263"/>
        <v/>
      </c>
      <c r="FE203" s="139" t="str">
        <f t="shared" si="264"/>
        <v/>
      </c>
      <c r="FF203" s="139" t="str">
        <f t="shared" si="265"/>
        <v/>
      </c>
      <c r="FG203" s="139" t="str">
        <f t="shared" si="266"/>
        <v/>
      </c>
      <c r="FH203" s="139" t="str">
        <f t="shared" si="267"/>
        <v/>
      </c>
      <c r="FI203" s="139" t="str">
        <f t="shared" si="268"/>
        <v/>
      </c>
      <c r="FJ203" s="139" t="str">
        <f t="shared" si="269"/>
        <v/>
      </c>
      <c r="FK203" s="139" t="str">
        <f t="shared" si="270"/>
        <v/>
      </c>
      <c r="FL203" s="139" t="str">
        <f t="shared" si="271"/>
        <v/>
      </c>
      <c r="FM203" s="139" t="str">
        <f t="shared" si="272"/>
        <v/>
      </c>
      <c r="FN203" s="139" t="str">
        <f t="shared" si="273"/>
        <v/>
      </c>
      <c r="FO203" s="139" t="str">
        <f t="shared" si="274"/>
        <v/>
      </c>
      <c r="FP203" s="139" t="str">
        <f t="shared" si="275"/>
        <v/>
      </c>
      <c r="FQ203" s="139" t="str">
        <f t="shared" si="276"/>
        <v/>
      </c>
      <c r="FR203" s="139" t="str">
        <f t="shared" si="277"/>
        <v/>
      </c>
      <c r="FS203" s="139" t="str">
        <f t="shared" si="278"/>
        <v/>
      </c>
      <c r="FT203" s="139" t="str">
        <f t="shared" si="279"/>
        <v/>
      </c>
      <c r="FU203" s="148" t="str">
        <f t="shared" si="280"/>
        <v/>
      </c>
      <c r="FV203" s="149"/>
      <c r="FY203" s="213">
        <v>198</v>
      </c>
      <c r="FZ203">
        <v>53.095680520114087</v>
      </c>
      <c r="GA203">
        <v>45.056686346837992</v>
      </c>
      <c r="GB203">
        <v>29.583474608760032</v>
      </c>
      <c r="GC203">
        <v>14.022764747068099</v>
      </c>
      <c r="GD203">
        <v>3.68431634302127</v>
      </c>
      <c r="GE203">
        <v>4.8334661744385912</v>
      </c>
      <c r="GF203">
        <v>7.2142701130237405</v>
      </c>
      <c r="GG203">
        <v>6.4004759602232593</v>
      </c>
      <c r="GH203">
        <v>5.8699331282390403</v>
      </c>
      <c r="GI203">
        <v>19.447353800288496</v>
      </c>
      <c r="GJ203"/>
      <c r="GK203"/>
      <c r="GL203"/>
      <c r="GM203"/>
      <c r="GN203" s="208"/>
      <c r="GO203" s="208"/>
      <c r="GP203" s="208"/>
      <c r="GQ203" s="208"/>
      <c r="GR203" s="208"/>
      <c r="GS203" s="208"/>
      <c r="GT203" s="208"/>
      <c r="GU203" s="213">
        <v>198</v>
      </c>
    </row>
    <row r="204" spans="1:203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298.46642257680031</v>
      </c>
      <c r="AO204">
        <v>28.193724895750233</v>
      </c>
      <c r="AP204">
        <v>40.53534006441599</v>
      </c>
      <c r="AQ204">
        <v>206.48802446593498</v>
      </c>
      <c r="AR204">
        <v>29.53067124420259</v>
      </c>
      <c r="AS204">
        <v>457.99756533085315</v>
      </c>
      <c r="AT204">
        <v>18.776707141965726</v>
      </c>
      <c r="AU204">
        <v>25.07885929006931</v>
      </c>
      <c r="AV204"/>
      <c r="AW204"/>
      <c r="AX204" s="146"/>
      <c r="AY204" s="76" t="str">
        <f t="shared" ca="1" si="171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6"/>
        <v/>
      </c>
      <c r="CL204" s="179" t="str">
        <f t="shared" si="207"/>
        <v/>
      </c>
      <c r="CM204" s="180" t="str">
        <f t="shared" si="208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9"/>
        <v/>
      </c>
      <c r="DB204" s="146"/>
      <c r="DC204" s="76" t="str">
        <f t="shared" ca="1" si="172"/>
        <v/>
      </c>
      <c r="DD204" t="str">
        <f t="shared" si="210"/>
        <v/>
      </c>
      <c r="DE204" s="129" t="str">
        <f t="shared" si="335"/>
        <v/>
      </c>
      <c r="DF204" s="161" t="str">
        <f t="shared" si="282"/>
        <v/>
      </c>
      <c r="DG204" s="161" t="str">
        <f t="shared" si="283"/>
        <v/>
      </c>
      <c r="DH204" s="161" t="str">
        <f t="shared" si="284"/>
        <v/>
      </c>
      <c r="DI204" s="161" t="str">
        <f t="shared" si="285"/>
        <v/>
      </c>
      <c r="DJ204" s="161" t="str">
        <f t="shared" si="286"/>
        <v/>
      </c>
      <c r="DK204" s="161" t="str">
        <f t="shared" si="287"/>
        <v/>
      </c>
      <c r="DL204" s="161" t="str">
        <f t="shared" si="288"/>
        <v/>
      </c>
      <c r="DM204" s="161" t="str">
        <f t="shared" si="289"/>
        <v/>
      </c>
      <c r="DN204" s="161" t="str">
        <f t="shared" si="312"/>
        <v/>
      </c>
      <c r="DO204" s="161" t="str">
        <f t="shared" si="313"/>
        <v/>
      </c>
      <c r="DP204" s="161" t="str">
        <f t="shared" si="314"/>
        <v/>
      </c>
      <c r="DQ204" s="161" t="str">
        <f t="shared" si="315"/>
        <v/>
      </c>
      <c r="DR204" s="161" t="str">
        <f t="shared" si="316"/>
        <v/>
      </c>
      <c r="DS204" s="161" t="str">
        <f t="shared" si="317"/>
        <v/>
      </c>
      <c r="DT204" s="161" t="str">
        <f t="shared" si="318"/>
        <v/>
      </c>
      <c r="DU204" s="161" t="str">
        <f t="shared" si="319"/>
        <v/>
      </c>
      <c r="DV204" s="161" t="str">
        <f t="shared" si="320"/>
        <v/>
      </c>
      <c r="DW204" s="161" t="str">
        <f t="shared" si="321"/>
        <v/>
      </c>
      <c r="DX204" s="161" t="str">
        <f t="shared" si="322"/>
        <v/>
      </c>
      <c r="DY204" s="161" t="str">
        <f t="shared" si="323"/>
        <v/>
      </c>
      <c r="DZ204" s="161" t="str">
        <f t="shared" si="324"/>
        <v/>
      </c>
      <c r="EA204" s="161" t="str">
        <f t="shared" si="325"/>
        <v/>
      </c>
      <c r="EB204" s="161" t="str">
        <f t="shared" si="326"/>
        <v/>
      </c>
      <c r="EC204" s="161" t="str">
        <f t="shared" si="327"/>
        <v/>
      </c>
      <c r="ED204" s="161" t="str">
        <f t="shared" si="328"/>
        <v/>
      </c>
      <c r="EE204" s="161" t="str">
        <f t="shared" si="329"/>
        <v/>
      </c>
      <c r="EF204" s="161" t="str">
        <f t="shared" si="330"/>
        <v/>
      </c>
      <c r="EG204" s="161" t="str">
        <f t="shared" si="331"/>
        <v/>
      </c>
      <c r="EH204" s="161" t="str">
        <f t="shared" si="332"/>
        <v/>
      </c>
      <c r="EI204" s="161" t="str">
        <f t="shared" si="333"/>
        <v/>
      </c>
      <c r="EJ204" s="161" t="str">
        <f t="shared" si="334"/>
        <v/>
      </c>
      <c r="EK204" s="147" t="str">
        <f t="shared" si="248"/>
        <v/>
      </c>
      <c r="EL204" s="149"/>
      <c r="EN204" s="146"/>
      <c r="EO204" s="146"/>
      <c r="EP204" s="139" t="str">
        <f t="shared" si="249"/>
        <v/>
      </c>
      <c r="EQ204" s="139" t="str">
        <f t="shared" si="250"/>
        <v/>
      </c>
      <c r="ER204" s="139" t="str">
        <f t="shared" si="251"/>
        <v/>
      </c>
      <c r="ES204" s="139" t="str">
        <f t="shared" si="252"/>
        <v/>
      </c>
      <c r="ET204" s="139" t="str">
        <f t="shared" si="253"/>
        <v/>
      </c>
      <c r="EU204" s="139" t="str">
        <f t="shared" si="254"/>
        <v/>
      </c>
      <c r="EV204" s="139" t="str">
        <f t="shared" si="255"/>
        <v/>
      </c>
      <c r="EW204" s="139" t="str">
        <f t="shared" si="256"/>
        <v/>
      </c>
      <c r="EX204" s="139" t="str">
        <f t="shared" si="257"/>
        <v/>
      </c>
      <c r="EY204" s="139" t="str">
        <f t="shared" si="258"/>
        <v/>
      </c>
      <c r="EZ204" s="139" t="str">
        <f t="shared" si="259"/>
        <v/>
      </c>
      <c r="FA204" s="139" t="str">
        <f t="shared" si="260"/>
        <v/>
      </c>
      <c r="FB204" s="139" t="str">
        <f t="shared" si="261"/>
        <v/>
      </c>
      <c r="FC204" s="139" t="str">
        <f t="shared" si="262"/>
        <v/>
      </c>
      <c r="FD204" s="139" t="str">
        <f t="shared" si="263"/>
        <v/>
      </c>
      <c r="FE204" s="139" t="str">
        <f t="shared" si="264"/>
        <v/>
      </c>
      <c r="FF204" s="139" t="str">
        <f t="shared" si="265"/>
        <v/>
      </c>
      <c r="FG204" s="139" t="str">
        <f t="shared" si="266"/>
        <v/>
      </c>
      <c r="FH204" s="139" t="str">
        <f t="shared" si="267"/>
        <v/>
      </c>
      <c r="FI204" s="139" t="str">
        <f t="shared" si="268"/>
        <v/>
      </c>
      <c r="FJ204" s="139" t="str">
        <f t="shared" si="269"/>
        <v/>
      </c>
      <c r="FK204" s="139" t="str">
        <f t="shared" si="270"/>
        <v/>
      </c>
      <c r="FL204" s="139" t="str">
        <f t="shared" si="271"/>
        <v/>
      </c>
      <c r="FM204" s="139" t="str">
        <f t="shared" si="272"/>
        <v/>
      </c>
      <c r="FN204" s="139" t="str">
        <f t="shared" si="273"/>
        <v/>
      </c>
      <c r="FO204" s="139" t="str">
        <f t="shared" si="274"/>
        <v/>
      </c>
      <c r="FP204" s="139" t="str">
        <f t="shared" si="275"/>
        <v/>
      </c>
      <c r="FQ204" s="139" t="str">
        <f t="shared" si="276"/>
        <v/>
      </c>
      <c r="FR204" s="139" t="str">
        <f t="shared" si="277"/>
        <v/>
      </c>
      <c r="FS204" s="139" t="str">
        <f t="shared" si="278"/>
        <v/>
      </c>
      <c r="FT204" s="139" t="str">
        <f t="shared" si="279"/>
        <v/>
      </c>
      <c r="FU204" s="148" t="str">
        <f t="shared" si="280"/>
        <v/>
      </c>
      <c r="FV204" s="149"/>
      <c r="FY204" s="213">
        <v>199</v>
      </c>
      <c r="FZ204">
        <v>50.825606699380195</v>
      </c>
      <c r="GA204">
        <v>43.503117768929194</v>
      </c>
      <c r="GB204">
        <v>31.476749171385915</v>
      </c>
      <c r="GC204">
        <v>14.403918365171426</v>
      </c>
      <c r="GD204">
        <v>3.0541800934026098</v>
      </c>
      <c r="GE204">
        <v>3.5575896834103711</v>
      </c>
      <c r="GF204">
        <v>5.8271331874303556</v>
      </c>
      <c r="GG204">
        <v>7.1020999143830119</v>
      </c>
      <c r="GH204">
        <v>9.1115308489176421</v>
      </c>
      <c r="GI204">
        <v>19.453368744529449</v>
      </c>
      <c r="GJ204"/>
      <c r="GK204"/>
      <c r="GL204"/>
      <c r="GM204"/>
      <c r="GN204" s="208"/>
      <c r="GO204" s="208"/>
      <c r="GP204" s="208"/>
      <c r="GQ204" s="208"/>
      <c r="GR204" s="208"/>
      <c r="GS204" s="208"/>
      <c r="GT204" s="208"/>
      <c r="GU204" s="213">
        <v>199</v>
      </c>
    </row>
    <row r="205" spans="1:203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304.17639204550653</v>
      </c>
      <c r="AO205">
        <v>24.063978208768706</v>
      </c>
      <c r="AP205">
        <v>20.443623115127302</v>
      </c>
      <c r="AQ205">
        <v>168.68604479767012</v>
      </c>
      <c r="AR205">
        <v>24.783126067682538</v>
      </c>
      <c r="AS205">
        <v>347.77701016636689</v>
      </c>
      <c r="AT205">
        <v>14.772535868417563</v>
      </c>
      <c r="AU205">
        <v>-3.1182101303122209</v>
      </c>
      <c r="AV205"/>
      <c r="AW205"/>
      <c r="AX205" s="146"/>
      <c r="AY205" s="76" t="str">
        <f t="shared" ca="1" si="171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6"/>
        <v/>
      </c>
      <c r="CL205" s="179" t="str">
        <f t="shared" si="207"/>
        <v/>
      </c>
      <c r="CM205" s="180" t="str">
        <f t="shared" si="208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9"/>
        <v/>
      </c>
      <c r="DB205" s="146"/>
      <c r="DC205" s="76" t="str">
        <f t="shared" ca="1" si="172"/>
        <v/>
      </c>
      <c r="DD205" t="str">
        <f t="shared" si="210"/>
        <v/>
      </c>
      <c r="DE205" s="129" t="str">
        <f t="shared" si="335"/>
        <v/>
      </c>
      <c r="DF205" s="161" t="str">
        <f t="shared" si="282"/>
        <v/>
      </c>
      <c r="DG205" s="161" t="str">
        <f t="shared" si="283"/>
        <v/>
      </c>
      <c r="DH205" s="161" t="str">
        <f t="shared" si="284"/>
        <v/>
      </c>
      <c r="DI205" s="161" t="str">
        <f t="shared" si="285"/>
        <v/>
      </c>
      <c r="DJ205" s="161" t="str">
        <f t="shared" si="286"/>
        <v/>
      </c>
      <c r="DK205" s="161" t="str">
        <f t="shared" si="287"/>
        <v/>
      </c>
      <c r="DL205" s="161" t="str">
        <f t="shared" si="288"/>
        <v/>
      </c>
      <c r="DM205" s="161" t="str">
        <f t="shared" si="289"/>
        <v/>
      </c>
      <c r="DN205" s="161" t="str">
        <f t="shared" si="312"/>
        <v/>
      </c>
      <c r="DO205" s="161" t="str">
        <f t="shared" si="313"/>
        <v/>
      </c>
      <c r="DP205" s="161" t="str">
        <f t="shared" si="314"/>
        <v/>
      </c>
      <c r="DQ205" s="161" t="str">
        <f t="shared" si="315"/>
        <v/>
      </c>
      <c r="DR205" s="161" t="str">
        <f t="shared" si="316"/>
        <v/>
      </c>
      <c r="DS205" s="161" t="str">
        <f t="shared" si="317"/>
        <v/>
      </c>
      <c r="DT205" s="161" t="str">
        <f t="shared" si="318"/>
        <v/>
      </c>
      <c r="DU205" s="161" t="str">
        <f t="shared" si="319"/>
        <v/>
      </c>
      <c r="DV205" s="161" t="str">
        <f t="shared" si="320"/>
        <v/>
      </c>
      <c r="DW205" s="161" t="str">
        <f t="shared" si="321"/>
        <v/>
      </c>
      <c r="DX205" s="161" t="str">
        <f t="shared" si="322"/>
        <v/>
      </c>
      <c r="DY205" s="161" t="str">
        <f t="shared" si="323"/>
        <v/>
      </c>
      <c r="DZ205" s="161" t="str">
        <f t="shared" si="324"/>
        <v/>
      </c>
      <c r="EA205" s="161" t="str">
        <f t="shared" si="325"/>
        <v/>
      </c>
      <c r="EB205" s="161" t="str">
        <f t="shared" si="326"/>
        <v/>
      </c>
      <c r="EC205" s="161" t="str">
        <f t="shared" si="327"/>
        <v/>
      </c>
      <c r="ED205" s="161" t="str">
        <f t="shared" si="328"/>
        <v/>
      </c>
      <c r="EE205" s="161" t="str">
        <f t="shared" si="329"/>
        <v/>
      </c>
      <c r="EF205" s="161" t="str">
        <f t="shared" si="330"/>
        <v/>
      </c>
      <c r="EG205" s="161" t="str">
        <f t="shared" si="331"/>
        <v/>
      </c>
      <c r="EH205" s="161" t="str">
        <f t="shared" si="332"/>
        <v/>
      </c>
      <c r="EI205" s="161" t="str">
        <f t="shared" si="333"/>
        <v/>
      </c>
      <c r="EJ205" s="161" t="str">
        <f t="shared" si="334"/>
        <v/>
      </c>
      <c r="EK205" s="147" t="str">
        <f t="shared" si="248"/>
        <v/>
      </c>
      <c r="EL205" s="149"/>
      <c r="EN205" s="146"/>
      <c r="EO205" s="146"/>
      <c r="EP205" s="139" t="str">
        <f t="shared" si="249"/>
        <v/>
      </c>
      <c r="EQ205" s="139" t="str">
        <f t="shared" si="250"/>
        <v/>
      </c>
      <c r="ER205" s="139" t="str">
        <f t="shared" si="251"/>
        <v/>
      </c>
      <c r="ES205" s="139" t="str">
        <f t="shared" si="252"/>
        <v/>
      </c>
      <c r="ET205" s="139" t="str">
        <f t="shared" si="253"/>
        <v/>
      </c>
      <c r="EU205" s="139" t="str">
        <f t="shared" si="254"/>
        <v/>
      </c>
      <c r="EV205" s="139" t="str">
        <f t="shared" si="255"/>
        <v/>
      </c>
      <c r="EW205" s="139" t="str">
        <f t="shared" si="256"/>
        <v/>
      </c>
      <c r="EX205" s="139" t="str">
        <f t="shared" si="257"/>
        <v/>
      </c>
      <c r="EY205" s="139" t="str">
        <f t="shared" si="258"/>
        <v/>
      </c>
      <c r="EZ205" s="139" t="str">
        <f t="shared" si="259"/>
        <v/>
      </c>
      <c r="FA205" s="139" t="str">
        <f t="shared" si="260"/>
        <v/>
      </c>
      <c r="FB205" s="139" t="str">
        <f t="shared" si="261"/>
        <v/>
      </c>
      <c r="FC205" s="139" t="str">
        <f t="shared" si="262"/>
        <v/>
      </c>
      <c r="FD205" s="139" t="str">
        <f t="shared" si="263"/>
        <v/>
      </c>
      <c r="FE205" s="139" t="str">
        <f t="shared" si="264"/>
        <v/>
      </c>
      <c r="FF205" s="139" t="str">
        <f t="shared" si="265"/>
        <v/>
      </c>
      <c r="FG205" s="139" t="str">
        <f t="shared" si="266"/>
        <v/>
      </c>
      <c r="FH205" s="139" t="str">
        <f t="shared" si="267"/>
        <v/>
      </c>
      <c r="FI205" s="139" t="str">
        <f t="shared" si="268"/>
        <v/>
      </c>
      <c r="FJ205" s="139" t="str">
        <f t="shared" si="269"/>
        <v/>
      </c>
      <c r="FK205" s="139" t="str">
        <f t="shared" si="270"/>
        <v/>
      </c>
      <c r="FL205" s="139" t="str">
        <f t="shared" si="271"/>
        <v/>
      </c>
      <c r="FM205" s="139" t="str">
        <f t="shared" si="272"/>
        <v/>
      </c>
      <c r="FN205" s="139" t="str">
        <f t="shared" si="273"/>
        <v/>
      </c>
      <c r="FO205" s="139" t="str">
        <f t="shared" si="274"/>
        <v/>
      </c>
      <c r="FP205" s="139" t="str">
        <f t="shared" si="275"/>
        <v/>
      </c>
      <c r="FQ205" s="139" t="str">
        <f t="shared" si="276"/>
        <v/>
      </c>
      <c r="FR205" s="139" t="str">
        <f t="shared" si="277"/>
        <v/>
      </c>
      <c r="FS205" s="139" t="str">
        <f t="shared" si="278"/>
        <v/>
      </c>
      <c r="FT205" s="139" t="str">
        <f t="shared" si="279"/>
        <v/>
      </c>
      <c r="FU205" s="148" t="str">
        <f t="shared" si="280"/>
        <v/>
      </c>
      <c r="FV205" s="149"/>
      <c r="FY205" s="213">
        <v>200</v>
      </c>
      <c r="FZ205">
        <v>58.141986977114023</v>
      </c>
      <c r="GA205">
        <v>58.243798910441953</v>
      </c>
      <c r="GB205">
        <v>34.519017969176538</v>
      </c>
      <c r="GC205">
        <v>11.808156316888116</v>
      </c>
      <c r="GD205">
        <v>4.9952248058364788</v>
      </c>
      <c r="GE205">
        <v>6.9762422108329956</v>
      </c>
      <c r="GF205">
        <v>2.7303371468876914</v>
      </c>
      <c r="GG205">
        <v>1.1933209493236965</v>
      </c>
      <c r="GH205">
        <v>4.4949334875241913</v>
      </c>
      <c r="GI205">
        <v>21.077473495662158</v>
      </c>
      <c r="GJ205"/>
      <c r="GK205"/>
      <c r="GL205"/>
      <c r="GM205"/>
      <c r="GN205" s="208"/>
      <c r="GO205" s="208"/>
      <c r="GP205" s="208"/>
      <c r="GQ205" s="208"/>
      <c r="GR205" s="208"/>
      <c r="GS205" s="208"/>
      <c r="GT205" s="208"/>
      <c r="GU205" s="213">
        <v>200</v>
      </c>
    </row>
    <row r="206" spans="1:203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274.80988322200926</v>
      </c>
      <c r="AO206">
        <v>22.209937647409124</v>
      </c>
      <c r="AP206">
        <v>63.642753123092476</v>
      </c>
      <c r="AQ206">
        <v>154.82833229624927</v>
      </c>
      <c r="AR206">
        <v>23.675360870408461</v>
      </c>
      <c r="AS206">
        <v>332.76379042939249</v>
      </c>
      <c r="AT206">
        <v>14.813554841471563</v>
      </c>
      <c r="AU206">
        <v>22.134783578552753</v>
      </c>
      <c r="AV206"/>
      <c r="AW206"/>
      <c r="AX206" s="146"/>
      <c r="AY206" s="76" t="str">
        <f t="shared" ca="1" si="171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6"/>
        <v/>
      </c>
      <c r="CL206" s="179" t="str">
        <f t="shared" si="207"/>
        <v/>
      </c>
      <c r="CM206" s="180" t="str">
        <f t="shared" si="208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9"/>
        <v/>
      </c>
      <c r="DB206" s="146"/>
      <c r="DC206" s="76" t="str">
        <f t="shared" ca="1" si="172"/>
        <v/>
      </c>
      <c r="DD206" t="str">
        <f t="shared" si="210"/>
        <v/>
      </c>
      <c r="DE206" s="129" t="str">
        <f t="shared" si="335"/>
        <v/>
      </c>
      <c r="DF206" s="161" t="str">
        <f t="shared" si="282"/>
        <v/>
      </c>
      <c r="DG206" s="161" t="str">
        <f t="shared" si="283"/>
        <v/>
      </c>
      <c r="DH206" s="161" t="str">
        <f t="shared" si="284"/>
        <v/>
      </c>
      <c r="DI206" s="161" t="str">
        <f t="shared" si="285"/>
        <v/>
      </c>
      <c r="DJ206" s="161" t="str">
        <f t="shared" si="286"/>
        <v/>
      </c>
      <c r="DK206" s="161" t="str">
        <f t="shared" si="287"/>
        <v/>
      </c>
      <c r="DL206" s="161" t="str">
        <f t="shared" si="288"/>
        <v/>
      </c>
      <c r="DM206" s="161" t="str">
        <f t="shared" si="289"/>
        <v/>
      </c>
      <c r="DN206" s="161" t="str">
        <f t="shared" si="312"/>
        <v/>
      </c>
      <c r="DO206" s="161" t="str">
        <f t="shared" si="313"/>
        <v/>
      </c>
      <c r="DP206" s="161" t="str">
        <f t="shared" si="314"/>
        <v/>
      </c>
      <c r="DQ206" s="161" t="str">
        <f t="shared" si="315"/>
        <v/>
      </c>
      <c r="DR206" s="161" t="str">
        <f t="shared" si="316"/>
        <v/>
      </c>
      <c r="DS206" s="161" t="str">
        <f t="shared" si="317"/>
        <v/>
      </c>
      <c r="DT206" s="161" t="str">
        <f t="shared" si="318"/>
        <v/>
      </c>
      <c r="DU206" s="161" t="str">
        <f t="shared" si="319"/>
        <v/>
      </c>
      <c r="DV206" s="161" t="str">
        <f t="shared" si="320"/>
        <v/>
      </c>
      <c r="DW206" s="161" t="str">
        <f t="shared" si="321"/>
        <v/>
      </c>
      <c r="DX206" s="161" t="str">
        <f t="shared" si="322"/>
        <v/>
      </c>
      <c r="DY206" s="161" t="str">
        <f t="shared" si="323"/>
        <v/>
      </c>
      <c r="DZ206" s="161" t="str">
        <f t="shared" si="324"/>
        <v/>
      </c>
      <c r="EA206" s="161" t="str">
        <f t="shared" si="325"/>
        <v/>
      </c>
      <c r="EB206" s="161" t="str">
        <f t="shared" si="326"/>
        <v/>
      </c>
      <c r="EC206" s="161" t="str">
        <f t="shared" si="327"/>
        <v/>
      </c>
      <c r="ED206" s="161" t="str">
        <f t="shared" si="328"/>
        <v/>
      </c>
      <c r="EE206" s="161" t="str">
        <f t="shared" si="329"/>
        <v/>
      </c>
      <c r="EF206" s="161" t="str">
        <f t="shared" si="330"/>
        <v/>
      </c>
      <c r="EG206" s="161" t="str">
        <f t="shared" si="331"/>
        <v/>
      </c>
      <c r="EH206" s="161" t="str">
        <f t="shared" si="332"/>
        <v/>
      </c>
      <c r="EI206" s="161" t="str">
        <f t="shared" si="333"/>
        <v/>
      </c>
      <c r="EJ206" s="161" t="str">
        <f t="shared" si="334"/>
        <v/>
      </c>
      <c r="EK206" s="147" t="str">
        <f t="shared" si="248"/>
        <v/>
      </c>
      <c r="EL206" s="149"/>
      <c r="EN206" s="146"/>
      <c r="EO206" s="146"/>
      <c r="EP206" s="139" t="str">
        <f t="shared" si="249"/>
        <v/>
      </c>
      <c r="EQ206" s="139" t="str">
        <f t="shared" si="250"/>
        <v/>
      </c>
      <c r="ER206" s="139" t="str">
        <f t="shared" si="251"/>
        <v/>
      </c>
      <c r="ES206" s="139" t="str">
        <f t="shared" si="252"/>
        <v/>
      </c>
      <c r="ET206" s="139" t="str">
        <f t="shared" si="253"/>
        <v/>
      </c>
      <c r="EU206" s="139" t="str">
        <f t="shared" si="254"/>
        <v/>
      </c>
      <c r="EV206" s="139" t="str">
        <f t="shared" si="255"/>
        <v/>
      </c>
      <c r="EW206" s="139" t="str">
        <f t="shared" si="256"/>
        <v/>
      </c>
      <c r="EX206" s="139" t="str">
        <f t="shared" si="257"/>
        <v/>
      </c>
      <c r="EY206" s="139" t="str">
        <f t="shared" si="258"/>
        <v/>
      </c>
      <c r="EZ206" s="139" t="str">
        <f t="shared" si="259"/>
        <v/>
      </c>
      <c r="FA206" s="139" t="str">
        <f t="shared" si="260"/>
        <v/>
      </c>
      <c r="FB206" s="139" t="str">
        <f t="shared" si="261"/>
        <v/>
      </c>
      <c r="FC206" s="139" t="str">
        <f t="shared" si="262"/>
        <v/>
      </c>
      <c r="FD206" s="139" t="str">
        <f t="shared" si="263"/>
        <v/>
      </c>
      <c r="FE206" s="139" t="str">
        <f t="shared" si="264"/>
        <v/>
      </c>
      <c r="FF206" s="139" t="str">
        <f t="shared" si="265"/>
        <v/>
      </c>
      <c r="FG206" s="139" t="str">
        <f t="shared" si="266"/>
        <v/>
      </c>
      <c r="FH206" s="139" t="str">
        <f t="shared" si="267"/>
        <v/>
      </c>
      <c r="FI206" s="139" t="str">
        <f t="shared" si="268"/>
        <v/>
      </c>
      <c r="FJ206" s="139" t="str">
        <f t="shared" si="269"/>
        <v/>
      </c>
      <c r="FK206" s="139" t="str">
        <f t="shared" si="270"/>
        <v/>
      </c>
      <c r="FL206" s="139" t="str">
        <f t="shared" si="271"/>
        <v/>
      </c>
      <c r="FM206" s="139" t="str">
        <f t="shared" si="272"/>
        <v/>
      </c>
      <c r="FN206" s="139" t="str">
        <f t="shared" si="273"/>
        <v/>
      </c>
      <c r="FO206" s="139" t="str">
        <f t="shared" si="274"/>
        <v/>
      </c>
      <c r="FP206" s="139" t="str">
        <f t="shared" si="275"/>
        <v/>
      </c>
      <c r="FQ206" s="139" t="str">
        <f t="shared" si="276"/>
        <v/>
      </c>
      <c r="FR206" s="139" t="str">
        <f t="shared" si="277"/>
        <v/>
      </c>
      <c r="FS206" s="139" t="str">
        <f t="shared" si="278"/>
        <v/>
      </c>
      <c r="FT206" s="139" t="str">
        <f t="shared" si="279"/>
        <v/>
      </c>
      <c r="FU206" s="148" t="str">
        <f t="shared" si="280"/>
        <v/>
      </c>
      <c r="FV206" s="149"/>
      <c r="FY206" s="213">
        <v>201</v>
      </c>
      <c r="FZ206">
        <v>50.486473231141723</v>
      </c>
      <c r="GA206">
        <v>57.413166612620387</v>
      </c>
      <c r="GB206">
        <v>34.260235742178573</v>
      </c>
      <c r="GC206">
        <v>11.266544401181058</v>
      </c>
      <c r="GD206">
        <v>3.0690664342303555</v>
      </c>
      <c r="GE206">
        <v>5.3264140557403197</v>
      </c>
      <c r="GF206">
        <v>1.2682284677805309</v>
      </c>
      <c r="GG206">
        <v>2.5829509058636568</v>
      </c>
      <c r="GH206">
        <v>5.7359082177189791</v>
      </c>
      <c r="GI206">
        <v>18.738484629568482</v>
      </c>
      <c r="GJ206"/>
      <c r="GK206"/>
      <c r="GL206"/>
      <c r="GM206"/>
      <c r="GN206" s="208"/>
      <c r="GO206" s="208"/>
      <c r="GP206" s="208"/>
      <c r="GQ206" s="208"/>
      <c r="GR206" s="208"/>
      <c r="GS206" s="208"/>
      <c r="GT206" s="208"/>
      <c r="GU206" s="213">
        <v>201</v>
      </c>
    </row>
    <row r="207" spans="1:203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313.50331583305035</v>
      </c>
      <c r="AO207">
        <v>24.391368633439768</v>
      </c>
      <c r="AP207">
        <v>32.674923683685989</v>
      </c>
      <c r="AQ207">
        <v>178.91223363717344</v>
      </c>
      <c r="AR207">
        <v>24.715033217075291</v>
      </c>
      <c r="AS207">
        <v>372.91181764652839</v>
      </c>
      <c r="AT207">
        <v>15.103939612437337</v>
      </c>
      <c r="AU207">
        <v>-5.9599027867940428</v>
      </c>
      <c r="AV207"/>
      <c r="AW207"/>
      <c r="AX207" s="146"/>
      <c r="AY207" s="76" t="str">
        <f t="shared" ca="1" si="171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6"/>
        <v/>
      </c>
      <c r="CL207" s="179" t="str">
        <f t="shared" si="207"/>
        <v/>
      </c>
      <c r="CM207" s="180" t="str">
        <f t="shared" si="208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9"/>
        <v/>
      </c>
      <c r="DB207" s="146"/>
      <c r="DC207" s="76" t="str">
        <f t="shared" ca="1" si="172"/>
        <v/>
      </c>
      <c r="DD207" t="str">
        <f t="shared" si="210"/>
        <v/>
      </c>
      <c r="DE207" s="129" t="str">
        <f t="shared" si="335"/>
        <v/>
      </c>
      <c r="DF207" s="161" t="str">
        <f t="shared" si="282"/>
        <v/>
      </c>
      <c r="DG207" s="161" t="str">
        <f t="shared" si="283"/>
        <v/>
      </c>
      <c r="DH207" s="161" t="str">
        <f t="shared" si="284"/>
        <v/>
      </c>
      <c r="DI207" s="161" t="str">
        <f t="shared" si="285"/>
        <v/>
      </c>
      <c r="DJ207" s="161" t="str">
        <f t="shared" si="286"/>
        <v/>
      </c>
      <c r="DK207" s="161" t="str">
        <f t="shared" si="287"/>
        <v/>
      </c>
      <c r="DL207" s="161" t="str">
        <f t="shared" si="288"/>
        <v/>
      </c>
      <c r="DM207" s="161" t="str">
        <f t="shared" si="289"/>
        <v/>
      </c>
      <c r="DN207" s="161" t="str">
        <f t="shared" si="312"/>
        <v/>
      </c>
      <c r="DO207" s="161" t="str">
        <f t="shared" ref="DO207:EJ207" si="336">IF($AZ207="", "", (BK207*$CW207)/$CZ207)</f>
        <v/>
      </c>
      <c r="DP207" s="161" t="str">
        <f t="shared" si="336"/>
        <v/>
      </c>
      <c r="DQ207" s="161" t="str">
        <f t="shared" si="336"/>
        <v/>
      </c>
      <c r="DR207" s="161" t="str">
        <f t="shared" si="336"/>
        <v/>
      </c>
      <c r="DS207" s="161" t="str">
        <f t="shared" si="336"/>
        <v/>
      </c>
      <c r="DT207" s="161" t="str">
        <f t="shared" si="336"/>
        <v/>
      </c>
      <c r="DU207" s="161" t="str">
        <f t="shared" si="336"/>
        <v/>
      </c>
      <c r="DV207" s="161" t="str">
        <f t="shared" si="336"/>
        <v/>
      </c>
      <c r="DW207" s="161" t="str">
        <f t="shared" si="336"/>
        <v/>
      </c>
      <c r="DX207" s="161" t="str">
        <f t="shared" si="336"/>
        <v/>
      </c>
      <c r="DY207" s="161" t="str">
        <f t="shared" si="336"/>
        <v/>
      </c>
      <c r="DZ207" s="161" t="str">
        <f t="shared" si="336"/>
        <v/>
      </c>
      <c r="EA207" s="161" t="str">
        <f t="shared" si="336"/>
        <v/>
      </c>
      <c r="EB207" s="161" t="str">
        <f t="shared" si="336"/>
        <v/>
      </c>
      <c r="EC207" s="161" t="str">
        <f t="shared" si="336"/>
        <v/>
      </c>
      <c r="ED207" s="161" t="str">
        <f t="shared" si="336"/>
        <v/>
      </c>
      <c r="EE207" s="161" t="str">
        <f t="shared" si="336"/>
        <v/>
      </c>
      <c r="EF207" s="161" t="str">
        <f t="shared" si="336"/>
        <v/>
      </c>
      <c r="EG207" s="161" t="str">
        <f t="shared" si="336"/>
        <v/>
      </c>
      <c r="EH207" s="161" t="str">
        <f t="shared" si="336"/>
        <v/>
      </c>
      <c r="EI207" s="161" t="str">
        <f t="shared" si="336"/>
        <v/>
      </c>
      <c r="EJ207" s="161" t="str">
        <f t="shared" si="336"/>
        <v/>
      </c>
      <c r="EK207" s="147" t="str">
        <f t="shared" si="248"/>
        <v/>
      </c>
      <c r="EL207" s="149"/>
      <c r="EN207" s="146"/>
      <c r="EO207" s="146"/>
      <c r="EP207" s="139" t="str">
        <f t="shared" si="249"/>
        <v/>
      </c>
      <c r="EQ207" s="139" t="str">
        <f t="shared" si="250"/>
        <v/>
      </c>
      <c r="ER207" s="139" t="str">
        <f t="shared" si="251"/>
        <v/>
      </c>
      <c r="ES207" s="139" t="str">
        <f t="shared" si="252"/>
        <v/>
      </c>
      <c r="ET207" s="139" t="str">
        <f t="shared" si="253"/>
        <v/>
      </c>
      <c r="EU207" s="139" t="str">
        <f t="shared" si="254"/>
        <v/>
      </c>
      <c r="EV207" s="139" t="str">
        <f t="shared" si="255"/>
        <v/>
      </c>
      <c r="EW207" s="139" t="str">
        <f t="shared" si="256"/>
        <v/>
      </c>
      <c r="EX207" s="139" t="str">
        <f t="shared" si="257"/>
        <v/>
      </c>
      <c r="EY207" s="139" t="str">
        <f t="shared" si="258"/>
        <v/>
      </c>
      <c r="EZ207" s="139" t="str">
        <f t="shared" si="259"/>
        <v/>
      </c>
      <c r="FA207" s="139" t="str">
        <f t="shared" si="260"/>
        <v/>
      </c>
      <c r="FB207" s="139" t="str">
        <f t="shared" si="261"/>
        <v/>
      </c>
      <c r="FC207" s="139" t="str">
        <f t="shared" si="262"/>
        <v/>
      </c>
      <c r="FD207" s="139" t="str">
        <f t="shared" si="263"/>
        <v/>
      </c>
      <c r="FE207" s="139" t="str">
        <f t="shared" si="264"/>
        <v/>
      </c>
      <c r="FF207" s="139" t="str">
        <f t="shared" si="265"/>
        <v/>
      </c>
      <c r="FG207" s="139" t="str">
        <f t="shared" si="266"/>
        <v/>
      </c>
      <c r="FH207" s="139" t="str">
        <f t="shared" si="267"/>
        <v/>
      </c>
      <c r="FI207" s="139" t="str">
        <f t="shared" si="268"/>
        <v/>
      </c>
      <c r="FJ207" s="139" t="str">
        <f t="shared" si="269"/>
        <v/>
      </c>
      <c r="FK207" s="139" t="str">
        <f t="shared" si="270"/>
        <v/>
      </c>
      <c r="FL207" s="139" t="str">
        <f t="shared" si="271"/>
        <v/>
      </c>
      <c r="FM207" s="139" t="str">
        <f t="shared" si="272"/>
        <v/>
      </c>
      <c r="FN207" s="139" t="str">
        <f t="shared" si="273"/>
        <v/>
      </c>
      <c r="FO207" s="139" t="str">
        <f t="shared" si="274"/>
        <v/>
      </c>
      <c r="FP207" s="139" t="str">
        <f t="shared" si="275"/>
        <v/>
      </c>
      <c r="FQ207" s="139" t="str">
        <f t="shared" si="276"/>
        <v/>
      </c>
      <c r="FR207" s="139" t="str">
        <f t="shared" si="277"/>
        <v/>
      </c>
      <c r="FS207" s="139" t="str">
        <f t="shared" si="278"/>
        <v/>
      </c>
      <c r="FT207" s="139" t="str">
        <f t="shared" si="279"/>
        <v/>
      </c>
      <c r="FU207" s="148" t="str">
        <f t="shared" si="280"/>
        <v/>
      </c>
      <c r="FV207" s="149"/>
      <c r="FY207" s="213">
        <v>202</v>
      </c>
      <c r="FZ207">
        <v>46.107126444251584</v>
      </c>
      <c r="GA207">
        <v>52.694273197998463</v>
      </c>
      <c r="GB207">
        <v>36.898480581882339</v>
      </c>
      <c r="GC207">
        <v>15.355123146681883</v>
      </c>
      <c r="GD207">
        <v>2.1856589301669955</v>
      </c>
      <c r="GE207">
        <v>2.4443386240933056</v>
      </c>
      <c r="GF207">
        <v>1.1204658014984969</v>
      </c>
      <c r="GG207">
        <v>6.4955979919752247</v>
      </c>
      <c r="GH207">
        <v>10.683311054698455</v>
      </c>
      <c r="GI207">
        <v>18.993915367422488</v>
      </c>
      <c r="GJ207"/>
      <c r="GK207"/>
      <c r="GL207"/>
      <c r="GM207"/>
      <c r="GN207" s="208"/>
      <c r="GO207" s="208"/>
      <c r="GP207" s="208"/>
      <c r="GQ207" s="208"/>
      <c r="GR207" s="208"/>
      <c r="GS207" s="208"/>
      <c r="GT207" s="208"/>
      <c r="GU207" s="213">
        <v>202</v>
      </c>
    </row>
    <row r="208" spans="1:203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338.50222685954697</v>
      </c>
      <c r="AO208">
        <v>30.945466935778246</v>
      </c>
      <c r="AP208">
        <v>33.664099416950982</v>
      </c>
      <c r="AQ208">
        <v>206.71400063475159</v>
      </c>
      <c r="AR208">
        <v>30.921413947616294</v>
      </c>
      <c r="AS208">
        <v>468.47345763952131</v>
      </c>
      <c r="AT208">
        <v>19.640525621767889</v>
      </c>
      <c r="AU208">
        <v>-19.719555085011478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3">
        <v>203</v>
      </c>
      <c r="FZ208">
        <v>52.937565094588805</v>
      </c>
      <c r="GA208">
        <v>29.956395151431288</v>
      </c>
      <c r="GB208">
        <v>23.408504286309924</v>
      </c>
      <c r="GC208">
        <v>13.176711104174831</v>
      </c>
      <c r="GD208">
        <v>3.0775925533298949</v>
      </c>
      <c r="GE208">
        <v>4.9558016232114817</v>
      </c>
      <c r="GF208">
        <v>1.904215641510028</v>
      </c>
      <c r="GG208">
        <v>7.3912109063257709</v>
      </c>
      <c r="GH208">
        <v>16.091573301869904</v>
      </c>
      <c r="GI208">
        <v>18.203379280036067</v>
      </c>
      <c r="GJ208"/>
      <c r="GK208"/>
      <c r="GL208"/>
      <c r="GM208"/>
      <c r="GN208" s="208"/>
      <c r="GO208" s="208"/>
      <c r="GP208" s="208"/>
      <c r="GQ208" s="208"/>
      <c r="GR208" s="208"/>
      <c r="GS208" s="208"/>
      <c r="GT208" s="208"/>
      <c r="GU208" s="213">
        <v>203</v>
      </c>
    </row>
    <row r="209" spans="1:203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220.12037440959958</v>
      </c>
      <c r="AO209">
        <v>19.91944010205334</v>
      </c>
      <c r="AP209">
        <v>108.08924853524528</v>
      </c>
      <c r="AQ209">
        <v>134.86899411465168</v>
      </c>
      <c r="AR209">
        <v>20.806701810833381</v>
      </c>
      <c r="AS209">
        <v>290.36316422507332</v>
      </c>
      <c r="AT209" t="e">
        <v>#DIV/0!</v>
      </c>
      <c r="AU209" t="e">
        <v>#DIV/0!</v>
      </c>
      <c r="AV209"/>
      <c r="AW209"/>
      <c r="FY209" s="213">
        <v>204</v>
      </c>
      <c r="FZ209">
        <v>48.384443129258372</v>
      </c>
      <c r="GA209">
        <v>37.010472067775282</v>
      </c>
      <c r="GB209">
        <v>22.454835156433969</v>
      </c>
      <c r="GC209">
        <v>10.859708021895633</v>
      </c>
      <c r="GD209">
        <v>2.3190051548914599</v>
      </c>
      <c r="GE209">
        <v>1.7725766452441087</v>
      </c>
      <c r="GF209">
        <v>2.25509255597711</v>
      </c>
      <c r="GG209">
        <v>3.3691318919798827</v>
      </c>
      <c r="GH209">
        <v>8.3157876356231295</v>
      </c>
      <c r="GI209">
        <v>15.6971149049925</v>
      </c>
      <c r="GJ209"/>
      <c r="GK209"/>
      <c r="GL209"/>
      <c r="GM209"/>
      <c r="GN209" s="208"/>
      <c r="GO209" s="208"/>
      <c r="GP209" s="208"/>
      <c r="GQ209" s="208"/>
      <c r="GR209" s="208"/>
      <c r="GS209" s="208"/>
      <c r="GT209" s="208"/>
      <c r="GU209" s="213">
        <v>204</v>
      </c>
    </row>
    <row r="210" spans="1:203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324.18158001371182</v>
      </c>
      <c r="AO210">
        <v>29.515553931092079</v>
      </c>
      <c r="AP210">
        <v>15.481977164099128</v>
      </c>
      <c r="AQ210">
        <v>210.52566804319784</v>
      </c>
      <c r="AR210">
        <v>29.328402914037763</v>
      </c>
      <c r="AS210">
        <v>493.30249971338958</v>
      </c>
      <c r="AT210">
        <v>18.292491173889641</v>
      </c>
      <c r="AU210">
        <v>-19.293443863106425</v>
      </c>
      <c r="AV210"/>
      <c r="AW210"/>
      <c r="FY210" s="213">
        <v>205</v>
      </c>
      <c r="FZ210">
        <v>49.764755199800582</v>
      </c>
      <c r="GA210">
        <v>48.799515325046379</v>
      </c>
      <c r="GB210">
        <v>41.432840547065979</v>
      </c>
      <c r="GC210">
        <v>21.486298640422465</v>
      </c>
      <c r="GD210">
        <v>2.8032390837260439</v>
      </c>
      <c r="GE210">
        <v>2.5706896529756742</v>
      </c>
      <c r="GF210">
        <v>5.7733426508878809</v>
      </c>
      <c r="GG210">
        <v>5.8063129306378567</v>
      </c>
      <c r="GH210">
        <v>4.1174284670931218</v>
      </c>
      <c r="GI210">
        <v>20.813502110599227</v>
      </c>
      <c r="GJ210"/>
      <c r="GK210"/>
      <c r="GL210"/>
      <c r="GM210"/>
      <c r="GN210" s="208"/>
      <c r="GO210" s="208"/>
      <c r="GP210" s="208"/>
      <c r="GQ210" s="208"/>
      <c r="GR210" s="208"/>
      <c r="GS210" s="208"/>
      <c r="GT210" s="208"/>
      <c r="GU210" s="213">
        <v>205</v>
      </c>
    </row>
    <row r="211" spans="1:203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273.89474080617072</v>
      </c>
      <c r="AO211">
        <v>26.126274567041037</v>
      </c>
      <c r="AP211">
        <v>43.453898745865047</v>
      </c>
      <c r="AQ211">
        <v>192.55058243982157</v>
      </c>
      <c r="AR211">
        <v>27.364671205542795</v>
      </c>
      <c r="AS211">
        <v>364.70674510265576</v>
      </c>
      <c r="AT211">
        <v>16.982189294033635</v>
      </c>
      <c r="AU211">
        <v>4.5990029886495094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3">
        <v>206</v>
      </c>
      <c r="FZ211">
        <v>53.203959395372607</v>
      </c>
      <c r="GA211">
        <v>55.378467117916372</v>
      </c>
      <c r="GB211">
        <v>29.917855428816502</v>
      </c>
      <c r="GC211">
        <v>11.930078084916559</v>
      </c>
      <c r="GD211">
        <v>2.5217405772485741</v>
      </c>
      <c r="GE211">
        <v>3.2716749133246505</v>
      </c>
      <c r="GF211">
        <v>5.307317627561063</v>
      </c>
      <c r="GG211">
        <v>7.9227029206921467</v>
      </c>
      <c r="GH211">
        <v>13.031783793701308</v>
      </c>
      <c r="GI211">
        <v>19.665494176248941</v>
      </c>
      <c r="GJ211"/>
      <c r="GK211"/>
      <c r="GL211"/>
      <c r="GM211"/>
      <c r="GN211" s="208"/>
      <c r="GO211" s="208"/>
      <c r="GP211" s="208"/>
      <c r="GQ211" s="208"/>
      <c r="GR211" s="208"/>
      <c r="GS211" s="208"/>
      <c r="GT211" s="208"/>
      <c r="GU211" s="213">
        <v>206</v>
      </c>
    </row>
    <row r="212" spans="1:203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210.9051977776879</v>
      </c>
      <c r="AO212">
        <v>24.31897316775326</v>
      </c>
      <c r="AP212">
        <v>27.406132785815316</v>
      </c>
      <c r="AQ212">
        <v>195.10085669337064</v>
      </c>
      <c r="AR212">
        <v>26.019094528512287</v>
      </c>
      <c r="AS212">
        <v>345.86982596238818</v>
      </c>
      <c r="AT212">
        <v>15.521775566816096</v>
      </c>
      <c r="AU212">
        <v>10.529996462004213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7">AVERAGE(DF88:DF97)</f>
        <v>0</v>
      </c>
      <c r="DG212" s="182">
        <f t="shared" si="337"/>
        <v>2.083333333333333</v>
      </c>
      <c r="DH212" s="182">
        <f t="shared" si="337"/>
        <v>66.666666666666671</v>
      </c>
      <c r="DI212" s="182">
        <f t="shared" si="337"/>
        <v>32.291666666666671</v>
      </c>
      <c r="DJ212" s="182">
        <f t="shared" si="337"/>
        <v>48.958333333333329</v>
      </c>
      <c r="DK212" s="182">
        <f t="shared" ref="DK212:DQ212" si="338">AVERAGE(DK88:DK97)</f>
        <v>28.125</v>
      </c>
      <c r="DL212" s="182">
        <f t="shared" si="338"/>
        <v>11.458333333333332</v>
      </c>
      <c r="DM212" s="182">
        <f t="shared" si="338"/>
        <v>3.125</v>
      </c>
      <c r="DN212" s="182">
        <f t="shared" si="338"/>
        <v>2.083333333333333</v>
      </c>
      <c r="DO212" s="182">
        <f t="shared" si="338"/>
        <v>0</v>
      </c>
      <c r="DP212" s="182">
        <f t="shared" si="338"/>
        <v>0</v>
      </c>
      <c r="DQ212" s="182">
        <f t="shared" si="338"/>
        <v>0</v>
      </c>
      <c r="DR212" s="182">
        <f t="shared" si="337"/>
        <v>0</v>
      </c>
      <c r="DS212" s="182">
        <f t="shared" si="337"/>
        <v>0</v>
      </c>
      <c r="DT212" s="182">
        <f t="shared" si="337"/>
        <v>0</v>
      </c>
      <c r="DU212" s="182">
        <f t="shared" si="337"/>
        <v>0</v>
      </c>
      <c r="DV212" s="182">
        <f t="shared" si="337"/>
        <v>0</v>
      </c>
      <c r="DW212" s="182">
        <f t="shared" si="337"/>
        <v>0</v>
      </c>
      <c r="DX212" s="182">
        <f t="shared" si="337"/>
        <v>0</v>
      </c>
      <c r="DY212" s="182">
        <f t="shared" si="337"/>
        <v>0</v>
      </c>
      <c r="DZ212" s="182">
        <f t="shared" si="337"/>
        <v>0</v>
      </c>
      <c r="EA212" s="182">
        <f t="shared" si="337"/>
        <v>0</v>
      </c>
      <c r="EB212" s="182">
        <f t="shared" si="337"/>
        <v>0</v>
      </c>
      <c r="EC212" s="182">
        <f t="shared" si="337"/>
        <v>0</v>
      </c>
      <c r="ED212" s="182">
        <f t="shared" si="337"/>
        <v>0</v>
      </c>
      <c r="EE212" s="182">
        <f t="shared" si="337"/>
        <v>0</v>
      </c>
      <c r="EF212" s="182">
        <f t="shared" si="337"/>
        <v>0</v>
      </c>
      <c r="EG212" s="182">
        <f t="shared" si="337"/>
        <v>0</v>
      </c>
      <c r="EH212" s="182">
        <f t="shared" si="337"/>
        <v>0</v>
      </c>
      <c r="EI212" s="182">
        <f t="shared" si="337"/>
        <v>0</v>
      </c>
      <c r="EJ212" s="182">
        <f t="shared" si="337"/>
        <v>0</v>
      </c>
      <c r="FY212" s="213">
        <v>207</v>
      </c>
      <c r="FZ212">
        <v>68.102985783122236</v>
      </c>
      <c r="GA212">
        <v>69.222675388710968</v>
      </c>
      <c r="GB212">
        <v>48.461401175688032</v>
      </c>
      <c r="GC212">
        <v>20.868258661060505</v>
      </c>
      <c r="GD212">
        <v>6.3492778340037894</v>
      </c>
      <c r="GE212">
        <v>11.084921960655299</v>
      </c>
      <c r="GF212">
        <v>6.953072676834152</v>
      </c>
      <c r="GG212">
        <v>4.129763669720532</v>
      </c>
      <c r="GH212">
        <v>5.7025857885879008</v>
      </c>
      <c r="GI212">
        <v>27.714506697842918</v>
      </c>
      <c r="GJ212"/>
      <c r="GK212"/>
      <c r="GL212"/>
      <c r="GM212"/>
      <c r="GN212" s="208"/>
      <c r="GO212" s="208"/>
      <c r="GP212" s="208"/>
      <c r="GQ212" s="208"/>
      <c r="GR212" s="208"/>
      <c r="GS212" s="208"/>
      <c r="GT212" s="208"/>
      <c r="GU212" s="213">
        <v>207</v>
      </c>
    </row>
    <row r="213" spans="1:203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334.31840552222025</v>
      </c>
      <c r="AO213">
        <v>25.277245305450517</v>
      </c>
      <c r="AP213">
        <v>21.228741181274835</v>
      </c>
      <c r="AQ213">
        <v>185.44874598059607</v>
      </c>
      <c r="AR213">
        <v>25.650877496502375</v>
      </c>
      <c r="AS213">
        <v>406.04024351284846</v>
      </c>
      <c r="AT213">
        <v>15.756973358673457</v>
      </c>
      <c r="AU213">
        <v>-7.506200671121654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9">AVERAGE(DF98:DF107)</f>
        <v>0</v>
      </c>
      <c r="DG213" s="185">
        <f t="shared" si="339"/>
        <v>9.375</v>
      </c>
      <c r="DH213" s="185">
        <f t="shared" si="339"/>
        <v>70.050478524743227</v>
      </c>
      <c r="DI213" s="185">
        <f t="shared" si="339"/>
        <v>23.958333333333336</v>
      </c>
      <c r="DJ213" s="185">
        <f t="shared" si="339"/>
        <v>18.75</v>
      </c>
      <c r="DK213" s="185">
        <f t="shared" ref="DK213:DQ213" si="340">AVERAGE(DK98:DK107)</f>
        <v>15.416666666666666</v>
      </c>
      <c r="DL213" s="185">
        <f t="shared" si="340"/>
        <v>17.5</v>
      </c>
      <c r="DM213" s="185">
        <f t="shared" si="340"/>
        <v>3.125</v>
      </c>
      <c r="DN213" s="185">
        <f t="shared" si="340"/>
        <v>2.083333333333333</v>
      </c>
      <c r="DO213" s="185">
        <f t="shared" si="340"/>
        <v>0</v>
      </c>
      <c r="DP213" s="185">
        <f t="shared" si="340"/>
        <v>0</v>
      </c>
      <c r="DQ213" s="185">
        <f t="shared" si="340"/>
        <v>0</v>
      </c>
      <c r="DR213" s="185">
        <f t="shared" si="339"/>
        <v>0</v>
      </c>
      <c r="DS213" s="185">
        <f t="shared" si="339"/>
        <v>0</v>
      </c>
      <c r="DT213" s="185">
        <f t="shared" si="339"/>
        <v>0</v>
      </c>
      <c r="DU213" s="185">
        <f t="shared" si="339"/>
        <v>0</v>
      </c>
      <c r="DV213" s="185">
        <f t="shared" si="339"/>
        <v>0</v>
      </c>
      <c r="DW213" s="185">
        <f t="shared" si="339"/>
        <v>0</v>
      </c>
      <c r="DX213" s="185">
        <f t="shared" si="339"/>
        <v>0</v>
      </c>
      <c r="DY213" s="185">
        <f t="shared" si="339"/>
        <v>0</v>
      </c>
      <c r="DZ213" s="185">
        <f t="shared" si="339"/>
        <v>0</v>
      </c>
      <c r="EA213" s="185">
        <f t="shared" si="339"/>
        <v>0</v>
      </c>
      <c r="EB213" s="185">
        <f t="shared" si="339"/>
        <v>0</v>
      </c>
      <c r="EC213" s="185">
        <f t="shared" si="339"/>
        <v>0</v>
      </c>
      <c r="ED213" s="185">
        <f t="shared" si="339"/>
        <v>0</v>
      </c>
      <c r="EE213" s="185">
        <f t="shared" si="339"/>
        <v>0</v>
      </c>
      <c r="EF213" s="185">
        <f t="shared" si="339"/>
        <v>0</v>
      </c>
      <c r="EG213" s="185">
        <f t="shared" si="339"/>
        <v>0</v>
      </c>
      <c r="EH213" s="185">
        <f t="shared" si="339"/>
        <v>0</v>
      </c>
      <c r="EI213" s="185">
        <f t="shared" si="339"/>
        <v>0</v>
      </c>
      <c r="EJ213" s="185">
        <f t="shared" si="339"/>
        <v>0</v>
      </c>
      <c r="FY213" s="213">
        <v>208</v>
      </c>
      <c r="FZ213">
        <v>68.746705179950851</v>
      </c>
      <c r="GA213">
        <v>53.533092718898338</v>
      </c>
      <c r="GB213">
        <v>29.983631975366524</v>
      </c>
      <c r="GC213">
        <v>14.032278126383613</v>
      </c>
      <c r="GD213">
        <v>4.5670940913886469</v>
      </c>
      <c r="GE213">
        <v>7.7866448477414956</v>
      </c>
      <c r="GF213">
        <v>8.8440213269140155</v>
      </c>
      <c r="GG213">
        <v>7.1633299659161933</v>
      </c>
      <c r="GH213">
        <v>3.4597615070993597</v>
      </c>
      <c r="GI213">
        <v>22.245165149926585</v>
      </c>
      <c r="GJ213"/>
      <c r="GK213"/>
      <c r="GL213"/>
      <c r="GM213"/>
      <c r="GN213" s="208"/>
      <c r="GO213" s="208"/>
      <c r="GP213" s="208"/>
      <c r="GQ213" s="208"/>
      <c r="GR213" s="208"/>
      <c r="GS213" s="208"/>
      <c r="GT213" s="208"/>
      <c r="GU213" s="213">
        <v>208</v>
      </c>
    </row>
    <row r="214" spans="1:203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280.72358095883374</v>
      </c>
      <c r="AO214">
        <v>25.908795799561524</v>
      </c>
      <c r="AP214">
        <v>28.899001444164295</v>
      </c>
      <c r="AQ214">
        <v>189.20842174201459</v>
      </c>
      <c r="AR214">
        <v>26.634436588352749</v>
      </c>
      <c r="AS214">
        <v>391.97908239520115</v>
      </c>
      <c r="AT214">
        <v>16.040580019458769</v>
      </c>
      <c r="AU214">
        <v>6.6414160477097823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41">AVERAGE(DF108:DF117)</f>
        <v>0</v>
      </c>
      <c r="DG214" s="182">
        <f t="shared" si="341"/>
        <v>42.090893817204297</v>
      </c>
      <c r="DH214" s="182">
        <f t="shared" si="341"/>
        <v>188.2644489247312</v>
      </c>
      <c r="DI214" s="182">
        <f t="shared" si="341"/>
        <v>189.35531874039938</v>
      </c>
      <c r="DJ214" s="182">
        <f t="shared" si="341"/>
        <v>3.125</v>
      </c>
      <c r="DK214" s="182">
        <f t="shared" si="341"/>
        <v>1.0416666666666665</v>
      </c>
      <c r="DL214" s="182">
        <f t="shared" si="341"/>
        <v>0</v>
      </c>
      <c r="DM214" s="182">
        <f t="shared" si="341"/>
        <v>0</v>
      </c>
      <c r="DN214" s="182">
        <f t="shared" si="341"/>
        <v>0</v>
      </c>
      <c r="DO214" s="182">
        <f t="shared" si="341"/>
        <v>0</v>
      </c>
      <c r="DP214" s="182">
        <f t="shared" si="341"/>
        <v>0</v>
      </c>
      <c r="DQ214" s="182">
        <f t="shared" si="341"/>
        <v>0</v>
      </c>
      <c r="DR214" s="182">
        <f t="shared" si="341"/>
        <v>0</v>
      </c>
      <c r="DS214" s="182">
        <f t="shared" si="341"/>
        <v>0</v>
      </c>
      <c r="DT214" s="182">
        <f t="shared" si="341"/>
        <v>0</v>
      </c>
      <c r="DU214" s="182">
        <f t="shared" si="341"/>
        <v>0</v>
      </c>
      <c r="DV214" s="182">
        <f t="shared" si="341"/>
        <v>0</v>
      </c>
      <c r="DW214" s="182">
        <f t="shared" si="341"/>
        <v>0</v>
      </c>
      <c r="DX214" s="182">
        <f t="shared" si="341"/>
        <v>0</v>
      </c>
      <c r="DY214" s="182">
        <f t="shared" si="341"/>
        <v>0</v>
      </c>
      <c r="DZ214" s="182">
        <f t="shared" si="341"/>
        <v>0</v>
      </c>
      <c r="EA214" s="182">
        <f t="shared" si="341"/>
        <v>0</v>
      </c>
      <c r="EB214" s="182">
        <f t="shared" si="341"/>
        <v>0</v>
      </c>
      <c r="EC214" s="182">
        <f t="shared" si="341"/>
        <v>0</v>
      </c>
      <c r="ED214" s="182">
        <f t="shared" si="341"/>
        <v>0</v>
      </c>
      <c r="EE214" s="182">
        <f t="shared" si="341"/>
        <v>0</v>
      </c>
      <c r="EF214" s="182">
        <f t="shared" si="341"/>
        <v>0</v>
      </c>
      <c r="EG214" s="182">
        <f t="shared" si="341"/>
        <v>0</v>
      </c>
      <c r="EH214" s="182">
        <f t="shared" si="341"/>
        <v>0</v>
      </c>
      <c r="EI214" s="182">
        <f t="shared" si="341"/>
        <v>0</v>
      </c>
      <c r="EJ214" s="182">
        <f t="shared" si="341"/>
        <v>0</v>
      </c>
      <c r="FY214" s="213">
        <v>209</v>
      </c>
      <c r="FZ214">
        <v>61.060996017321287</v>
      </c>
      <c r="GA214">
        <v>61.170237893296331</v>
      </c>
      <c r="GB214">
        <v>37.690297456769919</v>
      </c>
      <c r="GC214">
        <v>16.369882900691145</v>
      </c>
      <c r="GD214">
        <v>4.1883301349501636</v>
      </c>
      <c r="GE214">
        <v>4.9401790628427555</v>
      </c>
      <c r="GF214">
        <v>10.255965037130178</v>
      </c>
      <c r="GG214">
        <v>11.444772708417769</v>
      </c>
      <c r="GH214">
        <v>9.5635764648945383</v>
      </c>
      <c r="GI214">
        <v>24.033068617455932</v>
      </c>
      <c r="GJ214"/>
      <c r="GK214"/>
      <c r="GL214"/>
      <c r="GM214"/>
      <c r="GN214" s="208"/>
      <c r="GO214" s="208"/>
      <c r="GP214" s="208"/>
      <c r="GQ214" s="208"/>
      <c r="GR214" s="208"/>
      <c r="GS214" s="208"/>
      <c r="GT214" s="208"/>
      <c r="GU214" s="213">
        <v>209</v>
      </c>
    </row>
    <row r="215" spans="1:203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276.67183628360641</v>
      </c>
      <c r="AO215">
        <v>25.785539973783681</v>
      </c>
      <c r="AP215">
        <v>21.587882626144637</v>
      </c>
      <c r="AQ215">
        <v>188.31529447694021</v>
      </c>
      <c r="AR215">
        <v>26.706335821653514</v>
      </c>
      <c r="AS215">
        <v>374.29939879831642</v>
      </c>
      <c r="AT215">
        <v>16.345347349810616</v>
      </c>
      <c r="AU215">
        <v>-11.832024749600698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2">AVERAGE(DF118:DF127)</f>
        <v>0</v>
      </c>
      <c r="DG215" s="182">
        <f t="shared" ref="DG215:DH215" si="343">AVERAGE(DG118:DG127)</f>
        <v>201.3766581779355</v>
      </c>
      <c r="DH215" s="182">
        <f t="shared" si="343"/>
        <v>379.07520221636605</v>
      </c>
      <c r="DI215" s="182">
        <f t="shared" si="342"/>
        <v>244.80631244981541</v>
      </c>
      <c r="DJ215" s="182">
        <f t="shared" si="342"/>
        <v>56.857638888888893</v>
      </c>
      <c r="DK215" s="182">
        <f t="shared" si="342"/>
        <v>2.8409090909090908</v>
      </c>
      <c r="DL215" s="182">
        <f t="shared" si="342"/>
        <v>0</v>
      </c>
      <c r="DM215" s="182">
        <f t="shared" si="342"/>
        <v>0</v>
      </c>
      <c r="DN215" s="182">
        <f t="shared" si="342"/>
        <v>0</v>
      </c>
      <c r="DO215" s="182">
        <f t="shared" si="342"/>
        <v>0</v>
      </c>
      <c r="DP215" s="182">
        <f t="shared" si="342"/>
        <v>0</v>
      </c>
      <c r="DQ215" s="182">
        <f t="shared" si="342"/>
        <v>0</v>
      </c>
      <c r="DR215" s="182">
        <f t="shared" si="342"/>
        <v>0</v>
      </c>
      <c r="DS215" s="182">
        <f t="shared" si="342"/>
        <v>0</v>
      </c>
      <c r="DT215" s="182">
        <f t="shared" si="342"/>
        <v>0</v>
      </c>
      <c r="DU215" s="182">
        <f t="shared" si="342"/>
        <v>0</v>
      </c>
      <c r="DV215" s="182">
        <f t="shared" si="342"/>
        <v>0</v>
      </c>
      <c r="DW215" s="182">
        <f t="shared" si="342"/>
        <v>0</v>
      </c>
      <c r="DX215" s="182">
        <f t="shared" si="342"/>
        <v>0</v>
      </c>
      <c r="DY215" s="182">
        <f t="shared" si="342"/>
        <v>0</v>
      </c>
      <c r="DZ215" s="182">
        <f t="shared" si="342"/>
        <v>0</v>
      </c>
      <c r="EA215" s="182">
        <f t="shared" si="342"/>
        <v>0</v>
      </c>
      <c r="EB215" s="182">
        <f t="shared" si="342"/>
        <v>0</v>
      </c>
      <c r="EC215" s="182">
        <f t="shared" si="342"/>
        <v>0</v>
      </c>
      <c r="ED215" s="182">
        <f t="shared" si="342"/>
        <v>0</v>
      </c>
      <c r="EE215" s="182">
        <f t="shared" si="342"/>
        <v>0</v>
      </c>
      <c r="EF215" s="182">
        <f t="shared" si="342"/>
        <v>0</v>
      </c>
      <c r="EG215" s="182">
        <f t="shared" si="342"/>
        <v>0</v>
      </c>
      <c r="EH215" s="182">
        <f t="shared" si="342"/>
        <v>0</v>
      </c>
      <c r="EI215" s="182">
        <f t="shared" si="342"/>
        <v>0</v>
      </c>
      <c r="EJ215" s="182">
        <f t="shared" si="342"/>
        <v>0</v>
      </c>
      <c r="FY215" s="213">
        <v>210</v>
      </c>
      <c r="FZ215">
        <v>45.402812218967433</v>
      </c>
      <c r="GA215">
        <v>49.0637453129115</v>
      </c>
      <c r="GB215">
        <v>26.881795478291494</v>
      </c>
      <c r="GC215">
        <v>9.4424439638302147</v>
      </c>
      <c r="GD215">
        <v>2.855549822105762</v>
      </c>
      <c r="GE215">
        <v>5.6870908533767981</v>
      </c>
      <c r="GF215">
        <v>3.1447709372646138</v>
      </c>
      <c r="GG215">
        <v>3.3216401078837077</v>
      </c>
      <c r="GH215">
        <v>6.0135795023941814</v>
      </c>
      <c r="GI215">
        <v>16.426736843289724</v>
      </c>
      <c r="GJ215"/>
      <c r="GK215"/>
      <c r="GL215"/>
      <c r="GM215"/>
      <c r="GN215" s="208"/>
      <c r="GO215" s="208"/>
      <c r="GP215" s="208"/>
      <c r="GQ215" s="208"/>
      <c r="GR215" s="208"/>
      <c r="GS215" s="208"/>
      <c r="GT215" s="208"/>
      <c r="GU215" s="213">
        <v>210</v>
      </c>
    </row>
    <row r="216" spans="1:203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322.29979352821078</v>
      </c>
      <c r="AO216">
        <v>27.419002342493108</v>
      </c>
      <c r="AP216">
        <v>28.168620955727576</v>
      </c>
      <c r="AQ216">
        <v>204.18049226968779</v>
      </c>
      <c r="AR216">
        <v>28.981202807315938</v>
      </c>
      <c r="AS216">
        <v>414.83535618865716</v>
      </c>
      <c r="AT216">
        <v>17.787687993477501</v>
      </c>
      <c r="AU216">
        <v>-47.807197173734032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4">AVERAGE(DF128:DF137)</f>
        <v>1.0416666666666665</v>
      </c>
      <c r="DG216" s="182">
        <f t="shared" ref="DG216:DH216" si="345">AVERAGE(DG128:DG137)</f>
        <v>51.242484367484373</v>
      </c>
      <c r="DH216" s="182">
        <f t="shared" si="345"/>
        <v>108.62794612794612</v>
      </c>
      <c r="DI216" s="182">
        <f t="shared" si="344"/>
        <v>41.094437969437962</v>
      </c>
      <c r="DJ216" s="182">
        <f t="shared" si="344"/>
        <v>3.2051282051282053</v>
      </c>
      <c r="DK216" s="182">
        <f t="shared" si="344"/>
        <v>0</v>
      </c>
      <c r="DL216" s="182">
        <f t="shared" si="344"/>
        <v>0</v>
      </c>
      <c r="DM216" s="182">
        <f t="shared" si="344"/>
        <v>0</v>
      </c>
      <c r="DN216" s="182">
        <f t="shared" si="344"/>
        <v>0</v>
      </c>
      <c r="DO216" s="182">
        <f t="shared" si="344"/>
        <v>0</v>
      </c>
      <c r="DP216" s="182">
        <f t="shared" si="344"/>
        <v>0</v>
      </c>
      <c r="DQ216" s="182">
        <f t="shared" si="344"/>
        <v>0</v>
      </c>
      <c r="DR216" s="182">
        <f t="shared" si="344"/>
        <v>0</v>
      </c>
      <c r="DS216" s="182">
        <f t="shared" si="344"/>
        <v>0</v>
      </c>
      <c r="DT216" s="182">
        <f t="shared" si="344"/>
        <v>0</v>
      </c>
      <c r="DU216" s="182">
        <f t="shared" si="344"/>
        <v>0</v>
      </c>
      <c r="DV216" s="182">
        <f t="shared" si="344"/>
        <v>0</v>
      </c>
      <c r="DW216" s="182">
        <f t="shared" si="344"/>
        <v>0</v>
      </c>
      <c r="DX216" s="182">
        <f t="shared" si="344"/>
        <v>0</v>
      </c>
      <c r="DY216" s="182">
        <f t="shared" si="344"/>
        <v>0</v>
      </c>
      <c r="DZ216" s="182">
        <f t="shared" si="344"/>
        <v>0</v>
      </c>
      <c r="EA216" s="182">
        <f t="shared" si="344"/>
        <v>0</v>
      </c>
      <c r="EB216" s="182">
        <f t="shared" si="344"/>
        <v>0</v>
      </c>
      <c r="EC216" s="182">
        <f t="shared" si="344"/>
        <v>0</v>
      </c>
      <c r="ED216" s="182">
        <f t="shared" si="344"/>
        <v>0</v>
      </c>
      <c r="EE216" s="182">
        <f t="shared" si="344"/>
        <v>0</v>
      </c>
      <c r="EF216" s="182">
        <f t="shared" si="344"/>
        <v>0</v>
      </c>
      <c r="EG216" s="182">
        <f t="shared" si="344"/>
        <v>0</v>
      </c>
      <c r="EH216" s="182">
        <f t="shared" si="344"/>
        <v>0</v>
      </c>
      <c r="EI216" s="182">
        <f t="shared" si="344"/>
        <v>0</v>
      </c>
      <c r="EJ216" s="182">
        <f t="shared" si="344"/>
        <v>0</v>
      </c>
      <c r="FY216" s="213">
        <v>211</v>
      </c>
      <c r="FZ216">
        <v>61.934930502661778</v>
      </c>
      <c r="GA216">
        <v>46.897818937238625</v>
      </c>
      <c r="GB216">
        <v>23.044267347909667</v>
      </c>
      <c r="GC216">
        <v>13.42318584220749</v>
      </c>
      <c r="GD216">
        <v>2.9127228647851147</v>
      </c>
      <c r="GE216">
        <v>3.4910099167178266</v>
      </c>
      <c r="GF216">
        <v>8.0602714869024847</v>
      </c>
      <c r="GG216">
        <v>8.3141132185284405</v>
      </c>
      <c r="GH216">
        <v>7.546352483976511</v>
      </c>
      <c r="GI216">
        <v>19.130333909568009</v>
      </c>
      <c r="GJ216"/>
      <c r="GK216"/>
      <c r="GL216"/>
      <c r="GM216"/>
      <c r="GN216" s="208"/>
      <c r="GO216" s="208"/>
      <c r="GP216" s="208"/>
      <c r="GQ216" s="208"/>
      <c r="GR216" s="208"/>
      <c r="GS216" s="208"/>
      <c r="GT216" s="208"/>
      <c r="GU216" s="213">
        <v>211</v>
      </c>
    </row>
    <row r="217" spans="1:203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264.90136973113766</v>
      </c>
      <c r="AO217">
        <v>25.106217649405046</v>
      </c>
      <c r="AP217">
        <v>28.780642008294986</v>
      </c>
      <c r="AQ217">
        <v>190.14747269802407</v>
      </c>
      <c r="AR217">
        <v>25.678970810779777</v>
      </c>
      <c r="AS217">
        <v>353.41381258779484</v>
      </c>
      <c r="AT217">
        <v>15.64033129154673</v>
      </c>
      <c r="AU217">
        <v>2.1739379337892899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6">AVERAGE(DF138:DF147)</f>
        <v>0</v>
      </c>
      <c r="DG217" s="182">
        <f t="shared" ref="DG217:DH217" si="347">AVERAGE(DG138:DG147)</f>
        <v>171.71213182242593</v>
      </c>
      <c r="DH217" s="182">
        <f t="shared" si="347"/>
        <v>212.36851858431888</v>
      </c>
      <c r="DI217" s="182">
        <f t="shared" si="346"/>
        <v>32.093253968253968</v>
      </c>
      <c r="DJ217" s="182">
        <f t="shared" si="346"/>
        <v>0</v>
      </c>
      <c r="DK217" s="182">
        <f t="shared" si="346"/>
        <v>0</v>
      </c>
      <c r="DL217" s="182">
        <f t="shared" si="346"/>
        <v>0</v>
      </c>
      <c r="DM217" s="182">
        <f t="shared" si="346"/>
        <v>0</v>
      </c>
      <c r="DN217" s="182">
        <f t="shared" si="346"/>
        <v>0</v>
      </c>
      <c r="DO217" s="182">
        <f t="shared" si="346"/>
        <v>0</v>
      </c>
      <c r="DP217" s="182">
        <f t="shared" si="346"/>
        <v>0</v>
      </c>
      <c r="DQ217" s="182">
        <f t="shared" si="346"/>
        <v>0</v>
      </c>
      <c r="DR217" s="182">
        <f t="shared" si="346"/>
        <v>0</v>
      </c>
      <c r="DS217" s="182">
        <f t="shared" si="346"/>
        <v>0</v>
      </c>
      <c r="DT217" s="182">
        <f t="shared" si="346"/>
        <v>0</v>
      </c>
      <c r="DU217" s="182">
        <f t="shared" si="346"/>
        <v>0</v>
      </c>
      <c r="DV217" s="182">
        <f t="shared" si="346"/>
        <v>0</v>
      </c>
      <c r="DW217" s="182">
        <f t="shared" si="346"/>
        <v>0</v>
      </c>
      <c r="DX217" s="182">
        <f t="shared" si="346"/>
        <v>0</v>
      </c>
      <c r="DY217" s="182">
        <f t="shared" si="346"/>
        <v>0</v>
      </c>
      <c r="DZ217" s="182">
        <f t="shared" si="346"/>
        <v>0</v>
      </c>
      <c r="EA217" s="182">
        <f t="shared" si="346"/>
        <v>0</v>
      </c>
      <c r="EB217" s="182">
        <f t="shared" si="346"/>
        <v>0</v>
      </c>
      <c r="EC217" s="182">
        <f t="shared" si="346"/>
        <v>0</v>
      </c>
      <c r="ED217" s="182">
        <f t="shared" si="346"/>
        <v>0</v>
      </c>
      <c r="EE217" s="182">
        <f t="shared" si="346"/>
        <v>0</v>
      </c>
      <c r="EF217" s="182">
        <f t="shared" si="346"/>
        <v>0</v>
      </c>
      <c r="EG217" s="182">
        <f t="shared" si="346"/>
        <v>0</v>
      </c>
      <c r="EH217" s="182">
        <f t="shared" si="346"/>
        <v>0</v>
      </c>
      <c r="EI217" s="182">
        <f t="shared" si="346"/>
        <v>0</v>
      </c>
      <c r="EJ217" s="182">
        <f t="shared" si="346"/>
        <v>0</v>
      </c>
      <c r="FY217" s="213">
        <v>212</v>
      </c>
      <c r="FZ217">
        <v>42.881039282713203</v>
      </c>
      <c r="GA217">
        <v>23.018738720381457</v>
      </c>
      <c r="GB217">
        <v>24.003410090272443</v>
      </c>
      <c r="GC217">
        <v>14.804070852422925</v>
      </c>
      <c r="GD217">
        <v>3.461392406258172</v>
      </c>
      <c r="GE217">
        <v>4.7779635435742707</v>
      </c>
      <c r="GF217">
        <v>12.616986134383261</v>
      </c>
      <c r="GG217">
        <v>11.959288771454011</v>
      </c>
      <c r="GH217">
        <v>6.9713507050155981</v>
      </c>
      <c r="GI217">
        <v>17.596311493670438</v>
      </c>
      <c r="GJ217"/>
      <c r="GK217"/>
      <c r="GL217"/>
      <c r="GM217"/>
      <c r="GN217" s="208"/>
      <c r="GO217" s="208"/>
      <c r="GP217" s="208"/>
      <c r="GQ217" s="208"/>
      <c r="GR217" s="208"/>
      <c r="GS217" s="208"/>
      <c r="GT217" s="208"/>
      <c r="GU217" s="213">
        <v>212</v>
      </c>
    </row>
    <row r="218" spans="1:203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256.16572062675777</v>
      </c>
      <c r="AO218">
        <v>26.230761106911171</v>
      </c>
      <c r="AP218">
        <v>52.319904179358417</v>
      </c>
      <c r="AQ218">
        <v>192.97829114066923</v>
      </c>
      <c r="AR218">
        <v>26.084804428749109</v>
      </c>
      <c r="AS218">
        <v>383.55921858306573</v>
      </c>
      <c r="AT218">
        <v>15.833841924539451</v>
      </c>
      <c r="AU218">
        <v>6.838720878150955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8">AVERAGE(DF148:DF157)</f>
        <v>0</v>
      </c>
      <c r="DG218" s="182">
        <f t="shared" ref="DG218:DH218" si="349">AVERAGE(DG148:DG157)</f>
        <v>52.083333333333329</v>
      </c>
      <c r="DH218" s="182">
        <f t="shared" si="349"/>
        <v>17.903645833333332</v>
      </c>
      <c r="DI218" s="182">
        <f t="shared" si="348"/>
        <v>18.337673611111107</v>
      </c>
      <c r="DJ218" s="182">
        <f t="shared" si="348"/>
        <v>0</v>
      </c>
      <c r="DK218" s="182">
        <f t="shared" si="348"/>
        <v>0</v>
      </c>
      <c r="DL218" s="182">
        <f t="shared" si="348"/>
        <v>0</v>
      </c>
      <c r="DM218" s="182">
        <f t="shared" si="348"/>
        <v>0</v>
      </c>
      <c r="DN218" s="182">
        <f t="shared" si="348"/>
        <v>0</v>
      </c>
      <c r="DO218" s="182">
        <f t="shared" si="348"/>
        <v>0</v>
      </c>
      <c r="DP218" s="182">
        <f t="shared" si="348"/>
        <v>0</v>
      </c>
      <c r="DQ218" s="182">
        <f t="shared" si="348"/>
        <v>0</v>
      </c>
      <c r="DR218" s="182">
        <f t="shared" si="348"/>
        <v>0</v>
      </c>
      <c r="DS218" s="182">
        <f t="shared" si="348"/>
        <v>0</v>
      </c>
      <c r="DT218" s="182">
        <f t="shared" si="348"/>
        <v>0</v>
      </c>
      <c r="DU218" s="182">
        <f t="shared" si="348"/>
        <v>0</v>
      </c>
      <c r="DV218" s="182">
        <f t="shared" si="348"/>
        <v>0</v>
      </c>
      <c r="DW218" s="182">
        <f t="shared" si="348"/>
        <v>0</v>
      </c>
      <c r="DX218" s="182">
        <f t="shared" si="348"/>
        <v>0</v>
      </c>
      <c r="DY218" s="182">
        <f t="shared" si="348"/>
        <v>0</v>
      </c>
      <c r="DZ218" s="182">
        <f t="shared" si="348"/>
        <v>0</v>
      </c>
      <c r="EA218" s="182">
        <f t="shared" si="348"/>
        <v>0</v>
      </c>
      <c r="EB218" s="182">
        <f t="shared" si="348"/>
        <v>0</v>
      </c>
      <c r="EC218" s="182">
        <f t="shared" si="348"/>
        <v>0</v>
      </c>
      <c r="ED218" s="182">
        <f t="shared" si="348"/>
        <v>0</v>
      </c>
      <c r="EE218" s="182">
        <f t="shared" si="348"/>
        <v>0</v>
      </c>
      <c r="EF218" s="182">
        <f t="shared" si="348"/>
        <v>0</v>
      </c>
      <c r="EG218" s="182">
        <f t="shared" si="348"/>
        <v>0</v>
      </c>
      <c r="EH218" s="182">
        <f t="shared" si="348"/>
        <v>0</v>
      </c>
      <c r="EI218" s="182">
        <f t="shared" si="348"/>
        <v>0</v>
      </c>
      <c r="EJ218" s="182">
        <f t="shared" si="348"/>
        <v>0</v>
      </c>
      <c r="FY218" s="213">
        <v>213</v>
      </c>
      <c r="FZ218">
        <v>40.251005326209864</v>
      </c>
      <c r="GA218">
        <v>36.973602590629362</v>
      </c>
      <c r="GB218">
        <v>31.02620978404903</v>
      </c>
      <c r="GC218">
        <v>12.30992562513028</v>
      </c>
      <c r="GD218">
        <v>2.5337186118649511</v>
      </c>
      <c r="GE218">
        <v>3.8047583957826405</v>
      </c>
      <c r="GF218">
        <v>5.0237631758080639</v>
      </c>
      <c r="GG218">
        <v>6.1853163429884406</v>
      </c>
      <c r="GH218">
        <v>9.2523563181120529</v>
      </c>
      <c r="GI218">
        <v>17.365599971353259</v>
      </c>
      <c r="GJ218"/>
      <c r="GK218"/>
      <c r="GL218"/>
      <c r="GM218"/>
      <c r="GN218" s="208"/>
      <c r="GO218" s="208"/>
      <c r="GP218" s="208"/>
      <c r="GQ218" s="208"/>
      <c r="GR218" s="208"/>
      <c r="GS218" s="208"/>
      <c r="GT218" s="208"/>
      <c r="GU218" s="213">
        <v>213</v>
      </c>
    </row>
    <row r="219" spans="1:203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252.55452234564518</v>
      </c>
      <c r="AO219">
        <v>23.589573831193398</v>
      </c>
      <c r="AP219">
        <v>56.281409730146947</v>
      </c>
      <c r="AQ219">
        <v>171.102948942788</v>
      </c>
      <c r="AR219">
        <v>25.069909888309802</v>
      </c>
      <c r="AS219">
        <v>335.34046696012035</v>
      </c>
      <c r="AT219">
        <v>14.636505832287527</v>
      </c>
      <c r="AU219">
        <v>41.433531687947749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50">AVERAGE(DF158:DF167)</f>
        <v>0</v>
      </c>
      <c r="DG219" s="182">
        <f t="shared" si="350"/>
        <v>37.635869565217391</v>
      </c>
      <c r="DH219" s="182">
        <f t="shared" si="350"/>
        <v>42.285628019323674</v>
      </c>
      <c r="DI219" s="182">
        <f t="shared" ref="DI219" si="351">AVERAGE(DI158:DI167)</f>
        <v>10.416666666666668</v>
      </c>
      <c r="DJ219" s="182">
        <f t="shared" si="350"/>
        <v>20.833333333333336</v>
      </c>
      <c r="DK219" s="182">
        <f t="shared" si="350"/>
        <v>0</v>
      </c>
      <c r="DL219" s="182">
        <f t="shared" si="350"/>
        <v>0</v>
      </c>
      <c r="DM219" s="182">
        <f t="shared" si="350"/>
        <v>0</v>
      </c>
      <c r="DN219" s="182">
        <f t="shared" si="350"/>
        <v>0</v>
      </c>
      <c r="DO219" s="182">
        <f t="shared" si="350"/>
        <v>0</v>
      </c>
      <c r="DP219" s="182">
        <f t="shared" si="350"/>
        <v>0</v>
      </c>
      <c r="DQ219" s="182">
        <f t="shared" si="350"/>
        <v>0</v>
      </c>
      <c r="DR219" s="182">
        <f t="shared" si="350"/>
        <v>0</v>
      </c>
      <c r="DS219" s="182">
        <f t="shared" si="350"/>
        <v>0</v>
      </c>
      <c r="DT219" s="182">
        <f t="shared" si="350"/>
        <v>0</v>
      </c>
      <c r="DU219" s="182">
        <f t="shared" si="350"/>
        <v>0</v>
      </c>
      <c r="DV219" s="182">
        <f t="shared" si="350"/>
        <v>0</v>
      </c>
      <c r="DW219" s="182">
        <f t="shared" si="350"/>
        <v>0</v>
      </c>
      <c r="DX219" s="182">
        <f t="shared" si="350"/>
        <v>0</v>
      </c>
      <c r="DY219" s="182">
        <f t="shared" si="350"/>
        <v>0</v>
      </c>
      <c r="DZ219" s="182">
        <f t="shared" si="350"/>
        <v>0</v>
      </c>
      <c r="EA219" s="182">
        <f t="shared" si="350"/>
        <v>0</v>
      </c>
      <c r="EB219" s="182">
        <f t="shared" si="350"/>
        <v>0</v>
      </c>
      <c r="EC219" s="182">
        <f t="shared" si="350"/>
        <v>0</v>
      </c>
      <c r="ED219" s="182">
        <f t="shared" si="350"/>
        <v>0</v>
      </c>
      <c r="EE219" s="182">
        <f t="shared" si="350"/>
        <v>0</v>
      </c>
      <c r="EF219" s="182">
        <f t="shared" si="350"/>
        <v>0</v>
      </c>
      <c r="EG219" s="182">
        <f t="shared" si="350"/>
        <v>0</v>
      </c>
      <c r="EH219" s="182">
        <f t="shared" si="350"/>
        <v>0</v>
      </c>
      <c r="EI219" s="182">
        <f t="shared" si="350"/>
        <v>0</v>
      </c>
      <c r="EJ219" s="182">
        <f t="shared" si="350"/>
        <v>0</v>
      </c>
      <c r="FY219" s="213">
        <v>214</v>
      </c>
      <c r="FZ219">
        <v>53.617693888345627</v>
      </c>
      <c r="GA219">
        <v>69.308802415978477</v>
      </c>
      <c r="GB219">
        <v>31.711929480667546</v>
      </c>
      <c r="GC219">
        <v>8.8785743903669729</v>
      </c>
      <c r="GD219">
        <v>4.1189449790961339</v>
      </c>
      <c r="GE219">
        <v>6.5880011107724732</v>
      </c>
      <c r="GF219">
        <v>6.5570924908994126</v>
      </c>
      <c r="GG219">
        <v>6.3229974245306106</v>
      </c>
      <c r="GH219">
        <v>6.8382663920244084</v>
      </c>
      <c r="GI219">
        <v>20.302640000980197</v>
      </c>
      <c r="GJ219"/>
      <c r="GK219"/>
      <c r="GL219"/>
      <c r="GM219"/>
      <c r="GN219" s="208"/>
      <c r="GO219" s="208"/>
      <c r="GP219" s="208"/>
      <c r="GQ219" s="208"/>
      <c r="GR219" s="208"/>
      <c r="GS219" s="208"/>
      <c r="GT219" s="208"/>
      <c r="GU219" s="213">
        <v>214</v>
      </c>
    </row>
    <row r="220" spans="1:203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203.12293990872968</v>
      </c>
      <c r="AO220">
        <v>20.213665111553009</v>
      </c>
      <c r="AP220">
        <v>22.14026140180874</v>
      </c>
      <c r="AQ220">
        <v>152.43816716407147</v>
      </c>
      <c r="AR220">
        <v>21.579011252593848</v>
      </c>
      <c r="AS220">
        <v>324.54418629909901</v>
      </c>
      <c r="AT220">
        <v>13.138145310577007</v>
      </c>
      <c r="AU220">
        <v>29.478971747492444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2">AVERAGE(DF168:DF177)</f>
        <v>0</v>
      </c>
      <c r="DG220" s="182">
        <f t="shared" si="352"/>
        <v>17.234271943176051</v>
      </c>
      <c r="DH220" s="182">
        <f t="shared" si="352"/>
        <v>61.83344489067381</v>
      </c>
      <c r="DI220" s="182">
        <f t="shared" ref="DI220" si="353">AVERAGE(DI168:DI177)</f>
        <v>21.324185631414547</v>
      </c>
      <c r="DJ220" s="182">
        <f t="shared" si="352"/>
        <v>2.083333333333333</v>
      </c>
      <c r="DK220" s="182">
        <f t="shared" si="352"/>
        <v>0</v>
      </c>
      <c r="DL220" s="182">
        <f t="shared" si="352"/>
        <v>0</v>
      </c>
      <c r="DM220" s="182">
        <f t="shared" si="352"/>
        <v>0</v>
      </c>
      <c r="DN220" s="182">
        <f t="shared" si="352"/>
        <v>0</v>
      </c>
      <c r="DO220" s="182">
        <f t="shared" si="352"/>
        <v>0</v>
      </c>
      <c r="DP220" s="182">
        <f t="shared" si="352"/>
        <v>0</v>
      </c>
      <c r="DQ220" s="182">
        <f t="shared" si="352"/>
        <v>0</v>
      </c>
      <c r="DR220" s="182">
        <f t="shared" si="352"/>
        <v>0</v>
      </c>
      <c r="DS220" s="182">
        <f t="shared" si="352"/>
        <v>0</v>
      </c>
      <c r="DT220" s="182">
        <f t="shared" si="352"/>
        <v>0</v>
      </c>
      <c r="DU220" s="182">
        <f t="shared" si="352"/>
        <v>0</v>
      </c>
      <c r="DV220" s="182">
        <f t="shared" si="352"/>
        <v>0</v>
      </c>
      <c r="DW220" s="182">
        <f t="shared" si="352"/>
        <v>0</v>
      </c>
      <c r="DX220" s="182">
        <f t="shared" si="352"/>
        <v>0</v>
      </c>
      <c r="DY220" s="182">
        <f t="shared" si="352"/>
        <v>0</v>
      </c>
      <c r="DZ220" s="182">
        <f t="shared" si="352"/>
        <v>0</v>
      </c>
      <c r="EA220" s="182">
        <f t="shared" si="352"/>
        <v>0</v>
      </c>
      <c r="EB220" s="182">
        <f t="shared" si="352"/>
        <v>0</v>
      </c>
      <c r="EC220" s="182">
        <f t="shared" si="352"/>
        <v>0</v>
      </c>
      <c r="ED220" s="182">
        <f t="shared" si="352"/>
        <v>0</v>
      </c>
      <c r="EE220" s="182">
        <f t="shared" si="352"/>
        <v>0</v>
      </c>
      <c r="EF220" s="182">
        <f t="shared" si="352"/>
        <v>0</v>
      </c>
      <c r="EG220" s="182">
        <f t="shared" si="352"/>
        <v>0</v>
      </c>
      <c r="EH220" s="182">
        <f t="shared" si="352"/>
        <v>0</v>
      </c>
      <c r="EI220" s="182">
        <f t="shared" si="352"/>
        <v>0</v>
      </c>
      <c r="EJ220" s="182">
        <f t="shared" si="352"/>
        <v>0</v>
      </c>
      <c r="FY220" s="213">
        <v>215</v>
      </c>
      <c r="FZ220">
        <v>52.460853205974736</v>
      </c>
      <c r="GA220">
        <v>48.988523630563229</v>
      </c>
      <c r="GB220">
        <v>23.549126095822402</v>
      </c>
      <c r="GC220">
        <v>9.0404241830513996</v>
      </c>
      <c r="GD220">
        <v>3.5843204315944552</v>
      </c>
      <c r="GE220">
        <v>5.1217899611226425</v>
      </c>
      <c r="GF220">
        <v>4.0602796081753638</v>
      </c>
      <c r="GG220">
        <v>8.2762228427060212</v>
      </c>
      <c r="GH220">
        <v>11.041717572035337</v>
      </c>
      <c r="GI220">
        <v>18.041865845272358</v>
      </c>
      <c r="GJ220"/>
      <c r="GK220"/>
      <c r="GL220"/>
      <c r="GM220"/>
      <c r="GN220" s="208"/>
      <c r="GO220" s="208"/>
      <c r="GP220" s="208"/>
      <c r="GQ220" s="208"/>
      <c r="GR220" s="208"/>
      <c r="GS220" s="208"/>
      <c r="GT220" s="208"/>
      <c r="GU220" s="213">
        <v>215</v>
      </c>
    </row>
    <row r="221" spans="1:203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262.82579639160724</v>
      </c>
      <c r="AO221">
        <v>29.182817517567212</v>
      </c>
      <c r="AP221">
        <v>17.126254739242587</v>
      </c>
      <c r="AQ221">
        <v>203.36792460825524</v>
      </c>
      <c r="AR221">
        <v>28.56528363061711</v>
      </c>
      <c r="AS221">
        <v>405.08202140126934</v>
      </c>
      <c r="AT221">
        <v>17.409373310367283</v>
      </c>
      <c r="AU221">
        <v>1.6592552602050965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4">AVERAGE(DF178:DF187)</f>
        <v>0</v>
      </c>
      <c r="DG221" s="182">
        <f t="shared" si="354"/>
        <v>0</v>
      </c>
      <c r="DH221" s="182">
        <f t="shared" si="354"/>
        <v>12.620192307692308</v>
      </c>
      <c r="DI221" s="182">
        <f t="shared" si="354"/>
        <v>0</v>
      </c>
      <c r="DJ221" s="182">
        <f t="shared" si="354"/>
        <v>18.464052287581698</v>
      </c>
      <c r="DK221" s="182">
        <f t="shared" si="354"/>
        <v>2.083333333333333</v>
      </c>
      <c r="DL221" s="182">
        <f t="shared" si="354"/>
        <v>0</v>
      </c>
      <c r="DM221" s="182">
        <f t="shared" si="354"/>
        <v>2.083333333333333</v>
      </c>
      <c r="DN221" s="182">
        <f t="shared" si="354"/>
        <v>0</v>
      </c>
      <c r="DO221" s="182">
        <f t="shared" si="354"/>
        <v>0</v>
      </c>
      <c r="DP221" s="182">
        <f t="shared" si="354"/>
        <v>0</v>
      </c>
      <c r="DQ221" s="182">
        <f t="shared" si="354"/>
        <v>0</v>
      </c>
      <c r="DR221" s="182">
        <f t="shared" si="354"/>
        <v>0</v>
      </c>
      <c r="DS221" s="182">
        <f t="shared" si="354"/>
        <v>0</v>
      </c>
      <c r="DT221" s="182">
        <f t="shared" si="354"/>
        <v>0</v>
      </c>
      <c r="DU221" s="182">
        <f t="shared" si="354"/>
        <v>0</v>
      </c>
      <c r="DV221" s="182">
        <f t="shared" si="354"/>
        <v>0</v>
      </c>
      <c r="DW221" s="182">
        <f t="shared" si="354"/>
        <v>0</v>
      </c>
      <c r="DX221" s="182">
        <f t="shared" si="354"/>
        <v>0</v>
      </c>
      <c r="DY221" s="182">
        <f t="shared" si="354"/>
        <v>0</v>
      </c>
      <c r="DZ221" s="182">
        <f t="shared" si="354"/>
        <v>0</v>
      </c>
      <c r="EA221" s="182">
        <f t="shared" si="354"/>
        <v>0</v>
      </c>
      <c r="EB221" s="182">
        <f t="shared" si="354"/>
        <v>0</v>
      </c>
      <c r="EC221" s="182">
        <f t="shared" si="354"/>
        <v>0</v>
      </c>
      <c r="ED221" s="182">
        <f t="shared" si="354"/>
        <v>0</v>
      </c>
      <c r="EE221" s="182">
        <f t="shared" si="354"/>
        <v>0</v>
      </c>
      <c r="EF221" s="182">
        <f t="shared" si="354"/>
        <v>0</v>
      </c>
      <c r="EG221" s="182">
        <f t="shared" si="354"/>
        <v>0</v>
      </c>
      <c r="EH221" s="182">
        <f t="shared" si="354"/>
        <v>0</v>
      </c>
      <c r="EI221" s="182">
        <f t="shared" si="354"/>
        <v>0</v>
      </c>
      <c r="EJ221" s="182">
        <f t="shared" si="354"/>
        <v>0</v>
      </c>
      <c r="FY221" s="213">
        <v>216</v>
      </c>
      <c r="FZ221">
        <v>51.247255689647034</v>
      </c>
      <c r="GA221">
        <v>66.272003603239085</v>
      </c>
      <c r="GB221">
        <v>43.196232699790542</v>
      </c>
      <c r="GC221">
        <v>16.199296874701396</v>
      </c>
      <c r="GD221">
        <v>2.1249512264791441</v>
      </c>
      <c r="GE221">
        <v>1.8954569526551732</v>
      </c>
      <c r="GF221">
        <v>7.99944621709417</v>
      </c>
      <c r="GG221">
        <v>6.4263033702919703</v>
      </c>
      <c r="GH221">
        <v>4.7392120615646505</v>
      </c>
      <c r="GI221">
        <v>21.5938596010552</v>
      </c>
      <c r="GJ221"/>
      <c r="GK221"/>
      <c r="GL221"/>
      <c r="GM221"/>
      <c r="GN221" s="208"/>
      <c r="GO221" s="208"/>
      <c r="GP221" s="208"/>
      <c r="GQ221" s="208"/>
      <c r="GR221" s="208"/>
      <c r="GS221" s="208"/>
      <c r="GT221" s="208"/>
      <c r="GU221" s="213">
        <v>216</v>
      </c>
    </row>
    <row r="222" spans="1:203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264.2762404280133</v>
      </c>
      <c r="AO222">
        <v>26.2225800110593</v>
      </c>
      <c r="AP222">
        <v>32.83728205212735</v>
      </c>
      <c r="AQ222">
        <v>202.15107403579879</v>
      </c>
      <c r="AR222">
        <v>26.922745239908423</v>
      </c>
      <c r="AS222">
        <v>379.49205663498202</v>
      </c>
      <c r="AT222">
        <v>16.849435903882668</v>
      </c>
      <c r="AU222">
        <v>4.4736944587618481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>
        <v>40011</v>
      </c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3">
        <v>217</v>
      </c>
      <c r="FZ222">
        <v>41.311788368998663</v>
      </c>
      <c r="GA222">
        <v>40.525370704314192</v>
      </c>
      <c r="GB222">
        <v>29.870176685721525</v>
      </c>
      <c r="GC222">
        <v>12.862448989568842</v>
      </c>
      <c r="GD222">
        <v>2.8070676221785789</v>
      </c>
      <c r="GE222">
        <v>3.2249516387056048</v>
      </c>
      <c r="GF222">
        <v>6.0753507070830626</v>
      </c>
      <c r="GG222">
        <v>3.6276989436759073</v>
      </c>
      <c r="GH222">
        <v>3.9331609403081393</v>
      </c>
      <c r="GI222">
        <v>16.750721648945436</v>
      </c>
      <c r="GJ222"/>
      <c r="GK222"/>
      <c r="GL222"/>
      <c r="GM222"/>
      <c r="GN222" s="208"/>
      <c r="GO222" s="208"/>
      <c r="GP222" s="208"/>
      <c r="GQ222" s="208"/>
      <c r="GR222" s="208"/>
      <c r="GS222" s="208"/>
      <c r="GT222" s="208"/>
      <c r="GU222" s="213">
        <v>217</v>
      </c>
    </row>
    <row r="223" spans="1:203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395.36386878466118</v>
      </c>
      <c r="AO223">
        <v>37.795128503778578</v>
      </c>
      <c r="AP223">
        <v>28.050096766917136</v>
      </c>
      <c r="AQ223">
        <v>268.58944963622633</v>
      </c>
      <c r="AR223">
        <v>38.061898559380168</v>
      </c>
      <c r="AS223">
        <v>541.45347443137712</v>
      </c>
      <c r="AT223">
        <v>22.968530073936265</v>
      </c>
      <c r="AU223">
        <v>-31.862563911034435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3">
        <v>218</v>
      </c>
      <c r="FZ223">
        <v>64.779332379300214</v>
      </c>
      <c r="GA223">
        <v>59.165433686159517</v>
      </c>
      <c r="GB223">
        <v>34.450752069397488</v>
      </c>
      <c r="GC223">
        <v>15.952331076188919</v>
      </c>
      <c r="GD223">
        <v>4.0267618144626631</v>
      </c>
      <c r="GE223">
        <v>4.0856568657569268</v>
      </c>
      <c r="GF223">
        <v>9.1780004444483314</v>
      </c>
      <c r="GG223">
        <v>9.2329215906787514</v>
      </c>
      <c r="GH223">
        <v>7.6922699646518451</v>
      </c>
      <c r="GI223">
        <v>23.194461909042026</v>
      </c>
      <c r="GJ223"/>
      <c r="GK223"/>
      <c r="GL223"/>
      <c r="GM223"/>
      <c r="GN223" s="208"/>
      <c r="GO223" s="208"/>
      <c r="GP223" s="208"/>
      <c r="GQ223" s="208"/>
      <c r="GR223" s="208"/>
      <c r="GS223" s="208"/>
      <c r="GT223" s="208"/>
      <c r="GU223" s="213">
        <v>218</v>
      </c>
    </row>
    <row r="224" spans="1:203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314.16576227661767</v>
      </c>
      <c r="AO224">
        <v>29.734419476495635</v>
      </c>
      <c r="AP224">
        <v>18.693130156327712</v>
      </c>
      <c r="AQ224">
        <v>220.36172488958559</v>
      </c>
      <c r="AR224">
        <v>30.625216564980935</v>
      </c>
      <c r="AS224">
        <v>366.97409844000464</v>
      </c>
      <c r="AT224">
        <v>18.75368285682093</v>
      </c>
      <c r="AU224">
        <v>-22.254961632938638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3">
        <v>219</v>
      </c>
      <c r="FZ224">
        <v>53.442621788532932</v>
      </c>
      <c r="GA224">
        <v>47.492617416047189</v>
      </c>
      <c r="GB224">
        <v>27.18671098753428</v>
      </c>
      <c r="GC224">
        <v>13.329280934638263</v>
      </c>
      <c r="GD224">
        <v>5.1921146821536146</v>
      </c>
      <c r="GE224">
        <v>7.2088332072830159</v>
      </c>
      <c r="GF224">
        <v>1.4832991275019922</v>
      </c>
      <c r="GG224">
        <v>0.89572551680151058</v>
      </c>
      <c r="GH224">
        <v>4.9030584068236021</v>
      </c>
      <c r="GI224">
        <v>18.551980005244939</v>
      </c>
      <c r="GJ224"/>
      <c r="GK224"/>
      <c r="GL224"/>
      <c r="GM224"/>
      <c r="GN224" s="208"/>
      <c r="GO224" s="208"/>
      <c r="GP224" s="208"/>
      <c r="GQ224" s="208"/>
      <c r="GR224" s="208"/>
      <c r="GS224" s="208"/>
      <c r="GT224" s="208"/>
      <c r="GU224" s="213">
        <v>219</v>
      </c>
    </row>
    <row r="225" spans="1:203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296.41836707125503</v>
      </c>
      <c r="AO225">
        <v>32.579639741171036</v>
      </c>
      <c r="AP225">
        <v>39.889112077674881</v>
      </c>
      <c r="AQ225">
        <v>240.71730629377004</v>
      </c>
      <c r="AR225">
        <v>33.012490249921797</v>
      </c>
      <c r="AS225">
        <v>424.59886704748789</v>
      </c>
      <c r="AT225">
        <v>20.175169572255275</v>
      </c>
      <c r="AU225">
        <v>-24.992396913772055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0.28957697870070376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3">
        <v>220</v>
      </c>
      <c r="FZ225">
        <v>55.07692092825431</v>
      </c>
      <c r="GA225">
        <v>61.112564808379368</v>
      </c>
      <c r="GB225">
        <v>35.126045158497632</v>
      </c>
      <c r="GC225">
        <v>11.992838227380703</v>
      </c>
      <c r="GD225">
        <v>3.6577492433079657</v>
      </c>
      <c r="GE225">
        <v>3.5179756553184083</v>
      </c>
      <c r="GF225">
        <v>8.3214689230920733</v>
      </c>
      <c r="GG225">
        <v>13.405929700018088</v>
      </c>
      <c r="GH225">
        <v>10.633325854684809</v>
      </c>
      <c r="GI225">
        <v>22.021191103246554</v>
      </c>
      <c r="GJ225"/>
      <c r="GK225"/>
      <c r="GL225"/>
      <c r="GM225"/>
      <c r="GN225" s="208"/>
      <c r="GO225" s="208"/>
      <c r="GP225" s="208"/>
      <c r="GQ225" s="208"/>
      <c r="GR225" s="208"/>
      <c r="GS225" s="208"/>
      <c r="GT225" s="208"/>
      <c r="GU225" s="213">
        <v>220</v>
      </c>
    </row>
    <row r="226" spans="1:203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249.09827763877337</v>
      </c>
      <c r="AO226">
        <v>22.164064441051302</v>
      </c>
      <c r="AP226">
        <v>35.803915065921927</v>
      </c>
      <c r="AQ226">
        <v>168.24016504031539</v>
      </c>
      <c r="AR226">
        <v>22.556059853226106</v>
      </c>
      <c r="AS226">
        <v>327.63593914594355</v>
      </c>
      <c r="AT226">
        <v>14.085182037416009</v>
      </c>
      <c r="AU226">
        <v>-40.845543882585162</v>
      </c>
      <c r="AV226"/>
      <c r="AW226"/>
      <c r="DE226" s="187">
        <f>DE101</f>
        <v>39673</v>
      </c>
      <c r="DF226" s="205"/>
      <c r="DG226" s="205">
        <f t="shared" ref="DG226:DG235" si="355">((DG213*$H$372)+(DH213*$I$372)+(DI213*$J$372)+(DJ213*$K$372)+(DK213*$L$372)+(DL213*$M$372)+(DM213*$N$372)+(DN213*$O$372)+(DO213*$P$372)+(DP213*$Q$372)+(DQ213*$R$372)+(DR213*$S$372)+(DS213*$T$372)+(DT213*$U$372))/SUM(DG213:DT213)</f>
        <v>0.27951347780170221</v>
      </c>
      <c r="DH226" s="205">
        <f>(LN(DG226/DG225))/(DE213-DE212)</f>
        <v>-1.3100241247121212E-3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3">
        <v>221</v>
      </c>
      <c r="FZ226">
        <v>50.582208567901553</v>
      </c>
      <c r="GA226">
        <v>57.996135647436347</v>
      </c>
      <c r="GB226">
        <v>36.438058471401384</v>
      </c>
      <c r="GC226">
        <v>13.735346062982819</v>
      </c>
      <c r="GD226">
        <v>3.7596444856801061</v>
      </c>
      <c r="GE226">
        <v>4.1313047946710286</v>
      </c>
      <c r="GF226">
        <v>9.1687808768645667</v>
      </c>
      <c r="GG226">
        <v>10.094215742491613</v>
      </c>
      <c r="GH226">
        <v>9.977422344325829</v>
      </c>
      <c r="GI226">
        <v>21.790976572832431</v>
      </c>
      <c r="GJ226"/>
      <c r="GK226"/>
      <c r="GL226"/>
      <c r="GM226"/>
      <c r="GN226" s="208"/>
      <c r="GO226" s="208"/>
      <c r="GP226" s="208"/>
      <c r="GQ226" s="208"/>
      <c r="GR226" s="208"/>
      <c r="GS226" s="208"/>
      <c r="GT226" s="208"/>
      <c r="GU226" s="213">
        <v>221</v>
      </c>
    </row>
    <row r="227" spans="1:203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208.50362562320612</v>
      </c>
      <c r="AO227">
        <v>25.779547303933374</v>
      </c>
      <c r="AP227">
        <v>44.570501661122236</v>
      </c>
      <c r="AQ227">
        <v>194.75500651049592</v>
      </c>
      <c r="AR227">
        <v>26.318184759247139</v>
      </c>
      <c r="AS227">
        <v>337.60850528549651</v>
      </c>
      <c r="AT227">
        <v>15.758731749841415</v>
      </c>
      <c r="AU227">
        <v>6.9901872126724349</v>
      </c>
      <c r="AV227"/>
      <c r="AW227"/>
      <c r="DE227" s="187">
        <f>DE111</f>
        <v>39714</v>
      </c>
      <c r="DF227" s="205"/>
      <c r="DG227" s="205">
        <f t="shared" si="355"/>
        <v>8.7101561247079462E-2</v>
      </c>
      <c r="DH227" s="205">
        <f t="shared" ref="DH227:DH234" si="356">(LN(DG227/DG226))/(DE214-DE213)</f>
        <v>-2.8438431806936729E-2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3">
        <v>222</v>
      </c>
      <c r="FZ227">
        <v>59.347048735128439</v>
      </c>
      <c r="GA227">
        <v>75.146890338102594</v>
      </c>
      <c r="GB227">
        <v>43.429258229332198</v>
      </c>
      <c r="GC227">
        <v>13.242620435908826</v>
      </c>
      <c r="GD227">
        <v>3.3685711241758951</v>
      </c>
      <c r="GE227">
        <v>5.9736088785897934</v>
      </c>
      <c r="GF227">
        <v>9.7543433848127492</v>
      </c>
      <c r="GG227">
        <v>12.48427367377438</v>
      </c>
      <c r="GH227">
        <v>16.889708872804345</v>
      </c>
      <c r="GI227">
        <v>25.766887420431228</v>
      </c>
      <c r="GJ227"/>
      <c r="GK227"/>
      <c r="GL227"/>
      <c r="GM227"/>
      <c r="GN227" s="208"/>
      <c r="GO227" s="208"/>
      <c r="GP227" s="208"/>
      <c r="GQ227" s="208"/>
      <c r="GR227" s="208"/>
      <c r="GS227" s="208"/>
      <c r="GT227" s="208"/>
      <c r="GU227" s="213">
        <v>222</v>
      </c>
    </row>
    <row r="228" spans="1:203" s="7" customFormat="1">
      <c r="A228" s="9" t="s">
        <v>60</v>
      </c>
      <c r="B228">
        <v>0.89067303258143715</v>
      </c>
      <c r="C228">
        <v>4</v>
      </c>
      <c r="D228">
        <v>39646</v>
      </c>
      <c r="E228">
        <v>0</v>
      </c>
      <c r="F228">
        <v>0</v>
      </c>
      <c r="G228">
        <v>0</v>
      </c>
      <c r="H228">
        <v>20.833333333333332</v>
      </c>
      <c r="I228">
        <v>10.416666666666666</v>
      </c>
      <c r="J228">
        <v>31.25</v>
      </c>
      <c r="K228">
        <v>20.833333333333332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242.57883893431821</v>
      </c>
      <c r="AO228">
        <v>23.500443856867982</v>
      </c>
      <c r="AP228">
        <v>26.084000186271435</v>
      </c>
      <c r="AQ228">
        <v>162.09055200014578</v>
      </c>
      <c r="AR228">
        <v>24.089694838516742</v>
      </c>
      <c r="AS228">
        <v>322.78299546728857</v>
      </c>
      <c r="AT228">
        <v>14.947419280640366</v>
      </c>
      <c r="AU228">
        <v>-1.2396847728301807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5"/>
        <v>8.1209469636792125E-2</v>
      </c>
      <c r="DH228" s="205">
        <f t="shared" si="356"/>
        <v>-2.1225135440207724E-3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3">
        <v>223</v>
      </c>
      <c r="FZ228">
        <v>48.641997330390758</v>
      </c>
      <c r="GA228">
        <v>33.380797390063613</v>
      </c>
      <c r="GB228">
        <v>22.337740520504866</v>
      </c>
      <c r="GC228">
        <v>10.897759483339366</v>
      </c>
      <c r="GD228">
        <v>5.2463943119850596</v>
      </c>
      <c r="GE228">
        <v>7.7994721053753988</v>
      </c>
      <c r="GF228">
        <v>4.2172618420411609</v>
      </c>
      <c r="GG228">
        <v>3.9512624961984653</v>
      </c>
      <c r="GH228">
        <v>5.2879250895307424</v>
      </c>
      <c r="GI228">
        <v>17.233920620787146</v>
      </c>
      <c r="GJ228"/>
      <c r="GK228"/>
      <c r="GL228"/>
      <c r="GM228"/>
      <c r="GN228" s="208"/>
      <c r="GO228" s="208"/>
      <c r="GP228" s="208"/>
      <c r="GQ228" s="208"/>
      <c r="GR228" s="208"/>
      <c r="GS228" s="208"/>
      <c r="GT228" s="208"/>
      <c r="GU228" s="213">
        <v>223</v>
      </c>
    </row>
    <row r="229" spans="1:203" s="7" customFormat="1">
      <c r="A229" s="90"/>
      <c r="B229">
        <v>0.70494370340179402</v>
      </c>
      <c r="C229">
        <v>8</v>
      </c>
      <c r="D229">
        <v>39646</v>
      </c>
      <c r="E229">
        <v>0</v>
      </c>
      <c r="F229">
        <v>0</v>
      </c>
      <c r="G229">
        <v>83.333333333333329</v>
      </c>
      <c r="H229">
        <v>0</v>
      </c>
      <c r="I229">
        <v>31.25</v>
      </c>
      <c r="J229">
        <v>31.25</v>
      </c>
      <c r="K229">
        <v>10.416666666666666</v>
      </c>
      <c r="L229">
        <v>10.416666666666666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263.34941124169393</v>
      </c>
      <c r="AO229">
        <v>22.750773476521161</v>
      </c>
      <c r="AP229">
        <v>21.431506469427394</v>
      </c>
      <c r="AQ229">
        <v>164.72625614192793</v>
      </c>
      <c r="AR229">
        <v>23.790893904795929</v>
      </c>
      <c r="AS229">
        <v>340.48409558545302</v>
      </c>
      <c r="AT229">
        <v>14.657170745687258</v>
      </c>
      <c r="AU229">
        <v>-7.5566872672893268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5"/>
        <v>5.93492887232746E-2</v>
      </c>
      <c r="DH229" s="205">
        <f t="shared" si="356"/>
        <v>-1.1199704463227664E-2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3">
        <v>224</v>
      </c>
      <c r="FZ229">
        <v>53.899605477996481</v>
      </c>
      <c r="GA229">
        <v>54.678595128494841</v>
      </c>
      <c r="GB229">
        <v>39.785146246157382</v>
      </c>
      <c r="GC229">
        <v>16.34817158644795</v>
      </c>
      <c r="GD229">
        <v>3.4867962367665122</v>
      </c>
      <c r="GE229">
        <v>4.4600427420832762</v>
      </c>
      <c r="GF229">
        <v>6.8910716084337285</v>
      </c>
      <c r="GG229">
        <v>4.239338582510972</v>
      </c>
      <c r="GH229">
        <v>2.4099746464747778</v>
      </c>
      <c r="GI229">
        <v>21.338305741224534</v>
      </c>
      <c r="GJ229"/>
      <c r="GK229"/>
      <c r="GL229"/>
      <c r="GM229"/>
      <c r="GN229" s="208"/>
      <c r="GO229" s="208"/>
      <c r="GP229" s="208"/>
      <c r="GQ229" s="208"/>
      <c r="GR229" s="208"/>
      <c r="GS229" s="208"/>
      <c r="GT229" s="208"/>
      <c r="GU229" s="213">
        <v>224</v>
      </c>
    </row>
    <row r="230" spans="1:203" s="7" customFormat="1">
      <c r="A230" s="77"/>
      <c r="B230">
        <v>0.43237861453389792</v>
      </c>
      <c r="C230">
        <v>3</v>
      </c>
      <c r="D230">
        <v>39646</v>
      </c>
      <c r="E230">
        <v>0</v>
      </c>
      <c r="F230">
        <v>0</v>
      </c>
      <c r="G230">
        <v>31.25</v>
      </c>
      <c r="H230">
        <v>20.833333333333332</v>
      </c>
      <c r="I230">
        <v>52.083333333333336</v>
      </c>
      <c r="J230">
        <v>0</v>
      </c>
      <c r="K230">
        <v>10.416666666666666</v>
      </c>
      <c r="L230">
        <v>10.416666666666666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338.85451478293646</v>
      </c>
      <c r="AO230">
        <v>27.411011433768643</v>
      </c>
      <c r="AP230">
        <v>26.410393544295932</v>
      </c>
      <c r="AQ230">
        <v>214.24494257366183</v>
      </c>
      <c r="AR230">
        <v>27.772636369747975</v>
      </c>
      <c r="AS230">
        <v>431.10858798856788</v>
      </c>
      <c r="AT230">
        <v>16.73002443281781</v>
      </c>
      <c r="AU230">
        <v>-34.210380588559232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5"/>
        <v>3.7515590308498679E-2</v>
      </c>
      <c r="DH230" s="205">
        <f t="shared" si="356"/>
        <v>-1.9111814516689522E-2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3">
        <v>225</v>
      </c>
      <c r="FZ230">
        <v>71.530175365701069</v>
      </c>
      <c r="GA230">
        <v>71.466462048719094</v>
      </c>
      <c r="GB230">
        <v>37.782413541890037</v>
      </c>
      <c r="GC230">
        <v>12.917106214393922</v>
      </c>
      <c r="GD230">
        <v>2.6768545899107021</v>
      </c>
      <c r="GE230">
        <v>3.7533276628530645</v>
      </c>
      <c r="GF230">
        <v>7.9902266495104071</v>
      </c>
      <c r="GG230">
        <v>8.7195905753400851</v>
      </c>
      <c r="GH230">
        <v>6.0876609672277011</v>
      </c>
      <c r="GI230">
        <v>23.753124041276962</v>
      </c>
      <c r="GJ230"/>
      <c r="GK230"/>
      <c r="GL230"/>
      <c r="GM230"/>
      <c r="GN230" s="208"/>
      <c r="GO230" s="208"/>
      <c r="GP230" s="208"/>
      <c r="GQ230" s="208"/>
      <c r="GR230" s="208"/>
      <c r="GS230" s="208"/>
      <c r="GT230" s="208"/>
      <c r="GU230" s="213">
        <v>225</v>
      </c>
    </row>
    <row r="231" spans="1:203" s="7" customFormat="1">
      <c r="A231" s="77"/>
      <c r="B231">
        <v>0.18403514597646242</v>
      </c>
      <c r="C231">
        <v>7</v>
      </c>
      <c r="D231">
        <v>39646</v>
      </c>
      <c r="E231">
        <v>0</v>
      </c>
      <c r="F231">
        <v>0</v>
      </c>
      <c r="G231">
        <v>145.83333333333334</v>
      </c>
      <c r="H231">
        <v>83.333333333333329</v>
      </c>
      <c r="I231">
        <v>31.25</v>
      </c>
      <c r="J231">
        <v>10.416666666666666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284.24805649547767</v>
      </c>
      <c r="AO231">
        <v>23.918529886621279</v>
      </c>
      <c r="AP231">
        <v>20.51448047461114</v>
      </c>
      <c r="AQ231">
        <v>184.16512337631792</v>
      </c>
      <c r="AR231">
        <v>24.72328609895338</v>
      </c>
      <c r="AS231">
        <v>350.51584185992397</v>
      </c>
      <c r="AT231">
        <v>14.77368536738522</v>
      </c>
      <c r="AU231">
        <v>-7.610917377346837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5"/>
        <v>4.2575636685275267E-2</v>
      </c>
      <c r="DH231" s="205">
        <f t="shared" si="356"/>
        <v>2.6359498486875255E-3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3">
        <v>226</v>
      </c>
      <c r="FZ231">
        <v>42.531133685858158</v>
      </c>
      <c r="GA231">
        <v>22.540554707081711</v>
      </c>
      <c r="GB231">
        <v>21.607633640316777</v>
      </c>
      <c r="GC231">
        <v>12.912816390514655</v>
      </c>
      <c r="GD231">
        <v>4.1032829063745462</v>
      </c>
      <c r="GE231">
        <v>6.4231209193903709</v>
      </c>
      <c r="GF231">
        <v>5.1487743483347259</v>
      </c>
      <c r="GG231">
        <v>5.5272221003119126</v>
      </c>
      <c r="GH231">
        <v>8.1393497333828559</v>
      </c>
      <c r="GI231">
        <v>16.130705587704689</v>
      </c>
      <c r="GJ231"/>
      <c r="GK231"/>
      <c r="GL231"/>
      <c r="GM231"/>
      <c r="GN231" s="208"/>
      <c r="GO231" s="208"/>
      <c r="GP231" s="208"/>
      <c r="GQ231" s="208"/>
      <c r="GR231" s="208"/>
      <c r="GS231" s="208"/>
      <c r="GT231" s="208"/>
      <c r="GU231" s="213">
        <v>226</v>
      </c>
    </row>
    <row r="232" spans="1:203" s="7" customFormat="1">
      <c r="A232" s="77"/>
      <c r="B232">
        <v>0.34386699763734807</v>
      </c>
      <c r="C232">
        <v>1</v>
      </c>
      <c r="D232">
        <v>39646</v>
      </c>
      <c r="E232">
        <v>0</v>
      </c>
      <c r="F232">
        <v>0</v>
      </c>
      <c r="G232">
        <v>20.833333333333332</v>
      </c>
      <c r="H232">
        <v>31.25</v>
      </c>
      <c r="I232">
        <v>93.75</v>
      </c>
      <c r="J232">
        <v>62.5</v>
      </c>
      <c r="K232">
        <v>20.833333333333332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253.32430761290829</v>
      </c>
      <c r="AO232">
        <v>29.561662417996786</v>
      </c>
      <c r="AP232">
        <v>19.653503372378289</v>
      </c>
      <c r="AQ232">
        <v>221.69401829651838</v>
      </c>
      <c r="AR232">
        <v>29.544120823691518</v>
      </c>
      <c r="AS232">
        <v>399.74287450665736</v>
      </c>
      <c r="AT232">
        <v>18.378555525463025</v>
      </c>
      <c r="AU232">
        <v>-24.976653663909708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5"/>
        <v>8.9702166454432464E-2</v>
      </c>
      <c r="DH232" s="205">
        <f t="shared" si="356"/>
        <v>1.1828773652693076E-2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3">
        <v>227</v>
      </c>
      <c r="FZ232">
        <v>65.062187090977318</v>
      </c>
      <c r="GA232">
        <v>49.242258623001426</v>
      </c>
      <c r="GB232">
        <v>27.292617125461298</v>
      </c>
      <c r="GC232">
        <v>13.046865172494076</v>
      </c>
      <c r="GD232">
        <v>4.0444925241317158</v>
      </c>
      <c r="GE232">
        <v>5.5859092915528379</v>
      </c>
      <c r="GF232">
        <v>8.5985406512139591</v>
      </c>
      <c r="GG232">
        <v>6.3365610919514657</v>
      </c>
      <c r="GH232">
        <v>3.2439464501942963</v>
      </c>
      <c r="GI232">
        <v>20.666389006001047</v>
      </c>
      <c r="GJ232"/>
      <c r="GK232"/>
      <c r="GL232"/>
      <c r="GM232"/>
      <c r="GN232" s="208"/>
      <c r="GO232" s="208"/>
      <c r="GP232" s="208"/>
      <c r="GQ232" s="208"/>
      <c r="GR232" s="208"/>
      <c r="GS232" s="208"/>
      <c r="GT232" s="208"/>
      <c r="GU232" s="213">
        <v>227</v>
      </c>
    </row>
    <row r="233" spans="1:203" s="7" customFormat="1">
      <c r="A233" s="77"/>
      <c r="B233">
        <v>0.55615246380919725</v>
      </c>
      <c r="C233">
        <v>7</v>
      </c>
      <c r="D233">
        <v>39646</v>
      </c>
      <c r="E233">
        <v>0</v>
      </c>
      <c r="F233">
        <v>0</v>
      </c>
      <c r="G233">
        <v>145.83333333333334</v>
      </c>
      <c r="H233">
        <v>83.333333333333329</v>
      </c>
      <c r="I233">
        <v>31.25</v>
      </c>
      <c r="J233">
        <v>10.416666666666666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219.28392986898092</v>
      </c>
      <c r="AO233">
        <v>22.278979965803156</v>
      </c>
      <c r="AP233">
        <v>15.625314137915971</v>
      </c>
      <c r="AQ233">
        <v>160.98873624949996</v>
      </c>
      <c r="AR233">
        <v>22.990706168065174</v>
      </c>
      <c r="AS233">
        <v>317.86627125991953</v>
      </c>
      <c r="AT233">
        <v>13.862880106538517</v>
      </c>
      <c r="AU233">
        <v>1.4163442464325726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5"/>
        <v>6.4424241600787774E-2</v>
      </c>
      <c r="DH233" s="205">
        <f t="shared" si="356"/>
        <v>-8.4873060600706689E-3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3">
        <v>228</v>
      </c>
      <c r="FZ233">
        <v>60.573483809982513</v>
      </c>
      <c r="GA233">
        <v>62.230732277709528</v>
      </c>
      <c r="GB233">
        <v>46.109603044714987</v>
      </c>
      <c r="GC233">
        <v>19.314930185731104</v>
      </c>
      <c r="GD233">
        <v>5.2904938074625969</v>
      </c>
      <c r="GE233">
        <v>6.6408667397663059</v>
      </c>
      <c r="GF233">
        <v>2.8965534176119072</v>
      </c>
      <c r="GG233">
        <v>3.0483713837630884</v>
      </c>
      <c r="GH233">
        <v>8.3935211263512706</v>
      </c>
      <c r="GI233">
        <v>25.11088119167886</v>
      </c>
      <c r="GJ233"/>
      <c r="GK233"/>
      <c r="GL233"/>
      <c r="GM233"/>
      <c r="GN233" s="208"/>
      <c r="GO233" s="208"/>
      <c r="GP233" s="208"/>
      <c r="GQ233" s="208"/>
      <c r="GR233" s="208"/>
      <c r="GS233" s="208"/>
      <c r="GT233" s="208"/>
      <c r="GU233" s="213">
        <v>228</v>
      </c>
    </row>
    <row r="234" spans="1:203" s="7" customFormat="1">
      <c r="A234" s="77"/>
      <c r="B234">
        <v>0.74647754076135242</v>
      </c>
      <c r="C234">
        <v>2</v>
      </c>
      <c r="D234">
        <v>39646</v>
      </c>
      <c r="E234">
        <v>0</v>
      </c>
      <c r="F234">
        <v>20.833333333333332</v>
      </c>
      <c r="G234">
        <v>145.83333333333334</v>
      </c>
      <c r="H234">
        <v>83.333333333333329</v>
      </c>
      <c r="I234">
        <v>41.666666666666664</v>
      </c>
      <c r="J234">
        <v>72.916666666666671</v>
      </c>
      <c r="K234">
        <v>31.25</v>
      </c>
      <c r="L234">
        <v>10.416666666666666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288.08564564964024</v>
      </c>
      <c r="AO234">
        <v>31.132756678230027</v>
      </c>
      <c r="AP234">
        <v>41.940566851875559</v>
      </c>
      <c r="AQ234">
        <v>231.75792180008671</v>
      </c>
      <c r="AR234">
        <v>31.858171116441682</v>
      </c>
      <c r="AS234">
        <v>492.80797478744074</v>
      </c>
      <c r="AT234">
        <v>19.447716676772085</v>
      </c>
      <c r="AU234">
        <v>-1.2581908196184912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5"/>
        <v>0.28735436696626787</v>
      </c>
      <c r="DH234" s="205">
        <f t="shared" si="356"/>
        <v>3.9348057830567482E-2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3">
        <v>229</v>
      </c>
      <c r="FZ234">
        <v>46.265384805879798</v>
      </c>
      <c r="GA234">
        <v>42.360609567574294</v>
      </c>
      <c r="GB234">
        <v>29.556881841282621</v>
      </c>
      <c r="GC234">
        <v>13.174189737183088</v>
      </c>
      <c r="GD234">
        <v>3.4182604744942524</v>
      </c>
      <c r="GE234">
        <v>3.4367407889180641</v>
      </c>
      <c r="GF234">
        <v>0.8722482818457904</v>
      </c>
      <c r="GG234">
        <v>2.7930264454852316</v>
      </c>
      <c r="GH234">
        <v>8.4269530427929986</v>
      </c>
      <c r="GI234">
        <v>17.517435451561198</v>
      </c>
      <c r="GJ234"/>
      <c r="GK234"/>
      <c r="GL234"/>
      <c r="GM234"/>
      <c r="GN234" s="208"/>
      <c r="GO234" s="208"/>
      <c r="GP234" s="208"/>
      <c r="GQ234" s="208"/>
      <c r="GR234" s="208"/>
      <c r="GS234" s="208"/>
      <c r="GT234" s="208"/>
      <c r="GU234" s="213">
        <v>229</v>
      </c>
    </row>
    <row r="235" spans="1:203" s="7" customFormat="1">
      <c r="A235" s="77"/>
      <c r="B235">
        <v>0.79657686137818473</v>
      </c>
      <c r="C235">
        <v>8</v>
      </c>
      <c r="D235">
        <v>39646</v>
      </c>
      <c r="E235">
        <v>0</v>
      </c>
      <c r="F235">
        <v>0</v>
      </c>
      <c r="G235">
        <v>83.333333333333329</v>
      </c>
      <c r="H235">
        <v>0</v>
      </c>
      <c r="I235">
        <v>31.25</v>
      </c>
      <c r="J235">
        <v>31.25</v>
      </c>
      <c r="K235">
        <v>10.416666666666666</v>
      </c>
      <c r="L235">
        <v>10.416666666666666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269.05204723927199</v>
      </c>
      <c r="AO235">
        <v>25.037559390277139</v>
      </c>
      <c r="AP235">
        <v>19.125098757365848</v>
      </c>
      <c r="AQ235">
        <v>179.6862420725613</v>
      </c>
      <c r="AR235">
        <v>25.590552458308824</v>
      </c>
      <c r="AS235">
        <v>339.73247995982865</v>
      </c>
      <c r="AT235">
        <v>14.692495343833913</v>
      </c>
      <c r="AU235">
        <v>-20.165049869597404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 t="e">
        <f t="shared" si="355"/>
        <v>#DIV/0!</v>
      </c>
      <c r="DH235" s="205">
        <f>(LN(DG225/DG234))/(DE222-DE221)</f>
        <v>3.2104090415700255E-4</v>
      </c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3">
        <v>230</v>
      </c>
      <c r="FZ235">
        <v>50.436843655708557</v>
      </c>
      <c r="GA235">
        <v>42.152277858791379</v>
      </c>
      <c r="GB235">
        <v>32.047906069028599</v>
      </c>
      <c r="GC235">
        <v>14.358609799363565</v>
      </c>
      <c r="GD235">
        <v>2.7289490846312567</v>
      </c>
      <c r="GE235">
        <v>3.4493345402497031</v>
      </c>
      <c r="GF235">
        <v>1.7918043766029423</v>
      </c>
      <c r="GG235">
        <v>2.7789874939905812</v>
      </c>
      <c r="GH235">
        <v>4.4758726292199293</v>
      </c>
      <c r="GI235">
        <v>17.90138602996144</v>
      </c>
      <c r="GJ235"/>
      <c r="GK235"/>
      <c r="GL235"/>
      <c r="GM235"/>
      <c r="GN235" s="208"/>
      <c r="GO235" s="208"/>
      <c r="GP235" s="208"/>
      <c r="GQ235" s="208"/>
      <c r="GR235" s="208"/>
      <c r="GS235" s="208"/>
      <c r="GT235" s="208"/>
      <c r="GU235" s="213">
        <v>230</v>
      </c>
    </row>
    <row r="236" spans="1:203" s="7" customFormat="1">
      <c r="A236" s="77"/>
      <c r="B236">
        <v>0.57028702752211835</v>
      </c>
      <c r="C236">
        <v>5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307.48851037764337</v>
      </c>
      <c r="AO236">
        <v>29.561571541491567</v>
      </c>
      <c r="AP236">
        <v>36.730481994540185</v>
      </c>
      <c r="AQ236">
        <v>224.8660096021799</v>
      </c>
      <c r="AR236">
        <v>30.233179065507191</v>
      </c>
      <c r="AS236">
        <v>422.27626337617573</v>
      </c>
      <c r="AT236">
        <v>18.027106066702924</v>
      </c>
      <c r="AU236">
        <v>-3.2906924324141897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3">
        <v>231</v>
      </c>
      <c r="FZ236">
        <v>51.48779291027531</v>
      </c>
      <c r="GA236">
        <v>66.679620653550771</v>
      </c>
      <c r="GB236">
        <v>48.001608048826554</v>
      </c>
      <c r="GC236">
        <v>16.093462980432971</v>
      </c>
      <c r="GD236">
        <v>4.0312656144215273</v>
      </c>
      <c r="GE236">
        <v>6.7730675910601326</v>
      </c>
      <c r="GF236">
        <v>2.0280510154445799</v>
      </c>
      <c r="GG236">
        <v>3.0978695357053594</v>
      </c>
      <c r="GH236">
        <v>10.798973868493608</v>
      </c>
      <c r="GI236">
        <v>23.751344523860872</v>
      </c>
      <c r="GJ236"/>
      <c r="GK236"/>
      <c r="GL236"/>
      <c r="GM236"/>
      <c r="GN236" s="208"/>
      <c r="GO236" s="208"/>
      <c r="GP236" s="208"/>
      <c r="GQ236" s="208"/>
      <c r="GR236" s="208"/>
      <c r="GS236" s="208"/>
      <c r="GT236" s="208"/>
      <c r="GU236" s="213">
        <v>231</v>
      </c>
    </row>
    <row r="237" spans="1:203" s="7" customFormat="1">
      <c r="A237" s="77"/>
      <c r="B237">
        <v>0.21925567192551565</v>
      </c>
      <c r="C237">
        <v>4</v>
      </c>
      <c r="D237">
        <v>39646</v>
      </c>
      <c r="E237">
        <v>0</v>
      </c>
      <c r="F237">
        <v>0</v>
      </c>
      <c r="G237">
        <v>0</v>
      </c>
      <c r="H237">
        <v>20.833333333333332</v>
      </c>
      <c r="I237">
        <v>10.416666666666666</v>
      </c>
      <c r="J237">
        <v>31.25</v>
      </c>
      <c r="K237">
        <v>20.833333333333332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291.29931600334049</v>
      </c>
      <c r="AO237">
        <v>29.200083624395926</v>
      </c>
      <c r="AP237">
        <v>30.024749337474688</v>
      </c>
      <c r="AQ237">
        <v>217.67409356658763</v>
      </c>
      <c r="AR237">
        <v>29.835564956463731</v>
      </c>
      <c r="AS237">
        <v>420.88458444152565</v>
      </c>
      <c r="AT237">
        <v>18.931543504556604</v>
      </c>
      <c r="AU237">
        <v>-8.511888945515345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3">
        <v>232</v>
      </c>
      <c r="FZ237">
        <v>66.62053313714182</v>
      </c>
      <c r="GA237">
        <v>66.989193191278545</v>
      </c>
      <c r="GB237">
        <v>34.546838081370701</v>
      </c>
      <c r="GC237">
        <v>14.281697645496894</v>
      </c>
      <c r="GD237">
        <v>4.5792056178272924</v>
      </c>
      <c r="GE237">
        <v>5.6214274156018131</v>
      </c>
      <c r="GF237">
        <v>2.7303371468876914</v>
      </c>
      <c r="GG237">
        <v>2.8433212738871707</v>
      </c>
      <c r="GH237">
        <v>6.8639195278592382</v>
      </c>
      <c r="GI237">
        <v>22.484497525014287</v>
      </c>
      <c r="GJ237"/>
      <c r="GK237"/>
      <c r="GL237"/>
      <c r="GM237"/>
      <c r="GN237" s="208"/>
      <c r="GO237" s="208"/>
      <c r="GP237" s="208"/>
      <c r="GQ237" s="208"/>
      <c r="GR237" s="208"/>
      <c r="GS237" s="208"/>
      <c r="GT237" s="208"/>
      <c r="GU237" s="213">
        <v>232</v>
      </c>
    </row>
    <row r="238" spans="1:203" s="7" customFormat="1">
      <c r="A238" s="77"/>
      <c r="B238">
        <v>0.68318029579029327</v>
      </c>
      <c r="C238">
        <v>4</v>
      </c>
      <c r="D238">
        <v>39673</v>
      </c>
      <c r="E238">
        <v>0</v>
      </c>
      <c r="F238">
        <v>0</v>
      </c>
      <c r="G238">
        <v>73.958333333333329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378.78382304812698</v>
      </c>
      <c r="AO238">
        <v>34.613944453571285</v>
      </c>
      <c r="AP238">
        <v>48.432031718177385</v>
      </c>
      <c r="AQ238">
        <v>265.40321109306046</v>
      </c>
      <c r="AR238">
        <v>35.424417335712292</v>
      </c>
      <c r="AS238">
        <v>578.4870190352284</v>
      </c>
      <c r="AT238">
        <v>21.276596268143987</v>
      </c>
      <c r="AU238">
        <v>4.4011959978127848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3">
        <v>233</v>
      </c>
      <c r="FZ238">
        <v>42.369697354825895</v>
      </c>
      <c r="GA238">
        <v>31.963539088424241</v>
      </c>
      <c r="GB238">
        <v>41.717774708982901</v>
      </c>
      <c r="GC238">
        <v>21.081439079621585</v>
      </c>
      <c r="GD238">
        <v>6.5419886406667871</v>
      </c>
      <c r="GE238">
        <v>8.1817257188160966</v>
      </c>
      <c r="GF238">
        <v>14.655697450745159</v>
      </c>
      <c r="GG238">
        <v>16.538439548928743</v>
      </c>
      <c r="GH238">
        <v>10.192681824846947</v>
      </c>
      <c r="GI238">
        <v>24.523729326621073</v>
      </c>
      <c r="GJ238"/>
      <c r="GK238"/>
      <c r="GL238"/>
      <c r="GM238"/>
      <c r="GN238" s="208"/>
      <c r="GO238" s="208"/>
      <c r="GP238" s="208"/>
      <c r="GQ238" s="208"/>
      <c r="GR238" s="208"/>
      <c r="GS238" s="208"/>
      <c r="GT238" s="208"/>
      <c r="GU238" s="213">
        <v>233</v>
      </c>
    </row>
    <row r="239" spans="1:203" s="7" customFormat="1">
      <c r="A239" s="77" t="s">
        <v>61</v>
      </c>
      <c r="B239">
        <v>0.16218907611586886</v>
      </c>
      <c r="C239">
        <v>8</v>
      </c>
      <c r="D239">
        <v>39673</v>
      </c>
      <c r="E239">
        <v>0</v>
      </c>
      <c r="F239">
        <v>20.833333333333332</v>
      </c>
      <c r="G239">
        <v>270.83333333333331</v>
      </c>
      <c r="H239">
        <v>145.83333333333334</v>
      </c>
      <c r="I239">
        <v>41.666666666666664</v>
      </c>
      <c r="J239">
        <v>0</v>
      </c>
      <c r="K239">
        <v>31.25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274.26796055923921</v>
      </c>
      <c r="AO239">
        <v>22.452139549853591</v>
      </c>
      <c r="AP239">
        <v>14.419392883727584</v>
      </c>
      <c r="AQ239">
        <v>158.99453119021655</v>
      </c>
      <c r="AR239">
        <v>23.733146432460661</v>
      </c>
      <c r="AS239">
        <v>304.74078422609199</v>
      </c>
      <c r="AT239">
        <v>13.907704409504598</v>
      </c>
      <c r="AU239">
        <v>1.0994576809829084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3">
        <v>234</v>
      </c>
      <c r="FZ239">
        <v>56.532900531328536</v>
      </c>
      <c r="GA239">
        <v>39.824046934297108</v>
      </c>
      <c r="GB239">
        <v>30.77757844104563</v>
      </c>
      <c r="GC239">
        <v>15.576106368866981</v>
      </c>
      <c r="GD239">
        <v>3.8345762174740052</v>
      </c>
      <c r="GE239">
        <v>5.4753653952260528</v>
      </c>
      <c r="GF239">
        <v>0.92877566234091502</v>
      </c>
      <c r="GG239">
        <v>2.401646688035826</v>
      </c>
      <c r="GH239">
        <v>7.5527798289007135</v>
      </c>
      <c r="GI239">
        <v>19.429807333524494</v>
      </c>
      <c r="GJ239"/>
      <c r="GK239"/>
      <c r="GL239"/>
      <c r="GM239"/>
      <c r="GN239" s="208"/>
      <c r="GO239" s="208"/>
      <c r="GP239" s="208"/>
      <c r="GQ239" s="208"/>
      <c r="GR239" s="208"/>
      <c r="GS239" s="208"/>
      <c r="GT239" s="208"/>
      <c r="GU239" s="213">
        <v>234</v>
      </c>
    </row>
    <row r="240" spans="1:203" s="7" customFormat="1">
      <c r="A240" s="77" t="s">
        <v>62</v>
      </c>
      <c r="B240">
        <v>0.97416303165519724</v>
      </c>
      <c r="C240">
        <v>4</v>
      </c>
      <c r="D240">
        <v>39673</v>
      </c>
      <c r="E240">
        <v>0</v>
      </c>
      <c r="F240">
        <v>0</v>
      </c>
      <c r="G240">
        <v>73.958333333333329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303.75846158137182</v>
      </c>
      <c r="AO240">
        <v>28.615911607509759</v>
      </c>
      <c r="AP240">
        <v>14.336403614242974</v>
      </c>
      <c r="AQ240">
        <v>207.53704799659047</v>
      </c>
      <c r="AR240">
        <v>29.247629601922345</v>
      </c>
      <c r="AS240">
        <v>429.32124575958414</v>
      </c>
      <c r="AT240">
        <v>17.70069911520994</v>
      </c>
      <c r="AU240">
        <v>-17.569881948402895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4.1666666666666661</v>
      </c>
      <c r="DH240" s="182">
        <v>44.791666666666671</v>
      </c>
      <c r="DI240" s="182">
        <v>46.875</v>
      </c>
      <c r="DJ240" s="182">
        <v>11.458333333333334</v>
      </c>
      <c r="DK240" s="182">
        <v>8.3333333333333339</v>
      </c>
      <c r="DL240" s="182">
        <v>2.083333333333333</v>
      </c>
      <c r="DM240" s="182">
        <v>4.1666666666666661</v>
      </c>
      <c r="DN240" s="182">
        <v>0</v>
      </c>
      <c r="DO240" s="182">
        <v>0</v>
      </c>
      <c r="DP240" s="182">
        <v>1.0416666666666665</v>
      </c>
      <c r="DQ240" s="182">
        <v>1.0416666666666665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3">
        <v>235</v>
      </c>
      <c r="FZ240">
        <v>56.148495231196776</v>
      </c>
      <c r="GA240">
        <v>41.999599868525834</v>
      </c>
      <c r="GB240">
        <v>29.320967441511502</v>
      </c>
      <c r="GC240">
        <v>13.175973052107778</v>
      </c>
      <c r="GD240">
        <v>2.8494047089198129</v>
      </c>
      <c r="GE240">
        <v>4.7017520348219382</v>
      </c>
      <c r="GF240">
        <v>6.9199258169029072</v>
      </c>
      <c r="GG240">
        <v>3.6926673370217449</v>
      </c>
      <c r="GH240">
        <v>5.142933542954002</v>
      </c>
      <c r="GI240">
        <v>19.166578472989642</v>
      </c>
      <c r="GJ240"/>
      <c r="GK240"/>
      <c r="GL240"/>
      <c r="GM240"/>
      <c r="GN240" s="208"/>
      <c r="GO240" s="208"/>
      <c r="GP240" s="208"/>
      <c r="GQ240" s="208"/>
      <c r="GR240" s="208"/>
      <c r="GS240" s="208"/>
      <c r="GT240" s="208"/>
      <c r="GU240" s="213">
        <v>235</v>
      </c>
    </row>
    <row r="241" spans="1:203" s="7" customFormat="1">
      <c r="A241" s="77"/>
      <c r="B241">
        <v>0.47272264041616641</v>
      </c>
      <c r="C241">
        <v>5</v>
      </c>
      <c r="D241">
        <v>39673</v>
      </c>
      <c r="E241">
        <v>0</v>
      </c>
      <c r="F241">
        <v>0</v>
      </c>
      <c r="G241">
        <v>0</v>
      </c>
      <c r="H241">
        <v>20.833333333333332</v>
      </c>
      <c r="I241">
        <v>10.416666666666666</v>
      </c>
      <c r="J241">
        <v>52.083333333333336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272.21080499641073</v>
      </c>
      <c r="AO241">
        <v>31.630199215364179</v>
      </c>
      <c r="AP241">
        <v>23.987033464250995</v>
      </c>
      <c r="AQ241">
        <v>246.67694165682303</v>
      </c>
      <c r="AR241">
        <v>32.715982050499669</v>
      </c>
      <c r="AS241">
        <v>423.85037798055492</v>
      </c>
      <c r="AT241">
        <v>20.354325123256675</v>
      </c>
      <c r="AU241">
        <v>-27.879680027875686</v>
      </c>
      <c r="AV241"/>
      <c r="AW241"/>
      <c r="DE241" s="187">
        <v>39673</v>
      </c>
      <c r="DF241" s="185">
        <v>0</v>
      </c>
      <c r="DG241" s="185">
        <v>1.0416666666666665</v>
      </c>
      <c r="DH241" s="185">
        <v>28.706709672619048</v>
      </c>
      <c r="DI241" s="185">
        <v>16.761363541666665</v>
      </c>
      <c r="DJ241" s="185">
        <v>30.113635416666664</v>
      </c>
      <c r="DK241" s="185">
        <v>11.363635416666666</v>
      </c>
      <c r="DL241" s="185">
        <v>6.6287874999999996</v>
      </c>
      <c r="DM241" s="185">
        <v>3.125</v>
      </c>
      <c r="DN241" s="185">
        <v>3.5984843749999995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3">
        <v>236</v>
      </c>
      <c r="FZ241">
        <v>49.300461242666458</v>
      </c>
      <c r="GA241">
        <v>51.903940288052738</v>
      </c>
      <c r="GB241">
        <v>36.763010344521341</v>
      </c>
      <c r="GC241">
        <v>17.203069620660823</v>
      </c>
      <c r="GD241">
        <v>2.3582309803360886</v>
      </c>
      <c r="GE241">
        <v>1.946301889583214</v>
      </c>
      <c r="GF241">
        <v>7.1152415237119664</v>
      </c>
      <c r="GG241">
        <v>7.9407698493727645</v>
      </c>
      <c r="GH241">
        <v>7.4594970795889024</v>
      </c>
      <c r="GI241">
        <v>20.136731855180972</v>
      </c>
      <c r="GJ241"/>
      <c r="GK241"/>
      <c r="GL241"/>
      <c r="GM241"/>
      <c r="GN241" s="208"/>
      <c r="GO241" s="208"/>
      <c r="GP241" s="208"/>
      <c r="GQ241" s="208"/>
      <c r="GR241" s="208"/>
      <c r="GS241" s="208"/>
      <c r="GT241" s="208"/>
      <c r="GU241" s="213">
        <v>236</v>
      </c>
    </row>
    <row r="242" spans="1:203" s="7" customFormat="1">
      <c r="A242" s="1"/>
      <c r="B242">
        <v>0.50524039869883142</v>
      </c>
      <c r="C242">
        <v>3</v>
      </c>
      <c r="D242">
        <v>39673</v>
      </c>
      <c r="E242">
        <v>0</v>
      </c>
      <c r="F242">
        <v>0</v>
      </c>
      <c r="G242">
        <v>71.486928104575156</v>
      </c>
      <c r="H242">
        <v>0</v>
      </c>
      <c r="I242">
        <v>10.416666666666666</v>
      </c>
      <c r="J242">
        <v>0</v>
      </c>
      <c r="K242">
        <v>10.416666666666666</v>
      </c>
      <c r="L242">
        <v>20.833333333333332</v>
      </c>
      <c r="M242">
        <v>20.833333333333332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242.35367479592122</v>
      </c>
      <c r="AO242">
        <v>21.194723173613816</v>
      </c>
      <c r="AP242">
        <v>20.5934206640312</v>
      </c>
      <c r="AQ242">
        <v>145.0645940192704</v>
      </c>
      <c r="AR242">
        <v>22.192750716480251</v>
      </c>
      <c r="AS242">
        <v>314.57601998400065</v>
      </c>
      <c r="AT242">
        <v>12.626949689824052</v>
      </c>
      <c r="AU242">
        <v>7.5559379819560455</v>
      </c>
      <c r="AV242"/>
      <c r="AW242"/>
      <c r="BI242" s="162"/>
      <c r="DE242" s="187">
        <v>39714</v>
      </c>
      <c r="DF242" s="182">
        <v>58.815764208909364</v>
      </c>
      <c r="DG242" s="182">
        <v>102.80517953149001</v>
      </c>
      <c r="DH242" s="182">
        <v>0</v>
      </c>
      <c r="DI242" s="182">
        <v>1.0416666666666665</v>
      </c>
      <c r="DJ242" s="182">
        <v>1.0416666666666665</v>
      </c>
      <c r="DK242" s="182">
        <v>1.0416666666666665</v>
      </c>
      <c r="DL242" s="182">
        <v>2.083333333333333</v>
      </c>
      <c r="DM242" s="182">
        <v>0</v>
      </c>
      <c r="DN242" s="182">
        <v>3.125</v>
      </c>
      <c r="DO242" s="182">
        <v>7.2916666666666661</v>
      </c>
      <c r="DP242" s="182">
        <v>1.0416666666666665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3">
        <v>237</v>
      </c>
      <c r="FZ242">
        <v>40.842448086783875</v>
      </c>
      <c r="GA242">
        <v>31.249909681539307</v>
      </c>
      <c r="GB242">
        <v>30.922465993898996</v>
      </c>
      <c r="GC242">
        <v>14.113424206589894</v>
      </c>
      <c r="GD242">
        <v>3.3766345966776772</v>
      </c>
      <c r="GE242">
        <v>4.8504111222941004</v>
      </c>
      <c r="GF242">
        <v>3.4483400388203345</v>
      </c>
      <c r="GG242">
        <v>3.2008010221419512</v>
      </c>
      <c r="GH242">
        <v>7.1382390859448597</v>
      </c>
      <c r="GI242">
        <v>17.299839974429457</v>
      </c>
      <c r="GJ242"/>
      <c r="GK242"/>
      <c r="GL242"/>
      <c r="GM242"/>
      <c r="GN242" s="208"/>
      <c r="GO242" s="208"/>
      <c r="GP242" s="208"/>
      <c r="GQ242" s="208"/>
      <c r="GR242" s="208"/>
      <c r="GS242" s="208"/>
      <c r="GT242" s="208"/>
      <c r="GU242" s="213">
        <v>237</v>
      </c>
    </row>
    <row r="243" spans="1:203" s="7" customFormat="1">
      <c r="A243" s="1"/>
      <c r="B243">
        <v>0.47738991038504808</v>
      </c>
      <c r="C243">
        <v>9</v>
      </c>
      <c r="D243">
        <v>39673</v>
      </c>
      <c r="E243">
        <v>0</v>
      </c>
      <c r="F243">
        <v>10.416666666666666</v>
      </c>
      <c r="G243">
        <v>20.833333333333332</v>
      </c>
      <c r="H243">
        <v>31.25</v>
      </c>
      <c r="I243">
        <v>72.916666666666671</v>
      </c>
      <c r="J243">
        <v>83.333333333333329</v>
      </c>
      <c r="K243">
        <v>72.916666666666671</v>
      </c>
      <c r="L243">
        <v>10.416666666666666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229.92126029663922</v>
      </c>
      <c r="AO243">
        <v>27.315378242827695</v>
      </c>
      <c r="AP243">
        <v>29.375913120614502</v>
      </c>
      <c r="AQ243">
        <v>203.11976702697947</v>
      </c>
      <c r="AR243">
        <v>28.537304472378775</v>
      </c>
      <c r="AS243">
        <v>390.68888864912554</v>
      </c>
      <c r="AT243">
        <v>17.534163996690491</v>
      </c>
      <c r="AU243">
        <v>8.9544613300965992</v>
      </c>
      <c r="AV243"/>
      <c r="AW243"/>
      <c r="DE243" s="187">
        <v>39747</v>
      </c>
      <c r="DF243" s="182">
        <v>22.202190170940174</v>
      </c>
      <c r="DG243" s="182">
        <v>432.1127410547353</v>
      </c>
      <c r="DH243" s="182">
        <v>39.970117286927632</v>
      </c>
      <c r="DI243" s="182">
        <v>0</v>
      </c>
      <c r="DJ243" s="182">
        <v>1.0416666666666665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3">
        <v>238</v>
      </c>
      <c r="FZ243">
        <v>45.15923056466788</v>
      </c>
      <c r="GA243">
        <v>57.167663288514007</v>
      </c>
      <c r="GB243">
        <v>41.085294773154395</v>
      </c>
      <c r="GC243">
        <v>14.849262746666547</v>
      </c>
      <c r="GD243">
        <v>4.4832014592623599</v>
      </c>
      <c r="GE243">
        <v>6.5615290428222588</v>
      </c>
      <c r="GF243">
        <v>4.2793832224685708</v>
      </c>
      <c r="GG243">
        <v>2.6331424766103724</v>
      </c>
      <c r="GH243">
        <v>5.9120143335378224</v>
      </c>
      <c r="GI243">
        <v>20.994867776936925</v>
      </c>
      <c r="GJ243"/>
      <c r="GK243"/>
      <c r="GL243"/>
      <c r="GM243"/>
      <c r="GN243" s="208"/>
      <c r="GO243" s="208"/>
      <c r="GP243" s="208"/>
      <c r="GQ243" s="208"/>
      <c r="GR243" s="208"/>
      <c r="GS243" s="208"/>
      <c r="GT243" s="208"/>
      <c r="GU243" s="213">
        <v>238</v>
      </c>
    </row>
    <row r="244" spans="1:203" s="7" customFormat="1">
      <c r="A244" s="1"/>
      <c r="B244">
        <v>0.81059747349274902</v>
      </c>
      <c r="C244">
        <v>4</v>
      </c>
      <c r="D244">
        <v>39673</v>
      </c>
      <c r="E244">
        <v>0</v>
      </c>
      <c r="F244">
        <v>0</v>
      </c>
      <c r="G244">
        <v>73.958333333333329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342.95421128788291</v>
      </c>
      <c r="AO244">
        <v>33.529127562503639</v>
      </c>
      <c r="AP244">
        <v>24.173145394855077</v>
      </c>
      <c r="AQ244">
        <v>239.60943698477212</v>
      </c>
      <c r="AR244">
        <v>34.468162684143778</v>
      </c>
      <c r="AS244">
        <v>552.06919046184669</v>
      </c>
      <c r="AT244">
        <v>21.682187030071471</v>
      </c>
      <c r="AU244">
        <v>-9.9158853029784737</v>
      </c>
      <c r="AV244"/>
      <c r="AW244"/>
      <c r="DE244" s="187">
        <v>39775</v>
      </c>
      <c r="DF244" s="182">
        <v>18.460630787037037</v>
      </c>
      <c r="DG244" s="182">
        <v>345.73773448773454</v>
      </c>
      <c r="DH244" s="182">
        <v>257.82195233585855</v>
      </c>
      <c r="DI244" s="182">
        <v>9.6527760416666659</v>
      </c>
      <c r="DJ244" s="182">
        <v>2.083333333333333</v>
      </c>
      <c r="DK244" s="182">
        <v>1.0416666666666665</v>
      </c>
      <c r="DL244" s="182">
        <v>1.0416666666666665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3">
        <v>239</v>
      </c>
      <c r="FZ244">
        <v>44.3833053560218</v>
      </c>
      <c r="GA244">
        <v>25.938660370745701</v>
      </c>
      <c r="GB244">
        <v>21.45859209763632</v>
      </c>
      <c r="GC244">
        <v>12.178235809435291</v>
      </c>
      <c r="GD244">
        <v>2.913477666141886</v>
      </c>
      <c r="GE244">
        <v>5.0610535620724164</v>
      </c>
      <c r="GF244">
        <v>7.0507906862521743</v>
      </c>
      <c r="GG244">
        <v>7.7498617903649851</v>
      </c>
      <c r="GH244">
        <v>8.9879598716429268</v>
      </c>
      <c r="GI244">
        <v>16.175645543723974</v>
      </c>
      <c r="GJ244"/>
      <c r="GK244"/>
      <c r="GL244"/>
      <c r="GM244"/>
      <c r="GN244" s="208"/>
      <c r="GO244" s="208"/>
      <c r="GP244" s="208"/>
      <c r="GQ244" s="208"/>
      <c r="GR244" s="208"/>
      <c r="GS244" s="208"/>
      <c r="GT244" s="208"/>
      <c r="GU244" s="213">
        <v>239</v>
      </c>
    </row>
    <row r="245" spans="1:203" s="7" customFormat="1">
      <c r="A245" s="1"/>
      <c r="B245">
        <v>0.63457006731567756</v>
      </c>
      <c r="C245">
        <v>6</v>
      </c>
      <c r="D245">
        <v>39673</v>
      </c>
      <c r="E245">
        <v>0</v>
      </c>
      <c r="F245">
        <v>62.5</v>
      </c>
      <c r="G245">
        <v>114.58333333333333</v>
      </c>
      <c r="H245">
        <v>20.833333333333332</v>
      </c>
      <c r="I245">
        <v>0</v>
      </c>
      <c r="J245">
        <v>0</v>
      </c>
      <c r="K245">
        <v>20.833333333333332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267.52417283904697</v>
      </c>
      <c r="AO245">
        <v>23.051219063750349</v>
      </c>
      <c r="AP245">
        <v>36.695238741580461</v>
      </c>
      <c r="AQ245">
        <v>167.82173043701732</v>
      </c>
      <c r="AR245">
        <v>24.047725491116321</v>
      </c>
      <c r="AS245">
        <v>372.23121106246219</v>
      </c>
      <c r="AT245">
        <v>14.873609054986161</v>
      </c>
      <c r="AU245">
        <v>-1.3721385194068674</v>
      </c>
      <c r="AV245"/>
      <c r="AW245"/>
      <c r="DE245" s="187">
        <v>39799</v>
      </c>
      <c r="DF245" s="182">
        <v>26.455085612062355</v>
      </c>
      <c r="DG245" s="182">
        <v>162.71811792288878</v>
      </c>
      <c r="DH245" s="182">
        <v>118.82584327437269</v>
      </c>
      <c r="DI245" s="182">
        <v>5.208333333333333</v>
      </c>
      <c r="DJ245" s="182">
        <v>1.0416666666666665</v>
      </c>
      <c r="DK245" s="182">
        <v>0</v>
      </c>
      <c r="DL245" s="182">
        <v>0</v>
      </c>
      <c r="DM245" s="182">
        <v>0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3">
        <v>240</v>
      </c>
      <c r="FZ245">
        <v>55.054434613265364</v>
      </c>
      <c r="GA245">
        <v>47.812523429577766</v>
      </c>
      <c r="GB245">
        <v>23.750678015868996</v>
      </c>
      <c r="GC245">
        <v>12.169464764682481</v>
      </c>
      <c r="GD245">
        <v>3.8466501583256676</v>
      </c>
      <c r="GE245">
        <v>5.3144432660488263</v>
      </c>
      <c r="GF245">
        <v>1.8765424694840827</v>
      </c>
      <c r="GG245">
        <v>2.7992369229284617</v>
      </c>
      <c r="GH245">
        <v>7.2346266587973211</v>
      </c>
      <c r="GI245">
        <v>17.601644791593724</v>
      </c>
      <c r="GJ245"/>
      <c r="GK245"/>
      <c r="GL245"/>
      <c r="GM245"/>
      <c r="GN245" s="208"/>
      <c r="GO245" s="208"/>
      <c r="GP245" s="208"/>
      <c r="GQ245" s="208"/>
      <c r="GR245" s="208"/>
      <c r="GS245" s="208"/>
      <c r="GT245" s="208"/>
      <c r="GU245" s="213">
        <v>240</v>
      </c>
    </row>
    <row r="246" spans="1:203" s="7" customFormat="1">
      <c r="A246" s="1"/>
      <c r="B246">
        <v>0.56973700575716268</v>
      </c>
      <c r="C246">
        <v>7</v>
      </c>
      <c r="D246">
        <v>39673</v>
      </c>
      <c r="E246">
        <v>0</v>
      </c>
      <c r="F246">
        <v>0</v>
      </c>
      <c r="G246">
        <v>0</v>
      </c>
      <c r="H246">
        <v>20.833333333333332</v>
      </c>
      <c r="I246">
        <v>0</v>
      </c>
      <c r="J246">
        <v>0</v>
      </c>
      <c r="K246">
        <v>10.416666666666666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246.1790567282184</v>
      </c>
      <c r="AO246">
        <v>23.707802516112615</v>
      </c>
      <c r="AP246">
        <v>32.889328497826661</v>
      </c>
      <c r="AQ246">
        <v>172.12197153754798</v>
      </c>
      <c r="AR246">
        <v>24.537001928509827</v>
      </c>
      <c r="AS246">
        <v>334.28913437635146</v>
      </c>
      <c r="AT246">
        <v>14.712553431347066</v>
      </c>
      <c r="AU246">
        <v>3.9497407940866438</v>
      </c>
      <c r="AV246"/>
      <c r="AW246"/>
      <c r="DE246" s="187">
        <v>39847</v>
      </c>
      <c r="DF246" s="182">
        <v>11.393229166666666</v>
      </c>
      <c r="DG246" s="182">
        <v>223.76302083333334</v>
      </c>
      <c r="DH246" s="182">
        <v>63.194444444444443</v>
      </c>
      <c r="DI246" s="182">
        <v>0</v>
      </c>
      <c r="DJ246" s="182">
        <v>0</v>
      </c>
      <c r="DK246" s="182">
        <v>1.0416666666666665</v>
      </c>
      <c r="DL246" s="182">
        <v>0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3">
        <v>241</v>
      </c>
      <c r="FZ246">
        <v>39.395736012096236</v>
      </c>
      <c r="GA246">
        <v>45.178853714134874</v>
      </c>
      <c r="GB246">
        <v>37.89384546454405</v>
      </c>
      <c r="GC246">
        <v>14.609393360512334</v>
      </c>
      <c r="GD246">
        <v>5.108552586385259</v>
      </c>
      <c r="GE246">
        <v>8.0867848551091512</v>
      </c>
      <c r="GF246">
        <v>3.2658694672465156</v>
      </c>
      <c r="GG246">
        <v>1.1102667071246781</v>
      </c>
      <c r="GH246">
        <v>4.3931602703948034</v>
      </c>
      <c r="GI246">
        <v>19.311044293538789</v>
      </c>
      <c r="GJ246"/>
      <c r="GK246"/>
      <c r="GL246"/>
      <c r="GM246"/>
      <c r="GN246" s="208"/>
      <c r="GO246" s="208"/>
      <c r="GP246" s="208"/>
      <c r="GQ246" s="208"/>
      <c r="GR246" s="208"/>
      <c r="GS246" s="208"/>
      <c r="GT246" s="208"/>
      <c r="GU246" s="213">
        <v>241</v>
      </c>
    </row>
    <row r="247" spans="1:203" s="7" customFormat="1">
      <c r="A247" s="77" t="s">
        <v>61</v>
      </c>
      <c r="B247">
        <v>0.18986908513116729</v>
      </c>
      <c r="C247">
        <v>10</v>
      </c>
      <c r="D247">
        <v>39673</v>
      </c>
      <c r="E247">
        <v>0</v>
      </c>
      <c r="F247">
        <v>0</v>
      </c>
      <c r="G247">
        <v>148.80952380952382</v>
      </c>
      <c r="H247">
        <v>0</v>
      </c>
      <c r="I247">
        <v>0</v>
      </c>
      <c r="J247">
        <v>18.75</v>
      </c>
      <c r="K247">
        <v>18.75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321.71014951417737</v>
      </c>
      <c r="AO247">
        <v>31.857279771136497</v>
      </c>
      <c r="AP247">
        <v>27.101513154469558</v>
      </c>
      <c r="AQ247">
        <v>232.7430567420717</v>
      </c>
      <c r="AR247">
        <v>32.577633439078198</v>
      </c>
      <c r="AS247">
        <v>446.36654226104912</v>
      </c>
      <c r="AT247">
        <v>20.566477688441228</v>
      </c>
      <c r="AU247">
        <v>-20.624427299861686</v>
      </c>
      <c r="AV247"/>
      <c r="AW247"/>
      <c r="DE247" s="187">
        <v>39910</v>
      </c>
      <c r="DF247" s="182">
        <v>78.125</v>
      </c>
      <c r="DG247" s="182">
        <v>251.19766505636071</v>
      </c>
      <c r="DH247" s="182">
        <v>194.90740740740739</v>
      </c>
      <c r="DI247" s="182">
        <v>78.009259259259252</v>
      </c>
      <c r="DJ247" s="182">
        <v>1.0416666666666665</v>
      </c>
      <c r="DK247" s="182">
        <v>0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3">
        <v>242</v>
      </c>
      <c r="FZ247">
        <v>55.726454645954959</v>
      </c>
      <c r="GA247">
        <v>64.295280035424369</v>
      </c>
      <c r="GB247">
        <v>40.654512802685026</v>
      </c>
      <c r="GC247">
        <v>16.299124518628801</v>
      </c>
      <c r="GD247">
        <v>6.6299356935493696</v>
      </c>
      <c r="GE247">
        <v>9.8077533751773807</v>
      </c>
      <c r="GF247">
        <v>6.9383794213450898</v>
      </c>
      <c r="GG247">
        <v>4.2783084737512826</v>
      </c>
      <c r="GH247">
        <v>5.891702745727688</v>
      </c>
      <c r="GI247">
        <v>24.157291723209493</v>
      </c>
      <c r="GJ247"/>
      <c r="GK247"/>
      <c r="GL247"/>
      <c r="GM247"/>
      <c r="GN247" s="208"/>
      <c r="GO247" s="208"/>
      <c r="GP247" s="208"/>
      <c r="GQ247" s="208"/>
      <c r="GR247" s="208"/>
      <c r="GS247" s="208"/>
      <c r="GT247" s="208"/>
      <c r="GU247" s="213">
        <v>242</v>
      </c>
    </row>
    <row r="248" spans="1:203" s="7" customFormat="1">
      <c r="A248" s="77" t="s">
        <v>62</v>
      </c>
      <c r="B248">
        <v>0.73923418106600192</v>
      </c>
      <c r="C248">
        <v>2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302.98602880973402</v>
      </c>
      <c r="AO248">
        <v>30.144651185297839</v>
      </c>
      <c r="AP248">
        <v>37.284245490166327</v>
      </c>
      <c r="AQ248">
        <v>227.56097056236544</v>
      </c>
      <c r="AR248">
        <v>30.979980351949731</v>
      </c>
      <c r="AS248">
        <v>449.00138213229104</v>
      </c>
      <c r="AT248">
        <v>18.646197057631049</v>
      </c>
      <c r="AU248">
        <v>-9.5652241417268087</v>
      </c>
      <c r="AV248"/>
      <c r="AW248"/>
      <c r="DE248" s="187">
        <v>39949</v>
      </c>
      <c r="DF248" s="182">
        <v>0</v>
      </c>
      <c r="DG248" s="182">
        <v>59.16391119508738</v>
      </c>
      <c r="DH248" s="182">
        <v>29.334728564180615</v>
      </c>
      <c r="DI248" s="182">
        <v>24.648738632691686</v>
      </c>
      <c r="DJ248" s="182">
        <v>3.125</v>
      </c>
      <c r="DK248" s="182">
        <v>0</v>
      </c>
      <c r="DL248" s="182">
        <v>0</v>
      </c>
      <c r="DM248" s="182">
        <v>0</v>
      </c>
      <c r="DN248" s="182">
        <v>0</v>
      </c>
      <c r="DO248" s="182">
        <v>0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3">
        <v>243</v>
      </c>
      <c r="FZ248">
        <v>40.106091586541488</v>
      </c>
      <c r="GA248">
        <v>32.868963916155074</v>
      </c>
      <c r="GB248">
        <v>25.489255534261154</v>
      </c>
      <c r="GC248">
        <v>11.410389891475216</v>
      </c>
      <c r="GD248">
        <v>2.2781714518266476</v>
      </c>
      <c r="GE248">
        <v>3.7618127624347526</v>
      </c>
      <c r="GF248">
        <v>3.2305325351462226</v>
      </c>
      <c r="GG248">
        <v>3.7936898165694299</v>
      </c>
      <c r="GH248">
        <v>7.5181200269573241</v>
      </c>
      <c r="GI248">
        <v>15.23764850354471</v>
      </c>
      <c r="GJ248"/>
      <c r="GK248"/>
      <c r="GL248"/>
      <c r="GM248"/>
      <c r="GN248" s="208"/>
      <c r="GO248" s="208"/>
      <c r="GP248" s="208"/>
      <c r="GQ248" s="208"/>
      <c r="GR248" s="208"/>
      <c r="GS248" s="208"/>
      <c r="GT248" s="208"/>
      <c r="GU248" s="213">
        <v>243</v>
      </c>
    </row>
    <row r="249" spans="1:203" s="7" customFormat="1">
      <c r="A249" s="1"/>
      <c r="B249">
        <v>0.33056353878414146</v>
      </c>
      <c r="C249">
        <v>8</v>
      </c>
      <c r="D249">
        <v>39714</v>
      </c>
      <c r="E249">
        <v>0</v>
      </c>
      <c r="F249">
        <v>0</v>
      </c>
      <c r="G249">
        <v>20.833333333333332</v>
      </c>
      <c r="H249">
        <v>41.666666666666664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383.06373276843806</v>
      </c>
      <c r="AO249">
        <v>33.03564808663792</v>
      </c>
      <c r="AP249">
        <v>68.157395062683577</v>
      </c>
      <c r="AQ249">
        <v>217.76671274247943</v>
      </c>
      <c r="AR249">
        <v>33.469341782115208</v>
      </c>
      <c r="AS249">
        <v>472.8809262164778</v>
      </c>
      <c r="AT249">
        <v>21.053775567944239</v>
      </c>
      <c r="AU249">
        <v>12.202878053700708</v>
      </c>
      <c r="AV249"/>
      <c r="AW249"/>
      <c r="DE249" s="187">
        <v>39987</v>
      </c>
      <c r="DF249" s="182">
        <v>0</v>
      </c>
      <c r="DG249" s="182">
        <v>28.197621641249089</v>
      </c>
      <c r="DH249" s="182">
        <v>13.900236020334058</v>
      </c>
      <c r="DI249" s="182">
        <v>8.1903594771241828</v>
      </c>
      <c r="DJ249" s="182">
        <v>3.125</v>
      </c>
      <c r="DK249" s="182">
        <v>2.083333333333333</v>
      </c>
      <c r="DL249" s="182">
        <v>4.1666666666666661</v>
      </c>
      <c r="DM249" s="182">
        <v>2.083333333333333</v>
      </c>
      <c r="DN249" s="182">
        <v>2.083333333333333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3">
        <v>244</v>
      </c>
      <c r="FZ249">
        <v>61.692330860568333</v>
      </c>
      <c r="GA249">
        <v>50.968810525511337</v>
      </c>
      <c r="GB249">
        <v>32.659143886871639</v>
      </c>
      <c r="GC249">
        <v>15.546956725668009</v>
      </c>
      <c r="GD249">
        <v>4.2769082857700456</v>
      </c>
      <c r="GE249">
        <v>6.619394145759836</v>
      </c>
      <c r="GF249">
        <v>5.0710565194447703</v>
      </c>
      <c r="GG249">
        <v>7.5261944758418604</v>
      </c>
      <c r="GH249">
        <v>14.227566215818628</v>
      </c>
      <c r="GI249">
        <v>22.715522217168878</v>
      </c>
      <c r="GJ249"/>
      <c r="GK249"/>
      <c r="GL249"/>
      <c r="GM249"/>
      <c r="GN249" s="208"/>
      <c r="GO249" s="208"/>
      <c r="GP249" s="208"/>
      <c r="GQ249" s="208"/>
      <c r="GR249" s="208"/>
      <c r="GS249" s="208"/>
      <c r="GT249" s="208"/>
      <c r="GU249" s="213">
        <v>244</v>
      </c>
    </row>
    <row r="250" spans="1:203" s="7" customFormat="1">
      <c r="A250" s="1"/>
      <c r="B250">
        <v>0.29735931628053613</v>
      </c>
      <c r="C250">
        <v>4</v>
      </c>
      <c r="D250">
        <v>39714</v>
      </c>
      <c r="E250">
        <v>0</v>
      </c>
      <c r="F250">
        <v>20.833333333333332</v>
      </c>
      <c r="G250">
        <v>93.75</v>
      </c>
      <c r="H250">
        <v>156.25</v>
      </c>
      <c r="I250">
        <v>31.25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249.09468470005032</v>
      </c>
      <c r="AO250">
        <v>25.580468035467572</v>
      </c>
      <c r="AP250">
        <v>55.761172331416333</v>
      </c>
      <c r="AQ250">
        <v>182.33358340104024</v>
      </c>
      <c r="AR250">
        <v>26.751139930206456</v>
      </c>
      <c r="AS250">
        <v>414.16298816489808</v>
      </c>
      <c r="AT250">
        <v>16.511128113702306</v>
      </c>
      <c r="AU250">
        <v>12.722187133696053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3">
        <v>245</v>
      </c>
      <c r="FZ250">
        <v>44.165183330130375</v>
      </c>
      <c r="GA250">
        <v>42.2445561158221</v>
      </c>
      <c r="GB250">
        <v>38.430415108733243</v>
      </c>
      <c r="GC250">
        <v>17.60390388789218</v>
      </c>
      <c r="GD250">
        <v>2.123908568959719</v>
      </c>
      <c r="GE250">
        <v>1.5999313964294402</v>
      </c>
      <c r="GF250">
        <v>7.6974381608989884</v>
      </c>
      <c r="GG250">
        <v>8.8466705206302265</v>
      </c>
      <c r="GH250">
        <v>6.1188809608675996</v>
      </c>
      <c r="GI250">
        <v>19.540051601585986</v>
      </c>
      <c r="GJ250"/>
      <c r="GK250"/>
      <c r="GL250"/>
      <c r="GM250"/>
      <c r="GN250" s="208"/>
      <c r="GO250" s="208"/>
      <c r="GP250" s="208"/>
      <c r="GQ250" s="208"/>
      <c r="GR250" s="208"/>
      <c r="GS250" s="208"/>
      <c r="GT250" s="208"/>
      <c r="GU250" s="213">
        <v>245</v>
      </c>
    </row>
    <row r="251" spans="1:203" s="7" customFormat="1">
      <c r="A251" s="1"/>
      <c r="B251">
        <v>0.57899878962065321</v>
      </c>
      <c r="C251">
        <v>6</v>
      </c>
      <c r="D251">
        <v>39714</v>
      </c>
      <c r="E251">
        <v>0</v>
      </c>
      <c r="F251">
        <v>0</v>
      </c>
      <c r="G251">
        <v>20.833333333333332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234.06340491362198</v>
      </c>
      <c r="AO251">
        <v>24.872653675125726</v>
      </c>
      <c r="AP251">
        <v>25.368411867854448</v>
      </c>
      <c r="AQ251">
        <v>183.11829750695196</v>
      </c>
      <c r="AR251">
        <v>26.427013714867297</v>
      </c>
      <c r="AS251">
        <v>327.58810625688619</v>
      </c>
      <c r="AT251">
        <v>15.562372912206795</v>
      </c>
      <c r="AU251">
        <v>5.7817071962429196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3">
        <v>246</v>
      </c>
      <c r="FZ251">
        <v>43.360151285497444</v>
      </c>
      <c r="GA251">
        <v>61.717425606402223</v>
      </c>
      <c r="GB251">
        <v>44.109018196200985</v>
      </c>
      <c r="GC251">
        <v>17.581287827462656</v>
      </c>
      <c r="GD251">
        <v>2.6643666508280304</v>
      </c>
      <c r="GE251">
        <v>2.2435998051371788</v>
      </c>
      <c r="GF251">
        <v>6.5451360793629991</v>
      </c>
      <c r="GG251">
        <v>6.6386738551341633</v>
      </c>
      <c r="GH251">
        <v>12.407885245121099</v>
      </c>
      <c r="GI251">
        <v>21.911220910300219</v>
      </c>
      <c r="GJ251"/>
      <c r="GK251"/>
      <c r="GL251"/>
      <c r="GM251"/>
      <c r="GN251" s="208"/>
      <c r="GO251" s="208"/>
      <c r="GP251" s="208"/>
      <c r="GQ251" s="208"/>
      <c r="GR251" s="208"/>
      <c r="GS251" s="208"/>
      <c r="GT251" s="208"/>
      <c r="GU251" s="213">
        <v>246</v>
      </c>
    </row>
    <row r="252" spans="1:203" s="7" customFormat="1">
      <c r="A252" s="1"/>
      <c r="B252">
        <v>0.13069920735528751</v>
      </c>
      <c r="C252">
        <v>2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262.62501021271476</v>
      </c>
      <c r="AO252">
        <v>27.719579765244283</v>
      </c>
      <c r="AP252">
        <v>41.700008709595991</v>
      </c>
      <c r="AQ252">
        <v>202.12725467367531</v>
      </c>
      <c r="AR252">
        <v>27.61186475701825</v>
      </c>
      <c r="AS252">
        <v>363.05780533213118</v>
      </c>
      <c r="AT252">
        <v>16.498172382258872</v>
      </c>
      <c r="AU252">
        <v>-10.157749118266164</v>
      </c>
      <c r="AV252"/>
      <c r="AW252"/>
      <c r="FY252" s="213">
        <v>247</v>
      </c>
      <c r="FZ252">
        <v>49.667256020063498</v>
      </c>
      <c r="GA252">
        <v>30.537302999762748</v>
      </c>
      <c r="GB252">
        <v>28.829215113586059</v>
      </c>
      <c r="GC252">
        <v>15.305721407364608</v>
      </c>
      <c r="GD252">
        <v>2.4851659867950757</v>
      </c>
      <c r="GE252">
        <v>3.3142585146333872</v>
      </c>
      <c r="GF252">
        <v>4.1266936400648397</v>
      </c>
      <c r="GG252">
        <v>3.6343866640480491</v>
      </c>
      <c r="GH252">
        <v>8.7352490605652005</v>
      </c>
      <c r="GI252">
        <v>17.947135598666407</v>
      </c>
      <c r="GJ252"/>
      <c r="GK252"/>
      <c r="GL252"/>
      <c r="GM252"/>
      <c r="GN252" s="208"/>
      <c r="GO252" s="208"/>
      <c r="GP252" s="208"/>
      <c r="GQ252" s="208"/>
      <c r="GR252" s="208"/>
      <c r="GS252" s="208"/>
      <c r="GT252" s="208"/>
      <c r="GU252" s="213">
        <v>247</v>
      </c>
    </row>
    <row r="253" spans="1:203" s="7" customFormat="1">
      <c r="A253" s="1"/>
      <c r="B253">
        <v>0.83042826024994376</v>
      </c>
      <c r="C253">
        <v>2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274.07750201795596</v>
      </c>
      <c r="AO253">
        <v>22.445419910706669</v>
      </c>
      <c r="AP253">
        <v>29.055443297675296</v>
      </c>
      <c r="AQ253">
        <v>156.44251380912047</v>
      </c>
      <c r="AR253">
        <v>23.622838303098014</v>
      </c>
      <c r="AS253">
        <v>353.60467417871581</v>
      </c>
      <c r="AT253">
        <v>14.774340988816446</v>
      </c>
      <c r="AU253">
        <v>13.189359951479567</v>
      </c>
      <c r="AV253"/>
      <c r="AW253"/>
      <c r="FY253" s="213">
        <v>248</v>
      </c>
      <c r="FZ253">
        <v>33.345801424149229</v>
      </c>
      <c r="GA253">
        <v>37.132731717285843</v>
      </c>
      <c r="GB253">
        <v>35.399435887606103</v>
      </c>
      <c r="GC253">
        <v>14.877895117383487</v>
      </c>
      <c r="GD253">
        <v>1.4728928452850985</v>
      </c>
      <c r="GE253">
        <v>2.1101329642639426</v>
      </c>
      <c r="GF253">
        <v>1.7733507721607604</v>
      </c>
      <c r="GG253">
        <v>8.5629956545479295</v>
      </c>
      <c r="GH253">
        <v>14.463788731694748</v>
      </c>
      <c r="GI253">
        <v>17.067616967160237</v>
      </c>
      <c r="GJ253"/>
      <c r="GK253"/>
      <c r="GL253"/>
      <c r="GM253"/>
      <c r="GN253" s="208"/>
      <c r="GO253" s="208"/>
      <c r="GP253" s="208"/>
      <c r="GQ253" s="208"/>
      <c r="GR253" s="208"/>
      <c r="GS253" s="208"/>
      <c r="GT253" s="208"/>
      <c r="GU253" s="213">
        <v>248</v>
      </c>
    </row>
    <row r="254" spans="1:203" s="7" customFormat="1">
      <c r="A254" s="1"/>
      <c r="B254">
        <v>0.26994559121532369</v>
      </c>
      <c r="C254">
        <v>3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352.07658372361277</v>
      </c>
      <c r="AO254">
        <v>28.274600232137225</v>
      </c>
      <c r="AP254">
        <v>10.381752496057665</v>
      </c>
      <c r="AQ254">
        <v>203.12558968464111</v>
      </c>
      <c r="AR254">
        <v>28.785874286874552</v>
      </c>
      <c r="AS254">
        <v>499.6253551385559</v>
      </c>
      <c r="AT254">
        <v>17.472194065767148</v>
      </c>
      <c r="AU254">
        <v>-30.911773619708164</v>
      </c>
      <c r="AV254"/>
      <c r="AW254"/>
      <c r="FY254" s="213">
        <v>249</v>
      </c>
      <c r="FZ254">
        <v>54.632017724300177</v>
      </c>
      <c r="GA254">
        <v>66.368331836920888</v>
      </c>
      <c r="GB254">
        <v>40.057702649647126</v>
      </c>
      <c r="GC254">
        <v>12.959720420081123</v>
      </c>
      <c r="GD254">
        <v>2.419640383918626</v>
      </c>
      <c r="GE254">
        <v>2.9243909576730092</v>
      </c>
      <c r="GF254">
        <v>4.7717853072022383</v>
      </c>
      <c r="GG254">
        <v>4.0478498654314485</v>
      </c>
      <c r="GH254">
        <v>7.9605050176083001</v>
      </c>
      <c r="GI254">
        <v>21.409358977339707</v>
      </c>
      <c r="GJ254"/>
      <c r="GK254"/>
      <c r="GL254"/>
      <c r="GM254"/>
      <c r="GN254" s="208"/>
      <c r="GO254" s="208"/>
      <c r="GP254" s="208"/>
      <c r="GQ254" s="208"/>
      <c r="GR254" s="208"/>
      <c r="GS254" s="208"/>
      <c r="GT254" s="208"/>
      <c r="GU254" s="213">
        <v>249</v>
      </c>
    </row>
    <row r="255" spans="1:203" s="7" customFormat="1">
      <c r="A255" s="1"/>
      <c r="B255">
        <v>0.87495240514169925</v>
      </c>
      <c r="C255">
        <v>8</v>
      </c>
      <c r="D255">
        <v>39714</v>
      </c>
      <c r="E255">
        <v>0</v>
      </c>
      <c r="F255">
        <v>0</v>
      </c>
      <c r="G255">
        <v>20.833333333333332</v>
      </c>
      <c r="H255">
        <v>41.666666666666664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224.27749292993786</v>
      </c>
      <c r="AO255">
        <v>21.255230408789402</v>
      </c>
      <c r="AP255">
        <v>14.173629249271368</v>
      </c>
      <c r="AQ255">
        <v>151.89758275403744</v>
      </c>
      <c r="AR255">
        <v>22.172377319270712</v>
      </c>
      <c r="AS255">
        <v>328.90230290579666</v>
      </c>
      <c r="AT255">
        <v>13.601071153301559</v>
      </c>
      <c r="AU255">
        <v>5.705105749530091</v>
      </c>
      <c r="AV255"/>
      <c r="AW255"/>
      <c r="FY255" s="213">
        <v>250</v>
      </c>
      <c r="FZ255">
        <v>36.130068486223607</v>
      </c>
      <c r="GA255">
        <v>55.858814699590745</v>
      </c>
      <c r="GB255">
        <v>38.545581552969878</v>
      </c>
      <c r="GC255">
        <v>13.294129878472852</v>
      </c>
      <c r="GD255">
        <v>3.2549946200349362</v>
      </c>
      <c r="GE255">
        <v>5.0344407396438893</v>
      </c>
      <c r="GF255">
        <v>3.6053222726861316</v>
      </c>
      <c r="GG255">
        <v>3.3945403904237987</v>
      </c>
      <c r="GH255">
        <v>10.707803043263633</v>
      </c>
      <c r="GI255">
        <v>18.97071553785376</v>
      </c>
      <c r="GJ255"/>
      <c r="GK255"/>
      <c r="GL255"/>
      <c r="GM255"/>
      <c r="GN255" s="208"/>
      <c r="GO255" s="208"/>
      <c r="GP255" s="208"/>
      <c r="GQ255" s="208"/>
      <c r="GR255" s="208"/>
      <c r="GS255" s="208"/>
      <c r="GT255" s="208"/>
      <c r="GU255" s="213">
        <v>250</v>
      </c>
    </row>
    <row r="256" spans="1:203" s="7" customFormat="1">
      <c r="A256" s="1"/>
      <c r="B256">
        <v>0.99053960226761628</v>
      </c>
      <c r="C256">
        <v>3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269.84412161632986</v>
      </c>
      <c r="AO256">
        <v>23.921155961011532</v>
      </c>
      <c r="AP256">
        <v>35.82346768535848</v>
      </c>
      <c r="AQ256">
        <v>177.46024509057267</v>
      </c>
      <c r="AR256">
        <v>24.38127895089043</v>
      </c>
      <c r="AS256">
        <v>342.23489568896338</v>
      </c>
      <c r="AT256">
        <v>14.006664956434626</v>
      </c>
      <c r="AU256">
        <v>-3.7870256866254906</v>
      </c>
      <c r="AV256"/>
      <c r="AW256"/>
      <c r="FY256" s="213">
        <v>251</v>
      </c>
      <c r="FZ256">
        <v>59.492192675828797</v>
      </c>
      <c r="GA256">
        <v>58.421764430232649</v>
      </c>
      <c r="GB256">
        <v>41.667573882185252</v>
      </c>
      <c r="GC256">
        <v>19.279272695920099</v>
      </c>
      <c r="GD256">
        <v>4.0826774968208532</v>
      </c>
      <c r="GE256">
        <v>5.0743818579203399</v>
      </c>
      <c r="GF256">
        <v>1.1465831660150263</v>
      </c>
      <c r="GG256">
        <v>7.1237676144262699E-2</v>
      </c>
      <c r="GH256">
        <v>5.3859696553775986</v>
      </c>
      <c r="GI256">
        <v>22.388989828755001</v>
      </c>
      <c r="GJ256"/>
      <c r="GK256"/>
      <c r="GL256"/>
      <c r="GM256"/>
      <c r="GN256" s="208"/>
      <c r="GO256" s="208"/>
      <c r="GP256" s="208"/>
      <c r="GQ256" s="208"/>
      <c r="GR256" s="208"/>
      <c r="GS256" s="208"/>
      <c r="GT256" s="208"/>
      <c r="GU256" s="213">
        <v>251</v>
      </c>
    </row>
    <row r="257" spans="1:203" s="7" customFormat="1">
      <c r="A257" s="1"/>
      <c r="B257">
        <v>0.22906938244691344</v>
      </c>
      <c r="C257">
        <v>2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323.88244103652141</v>
      </c>
      <c r="AO257">
        <v>25.783542769312199</v>
      </c>
      <c r="AP257">
        <v>21.777758529813958</v>
      </c>
      <c r="AQ257">
        <v>178.35350673108672</v>
      </c>
      <c r="AR257">
        <v>26.430956877335088</v>
      </c>
      <c r="AS257">
        <v>383.44701792520129</v>
      </c>
      <c r="AT257">
        <v>16.010636142563861</v>
      </c>
      <c r="AU257">
        <v>-7.2625963116731143</v>
      </c>
      <c r="AV257"/>
      <c r="AW257"/>
      <c r="FY257" s="213">
        <v>252</v>
      </c>
      <c r="FZ257">
        <v>48.82798497553712</v>
      </c>
      <c r="GA257">
        <v>56.87645125099597</v>
      </c>
      <c r="GB257">
        <v>38.322237932677673</v>
      </c>
      <c r="GC257">
        <v>14.322730369739638</v>
      </c>
      <c r="GD257">
        <v>3.7163308565296589</v>
      </c>
      <c r="GE257">
        <v>5.8275313976160321</v>
      </c>
      <c r="GF257">
        <v>1.1650367704572084</v>
      </c>
      <c r="GG257">
        <v>1.8240978449491365</v>
      </c>
      <c r="GH257">
        <v>5.0107930355197663</v>
      </c>
      <c r="GI257">
        <v>19.716258574960619</v>
      </c>
      <c r="GJ257"/>
      <c r="GK257"/>
      <c r="GL257"/>
      <c r="GM257"/>
      <c r="GN257" s="208"/>
      <c r="GO257" s="208"/>
      <c r="GP257" s="208"/>
      <c r="GQ257" s="208"/>
      <c r="GR257" s="208"/>
      <c r="GS257" s="208"/>
      <c r="GT257" s="208"/>
      <c r="GU257" s="213">
        <v>252</v>
      </c>
    </row>
    <row r="258" spans="1:203" s="7" customFormat="1">
      <c r="A258" s="1"/>
      <c r="B258">
        <v>0.21423037039433801</v>
      </c>
      <c r="C258">
        <v>9</v>
      </c>
      <c r="D258">
        <v>39747</v>
      </c>
      <c r="E258">
        <v>0</v>
      </c>
      <c r="F258">
        <v>177.84552845528455</v>
      </c>
      <c r="G258">
        <v>0</v>
      </c>
      <c r="H258">
        <v>355.6910569105691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423.41371602778008</v>
      </c>
      <c r="AO258">
        <v>32.757134357962727</v>
      </c>
      <c r="AP258">
        <v>26.969941859451154</v>
      </c>
      <c r="AQ258">
        <v>234.67874343545344</v>
      </c>
      <c r="AR258">
        <v>33.106889426066083</v>
      </c>
      <c r="AS258">
        <v>520.25809207616476</v>
      </c>
      <c r="AT258">
        <v>19.885061856181739</v>
      </c>
      <c r="AU258">
        <v>-43.716784501217887</v>
      </c>
      <c r="AV258"/>
      <c r="AW258"/>
      <c r="FY258" s="213">
        <v>253</v>
      </c>
      <c r="FZ258">
        <v>51.600830050096171</v>
      </c>
      <c r="GA258">
        <v>53.766692535790789</v>
      </c>
      <c r="GB258">
        <v>41.85140170295653</v>
      </c>
      <c r="GC258">
        <v>17.670565963209629</v>
      </c>
      <c r="GD258">
        <v>4.0530273222055175</v>
      </c>
      <c r="GE258">
        <v>5.7344773077829281</v>
      </c>
      <c r="GF258">
        <v>1.0200109481278243</v>
      </c>
      <c r="GG258">
        <v>1.3022846636555014</v>
      </c>
      <c r="GH258">
        <v>3.6940818256902226</v>
      </c>
      <c r="GI258">
        <v>20.961333140882751</v>
      </c>
      <c r="GJ258"/>
      <c r="GK258"/>
      <c r="GL258"/>
      <c r="GM258"/>
      <c r="GN258" s="208"/>
      <c r="GO258" s="208"/>
      <c r="GP258" s="208"/>
      <c r="GQ258" s="208"/>
      <c r="GR258" s="208"/>
      <c r="GS258" s="208"/>
      <c r="GT258" s="208"/>
      <c r="GU258" s="213">
        <v>253</v>
      </c>
    </row>
    <row r="259" spans="1:203" s="7" customFormat="1">
      <c r="A259" s="90"/>
      <c r="B259">
        <v>0.79736541872236333</v>
      </c>
      <c r="C259">
        <v>6</v>
      </c>
      <c r="D259">
        <v>39747</v>
      </c>
      <c r="E259">
        <v>0</v>
      </c>
      <c r="F259">
        <v>65.104166666666671</v>
      </c>
      <c r="G259">
        <v>390.625</v>
      </c>
      <c r="H259">
        <v>466.14583333333331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201.14989275689385</v>
      </c>
      <c r="AO259">
        <v>20.105579564730551</v>
      </c>
      <c r="AP259">
        <v>17.246281126226449</v>
      </c>
      <c r="AQ259">
        <v>145.69467602491204</v>
      </c>
      <c r="AR259">
        <v>20.965897272577639</v>
      </c>
      <c r="AS259">
        <v>279.87312434477218</v>
      </c>
      <c r="AT259">
        <v>12.587854654023069</v>
      </c>
      <c r="AU259">
        <v>-2.4791275144990692</v>
      </c>
      <c r="AV259"/>
      <c r="AW259"/>
      <c r="FY259" s="213">
        <v>254</v>
      </c>
      <c r="FZ259">
        <v>48.226768879422096</v>
      </c>
      <c r="GA259">
        <v>41.543395031726376</v>
      </c>
      <c r="GB259">
        <v>33.053484768686573</v>
      </c>
      <c r="GC259">
        <v>16.19118387643276</v>
      </c>
      <c r="GD259">
        <v>2.3558498257516116</v>
      </c>
      <c r="GE259">
        <v>3.9794849144499196</v>
      </c>
      <c r="GF259">
        <v>1.6848523303265006</v>
      </c>
      <c r="GG259">
        <v>0.208412933225747</v>
      </c>
      <c r="GH259">
        <v>6.7132831237748656</v>
      </c>
      <c r="GI259">
        <v>17.936183141578855</v>
      </c>
      <c r="GJ259"/>
      <c r="GK259"/>
      <c r="GL259"/>
      <c r="GM259"/>
      <c r="GN259" s="208"/>
      <c r="GO259" s="208"/>
      <c r="GP259" s="208"/>
      <c r="GQ259" s="208"/>
      <c r="GR259" s="208"/>
      <c r="GS259" s="208"/>
      <c r="GT259" s="208"/>
      <c r="GU259" s="213">
        <v>254</v>
      </c>
    </row>
    <row r="260" spans="1:203" s="7" customFormat="1">
      <c r="A260" s="77" t="s">
        <v>61</v>
      </c>
      <c r="B260">
        <v>0.4219169521942705</v>
      </c>
      <c r="C260">
        <v>6</v>
      </c>
      <c r="D260">
        <v>39747</v>
      </c>
      <c r="E260">
        <v>0</v>
      </c>
      <c r="F260">
        <v>65.104166666666671</v>
      </c>
      <c r="G260">
        <v>390.625</v>
      </c>
      <c r="H260">
        <v>466.14583333333331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313.24874081028906</v>
      </c>
      <c r="AO260">
        <v>30.177657592011428</v>
      </c>
      <c r="AP260">
        <v>25.396858556468807</v>
      </c>
      <c r="AQ260">
        <v>221.30388385842332</v>
      </c>
      <c r="AR260">
        <v>31.253022859190899</v>
      </c>
      <c r="AS260">
        <v>420.46216558798403</v>
      </c>
      <c r="AT260">
        <v>18.685311461716243</v>
      </c>
      <c r="AU260">
        <v>-11.730380058380668</v>
      </c>
      <c r="AV260"/>
      <c r="AW260"/>
      <c r="FY260" s="213">
        <v>255</v>
      </c>
      <c r="FZ260">
        <v>56.367381760085358</v>
      </c>
      <c r="GA260">
        <v>44.510042232262549</v>
      </c>
      <c r="GB260">
        <v>23.294340765830853</v>
      </c>
      <c r="GC260">
        <v>9.0899147204117021</v>
      </c>
      <c r="GD260">
        <v>2.3371472431718776</v>
      </c>
      <c r="GE260">
        <v>1.9417680613563606</v>
      </c>
      <c r="GF260">
        <v>1.5109722995279375</v>
      </c>
      <c r="GG260">
        <v>3.0917036680497674</v>
      </c>
      <c r="GH260">
        <v>7.5498153145810001</v>
      </c>
      <c r="GI260">
        <v>16.817035331049759</v>
      </c>
      <c r="GJ260"/>
      <c r="GK260"/>
      <c r="GL260"/>
      <c r="GM260"/>
      <c r="GN260" s="208"/>
      <c r="GO260" s="208"/>
      <c r="GP260" s="208"/>
      <c r="GQ260" s="208"/>
      <c r="GR260" s="208"/>
      <c r="GS260" s="208"/>
      <c r="GT260" s="208"/>
      <c r="GU260" s="213">
        <v>255</v>
      </c>
    </row>
    <row r="261" spans="1:203" s="7" customFormat="1">
      <c r="A261" s="77" t="s">
        <v>62</v>
      </c>
      <c r="B261">
        <v>0.96828033100513267</v>
      </c>
      <c r="C261">
        <v>8</v>
      </c>
      <c r="D261">
        <v>39747</v>
      </c>
      <c r="E261">
        <v>0</v>
      </c>
      <c r="F261">
        <v>70.112179487179489</v>
      </c>
      <c r="G261">
        <v>420.67307692307696</v>
      </c>
      <c r="H261">
        <v>140.22435897435898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232.11919613285869</v>
      </c>
      <c r="AO261">
        <v>26.601808773902462</v>
      </c>
      <c r="AP261">
        <v>36.330568357611043</v>
      </c>
      <c r="AQ261">
        <v>188.37093965194984</v>
      </c>
      <c r="AR261">
        <v>26.80555851066012</v>
      </c>
      <c r="AS261">
        <v>370.35458362745186</v>
      </c>
      <c r="AT261">
        <v>16.392456800271439</v>
      </c>
      <c r="AU261">
        <v>-16.183086192931185</v>
      </c>
      <c r="AV261"/>
      <c r="AW261"/>
      <c r="FY261" s="213">
        <v>256</v>
      </c>
      <c r="FZ261">
        <v>43.736346757065931</v>
      </c>
      <c r="GA261">
        <v>48.583530159115398</v>
      </c>
      <c r="GB261">
        <v>25.474144668753805</v>
      </c>
      <c r="GC261">
        <v>9.934666955915219</v>
      </c>
      <c r="GD261">
        <v>4.3110283613785008</v>
      </c>
      <c r="GE261">
        <v>6.3202205022720914</v>
      </c>
      <c r="GF261">
        <v>2.4560022627184557</v>
      </c>
      <c r="GG261">
        <v>3.2323753882414592</v>
      </c>
      <c r="GH261">
        <v>5.5633156700371886</v>
      </c>
      <c r="GI261">
        <v>16.474168427353405</v>
      </c>
      <c r="GJ261"/>
      <c r="GK261"/>
      <c r="GL261"/>
      <c r="GM261"/>
      <c r="GN261" s="208"/>
      <c r="GO261" s="208"/>
      <c r="GP261" s="208"/>
      <c r="GQ261" s="208"/>
      <c r="GR261" s="208"/>
      <c r="GS261" s="208"/>
      <c r="GT261" s="208"/>
      <c r="GU261" s="213">
        <v>256</v>
      </c>
    </row>
    <row r="262" spans="1:203" s="7" customFormat="1" ht="12.75" customHeight="1">
      <c r="A262" s="77"/>
      <c r="B262">
        <v>0.55549010378684871</v>
      </c>
      <c r="C262">
        <v>8</v>
      </c>
      <c r="D262">
        <v>39747</v>
      </c>
      <c r="E262">
        <v>0</v>
      </c>
      <c r="F262">
        <v>70.112179487179489</v>
      </c>
      <c r="G262">
        <v>420.67307692307696</v>
      </c>
      <c r="H262">
        <v>140.22435897435898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286.74350042802837</v>
      </c>
      <c r="AO262">
        <v>29.963423615613653</v>
      </c>
      <c r="AP262">
        <v>40.309111699722649</v>
      </c>
      <c r="AQ262">
        <v>219.178765461447</v>
      </c>
      <c r="AR262">
        <v>30.024095615961496</v>
      </c>
      <c r="AS262">
        <v>411.52874070622084</v>
      </c>
      <c r="AT262">
        <v>18.905444987087424</v>
      </c>
      <c r="AU262">
        <v>-42.06312142273751</v>
      </c>
      <c r="AV262"/>
      <c r="AW262"/>
      <c r="FY262" s="213">
        <v>257</v>
      </c>
      <c r="FZ262">
        <v>48.190802042959291</v>
      </c>
      <c r="GA262">
        <v>44.28780059746029</v>
      </c>
      <c r="GB262">
        <v>25.550304731179665</v>
      </c>
      <c r="GC262">
        <v>11.28064335639966</v>
      </c>
      <c r="GD262">
        <v>2.4683594918216745</v>
      </c>
      <c r="GE262">
        <v>2.4853916833564571</v>
      </c>
      <c r="GF262">
        <v>0.72722245951640652</v>
      </c>
      <c r="GG262">
        <v>2.9223286187276583</v>
      </c>
      <c r="GH262">
        <v>8.3926721604998935</v>
      </c>
      <c r="GI262">
        <v>16.239219278080682</v>
      </c>
      <c r="GJ262"/>
      <c r="GK262"/>
      <c r="GL262"/>
      <c r="GM262"/>
      <c r="GN262" s="208"/>
      <c r="GO262" s="208"/>
      <c r="GP262" s="208"/>
      <c r="GQ262" s="208"/>
      <c r="GR262" s="208"/>
      <c r="GS262" s="208"/>
      <c r="GT262" s="208"/>
      <c r="GU262" s="213">
        <v>257</v>
      </c>
    </row>
    <row r="263" spans="1:203" s="7" customFormat="1">
      <c r="A263" s="77"/>
      <c r="B263">
        <v>0.76381371602762282</v>
      </c>
      <c r="C263">
        <v>2</v>
      </c>
      <c r="D263">
        <v>39747</v>
      </c>
      <c r="E263">
        <v>0</v>
      </c>
      <c r="F263">
        <v>273.4375</v>
      </c>
      <c r="G263">
        <v>729.16666666666663</v>
      </c>
      <c r="H263">
        <v>91.145833333333329</v>
      </c>
      <c r="I263">
        <v>91.145833333333329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236.37099118160941</v>
      </c>
      <c r="AO263">
        <v>23.203411820919264</v>
      </c>
      <c r="AP263">
        <v>37.030744893006101</v>
      </c>
      <c r="AQ263">
        <v>164.58238500554984</v>
      </c>
      <c r="AR263">
        <v>24.666589474893883</v>
      </c>
      <c r="AS263">
        <v>331.92382824407997</v>
      </c>
      <c r="AT263">
        <v>14.831687105812428</v>
      </c>
      <c r="AU263">
        <v>15.116734858648563</v>
      </c>
      <c r="AV263"/>
      <c r="AW263"/>
      <c r="FY263" s="213">
        <v>258</v>
      </c>
      <c r="FZ263">
        <v>57.921620230608021</v>
      </c>
      <c r="GA263">
        <v>75.443206875760609</v>
      </c>
      <c r="GB263">
        <v>42.609976681891858</v>
      </c>
      <c r="GC263">
        <v>11.967339460362842</v>
      </c>
      <c r="GD263">
        <v>4.3399841901465992</v>
      </c>
      <c r="GE263">
        <v>6.1721074311881754</v>
      </c>
      <c r="GF263">
        <v>3.4335120020296301</v>
      </c>
      <c r="GG263">
        <v>5.4465521490755959</v>
      </c>
      <c r="GH263">
        <v>5.7449231966816399</v>
      </c>
      <c r="GI263">
        <v>22.989710501104874</v>
      </c>
      <c r="GJ263"/>
      <c r="GK263"/>
      <c r="GL263"/>
      <c r="GM263"/>
      <c r="GN263" s="208"/>
      <c r="GO263" s="208"/>
      <c r="GP263" s="208"/>
      <c r="GQ263" s="208"/>
      <c r="GR263" s="208"/>
      <c r="GS263" s="208"/>
      <c r="GT263" s="208"/>
      <c r="GU263" s="213">
        <v>258</v>
      </c>
    </row>
    <row r="264" spans="1:203" s="7" customFormat="1">
      <c r="A264" s="77"/>
      <c r="B264">
        <v>0.14110193122759185</v>
      </c>
      <c r="C264">
        <v>5</v>
      </c>
      <c r="D264">
        <v>39747</v>
      </c>
      <c r="E264">
        <v>0</v>
      </c>
      <c r="F264">
        <v>0</v>
      </c>
      <c r="G264">
        <v>662.87878787878788</v>
      </c>
      <c r="H264">
        <v>441.91919191919186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262.28445889036158</v>
      </c>
      <c r="AO264">
        <v>23.205358153074204</v>
      </c>
      <c r="AP264">
        <v>33.712096654883268</v>
      </c>
      <c r="AQ264">
        <v>166.20664208153738</v>
      </c>
      <c r="AR264">
        <v>23.273203799972784</v>
      </c>
      <c r="AS264">
        <v>361.06690169169264</v>
      </c>
      <c r="AT264">
        <v>14.504238691199667</v>
      </c>
      <c r="AU264">
        <v>17.171838447850689</v>
      </c>
      <c r="AV264"/>
      <c r="AW264"/>
      <c r="FY264" s="213">
        <v>259</v>
      </c>
      <c r="FZ264">
        <v>46.153770251667304</v>
      </c>
      <c r="GA264">
        <v>55.185661271314039</v>
      </c>
      <c r="GB264">
        <v>33.729085476923075</v>
      </c>
      <c r="GC264">
        <v>13.935794937257956</v>
      </c>
      <c r="GD264">
        <v>2.3109179621930056</v>
      </c>
      <c r="GE264">
        <v>1.6950405262229615</v>
      </c>
      <c r="GF264">
        <v>5.6086966569477372</v>
      </c>
      <c r="GG264">
        <v>6.6032450367916979</v>
      </c>
      <c r="GH264">
        <v>5.5848750383511669</v>
      </c>
      <c r="GI264">
        <v>18.316939247186021</v>
      </c>
      <c r="GJ264"/>
      <c r="GK264"/>
      <c r="GL264"/>
      <c r="GM264"/>
      <c r="GN264" s="208"/>
      <c r="GO264" s="208"/>
      <c r="GP264" s="208"/>
      <c r="GQ264" s="208"/>
      <c r="GR264" s="208"/>
      <c r="GS264" s="208"/>
      <c r="GT264" s="208"/>
      <c r="GU264" s="213">
        <v>259</v>
      </c>
    </row>
    <row r="265" spans="1:203" s="7" customFormat="1">
      <c r="A265" s="77"/>
      <c r="B265">
        <v>6.8587750556235338E-2</v>
      </c>
      <c r="C265">
        <v>4</v>
      </c>
      <c r="D265">
        <v>39747</v>
      </c>
      <c r="E265">
        <v>0</v>
      </c>
      <c r="F265">
        <v>314.29597701149424</v>
      </c>
      <c r="G265">
        <v>691.45114942528733</v>
      </c>
      <c r="H265">
        <v>314.29597701149424</v>
      </c>
      <c r="I265">
        <v>0</v>
      </c>
      <c r="J265">
        <v>28.409090909090907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261.14359184410489</v>
      </c>
      <c r="AO265">
        <v>28.296175690880109</v>
      </c>
      <c r="AP265">
        <v>26.607655381077507</v>
      </c>
      <c r="AQ265">
        <v>217.55130314012266</v>
      </c>
      <c r="AR265">
        <v>29.320548140322952</v>
      </c>
      <c r="AS265">
        <v>437.7350571231388</v>
      </c>
      <c r="AT265">
        <v>18.43142204860429</v>
      </c>
      <c r="AU265">
        <v>-13.595131818961832</v>
      </c>
      <c r="AV265"/>
      <c r="AW265"/>
      <c r="FY265" s="213">
        <v>260</v>
      </c>
      <c r="FZ265">
        <v>45.174867605710993</v>
      </c>
      <c r="GA265">
        <v>24.461248541781856</v>
      </c>
      <c r="GB265">
        <v>32.658514812877733</v>
      </c>
      <c r="GC265">
        <v>16.413433329911904</v>
      </c>
      <c r="GD265">
        <v>3.6922303978068398</v>
      </c>
      <c r="GE265">
        <v>4.3924852718597815</v>
      </c>
      <c r="GF265">
        <v>4.7810048747860012</v>
      </c>
      <c r="GG265">
        <v>3.5644023440340304</v>
      </c>
      <c r="GH265">
        <v>8.149590451687331</v>
      </c>
      <c r="GI265">
        <v>18.962399434618227</v>
      </c>
      <c r="GJ265"/>
      <c r="GK265"/>
      <c r="GL265"/>
      <c r="GM265"/>
      <c r="GN265" s="208"/>
      <c r="GO265" s="208"/>
      <c r="GP265" s="208"/>
      <c r="GQ265" s="208"/>
      <c r="GR265" s="208"/>
      <c r="GS265" s="208"/>
      <c r="GT265" s="208"/>
      <c r="GU265" s="213">
        <v>260</v>
      </c>
    </row>
    <row r="266" spans="1:203" s="7" customFormat="1">
      <c r="A266" s="1"/>
      <c r="B266">
        <v>0.30451880896741557</v>
      </c>
      <c r="C266">
        <v>9</v>
      </c>
      <c r="D266">
        <v>39747</v>
      </c>
      <c r="E266">
        <v>0</v>
      </c>
      <c r="F266">
        <v>177.84552845528455</v>
      </c>
      <c r="G266">
        <v>0</v>
      </c>
      <c r="H266">
        <v>355.6910569105691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320.76007087264782</v>
      </c>
      <c r="AO266">
        <v>25.851393495004874</v>
      </c>
      <c r="AP266">
        <v>43.431484963567939</v>
      </c>
      <c r="AQ266">
        <v>188.79641122116323</v>
      </c>
      <c r="AR266">
        <v>25.997671143789553</v>
      </c>
      <c r="AS266">
        <v>376.44568040157071</v>
      </c>
      <c r="AT266">
        <v>16.177346562772534</v>
      </c>
      <c r="AU266">
        <v>-38.699864657132487</v>
      </c>
      <c r="AV266"/>
      <c r="AW266"/>
      <c r="FY266" s="213">
        <v>261</v>
      </c>
      <c r="FZ266">
        <v>43.032897103707676</v>
      </c>
      <c r="GA266">
        <v>61.47702551079545</v>
      </c>
      <c r="GB266">
        <v>42.442148264484302</v>
      </c>
      <c r="GC266">
        <v>12.819166240565274</v>
      </c>
      <c r="GD266">
        <v>4.005440357168129</v>
      </c>
      <c r="GE266">
        <v>6.0782248516082973</v>
      </c>
      <c r="GF266">
        <v>8.2357073252104627</v>
      </c>
      <c r="GG266">
        <v>12.587652336804075</v>
      </c>
      <c r="GH266">
        <v>12.114520545304554</v>
      </c>
      <c r="GI266">
        <v>22.451695940923575</v>
      </c>
      <c r="GJ266"/>
      <c r="GK266"/>
      <c r="GL266"/>
      <c r="GM266"/>
      <c r="GN266" s="208"/>
      <c r="GO266" s="208"/>
      <c r="GP266" s="208"/>
      <c r="GQ266" s="208"/>
      <c r="GR266" s="208"/>
      <c r="GS266" s="208"/>
      <c r="GT266" s="208"/>
      <c r="GU266" s="213">
        <v>261</v>
      </c>
    </row>
    <row r="267" spans="1:203" s="7" customFormat="1">
      <c r="A267" s="1"/>
      <c r="B267">
        <v>0.89396560166463601</v>
      </c>
      <c r="C267">
        <v>1</v>
      </c>
      <c r="D267">
        <v>39747</v>
      </c>
      <c r="E267">
        <v>0</v>
      </c>
      <c r="F267">
        <v>173.61111111111111</v>
      </c>
      <c r="G267">
        <v>607.63888888888891</v>
      </c>
      <c r="H267">
        <v>434.02777777777783</v>
      </c>
      <c r="I267">
        <v>347.22222222222223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283.34724016282979</v>
      </c>
      <c r="AO267">
        <v>30.330622986301194</v>
      </c>
      <c r="AP267">
        <v>51.264530085109541</v>
      </c>
      <c r="AQ267">
        <v>217.01064336519988</v>
      </c>
      <c r="AR267">
        <v>30.766098288645708</v>
      </c>
      <c r="AS267">
        <v>404.76834756664255</v>
      </c>
      <c r="AT267" t="e">
        <v>#DIV/0!</v>
      </c>
      <c r="AU267" t="e">
        <v>#DIV/0!</v>
      </c>
      <c r="AV267"/>
      <c r="AW267"/>
      <c r="FY267" s="213">
        <v>262</v>
      </c>
      <c r="FZ267">
        <v>53.719129389853229</v>
      </c>
      <c r="GA267">
        <v>39.866451853563241</v>
      </c>
      <c r="GB267">
        <v>25.582337674666803</v>
      </c>
      <c r="GC267">
        <v>13.398583627934537</v>
      </c>
      <c r="GD267">
        <v>3.9006570583145486</v>
      </c>
      <c r="GE267">
        <v>4.5606102310445475</v>
      </c>
      <c r="GF267">
        <v>9.0987360394724917</v>
      </c>
      <c r="GG267">
        <v>9.2289779509754428</v>
      </c>
      <c r="GH267">
        <v>3.6377620101363535</v>
      </c>
      <c r="GI267">
        <v>18.658617137888537</v>
      </c>
      <c r="GJ267"/>
      <c r="GK267"/>
      <c r="GL267"/>
      <c r="GM267"/>
      <c r="GN267" s="208"/>
      <c r="GO267" s="208"/>
      <c r="GP267" s="208"/>
      <c r="GQ267" s="208"/>
      <c r="GR267" s="208"/>
      <c r="GS267" s="208"/>
      <c r="GT267" s="208"/>
      <c r="GU267" s="213">
        <v>262</v>
      </c>
    </row>
    <row r="268" spans="1:203" s="7" customFormat="1">
      <c r="A268" s="1"/>
      <c r="B268">
        <v>0.90152884084225526</v>
      </c>
      <c r="C268">
        <v>1</v>
      </c>
      <c r="D268">
        <v>39775</v>
      </c>
      <c r="E268">
        <v>0</v>
      </c>
      <c r="F268">
        <v>43.75</v>
      </c>
      <c r="G268">
        <v>0</v>
      </c>
      <c r="H268">
        <v>32.051282051282051</v>
      </c>
      <c r="I268">
        <v>32.051282051282051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289.77495842241206</v>
      </c>
      <c r="AO268">
        <v>26.826436240466251</v>
      </c>
      <c r="AP268">
        <v>27.175019677853488</v>
      </c>
      <c r="AQ268">
        <v>195.60945300898283</v>
      </c>
      <c r="AR268">
        <v>27.048936879138864</v>
      </c>
      <c r="AS268">
        <v>404.34025656439599</v>
      </c>
      <c r="AT268">
        <v>16.810315306651759</v>
      </c>
      <c r="AU268">
        <v>-29.393356545343792</v>
      </c>
      <c r="AV268"/>
      <c r="AW268"/>
      <c r="FY268" s="213">
        <v>263</v>
      </c>
      <c r="FZ268">
        <v>46.440526744702673</v>
      </c>
      <c r="GA268">
        <v>58.090264620753544</v>
      </c>
      <c r="GB268">
        <v>40.956121860862481</v>
      </c>
      <c r="GC268">
        <v>15.203113016362774</v>
      </c>
      <c r="GD268">
        <v>3.5422628562622074</v>
      </c>
      <c r="GE268">
        <v>4.4540209701700224</v>
      </c>
      <c r="GF268">
        <v>8.3057521626025412</v>
      </c>
      <c r="GG268">
        <v>9.0075916697597975</v>
      </c>
      <c r="GH268">
        <v>7.99750036498593</v>
      </c>
      <c r="GI268">
        <v>21.699326648245169</v>
      </c>
      <c r="GJ268"/>
      <c r="GK268"/>
      <c r="GL268"/>
      <c r="GM268"/>
      <c r="GN268" s="208"/>
      <c r="GO268" s="208"/>
      <c r="GP268" s="208"/>
      <c r="GQ268" s="208"/>
      <c r="GR268" s="208"/>
      <c r="GS268" s="208"/>
      <c r="GT268" s="208"/>
      <c r="GU268" s="213">
        <v>263</v>
      </c>
    </row>
    <row r="269" spans="1:203" s="7" customFormat="1">
      <c r="A269" s="1"/>
      <c r="B269">
        <v>0.28693289129971755</v>
      </c>
      <c r="C269">
        <v>6</v>
      </c>
      <c r="D269">
        <v>39775</v>
      </c>
      <c r="E269">
        <v>0</v>
      </c>
      <c r="F269">
        <v>0</v>
      </c>
      <c r="G269">
        <v>10.416666666666666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274.59126523403904</v>
      </c>
      <c r="AO269">
        <v>28.502669511007092</v>
      </c>
      <c r="AP269">
        <v>12.427352180201202</v>
      </c>
      <c r="AQ269">
        <v>201.65470546039788</v>
      </c>
      <c r="AR269">
        <v>28.786640942405917</v>
      </c>
      <c r="AS269">
        <v>412.2150604329625</v>
      </c>
      <c r="AT269">
        <v>17.57070783897791</v>
      </c>
      <c r="AU269">
        <v>-25.234649615463788</v>
      </c>
      <c r="AV269"/>
      <c r="AW269"/>
      <c r="FY269" s="213">
        <v>264</v>
      </c>
      <c r="FZ269">
        <v>47.891958973141506</v>
      </c>
      <c r="GA269">
        <v>33.098785580730798</v>
      </c>
      <c r="GB269">
        <v>30.909943623262681</v>
      </c>
      <c r="GC269">
        <v>17.085378914407723</v>
      </c>
      <c r="GD269">
        <v>4.1556685205204706</v>
      </c>
      <c r="GE269">
        <v>4.1393608395659713</v>
      </c>
      <c r="GF269">
        <v>2.2931663320300526</v>
      </c>
      <c r="GG269">
        <v>2.384111273430968</v>
      </c>
      <c r="GH269">
        <v>12.458041306439746</v>
      </c>
      <c r="GI269">
        <v>19.408224910990224</v>
      </c>
      <c r="GJ269"/>
      <c r="GK269"/>
      <c r="GL269"/>
      <c r="GM269"/>
      <c r="GN269" s="208"/>
      <c r="GO269" s="208"/>
      <c r="GP269" s="208"/>
      <c r="GQ269" s="208"/>
      <c r="GR269" s="208"/>
      <c r="GS269" s="208"/>
      <c r="GT269" s="208"/>
      <c r="GU269" s="213">
        <v>264</v>
      </c>
    </row>
    <row r="270" spans="1:203" s="7" customFormat="1">
      <c r="A270" s="1"/>
      <c r="B270">
        <v>0.25222233127591664</v>
      </c>
      <c r="C270">
        <v>10</v>
      </c>
      <c r="D270">
        <v>39775</v>
      </c>
      <c r="E270">
        <v>10.416666666666666</v>
      </c>
      <c r="F270">
        <v>62.5</v>
      </c>
      <c r="G270">
        <v>83.333333333333329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207.07863061137277</v>
      </c>
      <c r="AO270">
        <v>24.215862797675115</v>
      </c>
      <c r="AP270">
        <v>35.886592353731643</v>
      </c>
      <c r="AQ270">
        <v>171.89289882537531</v>
      </c>
      <c r="AR270">
        <v>24.789445800399204</v>
      </c>
      <c r="AS270">
        <v>325.97305462219515</v>
      </c>
      <c r="AT270" t="e">
        <v>#DIV/0!</v>
      </c>
      <c r="AU270" t="e">
        <v>#DIV/0!</v>
      </c>
      <c r="AV270"/>
      <c r="AW270"/>
      <c r="FY270" s="213">
        <v>265</v>
      </c>
      <c r="FZ270">
        <v>43.255012567400136</v>
      </c>
      <c r="GA270">
        <v>41.818805753672464</v>
      </c>
      <c r="GB270">
        <v>27.661362832501027</v>
      </c>
      <c r="GC270">
        <v>11.400875353319391</v>
      </c>
      <c r="GD270">
        <v>2.3433228842914264</v>
      </c>
      <c r="GE270">
        <v>0.9292189857388431</v>
      </c>
      <c r="GF270">
        <v>4.8879569210624432</v>
      </c>
      <c r="GG270">
        <v>6.2338453073393278</v>
      </c>
      <c r="GH270">
        <v>9.1132434139688065</v>
      </c>
      <c r="GI270">
        <v>16.843145015836637</v>
      </c>
      <c r="GJ270"/>
      <c r="GK270"/>
      <c r="GL270"/>
      <c r="GM270"/>
      <c r="GN270" s="208"/>
      <c r="GO270" s="208"/>
      <c r="GP270" s="208"/>
      <c r="GQ270" s="208"/>
      <c r="GR270" s="208"/>
      <c r="GS270" s="208"/>
      <c r="GT270" s="208"/>
      <c r="GU270" s="213">
        <v>265</v>
      </c>
    </row>
    <row r="271" spans="1:203" s="7" customFormat="1">
      <c r="A271" s="77"/>
      <c r="B271">
        <v>0.98519658272453303</v>
      </c>
      <c r="C271">
        <v>9</v>
      </c>
      <c r="D271">
        <v>39775</v>
      </c>
      <c r="E271">
        <v>0</v>
      </c>
      <c r="F271">
        <v>31.25</v>
      </c>
      <c r="G271">
        <v>125</v>
      </c>
      <c r="H271">
        <v>20.833333333333332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234.51001952224502</v>
      </c>
      <c r="AO271">
        <v>21.27702857452606</v>
      </c>
      <c r="AP271">
        <v>24.493391984310396</v>
      </c>
      <c r="AQ271">
        <v>166.51012139632715</v>
      </c>
      <c r="AR271">
        <v>23.177477771888718</v>
      </c>
      <c r="AS271">
        <v>360.66480815590756</v>
      </c>
      <c r="AT271">
        <v>13.952549475477815</v>
      </c>
      <c r="AU271">
        <v>10.779837089870824</v>
      </c>
      <c r="AV271"/>
      <c r="AW271"/>
      <c r="FY271" s="213">
        <v>266</v>
      </c>
      <c r="FZ271">
        <v>57.369742537630337</v>
      </c>
      <c r="GA271">
        <v>39.54572076720769</v>
      </c>
      <c r="GB271">
        <v>30.456195358715629</v>
      </c>
      <c r="GC271">
        <v>16.448868898595808</v>
      </c>
      <c r="GD271">
        <v>2.0241775475265507</v>
      </c>
      <c r="GE271">
        <v>3.5310875839388007</v>
      </c>
      <c r="GF271">
        <v>7.3288859193745299</v>
      </c>
      <c r="GG271">
        <v>6.7065040981409592</v>
      </c>
      <c r="GH271">
        <v>4.3764430004626398</v>
      </c>
      <c r="GI271">
        <v>19.097707105889679</v>
      </c>
      <c r="GJ271"/>
      <c r="GK271"/>
      <c r="GL271"/>
      <c r="GM271"/>
      <c r="GN271" s="208"/>
      <c r="GO271" s="208"/>
      <c r="GP271" s="208"/>
      <c r="GQ271" s="208"/>
      <c r="GR271" s="208"/>
      <c r="GS271" s="208"/>
      <c r="GT271" s="208"/>
      <c r="GU271" s="213">
        <v>266</v>
      </c>
    </row>
    <row r="272" spans="1:203" s="7" customFormat="1">
      <c r="A272" s="77"/>
      <c r="B272">
        <v>0.33475251816101403</v>
      </c>
      <c r="C272">
        <v>2</v>
      </c>
      <c r="D272">
        <v>39775</v>
      </c>
      <c r="E272">
        <v>0</v>
      </c>
      <c r="F272">
        <v>18.939393939393938</v>
      </c>
      <c r="G272">
        <v>132.57575757575756</v>
      </c>
      <c r="H272">
        <v>18.939393939393938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288.00108815855731</v>
      </c>
      <c r="AO272">
        <v>22.3653051528342</v>
      </c>
      <c r="AP272">
        <v>18.176114024084512</v>
      </c>
      <c r="AQ272">
        <v>166.08579915285145</v>
      </c>
      <c r="AR272">
        <v>22.592237098389031</v>
      </c>
      <c r="AS272">
        <v>374.78729311765557</v>
      </c>
      <c r="AT272">
        <v>13.670296502223794</v>
      </c>
      <c r="AU272">
        <v>-7.8889883024447585</v>
      </c>
      <c r="AV272"/>
      <c r="AW272"/>
      <c r="FY272" s="213">
        <v>267</v>
      </c>
      <c r="FZ272">
        <v>57.215162207082798</v>
      </c>
      <c r="GA272">
        <v>64.933367976288338</v>
      </c>
      <c r="GB272">
        <v>30.868496814376151</v>
      </c>
      <c r="GC272">
        <v>11.827446144542803</v>
      </c>
      <c r="GD272">
        <v>4.5773551581942833</v>
      </c>
      <c r="GE272">
        <v>6.3329104058402699</v>
      </c>
      <c r="GF272">
        <v>22.538972053979123</v>
      </c>
      <c r="GG272">
        <v>18.069990861316956</v>
      </c>
      <c r="GH272">
        <v>7.6640228590660868</v>
      </c>
      <c r="GI272">
        <v>23.926356979527725</v>
      </c>
      <c r="GJ272"/>
      <c r="GK272"/>
      <c r="GL272"/>
      <c r="GM272"/>
      <c r="GN272" s="208"/>
      <c r="GO272" s="208"/>
      <c r="GP272" s="208"/>
      <c r="GQ272" s="208"/>
      <c r="GR272" s="208"/>
      <c r="GS272" s="208"/>
      <c r="GT272" s="208"/>
      <c r="GU272" s="213">
        <v>267</v>
      </c>
    </row>
    <row r="273" spans="1:203" s="7" customFormat="1">
      <c r="A273" s="1"/>
      <c r="B273">
        <v>0.10958932928487464</v>
      </c>
      <c r="C273">
        <v>8</v>
      </c>
      <c r="D273">
        <v>39775</v>
      </c>
      <c r="E273">
        <v>0</v>
      </c>
      <c r="F273">
        <v>52.083333333333336</v>
      </c>
      <c r="G273">
        <v>52.083333333333336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209.37257393488622</v>
      </c>
      <c r="AO273">
        <v>21.526617231156795</v>
      </c>
      <c r="AP273">
        <v>23.856327908103957</v>
      </c>
      <c r="AQ273">
        <v>162.54474442000168</v>
      </c>
      <c r="AR273">
        <v>22.346826871518637</v>
      </c>
      <c r="AS273">
        <v>331.69705170708323</v>
      </c>
      <c r="AT273" t="e">
        <v>#DIV/0!</v>
      </c>
      <c r="AU273" t="e">
        <v>#DIV/0!</v>
      </c>
      <c r="AV273"/>
      <c r="AW273"/>
      <c r="FY273" s="213">
        <v>268</v>
      </c>
      <c r="FZ273">
        <v>53.682973039313403</v>
      </c>
      <c r="GA273">
        <v>66.213310314423495</v>
      </c>
      <c r="GB273">
        <v>43.125186048528882</v>
      </c>
      <c r="GC273">
        <v>15.064452231398446</v>
      </c>
      <c r="GD273">
        <v>2.585611563389695</v>
      </c>
      <c r="GE273">
        <v>3.5434760145876769</v>
      </c>
      <c r="GF273">
        <v>8.7874939464188913</v>
      </c>
      <c r="GG273">
        <v>7.7134672924104724</v>
      </c>
      <c r="GH273">
        <v>3.704076286968875</v>
      </c>
      <c r="GI273">
        <v>22.1653732975055</v>
      </c>
      <c r="GJ273"/>
      <c r="GK273"/>
      <c r="GL273"/>
      <c r="GM273"/>
      <c r="GN273" s="208"/>
      <c r="GO273" s="208"/>
      <c r="GP273" s="208"/>
      <c r="GQ273" s="208"/>
      <c r="GR273" s="208"/>
      <c r="GS273" s="208"/>
      <c r="GT273" s="208"/>
      <c r="GU273" s="213">
        <v>268</v>
      </c>
    </row>
    <row r="274" spans="1:203" s="7" customFormat="1">
      <c r="A274" s="1"/>
      <c r="B274">
        <v>9.8729806261039776E-2</v>
      </c>
      <c r="C274">
        <v>4</v>
      </c>
      <c r="D274">
        <v>39775</v>
      </c>
      <c r="E274">
        <v>0</v>
      </c>
      <c r="F274">
        <v>62.5</v>
      </c>
      <c r="G274">
        <v>52.083333333333336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333.08466992366732</v>
      </c>
      <c r="AO274">
        <v>31.010011360084185</v>
      </c>
      <c r="AP274">
        <v>26.681262084954973</v>
      </c>
      <c r="AQ274">
        <v>236.06893271884982</v>
      </c>
      <c r="AR274">
        <v>31.609743092567456</v>
      </c>
      <c r="AS274">
        <v>505.36587142509342</v>
      </c>
      <c r="AT274">
        <v>19.449854762284112</v>
      </c>
      <c r="AU274">
        <v>-66.955175747393483</v>
      </c>
      <c r="AV274"/>
      <c r="AW274"/>
      <c r="FY274" s="213">
        <v>269</v>
      </c>
      <c r="FZ274">
        <v>57.506614423188594</v>
      </c>
      <c r="GA274">
        <v>69.570336318257446</v>
      </c>
      <c r="GB274">
        <v>34.15358446474589</v>
      </c>
      <c r="GC274">
        <v>11.846795290804991</v>
      </c>
      <c r="GD274">
        <v>5.7214990724269326</v>
      </c>
      <c r="GE274">
        <v>9.0470136929662441</v>
      </c>
      <c r="GF274">
        <v>11.25752238081582</v>
      </c>
      <c r="GG274">
        <v>10.30699122704546</v>
      </c>
      <c r="GH274">
        <v>6.8537171098802183</v>
      </c>
      <c r="GI274">
        <v>23.257315890007682</v>
      </c>
      <c r="GJ274"/>
      <c r="GK274"/>
      <c r="GL274"/>
      <c r="GM274"/>
      <c r="GN274" s="208"/>
      <c r="GO274" s="208"/>
      <c r="GP274" s="208"/>
      <c r="GQ274" s="208"/>
      <c r="GR274" s="208"/>
      <c r="GS274" s="208"/>
      <c r="GT274" s="208"/>
      <c r="GU274" s="213">
        <v>269</v>
      </c>
    </row>
    <row r="275" spans="1:203" s="7" customFormat="1">
      <c r="A275" s="1"/>
      <c r="B275">
        <v>0.46865375949291543</v>
      </c>
      <c r="C275">
        <v>2</v>
      </c>
      <c r="D275">
        <v>39775</v>
      </c>
      <c r="E275">
        <v>0</v>
      </c>
      <c r="F275">
        <v>18.939393939393938</v>
      </c>
      <c r="G275">
        <v>132.57575757575756</v>
      </c>
      <c r="H275">
        <v>18.939393939393938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218.06958917755659</v>
      </c>
      <c r="AO275">
        <v>25.234559704386275</v>
      </c>
      <c r="AP275">
        <v>12.126411397614671</v>
      </c>
      <c r="AQ275">
        <v>189.12402640485493</v>
      </c>
      <c r="AR275">
        <v>25.087968862526441</v>
      </c>
      <c r="AS275">
        <v>345.46438376987555</v>
      </c>
      <c r="AT275">
        <v>15.90424879043708</v>
      </c>
      <c r="AU275">
        <v>-23.778138332860472</v>
      </c>
      <c r="AV275"/>
      <c r="AW275"/>
      <c r="FY275" s="213">
        <v>270</v>
      </c>
      <c r="FZ275">
        <v>55.612646169063915</v>
      </c>
      <c r="GA275">
        <v>56.444921851411159</v>
      </c>
      <c r="GB275">
        <v>25.442807821534512</v>
      </c>
      <c r="GC275">
        <v>10.848689733547763</v>
      </c>
      <c r="GD275">
        <v>4.4301603060475676</v>
      </c>
      <c r="GE275">
        <v>5.5196464768604203</v>
      </c>
      <c r="GF275">
        <v>2.3675038208841959</v>
      </c>
      <c r="GG275">
        <v>1.491998171888232</v>
      </c>
      <c r="GH275">
        <v>4.7816270926538946</v>
      </c>
      <c r="GI275">
        <v>18.155603458573626</v>
      </c>
      <c r="GJ275"/>
      <c r="GK275"/>
      <c r="GL275"/>
      <c r="GM275"/>
      <c r="GN275" s="208"/>
      <c r="GO275" s="208"/>
      <c r="GP275" s="208"/>
      <c r="GQ275" s="208"/>
      <c r="GR275" s="208"/>
      <c r="GS275" s="208"/>
      <c r="GT275" s="208"/>
      <c r="GU275" s="213">
        <v>270</v>
      </c>
    </row>
    <row r="276" spans="1:203" s="7" customFormat="1">
      <c r="A276" s="1"/>
      <c r="B276">
        <v>0.68001638654220553</v>
      </c>
      <c r="C276">
        <v>5</v>
      </c>
      <c r="D276">
        <v>39775</v>
      </c>
      <c r="E276">
        <v>0</v>
      </c>
      <c r="F276">
        <v>148.80952380952382</v>
      </c>
      <c r="G276">
        <v>0</v>
      </c>
      <c r="H276">
        <v>10.416666666666666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239.24996589041581</v>
      </c>
      <c r="AO276">
        <v>23.954062949830647</v>
      </c>
      <c r="AP276">
        <v>28.726223703272982</v>
      </c>
      <c r="AQ276">
        <v>162.25017706507467</v>
      </c>
      <c r="AR276">
        <v>26.000376547663972</v>
      </c>
      <c r="AS276">
        <v>378.68514044406652</v>
      </c>
      <c r="AT276">
        <v>16.473862315782767</v>
      </c>
      <c r="AU276">
        <v>-2.803055689233247E-2</v>
      </c>
      <c r="AV276"/>
      <c r="AW276"/>
      <c r="FY276" s="213">
        <v>271</v>
      </c>
      <c r="FZ276">
        <v>46.26175314710418</v>
      </c>
      <c r="GA276">
        <v>46.696503217432955</v>
      </c>
      <c r="GB276">
        <v>34.035261764178145</v>
      </c>
      <c r="GC276">
        <v>16.105174992654103</v>
      </c>
      <c r="GD276">
        <v>4.5737026394776636</v>
      </c>
      <c r="GE276">
        <v>7.2243747004509702</v>
      </c>
      <c r="GF276">
        <v>1.4990158879915247</v>
      </c>
      <c r="GG276">
        <v>2.9918660779179205</v>
      </c>
      <c r="GH276">
        <v>4.1456320702329092</v>
      </c>
      <c r="GI276">
        <v>18.701972627655536</v>
      </c>
      <c r="GJ276"/>
      <c r="GK276"/>
      <c r="GL276"/>
      <c r="GM276"/>
      <c r="GN276" s="208"/>
      <c r="GO276" s="208"/>
      <c r="GP276" s="208"/>
      <c r="GQ276" s="208"/>
      <c r="GR276" s="208"/>
      <c r="GS276" s="208"/>
      <c r="GT276" s="208"/>
      <c r="GU276" s="213">
        <v>271</v>
      </c>
    </row>
    <row r="277" spans="1:203" s="7" customFormat="1">
      <c r="A277" s="1"/>
      <c r="B277">
        <v>0.93035016392597214</v>
      </c>
      <c r="C277">
        <v>6</v>
      </c>
      <c r="D277">
        <v>39775</v>
      </c>
      <c r="E277">
        <v>0</v>
      </c>
      <c r="F277">
        <v>0</v>
      </c>
      <c r="G277">
        <v>10.416666666666666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364.88831473830601</v>
      </c>
      <c r="AO277">
        <v>30.451347798271126</v>
      </c>
      <c r="AP277">
        <v>32.068989623858158</v>
      </c>
      <c r="AQ277">
        <v>225.24447847657177</v>
      </c>
      <c r="AR277">
        <v>30.687733479355526</v>
      </c>
      <c r="AS277">
        <v>489.43829607576174</v>
      </c>
      <c r="AT277">
        <v>19.072635712888918</v>
      </c>
      <c r="AU277">
        <v>10.465337921013333</v>
      </c>
      <c r="AV277"/>
      <c r="AW277"/>
      <c r="FY277" s="213">
        <v>272</v>
      </c>
      <c r="FZ277">
        <v>54.27680378140311</v>
      </c>
      <c r="GA277">
        <v>63.759713916163953</v>
      </c>
      <c r="GB277">
        <v>35.155046443370914</v>
      </c>
      <c r="GC277">
        <v>12.960845089872924</v>
      </c>
      <c r="GD277">
        <v>3.7238562379644979</v>
      </c>
      <c r="GE277">
        <v>6.7536537204293037</v>
      </c>
      <c r="GF277">
        <v>8.9705935448012184</v>
      </c>
      <c r="GG277">
        <v>8.3202790861840352</v>
      </c>
      <c r="GH277">
        <v>10.586383250361681</v>
      </c>
      <c r="GI277">
        <v>22.066354438246385</v>
      </c>
      <c r="GJ277"/>
      <c r="GK277"/>
      <c r="GL277"/>
      <c r="GM277"/>
      <c r="GN277" s="208"/>
      <c r="GO277" s="208"/>
      <c r="GP277" s="208"/>
      <c r="GQ277" s="208"/>
      <c r="GR277" s="208"/>
      <c r="GS277" s="208"/>
      <c r="GT277" s="208"/>
      <c r="GU277" s="213">
        <v>272</v>
      </c>
    </row>
    <row r="278" spans="1:203" s="7" customFormat="1">
      <c r="A278" s="1"/>
      <c r="B278">
        <v>0.85590934182603662</v>
      </c>
      <c r="C278">
        <v>3</v>
      </c>
      <c r="D278">
        <v>39799</v>
      </c>
      <c r="E278">
        <v>0</v>
      </c>
      <c r="F278">
        <v>416.66666666666669</v>
      </c>
      <c r="G278">
        <v>333.33333333333331</v>
      </c>
      <c r="H278">
        <v>83.333333333333329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259.9484660645457</v>
      </c>
      <c r="AO278">
        <v>24.979056062971555</v>
      </c>
      <c r="AP278">
        <v>38.269802928217565</v>
      </c>
      <c r="AQ278">
        <v>181.65186297384972</v>
      </c>
      <c r="AR278">
        <v>25.568989530439222</v>
      </c>
      <c r="AS278">
        <v>360.44275208626669</v>
      </c>
      <c r="AT278">
        <v>15.649691164869404</v>
      </c>
      <c r="AU278">
        <v>9.9411618072677896</v>
      </c>
      <c r="AV278"/>
      <c r="AW278"/>
      <c r="FY278" s="213">
        <v>273</v>
      </c>
      <c r="FZ278">
        <v>37.537294021641927</v>
      </c>
      <c r="GA278">
        <v>40.795134523424302</v>
      </c>
      <c r="GB278">
        <v>38.410976198946791</v>
      </c>
      <c r="GC278">
        <v>16.466694468814172</v>
      </c>
      <c r="GD278">
        <v>4.2372358572803606</v>
      </c>
      <c r="GE278">
        <v>6.8574005139279066</v>
      </c>
      <c r="GF278">
        <v>8.2618246897269927</v>
      </c>
      <c r="GG278">
        <v>7.9702252451752109</v>
      </c>
      <c r="GH278">
        <v>7.8893171557784996</v>
      </c>
      <c r="GI278">
        <v>20.147572074716297</v>
      </c>
      <c r="GJ278"/>
      <c r="GK278"/>
      <c r="GL278"/>
      <c r="GM278"/>
      <c r="GN278" s="208"/>
      <c r="GO278" s="208"/>
      <c r="GP278" s="208"/>
      <c r="GQ278" s="208"/>
      <c r="GR278" s="208"/>
      <c r="GS278" s="208"/>
      <c r="GT278" s="208"/>
      <c r="GU278" s="213">
        <v>273</v>
      </c>
    </row>
    <row r="279" spans="1:203" s="7" customFormat="1">
      <c r="A279" s="1"/>
      <c r="B279">
        <v>0.23440767143251762</v>
      </c>
      <c r="C279">
        <v>10</v>
      </c>
      <c r="D279">
        <v>39799</v>
      </c>
      <c r="E279">
        <v>0</v>
      </c>
      <c r="F279">
        <v>20.833333333333332</v>
      </c>
      <c r="G279">
        <v>104.16666666666667</v>
      </c>
      <c r="H279">
        <v>10.416666666666666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281.13181605553825</v>
      </c>
      <c r="AO279">
        <v>29.498483800814011</v>
      </c>
      <c r="AP279">
        <v>27.278067547707366</v>
      </c>
      <c r="AQ279">
        <v>215.69648091470717</v>
      </c>
      <c r="AR279">
        <v>29.704878250868585</v>
      </c>
      <c r="AS279">
        <v>452.23541524778352</v>
      </c>
      <c r="AT279">
        <v>19.125490642109607</v>
      </c>
      <c r="AU279">
        <v>-42.555385812357656</v>
      </c>
      <c r="AV279"/>
      <c r="AW279"/>
      <c r="FY279" s="213">
        <v>274</v>
      </c>
      <c r="FZ279">
        <v>58.847449620215393</v>
      </c>
      <c r="GA279">
        <v>58.342515998152287</v>
      </c>
      <c r="GB279">
        <v>36.434000755539074</v>
      </c>
      <c r="GC279">
        <v>13.307797613163586</v>
      </c>
      <c r="GD279">
        <v>3.0797061769228535</v>
      </c>
      <c r="GE279">
        <v>5.3892339595512508</v>
      </c>
      <c r="GF279">
        <v>8.2052973092318684</v>
      </c>
      <c r="GG279">
        <v>8.3881539389784692</v>
      </c>
      <c r="GH279">
        <v>9.5116569704097316</v>
      </c>
      <c r="GI279">
        <v>22.375572924518533</v>
      </c>
      <c r="GJ279"/>
      <c r="GK279"/>
      <c r="GL279"/>
      <c r="GM279"/>
      <c r="GN279" s="208"/>
      <c r="GO279" s="208"/>
      <c r="GP279" s="208"/>
      <c r="GQ279" s="208"/>
      <c r="GR279" s="208"/>
      <c r="GS279" s="208"/>
      <c r="GT279" s="208"/>
      <c r="GU279" s="213">
        <v>274</v>
      </c>
    </row>
    <row r="280" spans="1:203" s="7" customFormat="1">
      <c r="A280" s="1"/>
      <c r="B280">
        <v>0.99084575304833966</v>
      </c>
      <c r="C280">
        <v>5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239.45287027549961</v>
      </c>
      <c r="AO280">
        <v>25.075893745351429</v>
      </c>
      <c r="AP280">
        <v>52.644434722146627</v>
      </c>
      <c r="AQ280">
        <v>173.82464027452011</v>
      </c>
      <c r="AR280">
        <v>26.622063524203362</v>
      </c>
      <c r="AS280">
        <v>411.96015107889775</v>
      </c>
      <c r="AT280" t="e">
        <v>#DIV/0!</v>
      </c>
      <c r="AU280" t="e">
        <v>#DIV/0!</v>
      </c>
      <c r="AV280"/>
      <c r="AW280"/>
      <c r="FY280" s="213">
        <v>275</v>
      </c>
      <c r="FZ280">
        <v>42.479120755049578</v>
      </c>
      <c r="GA280">
        <v>44.349046788837505</v>
      </c>
      <c r="GB280">
        <v>30.420514580161708</v>
      </c>
      <c r="GC280">
        <v>11.687130709649555</v>
      </c>
      <c r="GD280">
        <v>2.590720215167817</v>
      </c>
      <c r="GE280">
        <v>4.183814143395379</v>
      </c>
      <c r="GF280">
        <v>4.7582678503052858</v>
      </c>
      <c r="GG280">
        <v>4.9286238021300743</v>
      </c>
      <c r="GH280">
        <v>4.7928382889688201</v>
      </c>
      <c r="GI280">
        <v>16.82640653111099</v>
      </c>
      <c r="GJ280"/>
      <c r="GK280"/>
      <c r="GL280"/>
      <c r="GM280"/>
      <c r="GN280" s="208"/>
      <c r="GO280" s="208"/>
      <c r="GP280" s="208"/>
      <c r="GQ280" s="208"/>
      <c r="GR280" s="208"/>
      <c r="GS280" s="208"/>
      <c r="GT280" s="208"/>
      <c r="GU280" s="213">
        <v>275</v>
      </c>
    </row>
    <row r="281" spans="1:203" s="7" customFormat="1">
      <c r="A281" s="1"/>
      <c r="B281">
        <v>0.86187005825207841</v>
      </c>
      <c r="C281">
        <v>8</v>
      </c>
      <c r="D281">
        <v>39799</v>
      </c>
      <c r="E281">
        <v>0</v>
      </c>
      <c r="F281">
        <v>148.80952380952382</v>
      </c>
      <c r="G281">
        <v>74.404761904761912</v>
      </c>
      <c r="H281">
        <v>74.404761904761912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223.94773053263643</v>
      </c>
      <c r="AO281">
        <v>21.918228255798191</v>
      </c>
      <c r="AP281">
        <v>27.46141597081364</v>
      </c>
      <c r="AQ281">
        <v>164.48678903513047</v>
      </c>
      <c r="AR281">
        <v>23.097759265258532</v>
      </c>
      <c r="AS281">
        <v>322.87350501825233</v>
      </c>
      <c r="AT281">
        <v>13.960268535686508</v>
      </c>
      <c r="AU281">
        <v>5.876357332720076</v>
      </c>
      <c r="AV281"/>
      <c r="AW281"/>
      <c r="FY281" s="213">
        <v>276</v>
      </c>
      <c r="FZ281">
        <v>42.205117251912057</v>
      </c>
      <c r="GA281">
        <v>36.346661313285274</v>
      </c>
      <c r="GB281">
        <v>28.984179932961887</v>
      </c>
      <c r="GC281">
        <v>14.661820738387537</v>
      </c>
      <c r="GD281">
        <v>3.6293328638214559</v>
      </c>
      <c r="GE281">
        <v>3.7974937675554639</v>
      </c>
      <c r="GF281">
        <v>4.6424762453623867</v>
      </c>
      <c r="GG281">
        <v>6.1411873822420944</v>
      </c>
      <c r="GH281">
        <v>4.336734059376421</v>
      </c>
      <c r="GI281">
        <v>16.917061048109829</v>
      </c>
      <c r="GJ281"/>
      <c r="GK281"/>
      <c r="GL281"/>
      <c r="GM281"/>
      <c r="GN281" s="208"/>
      <c r="GO281" s="208"/>
      <c r="GP281" s="208"/>
      <c r="GQ281" s="208"/>
      <c r="GR281" s="208"/>
      <c r="GS281" s="208"/>
      <c r="GT281" s="208"/>
      <c r="GU281" s="213">
        <v>276</v>
      </c>
    </row>
    <row r="282" spans="1:203" s="7" customFormat="1">
      <c r="A282" s="1"/>
      <c r="B282">
        <v>0.27101553851997817</v>
      </c>
      <c r="C282">
        <v>9</v>
      </c>
      <c r="D282">
        <v>39799</v>
      </c>
      <c r="E282">
        <v>0</v>
      </c>
      <c r="F282">
        <v>0</v>
      </c>
      <c r="G282">
        <v>57.53391472868217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247.48952705840242</v>
      </c>
      <c r="AO282">
        <v>25.785246276798762</v>
      </c>
      <c r="AP282">
        <v>9.9333990444561699</v>
      </c>
      <c r="AQ282">
        <v>186.88533281748263</v>
      </c>
      <c r="AR282">
        <v>26.29836382091823</v>
      </c>
      <c r="AS282">
        <v>366.70512048788095</v>
      </c>
      <c r="AT282">
        <v>15.869872801974415</v>
      </c>
      <c r="AU282">
        <v>-20.861350460191076</v>
      </c>
      <c r="AV282"/>
      <c r="AW282"/>
      <c r="FY282" s="213">
        <v>277</v>
      </c>
      <c r="FZ282">
        <v>56.763134991018759</v>
      </c>
      <c r="GA282">
        <v>57.429947787687176</v>
      </c>
      <c r="GB282">
        <v>22.850839744665581</v>
      </c>
      <c r="GC282">
        <v>6.1950399523899637</v>
      </c>
      <c r="GD282">
        <v>3.0854922496130324</v>
      </c>
      <c r="GE282">
        <v>5.0526130710892598</v>
      </c>
      <c r="GF282">
        <v>5.8922511087007354</v>
      </c>
      <c r="GG282">
        <v>6.2535349572331427</v>
      </c>
      <c r="GH282">
        <v>6.5390257381387258</v>
      </c>
      <c r="GI282">
        <v>17.833248133585162</v>
      </c>
      <c r="GJ282"/>
      <c r="GK282"/>
      <c r="GL282"/>
      <c r="GM282"/>
      <c r="GN282" s="208"/>
      <c r="GO282" s="208"/>
      <c r="GP282" s="208"/>
      <c r="GQ282" s="208"/>
      <c r="GR282" s="208"/>
      <c r="GS282" s="208"/>
      <c r="GT282" s="208"/>
      <c r="GU282" s="213">
        <v>277</v>
      </c>
    </row>
    <row r="283" spans="1:203" s="7" customFormat="1">
      <c r="A283" s="1"/>
      <c r="B283">
        <v>0.24149839117375382</v>
      </c>
      <c r="C283">
        <v>10</v>
      </c>
      <c r="D283">
        <v>39799</v>
      </c>
      <c r="E283">
        <v>0</v>
      </c>
      <c r="F283">
        <v>20.833333333333332</v>
      </c>
      <c r="G283">
        <v>104.16666666666667</v>
      </c>
      <c r="H283">
        <v>10.416666666666666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293.16957863346067</v>
      </c>
      <c r="AO283">
        <v>32.849457123669822</v>
      </c>
      <c r="AP283">
        <v>64.423049035573626</v>
      </c>
      <c r="AQ283">
        <v>247.9540814602145</v>
      </c>
      <c r="AR283">
        <v>33.022376939680576</v>
      </c>
      <c r="AS283">
        <v>504.68189293944681</v>
      </c>
      <c r="AT283">
        <v>20.375640918916151</v>
      </c>
      <c r="AU283">
        <v>-19.454038193125278</v>
      </c>
      <c r="AV283"/>
      <c r="AW283"/>
      <c r="FY283" s="213">
        <v>278</v>
      </c>
      <c r="FZ283">
        <v>49.561741265887377</v>
      </c>
      <c r="GA283">
        <v>54.745412109257494</v>
      </c>
      <c r="GB283">
        <v>35.157519313383823</v>
      </c>
      <c r="GC283">
        <v>15.755051627179466</v>
      </c>
      <c r="GD283">
        <v>4.4517820059642697</v>
      </c>
      <c r="GE283">
        <v>5.9525794525467202</v>
      </c>
      <c r="GF283">
        <v>4.9260306971153858</v>
      </c>
      <c r="GG283">
        <v>3.6253733005807907</v>
      </c>
      <c r="GH283">
        <v>4.1019568214327089</v>
      </c>
      <c r="GI283">
        <v>20.026765592291405</v>
      </c>
      <c r="GJ283"/>
      <c r="GK283"/>
      <c r="GL283"/>
      <c r="GM283"/>
      <c r="GN283" s="208"/>
      <c r="GO283" s="208"/>
      <c r="GP283" s="208"/>
      <c r="GQ283" s="208"/>
      <c r="GR283" s="208"/>
      <c r="GS283" s="208"/>
      <c r="GT283" s="208"/>
      <c r="GU283" s="213">
        <v>278</v>
      </c>
    </row>
    <row r="284" spans="1:203" s="7" customFormat="1">
      <c r="A284" s="1"/>
      <c r="B284">
        <v>0.86417888170168888</v>
      </c>
      <c r="C284">
        <v>2</v>
      </c>
      <c r="D284">
        <v>39799</v>
      </c>
      <c r="E284">
        <v>0</v>
      </c>
      <c r="F284">
        <v>10.416666666666666</v>
      </c>
      <c r="G284">
        <v>31.25</v>
      </c>
      <c r="H284">
        <v>31.25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264.74607705709161</v>
      </c>
      <c r="AO284">
        <v>30.28674012483102</v>
      </c>
      <c r="AP284">
        <v>21.305810742430261</v>
      </c>
      <c r="AQ284">
        <v>226.58542003494534</v>
      </c>
      <c r="AR284">
        <v>30.410170244427519</v>
      </c>
      <c r="AS284">
        <v>413.95560351261037</v>
      </c>
      <c r="AT284">
        <v>18.553447364953524</v>
      </c>
      <c r="AU284">
        <v>-27.475836122852307</v>
      </c>
      <c r="AV284"/>
      <c r="AW284"/>
      <c r="FY284" s="213">
        <v>279</v>
      </c>
      <c r="FZ284">
        <v>57.513122506504686</v>
      </c>
      <c r="GA284">
        <v>35.613276786352451</v>
      </c>
      <c r="GB284">
        <v>22.029738819436734</v>
      </c>
      <c r="GC284">
        <v>11.412786546072899</v>
      </c>
      <c r="GD284">
        <v>3.7421452901522878</v>
      </c>
      <c r="GE284">
        <v>6.312807966966524</v>
      </c>
      <c r="GF284">
        <v>1.3220190043230056</v>
      </c>
      <c r="GG284">
        <v>0.42129151715308577</v>
      </c>
      <c r="GH284">
        <v>5.6475744919669415</v>
      </c>
      <c r="GI284">
        <v>17.149983164239593</v>
      </c>
      <c r="GJ284"/>
      <c r="GK284"/>
      <c r="GL284"/>
      <c r="GM284"/>
      <c r="GN284" s="208"/>
      <c r="GO284" s="208"/>
      <c r="GP284" s="208"/>
      <c r="GQ284" s="208"/>
      <c r="GR284" s="208"/>
      <c r="GS284" s="208"/>
      <c r="GT284" s="208"/>
      <c r="GU284" s="213">
        <v>279</v>
      </c>
    </row>
    <row r="285" spans="1:203" s="7" customFormat="1">
      <c r="A285" s="1"/>
      <c r="B285">
        <v>0.81702109993578365</v>
      </c>
      <c r="C285">
        <v>4</v>
      </c>
      <c r="D285">
        <v>39799</v>
      </c>
      <c r="E285">
        <v>0</v>
      </c>
      <c r="F285">
        <v>877.33957219251329</v>
      </c>
      <c r="G285">
        <v>1462.2326203208556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377.74946795663595</v>
      </c>
      <c r="AO285">
        <v>31.873906322672731</v>
      </c>
      <c r="AP285">
        <v>38.345569337341999</v>
      </c>
      <c r="AQ285">
        <v>239.52138987013927</v>
      </c>
      <c r="AR285">
        <v>31.878062272539552</v>
      </c>
      <c r="AS285">
        <v>481.52931330807667</v>
      </c>
      <c r="AT285">
        <v>19.369432145599237</v>
      </c>
      <c r="AU285">
        <v>-40.550106548683544</v>
      </c>
      <c r="AV285"/>
      <c r="AW285"/>
      <c r="FY285" s="213">
        <v>280</v>
      </c>
      <c r="FZ285">
        <v>63.686717730163132</v>
      </c>
      <c r="GA285">
        <v>86.530928640955665</v>
      </c>
      <c r="GB285">
        <v>46.215384336574957</v>
      </c>
      <c r="GC285">
        <v>13.751739855832501</v>
      </c>
      <c r="GD285">
        <v>5.5665497817657634</v>
      </c>
      <c r="GE285">
        <v>9.4560948091243571</v>
      </c>
      <c r="GF285">
        <v>2.51252964321358</v>
      </c>
      <c r="GG285">
        <v>1.0520987948836813</v>
      </c>
      <c r="GH285">
        <v>0.98872393031604866</v>
      </c>
      <c r="GI285">
        <v>24.492768178606237</v>
      </c>
      <c r="GJ285"/>
      <c r="GK285"/>
      <c r="GL285"/>
      <c r="GM285"/>
      <c r="GN285" s="208"/>
      <c r="GO285" s="208"/>
      <c r="GP285" s="208"/>
      <c r="GQ285" s="208"/>
      <c r="GR285" s="208"/>
      <c r="GS285" s="208"/>
      <c r="GT285" s="208"/>
      <c r="GU285" s="213">
        <v>280</v>
      </c>
    </row>
    <row r="286" spans="1:203" s="7" customFormat="1">
      <c r="A286" s="1"/>
      <c r="B286">
        <v>0.35398294067560343</v>
      </c>
      <c r="C286">
        <v>4</v>
      </c>
      <c r="D286">
        <v>39799</v>
      </c>
      <c r="E286">
        <v>0</v>
      </c>
      <c r="F286">
        <v>877.33957219251329</v>
      </c>
      <c r="G286">
        <v>1462.2326203208556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272.65244118595086</v>
      </c>
      <c r="AO286">
        <v>24.424511370666977</v>
      </c>
      <c r="AP286">
        <v>16.979399538136089</v>
      </c>
      <c r="AQ286">
        <v>185.09560490246531</v>
      </c>
      <c r="AR286">
        <v>25.016443384800198</v>
      </c>
      <c r="AS286">
        <v>344.17017094571605</v>
      </c>
      <c r="AT286">
        <v>14.178239976156648</v>
      </c>
      <c r="AU286">
        <v>-14.950874272090758</v>
      </c>
      <c r="AV286"/>
      <c r="AW286"/>
      <c r="FY286" s="213">
        <v>281</v>
      </c>
      <c r="FZ286">
        <v>53.893232605300391</v>
      </c>
      <c r="GA286">
        <v>54.017161829263586</v>
      </c>
      <c r="GB286">
        <v>28.464317408268506</v>
      </c>
      <c r="GC286">
        <v>12.362108540744174</v>
      </c>
      <c r="GD286">
        <v>4.7065826495612084</v>
      </c>
      <c r="GE286">
        <v>8.5751301805641624</v>
      </c>
      <c r="GF286">
        <v>6.9030280199701419</v>
      </c>
      <c r="GG286">
        <v>8.1293710271762549</v>
      </c>
      <c r="GH286">
        <v>11.252897526354509</v>
      </c>
      <c r="GI286">
        <v>20.639917506986418</v>
      </c>
      <c r="GJ286"/>
      <c r="GK286"/>
      <c r="GL286"/>
      <c r="GM286"/>
      <c r="GN286" s="208"/>
      <c r="GO286" s="208"/>
      <c r="GP286" s="208"/>
      <c r="GQ286" s="208"/>
      <c r="GR286" s="208"/>
      <c r="GS286" s="208"/>
      <c r="GT286" s="208"/>
      <c r="GU286" s="213">
        <v>281</v>
      </c>
    </row>
    <row r="287" spans="1:203" s="7" customFormat="1">
      <c r="A287" s="1"/>
      <c r="B287">
        <v>0.30625730180227606</v>
      </c>
      <c r="C287">
        <v>5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289.33839724252596</v>
      </c>
      <c r="AO287">
        <v>26.108864473759489</v>
      </c>
      <c r="AP287">
        <v>7.2878391322804372</v>
      </c>
      <c r="AQ287">
        <v>182.23525712509593</v>
      </c>
      <c r="AR287">
        <v>25.661375632153536</v>
      </c>
      <c r="AS287">
        <v>381.77682785995586</v>
      </c>
      <c r="AT287">
        <v>15.573714814082479</v>
      </c>
      <c r="AU287">
        <v>-37.328958837723093</v>
      </c>
      <c r="AV287"/>
      <c r="AW287"/>
      <c r="FY287" s="213">
        <v>282</v>
      </c>
      <c r="FZ287">
        <v>42.757935972393057</v>
      </c>
      <c r="GA287">
        <v>22.117365442650403</v>
      </c>
      <c r="GB287">
        <v>22.957687729496826</v>
      </c>
      <c r="GC287">
        <v>13.738075634451278</v>
      </c>
      <c r="GD287">
        <v>2.9249382829530224</v>
      </c>
      <c r="GE287">
        <v>3.644322500652621</v>
      </c>
      <c r="GF287">
        <v>5.6120625277088934</v>
      </c>
      <c r="GG287">
        <v>3.7637924107150424</v>
      </c>
      <c r="GH287">
        <v>1.8904898222970101</v>
      </c>
      <c r="GI287">
        <v>14.933138194729027</v>
      </c>
      <c r="GJ287"/>
      <c r="GK287"/>
      <c r="GL287"/>
      <c r="GM287"/>
      <c r="GN287" s="208"/>
      <c r="GO287" s="208"/>
      <c r="GP287" s="208"/>
      <c r="GQ287" s="208"/>
      <c r="GR287" s="208"/>
      <c r="GS287" s="208"/>
      <c r="GT287" s="208"/>
      <c r="GU287" s="213">
        <v>282</v>
      </c>
    </row>
    <row r="288" spans="1:203" s="7" customFormat="1">
      <c r="A288" s="1"/>
      <c r="B288">
        <v>0.632450271725157</v>
      </c>
      <c r="C288">
        <v>4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317.1247481578892</v>
      </c>
      <c r="AO288">
        <v>30.054161671594137</v>
      </c>
      <c r="AP288">
        <v>51.119942749440085</v>
      </c>
      <c r="AQ288">
        <v>226.573529508798</v>
      </c>
      <c r="AR288">
        <v>30.299314253475458</v>
      </c>
      <c r="AS288">
        <v>415.39041210131018</v>
      </c>
      <c r="AT288">
        <v>18.465240815851441</v>
      </c>
      <c r="AU288">
        <v>-23.996552255450972</v>
      </c>
      <c r="AV288"/>
      <c r="AW288"/>
      <c r="FY288" s="213">
        <v>283</v>
      </c>
      <c r="FZ288">
        <v>57.76882000792186</v>
      </c>
      <c r="GA288">
        <v>39.930617760482725</v>
      </c>
      <c r="GB288">
        <v>31.065303541387021</v>
      </c>
      <c r="GC288">
        <v>16.028753533229423</v>
      </c>
      <c r="GD288">
        <v>3.4458033237078851</v>
      </c>
      <c r="GE288">
        <v>4.8415800593912719</v>
      </c>
      <c r="GF288">
        <v>5.8010158229138256</v>
      </c>
      <c r="GG288">
        <v>4.2279690355617063</v>
      </c>
      <c r="GH288">
        <v>6.2807171216673803</v>
      </c>
      <c r="GI288">
        <v>20.144569414217255</v>
      </c>
      <c r="GJ288"/>
      <c r="GK288"/>
      <c r="GL288"/>
      <c r="GM288"/>
      <c r="GN288" s="208"/>
      <c r="GO288" s="208"/>
      <c r="GP288" s="208"/>
      <c r="GQ288" s="208"/>
      <c r="GR288" s="208"/>
      <c r="GS288" s="208"/>
      <c r="GT288" s="208"/>
      <c r="GU288" s="213">
        <v>283</v>
      </c>
    </row>
    <row r="289" spans="1:203" s="7" customFormat="1">
      <c r="A289" s="1"/>
      <c r="B289">
        <v>2.1426122737481457E-2</v>
      </c>
      <c r="C289">
        <v>8</v>
      </c>
      <c r="D289">
        <v>39847</v>
      </c>
      <c r="E289">
        <v>0</v>
      </c>
      <c r="F289">
        <v>0</v>
      </c>
      <c r="G289">
        <v>0</v>
      </c>
      <c r="H289">
        <v>69.444444444444443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310.35196620330061</v>
      </c>
      <c r="AO289">
        <v>27.375158235839869</v>
      </c>
      <c r="AP289">
        <v>29.246783288278039</v>
      </c>
      <c r="AQ289">
        <v>188.57367474943246</v>
      </c>
      <c r="AR289">
        <v>27.517807289098638</v>
      </c>
      <c r="AS289">
        <v>422.0886585890126</v>
      </c>
      <c r="AT289">
        <v>17.2560285032495</v>
      </c>
      <c r="AU289">
        <v>-24.036651778335006</v>
      </c>
      <c r="AV289"/>
      <c r="AW289"/>
      <c r="FY289" s="213">
        <v>284</v>
      </c>
      <c r="FZ289">
        <v>49.319307823419919</v>
      </c>
      <c r="GA289">
        <v>31.383909395727088</v>
      </c>
      <c r="GB289">
        <v>26.782426916919565</v>
      </c>
      <c r="GC289">
        <v>13.538083100095221</v>
      </c>
      <c r="GD289">
        <v>3.386777735313764</v>
      </c>
      <c r="GE289">
        <v>6.0905058829291896</v>
      </c>
      <c r="GF289">
        <v>5.8298700313830061</v>
      </c>
      <c r="GG289">
        <v>7.427989110000687</v>
      </c>
      <c r="GH289">
        <v>8.1540861403715468</v>
      </c>
      <c r="GI289">
        <v>18.120182518189743</v>
      </c>
      <c r="GJ289"/>
      <c r="GK289"/>
      <c r="GL289"/>
      <c r="GM289"/>
      <c r="GN289" s="208"/>
      <c r="GO289" s="208"/>
      <c r="GP289" s="208"/>
      <c r="GQ289" s="208"/>
      <c r="GR289" s="208"/>
      <c r="GS289" s="208"/>
      <c r="GT289" s="208"/>
      <c r="GU289" s="213">
        <v>284</v>
      </c>
    </row>
    <row r="290" spans="1:203" s="7" customFormat="1">
      <c r="A290" s="1"/>
      <c r="B290">
        <v>0.18631399413269456</v>
      </c>
      <c r="C290">
        <v>5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292.5015904312487</v>
      </c>
      <c r="AO290">
        <v>29.714283915147746</v>
      </c>
      <c r="AP290">
        <v>58.830037521057967</v>
      </c>
      <c r="AQ290">
        <v>223.88138526668305</v>
      </c>
      <c r="AR290">
        <v>30.728800745164204</v>
      </c>
      <c r="AS290">
        <v>387.47447113769357</v>
      </c>
      <c r="AT290">
        <v>18.836871668933931</v>
      </c>
      <c r="AU290">
        <v>-9.4008032284263905</v>
      </c>
      <c r="AV290"/>
      <c r="AW290"/>
      <c r="FY290" s="213">
        <v>285</v>
      </c>
      <c r="FZ290">
        <v>36.475014311964209</v>
      </c>
      <c r="GA290">
        <v>36.686425307026809</v>
      </c>
      <c r="GB290">
        <v>29.338111186854519</v>
      </c>
      <c r="GC290">
        <v>12.987585052075882</v>
      </c>
      <c r="GD290">
        <v>2.7837939024471723</v>
      </c>
      <c r="GE290">
        <v>1.871630926917768</v>
      </c>
      <c r="GF290">
        <v>2.2670489675135235</v>
      </c>
      <c r="GG290">
        <v>1.0029444043916773</v>
      </c>
      <c r="GH290">
        <v>9.4438031961963311</v>
      </c>
      <c r="GI290">
        <v>16.068964079545811</v>
      </c>
      <c r="GJ290"/>
      <c r="GK290"/>
      <c r="GL290"/>
      <c r="GM290"/>
      <c r="GN290" s="208"/>
      <c r="GO290" s="208"/>
      <c r="GP290" s="208"/>
      <c r="GQ290" s="208"/>
      <c r="GR290" s="208"/>
      <c r="GS290" s="208"/>
      <c r="GT290" s="208"/>
      <c r="GU290" s="213">
        <v>285</v>
      </c>
    </row>
    <row r="291" spans="1:203" s="7" customFormat="1">
      <c r="A291" s="1"/>
      <c r="B291">
        <v>0.28364591515791115</v>
      </c>
      <c r="C291">
        <v>1</v>
      </c>
      <c r="D291">
        <v>39847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203.39085112788462</v>
      </c>
      <c r="AO291">
        <v>22.791534670522033</v>
      </c>
      <c r="AP291">
        <v>24.081983616936256</v>
      </c>
      <c r="AQ291">
        <v>167.0164836647767</v>
      </c>
      <c r="AR291">
        <v>23.171992778832212</v>
      </c>
      <c r="AS291">
        <v>320.25655363738474</v>
      </c>
      <c r="AT291">
        <v>14.396487191577833</v>
      </c>
      <c r="AU291">
        <v>-14.598168702790524</v>
      </c>
      <c r="AV291"/>
      <c r="AW291"/>
      <c r="FY291" s="213">
        <v>286</v>
      </c>
      <c r="FZ291">
        <v>52.380282107117473</v>
      </c>
      <c r="GA291">
        <v>43.259514612310689</v>
      </c>
      <c r="GB291">
        <v>25.846252983091336</v>
      </c>
      <c r="GC291">
        <v>11.780527498797399</v>
      </c>
      <c r="GD291">
        <v>3.1871556487811223</v>
      </c>
      <c r="GE291">
        <v>6.1129651802864853</v>
      </c>
      <c r="GF291">
        <v>7.6591046879557272</v>
      </c>
      <c r="GG291">
        <v>8.0536677003304007</v>
      </c>
      <c r="GH291">
        <v>9.0773940680548435</v>
      </c>
      <c r="GI291">
        <v>18.707874103057112</v>
      </c>
      <c r="GJ291"/>
      <c r="GK291"/>
      <c r="GL291"/>
      <c r="GM291"/>
      <c r="GN291" s="208"/>
      <c r="GO291" s="208"/>
      <c r="GP291" s="208"/>
      <c r="GQ291" s="208"/>
      <c r="GR291" s="208"/>
      <c r="GS291" s="208"/>
      <c r="GT291" s="208"/>
      <c r="GU291" s="213">
        <v>286</v>
      </c>
    </row>
    <row r="292" spans="1:203" s="7" customFormat="1">
      <c r="A292" s="1"/>
      <c r="B292">
        <v>0.72222943675591189</v>
      </c>
      <c r="C292">
        <v>7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245.8188446503944</v>
      </c>
      <c r="AO292">
        <v>23.215404693812182</v>
      </c>
      <c r="AP292">
        <v>13.404765718340375</v>
      </c>
      <c r="AQ292">
        <v>161.66206460301441</v>
      </c>
      <c r="AR292">
        <v>23.366641365659632</v>
      </c>
      <c r="AS292">
        <v>348.29442285663265</v>
      </c>
      <c r="AT292">
        <v>13.488658462104297</v>
      </c>
      <c r="AU292">
        <v>-8.5270099129597448</v>
      </c>
      <c r="AV292"/>
      <c r="AW292"/>
      <c r="FY292" s="213">
        <v>287</v>
      </c>
      <c r="FZ292">
        <v>58.536972792209887</v>
      </c>
      <c r="GA292">
        <v>48.654105979242551</v>
      </c>
      <c r="GB292">
        <v>19.904669446531972</v>
      </c>
      <c r="GC292">
        <v>10.464566754034406</v>
      </c>
      <c r="GD292">
        <v>3.1952440256669634</v>
      </c>
      <c r="GE292">
        <v>5.7402442923027746</v>
      </c>
      <c r="GF292">
        <v>11.310424193659468</v>
      </c>
      <c r="GG292">
        <v>6.5901401661782701</v>
      </c>
      <c r="GH292">
        <v>3.3240407043973059</v>
      </c>
      <c r="GI292">
        <v>17.929831517975806</v>
      </c>
      <c r="GJ292"/>
      <c r="GK292"/>
      <c r="GL292"/>
      <c r="GM292"/>
      <c r="GN292" s="208"/>
      <c r="GO292" s="208"/>
      <c r="GP292" s="208"/>
      <c r="GQ292" s="208"/>
      <c r="GR292" s="208"/>
      <c r="GS292" s="208"/>
      <c r="GT292" s="208"/>
      <c r="GU292" s="213">
        <v>287</v>
      </c>
    </row>
    <row r="293" spans="1:203" s="7" customFormat="1">
      <c r="A293" s="1"/>
      <c r="B293">
        <v>0.71475079514975914</v>
      </c>
      <c r="C293">
        <v>8</v>
      </c>
      <c r="D293">
        <v>39847</v>
      </c>
      <c r="E293">
        <v>0</v>
      </c>
      <c r="F293">
        <v>0</v>
      </c>
      <c r="G293">
        <v>0</v>
      </c>
      <c r="H293">
        <v>69.444444444444443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225.83264723811331</v>
      </c>
      <c r="AO293">
        <v>23.368807140631262</v>
      </c>
      <c r="AP293">
        <v>15.992189873432732</v>
      </c>
      <c r="AQ293">
        <v>187.89512773412156</v>
      </c>
      <c r="AR293">
        <v>24.552335126085648</v>
      </c>
      <c r="AS293">
        <v>360.60845422440804</v>
      </c>
      <c r="AT293">
        <v>15.044897532141897</v>
      </c>
      <c r="AU293">
        <v>-6.4500057535904887</v>
      </c>
      <c r="AV293"/>
      <c r="AW293"/>
      <c r="FY293" s="213">
        <v>288</v>
      </c>
      <c r="FZ293">
        <v>62.542783720914493</v>
      </c>
      <c r="GA293">
        <v>71.578124590036595</v>
      </c>
      <c r="GB293">
        <v>37.728169063420147</v>
      </c>
      <c r="GC293">
        <v>14.685044079187238</v>
      </c>
      <c r="GD293">
        <v>3.9737841942792667</v>
      </c>
      <c r="GE293">
        <v>4.6161202792316924</v>
      </c>
      <c r="GF293">
        <v>0.63872401768214693</v>
      </c>
      <c r="GG293">
        <v>4.1374456512364963</v>
      </c>
      <c r="GH293">
        <v>8.1174905235857402</v>
      </c>
      <c r="GI293">
        <v>22.140859559670389</v>
      </c>
      <c r="GJ293"/>
      <c r="GK293"/>
      <c r="GL293"/>
      <c r="GM293"/>
      <c r="GN293" s="208"/>
      <c r="GO293" s="208"/>
      <c r="GP293" s="208"/>
      <c r="GQ293" s="208"/>
      <c r="GR293" s="208"/>
      <c r="GS293" s="208"/>
      <c r="GT293" s="208"/>
      <c r="GU293" s="213">
        <v>288</v>
      </c>
    </row>
    <row r="294" spans="1:203" s="7" customFormat="1">
      <c r="A294" s="1"/>
      <c r="B294">
        <v>0.17741168360524995</v>
      </c>
      <c r="C294">
        <v>3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303.29910824728347</v>
      </c>
      <c r="AO294">
        <v>27.595373360166342</v>
      </c>
      <c r="AP294">
        <v>29.462470810136111</v>
      </c>
      <c r="AQ294">
        <v>198.30421218563947</v>
      </c>
      <c r="AR294">
        <v>27.42541348937193</v>
      </c>
      <c r="AS294">
        <v>405.04847048606433</v>
      </c>
      <c r="AT294">
        <v>16.457511024970113</v>
      </c>
      <c r="AU294">
        <v>-25.25823450468684</v>
      </c>
      <c r="AV294"/>
      <c r="AW294"/>
      <c r="FY294" s="213">
        <v>289</v>
      </c>
      <c r="FZ294">
        <v>44.118853538827004</v>
      </c>
      <c r="GA294">
        <v>42.683820310476371</v>
      </c>
      <c r="GB294">
        <v>33.560006716084395</v>
      </c>
      <c r="GC294">
        <v>15.535987165248581</v>
      </c>
      <c r="GD294">
        <v>5.1430478699008475</v>
      </c>
      <c r="GE294">
        <v>7.2959214592924653</v>
      </c>
      <c r="GF294">
        <v>6.5875025068780069</v>
      </c>
      <c r="GG294">
        <v>4.3719355864398999</v>
      </c>
      <c r="GH294">
        <v>6.32689261348479</v>
      </c>
      <c r="GI294">
        <v>19.856841398667878</v>
      </c>
      <c r="GJ294"/>
      <c r="GK294"/>
      <c r="GL294"/>
      <c r="GM294"/>
      <c r="GN294" s="208"/>
      <c r="GO294" s="208"/>
      <c r="GP294" s="208"/>
      <c r="GQ294" s="208"/>
      <c r="GR294" s="208"/>
      <c r="GS294" s="208"/>
      <c r="GT294" s="208"/>
      <c r="GU294" s="213">
        <v>289</v>
      </c>
    </row>
    <row r="295" spans="1:203" s="7" customFormat="1">
      <c r="A295" s="1"/>
      <c r="B295">
        <v>0.87073507705727327</v>
      </c>
      <c r="C295">
        <v>8</v>
      </c>
      <c r="D295">
        <v>39847</v>
      </c>
      <c r="E295">
        <v>0</v>
      </c>
      <c r="F295">
        <v>0</v>
      </c>
      <c r="G295">
        <v>0</v>
      </c>
      <c r="H295">
        <v>69.444444444444443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266.36572638006697</v>
      </c>
      <c r="AO295">
        <v>21.944481468711686</v>
      </c>
      <c r="AP295">
        <v>19.816624703832854</v>
      </c>
      <c r="AQ295">
        <v>161.16474609316819</v>
      </c>
      <c r="AR295">
        <v>23.594166159824457</v>
      </c>
      <c r="AS295">
        <v>307.70985646709602</v>
      </c>
      <c r="AT295">
        <v>13.437390807521084</v>
      </c>
      <c r="AU295">
        <v>1.3652649486672885E-2</v>
      </c>
      <c r="AV295"/>
      <c r="AW295"/>
      <c r="FY295" s="213">
        <v>290</v>
      </c>
      <c r="FZ295">
        <v>50.143824583306184</v>
      </c>
      <c r="GA295">
        <v>50.847784402392506</v>
      </c>
      <c r="GB295">
        <v>32.549935025489873</v>
      </c>
      <c r="GC295">
        <v>12.62186948591672</v>
      </c>
      <c r="GD295">
        <v>2.5773284036885404</v>
      </c>
      <c r="GE295">
        <v>5.8508712679403416</v>
      </c>
      <c r="GF295">
        <v>7.4554581372617328</v>
      </c>
      <c r="GG295">
        <v>4.0693735295272511</v>
      </c>
      <c r="GH295">
        <v>5.4073613505657079</v>
      </c>
      <c r="GI295">
        <v>19.066213309739101</v>
      </c>
      <c r="GJ295"/>
      <c r="GK295"/>
      <c r="GL295"/>
      <c r="GM295"/>
      <c r="GN295" s="208"/>
      <c r="GO295" s="208"/>
      <c r="GP295" s="208"/>
      <c r="GQ295" s="208"/>
      <c r="GR295" s="208"/>
      <c r="GS295" s="208"/>
      <c r="GT295" s="208"/>
      <c r="GU295" s="213">
        <v>290</v>
      </c>
    </row>
    <row r="296" spans="1:203" s="7" customFormat="1">
      <c r="A296" s="1"/>
      <c r="B296">
        <v>0.26086718144188659</v>
      </c>
      <c r="C296">
        <v>8</v>
      </c>
      <c r="D296">
        <v>39847</v>
      </c>
      <c r="E296">
        <v>0</v>
      </c>
      <c r="F296">
        <v>0</v>
      </c>
      <c r="G296">
        <v>0</v>
      </c>
      <c r="H296">
        <v>69.444444444444443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397.44873001897872</v>
      </c>
      <c r="AO296">
        <v>33.682588701495185</v>
      </c>
      <c r="AP296">
        <v>43.546831066149892</v>
      </c>
      <c r="AQ296">
        <v>254.25353570143594</v>
      </c>
      <c r="AR296">
        <v>33.603409252081534</v>
      </c>
      <c r="AS296">
        <v>455.90674726800438</v>
      </c>
      <c r="AT296">
        <v>21.235105554559151</v>
      </c>
      <c r="AU296">
        <v>-114.19621855069749</v>
      </c>
      <c r="AV296"/>
      <c r="AW296"/>
      <c r="FY296" s="213">
        <v>291</v>
      </c>
      <c r="FZ296">
        <v>58.803738858604611</v>
      </c>
      <c r="GA296">
        <v>64.216492821630823</v>
      </c>
      <c r="GB296">
        <v>32.435468655964534</v>
      </c>
      <c r="GC296">
        <v>12.793154658600747</v>
      </c>
      <c r="GD296">
        <v>3.0413819600700869</v>
      </c>
      <c r="GE296">
        <v>5.4725575324073645</v>
      </c>
      <c r="GF296">
        <v>1.4832991275019922</v>
      </c>
      <c r="GG296">
        <v>2.767617947041316</v>
      </c>
      <c r="GH296">
        <v>8.0162540500919164</v>
      </c>
      <c r="GI296">
        <v>19.894390948195468</v>
      </c>
      <c r="GJ296"/>
      <c r="GK296"/>
      <c r="GL296"/>
      <c r="GM296"/>
      <c r="GN296" s="208"/>
      <c r="GO296" s="208"/>
      <c r="GP296" s="208"/>
      <c r="GQ296" s="208"/>
      <c r="GR296" s="208"/>
      <c r="GS296" s="208"/>
      <c r="GT296" s="208"/>
      <c r="GU296" s="213">
        <v>291</v>
      </c>
    </row>
    <row r="297" spans="1:203" s="7" customFormat="1">
      <c r="A297" s="1"/>
      <c r="B297">
        <v>0.72982844854713114</v>
      </c>
      <c r="C297">
        <v>5</v>
      </c>
      <c r="D297">
        <v>39847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329.81400066713803</v>
      </c>
      <c r="AO297">
        <v>28.190913244831115</v>
      </c>
      <c r="AP297">
        <v>64.632454767875558</v>
      </c>
      <c r="AQ297">
        <v>208.94374729418936</v>
      </c>
      <c r="AR297">
        <v>28.321651807314623</v>
      </c>
      <c r="AS297">
        <v>409.02525518456497</v>
      </c>
      <c r="AT297">
        <v>17.313709239578504</v>
      </c>
      <c r="AU297">
        <v>-1.5338107463200785</v>
      </c>
      <c r="AV297"/>
      <c r="AW297"/>
      <c r="FY297" s="213">
        <v>292</v>
      </c>
      <c r="FZ297">
        <v>46.578508740515829</v>
      </c>
      <c r="GA297">
        <v>40.070307110412379</v>
      </c>
      <c r="GB297">
        <v>35.232368595770552</v>
      </c>
      <c r="GC297">
        <v>14.393933073662073</v>
      </c>
      <c r="GD297">
        <v>2.5481050433466472</v>
      </c>
      <c r="GE297">
        <v>4.5336933349025417</v>
      </c>
      <c r="GF297">
        <v>5.5739887516559516</v>
      </c>
      <c r="GG297">
        <v>4.33026590854905</v>
      </c>
      <c r="GH297">
        <v>2.7316188810264279</v>
      </c>
      <c r="GI297">
        <v>18.40579965400574</v>
      </c>
      <c r="GJ297"/>
      <c r="GK297"/>
      <c r="GL297"/>
      <c r="GM297"/>
      <c r="GN297" s="208"/>
      <c r="GO297" s="208"/>
      <c r="GP297" s="208"/>
      <c r="GQ297" s="208"/>
      <c r="GR297" s="208"/>
      <c r="GS297" s="208"/>
      <c r="GT297" s="208"/>
      <c r="GU297" s="213">
        <v>292</v>
      </c>
    </row>
    <row r="298" spans="1:203" s="7" customFormat="1">
      <c r="A298" s="1"/>
      <c r="B298">
        <v>0.53886588516832168</v>
      </c>
      <c r="C298">
        <v>4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198.76209571619592</v>
      </c>
      <c r="AO298">
        <v>19.555784969561667</v>
      </c>
      <c r="AP298">
        <v>10.802677919303953</v>
      </c>
      <c r="AQ298">
        <v>134.33980851804716</v>
      </c>
      <c r="AR298">
        <v>20.486669588825674</v>
      </c>
      <c r="AS298">
        <v>296.51601477320668</v>
      </c>
      <c r="AT298">
        <v>12.276643433823592</v>
      </c>
      <c r="AU298">
        <v>10.813848844452373</v>
      </c>
      <c r="AV298"/>
      <c r="AW298"/>
      <c r="FY298" s="213">
        <v>293</v>
      </c>
      <c r="FZ298">
        <v>54.87593319271965</v>
      </c>
      <c r="GA298">
        <v>42.621591397874639</v>
      </c>
      <c r="GB298">
        <v>22.433324124149106</v>
      </c>
      <c r="GC298">
        <v>9.4677297676062615</v>
      </c>
      <c r="GD298">
        <v>2.3341657080104881</v>
      </c>
      <c r="GE298">
        <v>3.8963311137498891</v>
      </c>
      <c r="GF298">
        <v>0.39324334198209043</v>
      </c>
      <c r="GG298">
        <v>1.2040346880266897</v>
      </c>
      <c r="GH298">
        <v>9.4806257142380641</v>
      </c>
      <c r="GI298">
        <v>16.481657437162315</v>
      </c>
      <c r="GJ298"/>
      <c r="GK298"/>
      <c r="GL298"/>
      <c r="GM298"/>
      <c r="GN298" s="208"/>
      <c r="GO298" s="208"/>
      <c r="GP298" s="208"/>
      <c r="GQ298" s="208"/>
      <c r="GR298" s="208"/>
      <c r="GS298" s="208"/>
      <c r="GT298" s="208"/>
      <c r="GU298" s="213">
        <v>293</v>
      </c>
    </row>
    <row r="299" spans="1:203" s="7" customFormat="1">
      <c r="A299" s="1"/>
      <c r="B299">
        <v>0.74814091759851475</v>
      </c>
      <c r="C299">
        <v>8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268.31403453450054</v>
      </c>
      <c r="AO299">
        <v>26.472169239007428</v>
      </c>
      <c r="AP299">
        <v>14.557202471006276</v>
      </c>
      <c r="AQ299">
        <v>189.53514962048033</v>
      </c>
      <c r="AR299">
        <v>27.744667029227507</v>
      </c>
      <c r="AS299">
        <v>402.42622270772995</v>
      </c>
      <c r="AT299">
        <v>16.332084580296623</v>
      </c>
      <c r="AU299">
        <v>-7.3199134274497553</v>
      </c>
      <c r="AV299"/>
      <c r="AW299"/>
      <c r="FY299" s="213">
        <v>294</v>
      </c>
      <c r="FZ299">
        <v>45.699663864607466</v>
      </c>
      <c r="GA299">
        <v>62.814546738989385</v>
      </c>
      <c r="GB299">
        <v>38.319827753053161</v>
      </c>
      <c r="GC299">
        <v>12.37081626903975</v>
      </c>
      <c r="GD299">
        <v>2.8778634793248563</v>
      </c>
      <c r="GE299">
        <v>3.6077689843228953</v>
      </c>
      <c r="GF299">
        <v>2.1404767496263215</v>
      </c>
      <c r="GG299">
        <v>6.8965720875271028</v>
      </c>
      <c r="GH299">
        <v>12.496767531680181</v>
      </c>
      <c r="GI299">
        <v>20.134083204943185</v>
      </c>
      <c r="GJ299"/>
      <c r="GK299"/>
      <c r="GL299"/>
      <c r="GM299"/>
      <c r="GN299" s="208"/>
      <c r="GO299" s="208"/>
      <c r="GP299" s="208"/>
      <c r="GQ299" s="208"/>
      <c r="GR299" s="208"/>
      <c r="GS299" s="208"/>
      <c r="GT299" s="208"/>
      <c r="GU299" s="213">
        <v>294</v>
      </c>
    </row>
    <row r="300" spans="1:203" s="7" customFormat="1">
      <c r="A300" s="1"/>
      <c r="B300">
        <v>0.11032209782147717</v>
      </c>
      <c r="C300">
        <v>10</v>
      </c>
      <c r="D300">
        <v>39910</v>
      </c>
      <c r="E300">
        <v>0</v>
      </c>
      <c r="F300">
        <v>0</v>
      </c>
      <c r="G300">
        <v>104.16666666666667</v>
      </c>
      <c r="H300">
        <v>104.16666666666667</v>
      </c>
      <c r="I300">
        <v>208.33333333333334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264.72552394375975</v>
      </c>
      <c r="AO300">
        <v>23.905961154389658</v>
      </c>
      <c r="AP300">
        <v>39.385174824163002</v>
      </c>
      <c r="AQ300">
        <v>170.0331386543497</v>
      </c>
      <c r="AR300">
        <v>24.88404827784986</v>
      </c>
      <c r="AS300">
        <v>347.31554239282593</v>
      </c>
      <c r="AT300">
        <v>15.34476895920775</v>
      </c>
      <c r="AU300">
        <v>52.445742126099752</v>
      </c>
      <c r="AV300"/>
      <c r="AW300"/>
      <c r="FY300" s="213">
        <v>295</v>
      </c>
      <c r="FZ300">
        <v>44.361904299020097</v>
      </c>
      <c r="GA300">
        <v>56.095383515020359</v>
      </c>
      <c r="GB300">
        <v>29.113965983285048</v>
      </c>
      <c r="GC300">
        <v>11.388456712258796</v>
      </c>
      <c r="GD300">
        <v>5.8061343782323851</v>
      </c>
      <c r="GE300">
        <v>9.6202915051978728</v>
      </c>
      <c r="GF300">
        <v>2.1758136817266136</v>
      </c>
      <c r="GG300">
        <v>2.6421559983593643</v>
      </c>
      <c r="GH300">
        <v>5.9762890220838116</v>
      </c>
      <c r="GI300">
        <v>18.327612133499866</v>
      </c>
      <c r="GJ300"/>
      <c r="GK300"/>
      <c r="GL300"/>
      <c r="GM300"/>
      <c r="GN300" s="208"/>
      <c r="GO300" s="208"/>
      <c r="GP300" s="208"/>
      <c r="GQ300" s="208"/>
      <c r="GR300" s="208"/>
      <c r="GS300" s="208"/>
      <c r="GT300" s="208"/>
      <c r="GU300" s="213">
        <v>295</v>
      </c>
    </row>
    <row r="301" spans="1:203" s="7" customFormat="1">
      <c r="A301" s="1"/>
      <c r="B301">
        <v>0.13904775059923313</v>
      </c>
      <c r="C301">
        <v>6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206.10817755235126</v>
      </c>
      <c r="AO301">
        <v>20.80202947483691</v>
      </c>
      <c r="AP301">
        <v>23.822690854877138</v>
      </c>
      <c r="AQ301">
        <v>148.92532133493373</v>
      </c>
      <c r="AR301">
        <v>22.078844413269788</v>
      </c>
      <c r="AS301">
        <v>293.46976546524166</v>
      </c>
      <c r="AT301">
        <v>13.644761511657967</v>
      </c>
      <c r="AU301">
        <v>-6.2692492725742781</v>
      </c>
      <c r="AV301"/>
      <c r="AW301"/>
      <c r="FY301" s="213">
        <v>296</v>
      </c>
      <c r="FZ301">
        <v>43.815800346193221</v>
      </c>
      <c r="GA301">
        <v>52.08799075069895</v>
      </c>
      <c r="GB301">
        <v>31.291750541476691</v>
      </c>
      <c r="GC301">
        <v>10.187878349458474</v>
      </c>
      <c r="GD301">
        <v>4.1858537351251517</v>
      </c>
      <c r="GE301">
        <v>6.3916105896255067</v>
      </c>
      <c r="GF301">
        <v>11.175521131887329</v>
      </c>
      <c r="GG301">
        <v>11.37655409417307</v>
      </c>
      <c r="GH301">
        <v>8.9710565690755182</v>
      </c>
      <c r="GI301">
        <v>19.976983312731623</v>
      </c>
      <c r="GJ301"/>
      <c r="GK301"/>
      <c r="GL301"/>
      <c r="GM301"/>
      <c r="GN301" s="208"/>
      <c r="GO301" s="208"/>
      <c r="GP301" s="208"/>
      <c r="GQ301" s="208"/>
      <c r="GR301" s="208"/>
      <c r="GS301" s="208"/>
      <c r="GT301" s="208"/>
      <c r="GU301" s="213">
        <v>296</v>
      </c>
    </row>
    <row r="302" spans="1:203" s="7" customFormat="1">
      <c r="A302" s="1"/>
      <c r="B302">
        <v>0.22021402886322705</v>
      </c>
      <c r="C302">
        <v>10</v>
      </c>
      <c r="D302">
        <v>39910</v>
      </c>
      <c r="E302">
        <v>0</v>
      </c>
      <c r="F302">
        <v>0</v>
      </c>
      <c r="G302">
        <v>104.16666666666667</v>
      </c>
      <c r="H302">
        <v>104.16666666666667</v>
      </c>
      <c r="I302">
        <v>208.33333333333334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270.19489752732079</v>
      </c>
      <c r="AO302">
        <v>25.012942310255859</v>
      </c>
      <c r="AP302">
        <v>19.101195896045034</v>
      </c>
      <c r="AQ302">
        <v>186.06473858978262</v>
      </c>
      <c r="AR302">
        <v>25.724115998272268</v>
      </c>
      <c r="AS302">
        <v>368.759137172235</v>
      </c>
      <c r="AT302">
        <v>15.128094797043955</v>
      </c>
      <c r="AU302">
        <v>-11.657416520000282</v>
      </c>
      <c r="AV302"/>
      <c r="AW302"/>
      <c r="FY302" s="213">
        <v>297</v>
      </c>
      <c r="FZ302">
        <v>40.038739824423381</v>
      </c>
      <c r="GA302">
        <v>76.898194117212142</v>
      </c>
      <c r="GB302">
        <v>54.887625307818915</v>
      </c>
      <c r="GC302">
        <v>16.561671508544027</v>
      </c>
      <c r="GD302">
        <v>3.8034397316961099</v>
      </c>
      <c r="GE302">
        <v>4.444486302429735</v>
      </c>
      <c r="GF302">
        <v>6.5282382824302321</v>
      </c>
      <c r="GG302">
        <v>5.0423615644276119</v>
      </c>
      <c r="GH302">
        <v>4.2352968895592245</v>
      </c>
      <c r="GI302">
        <v>23.401175819222317</v>
      </c>
      <c r="GJ302"/>
      <c r="GK302"/>
      <c r="GL302"/>
      <c r="GM302"/>
      <c r="GN302" s="208"/>
      <c r="GO302" s="208"/>
      <c r="GP302" s="208"/>
      <c r="GQ302" s="208"/>
      <c r="GR302" s="208"/>
      <c r="GS302" s="208"/>
      <c r="GT302" s="208"/>
      <c r="GU302" s="213">
        <v>297</v>
      </c>
    </row>
    <row r="303" spans="1:203" s="7" customFormat="1">
      <c r="A303" s="1"/>
      <c r="B303">
        <v>0.81856142827914491</v>
      </c>
      <c r="C303">
        <v>8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226.88877498428451</v>
      </c>
      <c r="AO303">
        <v>24.252896328936821</v>
      </c>
      <c r="AP303">
        <v>36.718295404124582</v>
      </c>
      <c r="AQ303">
        <v>185.65023987219936</v>
      </c>
      <c r="AR303">
        <v>24.666853008937686</v>
      </c>
      <c r="AS303">
        <v>334.00323770077318</v>
      </c>
      <c r="AT303">
        <v>14.118465059486324</v>
      </c>
      <c r="AU303">
        <v>4.5529577448387855</v>
      </c>
      <c r="AV303"/>
      <c r="AW303"/>
      <c r="FY303" s="213">
        <v>298</v>
      </c>
      <c r="FZ303">
        <v>47.679273325687099</v>
      </c>
      <c r="GA303">
        <v>73.184000799117243</v>
      </c>
      <c r="GB303">
        <v>57.981054864023641</v>
      </c>
      <c r="GC303">
        <v>20.187429012988641</v>
      </c>
      <c r="GD303">
        <v>3.5071350478261119</v>
      </c>
      <c r="GE303">
        <v>4.8216170578673747</v>
      </c>
      <c r="GF303">
        <v>3.0769161720415834</v>
      </c>
      <c r="GG303">
        <v>4.1069084653917001</v>
      </c>
      <c r="GH303">
        <v>8.4630670207718115</v>
      </c>
      <c r="GI303">
        <v>25.151146100042553</v>
      </c>
      <c r="GJ303"/>
      <c r="GK303"/>
      <c r="GL303"/>
      <c r="GM303"/>
      <c r="GN303" s="208"/>
      <c r="GO303" s="208"/>
      <c r="GP303" s="208"/>
      <c r="GQ303" s="208"/>
      <c r="GR303" s="208"/>
      <c r="GS303" s="208"/>
      <c r="GT303" s="208"/>
      <c r="GU303" s="213">
        <v>298</v>
      </c>
    </row>
    <row r="304" spans="1:203" s="7" customFormat="1">
      <c r="A304" s="1"/>
      <c r="B304">
        <v>0.32026744315006983</v>
      </c>
      <c r="C304">
        <v>4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289.04513096785564</v>
      </c>
      <c r="AO304">
        <v>30.315122067141505</v>
      </c>
      <c r="AP304">
        <v>43.019358595754291</v>
      </c>
      <c r="AQ304">
        <v>230.15854567924418</v>
      </c>
      <c r="AR304">
        <v>30.423627788304604</v>
      </c>
      <c r="AS304">
        <v>432.66343707955781</v>
      </c>
      <c r="AT304">
        <v>18.925309737298321</v>
      </c>
      <c r="AU304">
        <v>2.017566649499372</v>
      </c>
      <c r="AV304"/>
      <c r="AW304"/>
      <c r="FY304" s="213">
        <v>299</v>
      </c>
      <c r="FZ304">
        <v>37.692762370085809</v>
      </c>
      <c r="GA304">
        <v>36.495284842619988</v>
      </c>
      <c r="GB304">
        <v>26.483975672389089</v>
      </c>
      <c r="GC304">
        <v>12.209735038328132</v>
      </c>
      <c r="GD304">
        <v>4.3171494289678947</v>
      </c>
      <c r="GE304">
        <v>4.2895308928936045</v>
      </c>
      <c r="GF304">
        <v>10.025312398220827</v>
      </c>
      <c r="GG304">
        <v>11.198656993713364</v>
      </c>
      <c r="GH304">
        <v>11.239837467872254</v>
      </c>
      <c r="GI304">
        <v>18.129337034866371</v>
      </c>
      <c r="GJ304"/>
      <c r="GK304"/>
      <c r="GL304"/>
      <c r="GM304"/>
      <c r="GN304" s="208"/>
      <c r="GO304" s="208"/>
      <c r="GP304" s="208"/>
      <c r="GQ304" s="208"/>
      <c r="GR304" s="208"/>
      <c r="GS304" s="208"/>
      <c r="GT304" s="208"/>
      <c r="GU304" s="213">
        <v>299</v>
      </c>
    </row>
    <row r="305" spans="1:203" s="7" customFormat="1">
      <c r="A305" s="1"/>
      <c r="B305">
        <v>8.7829291241021679E-3</v>
      </c>
      <c r="C305">
        <v>5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305.25707334187837</v>
      </c>
      <c r="AO305">
        <v>26.686096984291954</v>
      </c>
      <c r="AP305">
        <v>33.630475852322185</v>
      </c>
      <c r="AQ305">
        <v>185.4808091653002</v>
      </c>
      <c r="AR305">
        <v>27.204743636108585</v>
      </c>
      <c r="AS305">
        <v>411.52781281576779</v>
      </c>
      <c r="AT305">
        <v>18.045837306366042</v>
      </c>
      <c r="AU305">
        <v>-40.185598185012687</v>
      </c>
      <c r="AV305"/>
      <c r="AW305"/>
      <c r="FY305" s="213">
        <v>300</v>
      </c>
      <c r="FZ305">
        <v>50.877664549037362</v>
      </c>
      <c r="GA305">
        <v>18.151027258424314</v>
      </c>
      <c r="GB305">
        <v>25.799489158644626</v>
      </c>
      <c r="GC305">
        <v>15.594728469737905</v>
      </c>
      <c r="GD305">
        <v>3.1512172573775357</v>
      </c>
      <c r="GE305">
        <v>3.7525775953720655</v>
      </c>
      <c r="GF305">
        <v>4.5800951680446564</v>
      </c>
      <c r="GG305">
        <v>5.5493053859641712</v>
      </c>
      <c r="GH305">
        <v>6.4740965612153287</v>
      </c>
      <c r="GI305">
        <v>17.497714627544564</v>
      </c>
      <c r="GJ305"/>
      <c r="GK305"/>
      <c r="GL305"/>
      <c r="GM305"/>
      <c r="GN305" s="208"/>
      <c r="GO305" s="208"/>
      <c r="GP305" s="208"/>
      <c r="GQ305" s="208"/>
      <c r="GR305" s="208"/>
      <c r="GS305" s="208"/>
      <c r="GT305" s="208"/>
      <c r="GU305" s="213">
        <v>300</v>
      </c>
    </row>
    <row r="306" spans="1:203" s="7" customFormat="1">
      <c r="A306" s="1"/>
      <c r="B306">
        <v>1.6106568967110046E-2</v>
      </c>
      <c r="C306">
        <v>7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272.32655212247755</v>
      </c>
      <c r="AO306">
        <v>25.504573680507949</v>
      </c>
      <c r="AP306">
        <v>24.477836511035662</v>
      </c>
      <c r="AQ306">
        <v>190.59001949582796</v>
      </c>
      <c r="AR306">
        <v>26.102269043194724</v>
      </c>
      <c r="AS306">
        <v>380.22632436997606</v>
      </c>
      <c r="AT306">
        <v>16.3636157558199</v>
      </c>
      <c r="AU306">
        <v>-16.162372225267134</v>
      </c>
      <c r="AV306"/>
      <c r="AW306"/>
      <c r="FY306" s="213">
        <v>301</v>
      </c>
      <c r="FZ306">
        <v>39.991724198871715</v>
      </c>
      <c r="GA306">
        <v>42.438660914498726</v>
      </c>
      <c r="GB306">
        <v>48.548584591662994</v>
      </c>
      <c r="GC306">
        <v>23.577338738267432</v>
      </c>
      <c r="GD306">
        <v>6.5568331425794169</v>
      </c>
      <c r="GE306">
        <v>5.9199184294522089</v>
      </c>
      <c r="GF306">
        <v>8.5073053654270492</v>
      </c>
      <c r="GG306">
        <v>11.767049330494938</v>
      </c>
      <c r="GH306">
        <v>14.900535531347131</v>
      </c>
      <c r="GI306">
        <v>25.478508530060548</v>
      </c>
      <c r="GJ306"/>
      <c r="GK306"/>
      <c r="GL306"/>
      <c r="GM306"/>
      <c r="GN306" s="208"/>
      <c r="GO306" s="208"/>
      <c r="GP306" s="208"/>
      <c r="GQ306" s="208"/>
      <c r="GR306" s="208"/>
      <c r="GS306" s="208"/>
      <c r="GT306" s="208"/>
      <c r="GU306" s="213">
        <v>301</v>
      </c>
    </row>
    <row r="307" spans="1:203" s="7" customFormat="1">
      <c r="A307" s="1"/>
      <c r="B307">
        <v>0.42704773252830996</v>
      </c>
      <c r="C307">
        <v>8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265.97558432597282</v>
      </c>
      <c r="AO307">
        <v>27.252375198121307</v>
      </c>
      <c r="AP307">
        <v>25.034613338576651</v>
      </c>
      <c r="AQ307">
        <v>208.92435656010886</v>
      </c>
      <c r="AR307">
        <v>27.318669502554453</v>
      </c>
      <c r="AS307">
        <v>402.79045778843505</v>
      </c>
      <c r="AT307">
        <v>16.92647028517656</v>
      </c>
      <c r="AU307">
        <v>-16.254010301327803</v>
      </c>
      <c r="AV307"/>
      <c r="AW307"/>
      <c r="FY307" s="213">
        <v>302</v>
      </c>
      <c r="FZ307">
        <v>46.479214178175191</v>
      </c>
      <c r="GA307">
        <v>35.463361550511742</v>
      </c>
      <c r="GB307">
        <v>29.088288650941656</v>
      </c>
      <c r="GC307">
        <v>15.384084437786122</v>
      </c>
      <c r="GD307">
        <v>2.1140107513772715</v>
      </c>
      <c r="GE307">
        <v>2.2673347659892737</v>
      </c>
      <c r="GF307">
        <v>5.7509856353244704</v>
      </c>
      <c r="GG307">
        <v>6.839869512767125</v>
      </c>
      <c r="GH307">
        <v>10.850009269914292</v>
      </c>
      <c r="GI307">
        <v>17.969491296048133</v>
      </c>
      <c r="GJ307"/>
      <c r="GK307"/>
      <c r="GL307"/>
      <c r="GM307"/>
      <c r="GN307" s="208"/>
      <c r="GO307" s="208"/>
      <c r="GP307" s="208"/>
      <c r="GQ307" s="208"/>
      <c r="GR307" s="208"/>
      <c r="GS307" s="208"/>
      <c r="GT307" s="208"/>
      <c r="GU307" s="213">
        <v>302</v>
      </c>
    </row>
    <row r="308" spans="1:203" s="7" customFormat="1">
      <c r="A308" s="1"/>
      <c r="B308">
        <v>0.30579326499329929</v>
      </c>
      <c r="C308">
        <v>3</v>
      </c>
      <c r="D308">
        <v>39949</v>
      </c>
      <c r="E308">
        <v>0</v>
      </c>
      <c r="F308">
        <v>81.018518518518519</v>
      </c>
      <c r="G308">
        <v>577.5462962962963</v>
      </c>
      <c r="H308">
        <v>162.03703703703704</v>
      </c>
      <c r="I308">
        <v>10.416666666666666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253.304655341309</v>
      </c>
      <c r="AO308">
        <v>24.435173230821849</v>
      </c>
      <c r="AP308">
        <v>19.77768133965294</v>
      </c>
      <c r="AQ308">
        <v>174.39858909384719</v>
      </c>
      <c r="AR308">
        <v>25.288097804404394</v>
      </c>
      <c r="AS308">
        <v>368.24197964883808</v>
      </c>
      <c r="AT308">
        <v>15.735992488951283</v>
      </c>
      <c r="AU308">
        <v>-18.356108914028283</v>
      </c>
      <c r="AV308"/>
      <c r="AW308"/>
      <c r="FY308" s="213">
        <v>303</v>
      </c>
      <c r="FZ308">
        <v>46.773772501897618</v>
      </c>
      <c r="GA308">
        <v>26.976597283100361</v>
      </c>
      <c r="GB308">
        <v>23.778544140028171</v>
      </c>
      <c r="GC308">
        <v>10.744534250628844</v>
      </c>
      <c r="GD308">
        <v>3.3208164205579545</v>
      </c>
      <c r="GE308">
        <v>5.494738533597527</v>
      </c>
      <c r="GF308">
        <v>8.7251128691011601</v>
      </c>
      <c r="GG308">
        <v>6.3213067106540874</v>
      </c>
      <c r="GH308">
        <v>4.2749245411188355</v>
      </c>
      <c r="GI308">
        <v>16.895739920462315</v>
      </c>
      <c r="GJ308"/>
      <c r="GK308"/>
      <c r="GL308"/>
      <c r="GM308"/>
      <c r="GN308" s="208"/>
      <c r="GO308" s="208"/>
      <c r="GP308" s="208"/>
      <c r="GQ308" s="208"/>
      <c r="GR308" s="208"/>
      <c r="GS308" s="208"/>
      <c r="GT308" s="208"/>
      <c r="GU308" s="213">
        <v>303</v>
      </c>
    </row>
    <row r="309" spans="1:203" s="7" customFormat="1">
      <c r="A309" s="1"/>
      <c r="B309">
        <v>0.42223038819796943</v>
      </c>
      <c r="C309">
        <v>10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212.52464829617219</v>
      </c>
      <c r="AO309">
        <v>21.100223570330524</v>
      </c>
      <c r="AP309">
        <v>42.281038590272161</v>
      </c>
      <c r="AQ309">
        <v>163.1886364855192</v>
      </c>
      <c r="AR309">
        <v>22.764603209703481</v>
      </c>
      <c r="AS309">
        <v>302.41966847671051</v>
      </c>
      <c r="AT309" t="e">
        <v>#DIV/0!</v>
      </c>
      <c r="AU309" t="e">
        <v>#DIV/0!</v>
      </c>
      <c r="AV309"/>
      <c r="AW309"/>
      <c r="FY309" s="213">
        <v>304</v>
      </c>
      <c r="FZ309">
        <v>45.643291132867908</v>
      </c>
      <c r="GA309">
        <v>36.803296125622012</v>
      </c>
      <c r="GB309">
        <v>30.403330473384163</v>
      </c>
      <c r="GC309">
        <v>15.412216451336866</v>
      </c>
      <c r="GD309">
        <v>4.6372496355235544</v>
      </c>
      <c r="GE309">
        <v>6.7269605398084593</v>
      </c>
      <c r="GF309">
        <v>8.8467581708666643</v>
      </c>
      <c r="GG309">
        <v>13.908438252958213</v>
      </c>
      <c r="GH309">
        <v>17.13396225949651</v>
      </c>
      <c r="GI309">
        <v>21.174443448869869</v>
      </c>
      <c r="GJ309"/>
      <c r="GK309"/>
      <c r="GL309"/>
      <c r="GM309"/>
      <c r="GN309" s="208"/>
      <c r="GO309" s="208"/>
      <c r="GP309" s="208"/>
      <c r="GQ309" s="208"/>
      <c r="GR309" s="208"/>
      <c r="GS309" s="208"/>
      <c r="GT309" s="208"/>
      <c r="GU309" s="213">
        <v>304</v>
      </c>
    </row>
    <row r="310" spans="1:203" s="7" customFormat="1">
      <c r="A310" s="1"/>
      <c r="B310">
        <v>0.23437946602317972</v>
      </c>
      <c r="C310">
        <v>7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291.51946285100024</v>
      </c>
      <c r="AO310">
        <v>27.403434914391749</v>
      </c>
      <c r="AP310">
        <v>43.215451046790193</v>
      </c>
      <c r="AQ310">
        <v>207.35838666311426</v>
      </c>
      <c r="AR310">
        <v>27.668998017154308</v>
      </c>
      <c r="AS310">
        <v>406.61552726238483</v>
      </c>
      <c r="AT310">
        <v>17.143335753942498</v>
      </c>
      <c r="AU310">
        <v>10.811043904304917</v>
      </c>
      <c r="AV310"/>
      <c r="AW310"/>
      <c r="FY310" s="213">
        <v>305</v>
      </c>
      <c r="FZ310">
        <v>54.665853882982212</v>
      </c>
      <c r="GA310">
        <v>47.272864938023055</v>
      </c>
      <c r="GB310">
        <v>27.687246248856717</v>
      </c>
      <c r="GC310">
        <v>12.063680069085219</v>
      </c>
      <c r="GD310">
        <v>3.8496013454566076</v>
      </c>
      <c r="GE310">
        <v>4.7812285018765328</v>
      </c>
      <c r="GF310">
        <v>3.6789926777296866</v>
      </c>
      <c r="GG310">
        <v>8.987062108526084</v>
      </c>
      <c r="GH310">
        <v>12.698421536679447</v>
      </c>
      <c r="GI310">
        <v>19.721605299939295</v>
      </c>
      <c r="GJ310"/>
      <c r="GK310"/>
      <c r="GL310"/>
      <c r="GM310"/>
      <c r="GN310" s="208"/>
      <c r="GO310" s="208"/>
      <c r="GP310" s="208"/>
      <c r="GQ310" s="208"/>
      <c r="GR310" s="208"/>
      <c r="GS310" s="208"/>
      <c r="GT310" s="208"/>
      <c r="GU310" s="213">
        <v>305</v>
      </c>
    </row>
    <row r="311" spans="1:203" s="7" customFormat="1">
      <c r="A311" s="1"/>
      <c r="B311">
        <v>0.19239329204779132</v>
      </c>
      <c r="C311">
        <v>7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322.53590925205106</v>
      </c>
      <c r="AO311">
        <v>25.479155641153891</v>
      </c>
      <c r="AP311">
        <v>21.108764095708867</v>
      </c>
      <c r="AQ311">
        <v>185.50800722868422</v>
      </c>
      <c r="AR311">
        <v>25.067743447824412</v>
      </c>
      <c r="AS311">
        <v>424.38315786381014</v>
      </c>
      <c r="AT311">
        <v>15.632742692360031</v>
      </c>
      <c r="AU311">
        <v>-29.380750847902291</v>
      </c>
      <c r="AV311"/>
      <c r="AW311"/>
      <c r="FY311" s="213">
        <v>306</v>
      </c>
      <c r="FZ311">
        <v>57.416135481268853</v>
      </c>
      <c r="GA311">
        <v>56.560166548268647</v>
      </c>
      <c r="GB311">
        <v>38.849222120370094</v>
      </c>
      <c r="GC311">
        <v>15.187423939255082</v>
      </c>
      <c r="GD311">
        <v>3.527924641839316</v>
      </c>
      <c r="GE311">
        <v>5.0638459642931029</v>
      </c>
      <c r="GF311">
        <v>5.322010883050126</v>
      </c>
      <c r="GG311">
        <v>11.053215918046021</v>
      </c>
      <c r="GH311">
        <v>15.471066260371233</v>
      </c>
      <c r="GI311">
        <v>23.427462554630715</v>
      </c>
      <c r="GJ311"/>
      <c r="GK311"/>
      <c r="GL311"/>
      <c r="GM311"/>
      <c r="GN311" s="208"/>
      <c r="GO311" s="208"/>
      <c r="GP311" s="208"/>
      <c r="GQ311" s="208"/>
      <c r="GR311" s="208"/>
      <c r="GS311" s="208"/>
      <c r="GT311" s="208"/>
      <c r="GU311" s="213">
        <v>306</v>
      </c>
    </row>
    <row r="312" spans="1:203" s="7" customFormat="1">
      <c r="A312" s="1"/>
      <c r="B312">
        <v>0.38628365341102278</v>
      </c>
      <c r="C312">
        <v>4</v>
      </c>
      <c r="D312">
        <v>39949</v>
      </c>
      <c r="E312">
        <v>0</v>
      </c>
      <c r="F312">
        <v>91.324200913241995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302.94672682640589</v>
      </c>
      <c r="AO312">
        <v>26.848086471765544</v>
      </c>
      <c r="AP312">
        <v>35.827654860635946</v>
      </c>
      <c r="AQ312">
        <v>199.46099942044557</v>
      </c>
      <c r="AR312">
        <v>27.435141501815654</v>
      </c>
      <c r="AS312">
        <v>424.4301296309128</v>
      </c>
      <c r="AT312">
        <v>16.511573549590363</v>
      </c>
      <c r="AU312">
        <v>-19.312771724649863</v>
      </c>
      <c r="AV312"/>
      <c r="AW312"/>
      <c r="FY312" s="213">
        <v>307</v>
      </c>
      <c r="FZ312">
        <v>68.157135828074985</v>
      </c>
      <c r="GA312">
        <v>78.8791011044474</v>
      </c>
      <c r="GB312">
        <v>35.923824858142495</v>
      </c>
      <c r="GC312">
        <v>13.671173388648102</v>
      </c>
      <c r="GD312">
        <v>4.6363621558604837</v>
      </c>
      <c r="GE312">
        <v>6.2840204784262657</v>
      </c>
      <c r="GF312">
        <v>9.2188110644539236</v>
      </c>
      <c r="GG312">
        <v>8.0232644700153273</v>
      </c>
      <c r="GH312">
        <v>8.4705497526583429</v>
      </c>
      <c r="GI312">
        <v>24.531986280824128</v>
      </c>
      <c r="GJ312"/>
      <c r="GK312"/>
      <c r="GL312"/>
      <c r="GM312"/>
      <c r="GN312" s="208"/>
      <c r="GO312" s="208"/>
      <c r="GP312" s="208"/>
      <c r="GQ312" s="208"/>
      <c r="GR312" s="208"/>
      <c r="GS312" s="208"/>
      <c r="GT312" s="208"/>
      <c r="GU312" s="213">
        <v>307</v>
      </c>
    </row>
    <row r="313" spans="1:203" s="7" customFormat="1">
      <c r="A313" s="1"/>
      <c r="B313">
        <v>0.66283330685667874</v>
      </c>
      <c r="C313">
        <v>2</v>
      </c>
      <c r="D313">
        <v>39949</v>
      </c>
      <c r="E313">
        <v>0</v>
      </c>
      <c r="F313">
        <v>0</v>
      </c>
      <c r="G313">
        <v>0</v>
      </c>
      <c r="H313">
        <v>10.416666666666666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342.44818431205374</v>
      </c>
      <c r="AO313">
        <v>32.28388237298428</v>
      </c>
      <c r="AP313">
        <v>24.545165955897239</v>
      </c>
      <c r="AQ313">
        <v>235.84122934776371</v>
      </c>
      <c r="AR313">
        <v>31.964238263290092</v>
      </c>
      <c r="AS313">
        <v>510.80638999340584</v>
      </c>
      <c r="AT313">
        <v>20.365063871013636</v>
      </c>
      <c r="AU313">
        <v>-36.783399484151722</v>
      </c>
      <c r="AV313"/>
      <c r="AW313"/>
      <c r="FY313" s="213">
        <v>308</v>
      </c>
      <c r="FZ313">
        <v>47.431753626025326</v>
      </c>
      <c r="GA313">
        <v>40.393262209477783</v>
      </c>
      <c r="GB313">
        <v>35.13808551184399</v>
      </c>
      <c r="GC313">
        <v>21.39335342203227</v>
      </c>
      <c r="GD313">
        <v>4.1545801067386705</v>
      </c>
      <c r="GE313">
        <v>4.6671989778066569</v>
      </c>
      <c r="GF313">
        <v>1.7880440276498233</v>
      </c>
      <c r="GG313">
        <v>1.0441953289394672</v>
      </c>
      <c r="GH313">
        <v>4.2871948618797688</v>
      </c>
      <c r="GI313">
        <v>19.011376036657214</v>
      </c>
      <c r="GJ313"/>
      <c r="GK313"/>
      <c r="GL313"/>
      <c r="GM313"/>
      <c r="GN313" s="208"/>
      <c r="GO313" s="208"/>
      <c r="GP313" s="208"/>
      <c r="GQ313" s="208"/>
      <c r="GR313" s="208"/>
      <c r="GS313" s="208"/>
      <c r="GT313" s="208"/>
      <c r="GU313" s="213">
        <v>308</v>
      </c>
    </row>
    <row r="314" spans="1:203" s="7" customFormat="1">
      <c r="A314" s="1"/>
      <c r="B314">
        <v>0.438988210729923</v>
      </c>
      <c r="C314">
        <v>8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10.416666666666666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378.28715774444515</v>
      </c>
      <c r="AO314">
        <v>34.544713876056875</v>
      </c>
      <c r="AP314">
        <v>49.719642132799024</v>
      </c>
      <c r="AQ314">
        <v>248.15854786575778</v>
      </c>
      <c r="AR314">
        <v>34.439043336479592</v>
      </c>
      <c r="AS314">
        <v>498.52776467219866</v>
      </c>
      <c r="AT314">
        <v>21.243930758655392</v>
      </c>
      <c r="AU314">
        <v>-18.609228504325365</v>
      </c>
      <c r="AV314"/>
      <c r="AW314"/>
      <c r="FY314" s="213">
        <v>309</v>
      </c>
      <c r="FZ314">
        <v>56.016920970674526</v>
      </c>
      <c r="GA314">
        <v>40.661445545751455</v>
      </c>
      <c r="GB314">
        <v>30.935699530115237</v>
      </c>
      <c r="GC314">
        <v>15.067697062811622</v>
      </c>
      <c r="GD314">
        <v>3.2545871231573384</v>
      </c>
      <c r="GE314">
        <v>4.1539663457447205</v>
      </c>
      <c r="GF314">
        <v>1.422473857693678</v>
      </c>
      <c r="GG314">
        <v>2.7014057006427108</v>
      </c>
      <c r="GH314">
        <v>11.290545906937897</v>
      </c>
      <c r="GI314">
        <v>19.734192994683816</v>
      </c>
      <c r="GJ314"/>
      <c r="GK314"/>
      <c r="GL314"/>
      <c r="GM314"/>
      <c r="GN314" s="208"/>
      <c r="GO314" s="208"/>
      <c r="GP314" s="208"/>
      <c r="GQ314" s="208"/>
      <c r="GR314" s="208"/>
      <c r="GS314" s="208"/>
      <c r="GT314" s="208"/>
      <c r="GU314" s="213">
        <v>309</v>
      </c>
    </row>
    <row r="315" spans="1:203" s="7" customFormat="1">
      <c r="A315" s="1"/>
      <c r="B315">
        <v>0.61651928338731565</v>
      </c>
      <c r="C315">
        <v>8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10.416666666666666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276.92584430490007</v>
      </c>
      <c r="AO315">
        <v>24.10745996220254</v>
      </c>
      <c r="AP315">
        <v>33.495884590804046</v>
      </c>
      <c r="AQ315">
        <v>172.08158213995736</v>
      </c>
      <c r="AR315">
        <v>24.838961746067653</v>
      </c>
      <c r="AS315">
        <v>396.59654309901492</v>
      </c>
      <c r="AT315">
        <v>14.910843672806708</v>
      </c>
      <c r="AU315">
        <v>10.089373885051053</v>
      </c>
      <c r="AV315"/>
      <c r="AW315"/>
      <c r="FY315" s="213">
        <v>310</v>
      </c>
      <c r="FZ315">
        <v>40.741320238509012</v>
      </c>
      <c r="GA315">
        <v>52.67916985882087</v>
      </c>
      <c r="GB315">
        <v>49.177868231374987</v>
      </c>
      <c r="GC315">
        <v>19.612261943185189</v>
      </c>
      <c r="GD315">
        <v>4.9433915684435181</v>
      </c>
      <c r="GE315">
        <v>7.7148604488087535</v>
      </c>
      <c r="GF315">
        <v>11.042451721094359</v>
      </c>
      <c r="GG315">
        <v>11.056249949857506</v>
      </c>
      <c r="GH315">
        <v>9.6501776449758943</v>
      </c>
      <c r="GI315">
        <v>24.45211890918781</v>
      </c>
      <c r="GJ315"/>
      <c r="GK315"/>
      <c r="GL315"/>
      <c r="GM315"/>
      <c r="GN315" s="208"/>
      <c r="GO315" s="208"/>
      <c r="GP315" s="208"/>
      <c r="GQ315" s="208"/>
      <c r="GR315" s="208"/>
      <c r="GS315" s="208"/>
      <c r="GT315" s="208"/>
      <c r="GU315" s="213">
        <v>310</v>
      </c>
    </row>
    <row r="316" spans="1:203" s="7" customFormat="1">
      <c r="A316" s="1"/>
      <c r="B316">
        <v>0.59992868523581766</v>
      </c>
      <c r="C316">
        <v>3</v>
      </c>
      <c r="D316">
        <v>39949</v>
      </c>
      <c r="E316">
        <v>0</v>
      </c>
      <c r="F316">
        <v>81.018518518518519</v>
      </c>
      <c r="G316">
        <v>577.5462962962963</v>
      </c>
      <c r="H316">
        <v>162.03703703703704</v>
      </c>
      <c r="I316">
        <v>10.416666666666666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207.6125034290248</v>
      </c>
      <c r="AO316">
        <v>22.199662510097358</v>
      </c>
      <c r="AP316">
        <v>24.48097429218388</v>
      </c>
      <c r="AQ316">
        <v>151.42791603136251</v>
      </c>
      <c r="AR316">
        <v>24.083382868807067</v>
      </c>
      <c r="AS316">
        <v>296.20568456778176</v>
      </c>
      <c r="AT316">
        <v>14.45689939526509</v>
      </c>
      <c r="AU316">
        <v>23.926010197111001</v>
      </c>
      <c r="AV316"/>
      <c r="AW316"/>
      <c r="FY316" s="213">
        <v>311</v>
      </c>
      <c r="FZ316">
        <v>33.324641525830714</v>
      </c>
      <c r="GA316">
        <v>47.852803768252443</v>
      </c>
      <c r="GB316">
        <v>39.912835523124173</v>
      </c>
      <c r="GC316">
        <v>16.255282126543399</v>
      </c>
      <c r="GD316">
        <v>3.5730461893702858</v>
      </c>
      <c r="GE316">
        <v>5.9630875700998747</v>
      </c>
      <c r="GF316">
        <v>2.99427142702993</v>
      </c>
      <c r="GG316">
        <v>1.6919195943632694</v>
      </c>
      <c r="GH316">
        <v>7.6302240834741228</v>
      </c>
      <c r="GI316">
        <v>18.499132061255782</v>
      </c>
      <c r="GJ316"/>
      <c r="GK316"/>
      <c r="GL316"/>
      <c r="GM316"/>
      <c r="GN316" s="208"/>
      <c r="GO316" s="208"/>
      <c r="GP316" s="208"/>
      <c r="GQ316" s="208"/>
      <c r="GR316" s="208"/>
      <c r="GS316" s="208"/>
      <c r="GT316" s="208"/>
      <c r="GU316" s="213">
        <v>311</v>
      </c>
    </row>
    <row r="317" spans="1:203" s="7" customFormat="1">
      <c r="A317" s="1"/>
      <c r="B317">
        <v>0.61392666109144245</v>
      </c>
      <c r="C317">
        <v>1</v>
      </c>
      <c r="D317">
        <v>39949</v>
      </c>
      <c r="E317">
        <v>0</v>
      </c>
      <c r="F317">
        <v>0</v>
      </c>
      <c r="G317">
        <v>40.788152610441763</v>
      </c>
      <c r="H317">
        <v>40.788152610441763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374.27468270871452</v>
      </c>
      <c r="AO317">
        <v>34.313867827049322</v>
      </c>
      <c r="AP317">
        <v>37.78596087119282</v>
      </c>
      <c r="AQ317">
        <v>227.68645877266215</v>
      </c>
      <c r="AR317">
        <v>34.736058607945978</v>
      </c>
      <c r="AS317">
        <v>534.60130435620317</v>
      </c>
      <c r="AT317">
        <v>22.195896661048447</v>
      </c>
      <c r="AU317">
        <v>5.8085267428021155</v>
      </c>
      <c r="AV317"/>
      <c r="AW317"/>
      <c r="FY317" s="213">
        <v>312</v>
      </c>
      <c r="FZ317">
        <v>40.063701280798711</v>
      </c>
      <c r="GA317">
        <v>32.805001433997845</v>
      </c>
      <c r="GB317">
        <v>21.612948097276497</v>
      </c>
      <c r="GC317">
        <v>8.4982361489306761</v>
      </c>
      <c r="GD317">
        <v>2.5060730161679747</v>
      </c>
      <c r="GE317">
        <v>4.5234929825382286</v>
      </c>
      <c r="GF317">
        <v>5.4105093248843854</v>
      </c>
      <c r="GG317">
        <v>3.5847854127322893</v>
      </c>
      <c r="GH317">
        <v>6.17537057949641</v>
      </c>
      <c r="GI317">
        <v>14.610013419435585</v>
      </c>
      <c r="GJ317"/>
      <c r="GK317"/>
      <c r="GL317"/>
      <c r="GM317"/>
      <c r="GN317" s="208"/>
      <c r="GO317" s="208"/>
      <c r="GP317" s="208"/>
      <c r="GQ317" s="208"/>
      <c r="GR317" s="208"/>
      <c r="GS317" s="208"/>
      <c r="GT317" s="208"/>
      <c r="GU317" s="213">
        <v>312</v>
      </c>
    </row>
    <row r="318" spans="1:203" s="7" customFormat="1">
      <c r="A318" s="1"/>
      <c r="B318">
        <v>0.254977978175569</v>
      </c>
      <c r="C318">
        <v>6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10.416666666666666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229.12509440645704</v>
      </c>
      <c r="AO318">
        <v>23.942617921554319</v>
      </c>
      <c r="AP318">
        <v>27.542509109224525</v>
      </c>
      <c r="AQ318">
        <v>172.20665004883529</v>
      </c>
      <c r="AR318">
        <v>24.695212227646234</v>
      </c>
      <c r="AS318">
        <v>351.60705938675727</v>
      </c>
      <c r="AT318">
        <v>14.454286027280512</v>
      </c>
      <c r="AU318">
        <v>-3.538680935704356</v>
      </c>
      <c r="AV318"/>
      <c r="AW318"/>
      <c r="FY318" s="213">
        <v>313</v>
      </c>
      <c r="FZ318">
        <v>53.789927800815725</v>
      </c>
      <c r="GA318">
        <v>53.485014874777974</v>
      </c>
      <c r="GB318">
        <v>43.534001547564934</v>
      </c>
      <c r="GC318">
        <v>19.982545486868968</v>
      </c>
      <c r="GD318">
        <v>5.3885001604162523</v>
      </c>
      <c r="GE318">
        <v>6.2773424876369841</v>
      </c>
      <c r="GF318">
        <v>7.6947013169463396</v>
      </c>
      <c r="GG318">
        <v>8.985508384107538</v>
      </c>
      <c r="GH318">
        <v>9.9806671359230581</v>
      </c>
      <c r="GI318">
        <v>24.677448051763811</v>
      </c>
      <c r="GJ318"/>
      <c r="GK318"/>
      <c r="GL318"/>
      <c r="GM318"/>
      <c r="GN318" s="208"/>
      <c r="GO318" s="208"/>
      <c r="GP318" s="208"/>
      <c r="GQ318" s="208"/>
      <c r="GR318" s="208"/>
      <c r="GS318" s="208"/>
      <c r="GT318" s="208"/>
      <c r="GU318" s="213">
        <v>313</v>
      </c>
    </row>
    <row r="319" spans="1:203" s="7" customFormat="1">
      <c r="A319" s="1"/>
      <c r="B319">
        <v>0.24780502214290889</v>
      </c>
      <c r="C319">
        <v>9</v>
      </c>
      <c r="D319">
        <v>39987</v>
      </c>
      <c r="E319">
        <v>0</v>
      </c>
      <c r="F319">
        <v>0</v>
      </c>
      <c r="G319">
        <v>70.112179487179489</v>
      </c>
      <c r="H319">
        <v>0</v>
      </c>
      <c r="I319">
        <v>10.416666666666666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226.95745698344575</v>
      </c>
      <c r="AO319">
        <v>21.468581266160289</v>
      </c>
      <c r="AP319">
        <v>25.115819668034966</v>
      </c>
      <c r="AQ319">
        <v>153.30608717114691</v>
      </c>
      <c r="AR319">
        <v>23.276409291072</v>
      </c>
      <c r="AS319">
        <v>338.76301478197183</v>
      </c>
      <c r="AT319">
        <v>13.776534290140049</v>
      </c>
      <c r="AU319">
        <v>9.3519357501142011</v>
      </c>
      <c r="AV319"/>
      <c r="AW319"/>
      <c r="FY319" s="213">
        <v>314</v>
      </c>
      <c r="FZ319">
        <v>36.041650950357109</v>
      </c>
      <c r="GA319">
        <v>39.035235464986108</v>
      </c>
      <c r="GB319">
        <v>41.914752047906113</v>
      </c>
      <c r="GC319">
        <v>17.277105138352645</v>
      </c>
      <c r="GD319">
        <v>2.6490766939259407</v>
      </c>
      <c r="GE319">
        <v>4.490223811759833</v>
      </c>
      <c r="GF319">
        <v>1.5582801124392989</v>
      </c>
      <c r="GG319">
        <v>0.95886005343296898</v>
      </c>
      <c r="GH319">
        <v>8.0230392952891396</v>
      </c>
      <c r="GI319">
        <v>18.659727552918898</v>
      </c>
      <c r="GJ319"/>
      <c r="GK319"/>
      <c r="GL319"/>
      <c r="GM319"/>
      <c r="GN319" s="208"/>
      <c r="GO319" s="208"/>
      <c r="GP319" s="208"/>
      <c r="GQ319" s="208"/>
      <c r="GR319" s="208"/>
      <c r="GS319" s="208"/>
      <c r="GT319" s="208"/>
      <c r="GU319" s="213">
        <v>314</v>
      </c>
    </row>
    <row r="320" spans="1:203" s="7" customFormat="1">
      <c r="A320" s="1"/>
      <c r="B320">
        <v>0.65847833853037141</v>
      </c>
      <c r="C320">
        <v>5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294.41548374565116</v>
      </c>
      <c r="AO320">
        <v>28.44925264558799</v>
      </c>
      <c r="AP320">
        <v>42.663502529724653</v>
      </c>
      <c r="AQ320">
        <v>200.68994649073423</v>
      </c>
      <c r="AR320">
        <v>28.966555675631025</v>
      </c>
      <c r="AS320">
        <v>412.91639601853751</v>
      </c>
      <c r="AT320">
        <v>17.805728037441984</v>
      </c>
      <c r="AU320">
        <v>14.538021554447116</v>
      </c>
      <c r="AV320"/>
      <c r="AW320"/>
      <c r="FY320" s="213">
        <v>315</v>
      </c>
      <c r="FZ320">
        <v>53.471722565466216</v>
      </c>
      <c r="GA320">
        <v>43.779043213966638</v>
      </c>
      <c r="GB320">
        <v>26.80976165540044</v>
      </c>
      <c r="GC320">
        <v>12.592877776528702</v>
      </c>
      <c r="GD320">
        <v>4.13421225497836</v>
      </c>
      <c r="GE320">
        <v>6.5626021333368563</v>
      </c>
      <c r="GF320">
        <v>12.785392477276524</v>
      </c>
      <c r="GG320">
        <v>11.18617754924105</v>
      </c>
      <c r="GH320">
        <v>6.013907506768513</v>
      </c>
      <c r="GI320">
        <v>20.107745491435086</v>
      </c>
      <c r="GJ320"/>
      <c r="GK320"/>
      <c r="GL320"/>
      <c r="GM320"/>
      <c r="GN320" s="208"/>
      <c r="GO320" s="208"/>
      <c r="GP320" s="208"/>
      <c r="GQ320" s="208"/>
      <c r="GR320" s="208"/>
      <c r="GS320" s="208"/>
      <c r="GT320" s="208"/>
      <c r="GU320" s="213">
        <v>315</v>
      </c>
    </row>
    <row r="321" spans="1:203" s="7" customFormat="1">
      <c r="A321" s="1"/>
      <c r="B321">
        <v>0.1935549152281375</v>
      </c>
      <c r="C321">
        <v>1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283.04582954085811</v>
      </c>
      <c r="AO321">
        <v>26.188273937327743</v>
      </c>
      <c r="AP321">
        <v>30.357980598473421</v>
      </c>
      <c r="AQ321">
        <v>195.40655660915488</v>
      </c>
      <c r="AR321">
        <v>27.109952332811325</v>
      </c>
      <c r="AS321">
        <v>383.17464098763037</v>
      </c>
      <c r="AT321">
        <v>15.94192812476461</v>
      </c>
      <c r="AU321">
        <v>6.7928378329748682</v>
      </c>
      <c r="AV321"/>
      <c r="AW321"/>
      <c r="FY321" s="213">
        <v>316</v>
      </c>
      <c r="FZ321">
        <v>38.855834558701233</v>
      </c>
      <c r="GA321">
        <v>21.800117787604719</v>
      </c>
      <c r="GB321">
        <v>29.717715156846893</v>
      </c>
      <c r="GC321">
        <v>15.487575471722405</v>
      </c>
      <c r="GD321">
        <v>3.9670216559832863</v>
      </c>
      <c r="GE321">
        <v>4.8050252532735591</v>
      </c>
      <c r="GF321">
        <v>2.3088830925195847</v>
      </c>
      <c r="GG321">
        <v>4.7942210489674633</v>
      </c>
      <c r="GH321">
        <v>11.23048448363876</v>
      </c>
      <c r="GI321">
        <v>17.485278158488057</v>
      </c>
      <c r="GJ321"/>
      <c r="GK321"/>
      <c r="GL321"/>
      <c r="GM321"/>
      <c r="GN321" s="208"/>
      <c r="GO321" s="208"/>
      <c r="GP321" s="208"/>
      <c r="GQ321" s="208"/>
      <c r="GR321" s="208"/>
      <c r="GS321" s="208"/>
      <c r="GT321" s="208"/>
      <c r="GU321" s="213">
        <v>316</v>
      </c>
    </row>
    <row r="322" spans="1:203" s="7" customFormat="1">
      <c r="A322" s="1"/>
      <c r="B322">
        <v>0.98204149477964031</v>
      </c>
      <c r="C322">
        <v>5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329.57065169169772</v>
      </c>
      <c r="AO322">
        <v>31.228924747227136</v>
      </c>
      <c r="AP322">
        <v>43.009055515011347</v>
      </c>
      <c r="AQ322">
        <v>231.87847431139318</v>
      </c>
      <c r="AR322">
        <v>32.136402080411614</v>
      </c>
      <c r="AS322">
        <v>481.0773307625156</v>
      </c>
      <c r="AT322">
        <v>19.664540920599276</v>
      </c>
      <c r="AU322">
        <v>46.333877139937726</v>
      </c>
      <c r="AV322"/>
      <c r="AW322"/>
      <c r="FY322" s="213">
        <v>317</v>
      </c>
      <c r="FZ322">
        <v>47.857877259524564</v>
      </c>
      <c r="GA322">
        <v>29.273472037896454</v>
      </c>
      <c r="GB322">
        <v>23.661859682342186</v>
      </c>
      <c r="GC322">
        <v>11.903912327991922</v>
      </c>
      <c r="GD322">
        <v>4.2527196159617073</v>
      </c>
      <c r="GE322">
        <v>6.7607270027844564</v>
      </c>
      <c r="GF322">
        <v>5.6440335890480284</v>
      </c>
      <c r="GG322">
        <v>6.5466647390537371</v>
      </c>
      <c r="GH322">
        <v>6.0323520404830671</v>
      </c>
      <c r="GI322">
        <v>17.250404235579929</v>
      </c>
      <c r="GJ322"/>
      <c r="GK322"/>
      <c r="GL322"/>
      <c r="GM322"/>
      <c r="GN322" s="208"/>
      <c r="GO322" s="208"/>
      <c r="GP322" s="208"/>
      <c r="GQ322" s="208"/>
      <c r="GR322" s="208"/>
      <c r="GS322" s="208"/>
      <c r="GT322" s="208"/>
      <c r="GU322" s="213">
        <v>317</v>
      </c>
    </row>
    <row r="323" spans="1:203" s="7" customFormat="1">
      <c r="A323" s="1"/>
      <c r="B323">
        <v>0.43306194050337088</v>
      </c>
      <c r="C323">
        <v>1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305.77021220550597</v>
      </c>
      <c r="AO323">
        <v>33.547182059673425</v>
      </c>
      <c r="AP323">
        <v>49.164683850072763</v>
      </c>
      <c r="AQ323">
        <v>257.79622938155148</v>
      </c>
      <c r="AR323">
        <v>33.767823727323183</v>
      </c>
      <c r="AS323">
        <v>472.18074154548191</v>
      </c>
      <c r="AT323">
        <v>20.779389886086818</v>
      </c>
      <c r="AU323">
        <v>-35.010165862180592</v>
      </c>
      <c r="AV323"/>
      <c r="AW323"/>
      <c r="FY323" s="213">
        <v>318</v>
      </c>
      <c r="FZ323">
        <v>70.30281853161668</v>
      </c>
      <c r="GA323">
        <v>56.811109741087563</v>
      </c>
      <c r="GB323">
        <v>34.158383181900888</v>
      </c>
      <c r="GC323">
        <v>17.282306073667623</v>
      </c>
      <c r="GD323">
        <v>4.0556991148632662</v>
      </c>
      <c r="GE323">
        <v>6.7225568843888261</v>
      </c>
      <c r="GF323">
        <v>4.6938170128454937</v>
      </c>
      <c r="GG323">
        <v>3.1933751148959937</v>
      </c>
      <c r="GH323">
        <v>8.0745458049068706</v>
      </c>
      <c r="GI323">
        <v>23.180984819896683</v>
      </c>
      <c r="GJ323"/>
      <c r="GK323"/>
      <c r="GL323"/>
      <c r="GM323"/>
      <c r="GN323" s="208"/>
      <c r="GO323" s="208"/>
      <c r="GP323" s="208"/>
      <c r="GQ323" s="208"/>
      <c r="GR323" s="208"/>
      <c r="GS323" s="208"/>
      <c r="GT323" s="208"/>
      <c r="GU323" s="213">
        <v>318</v>
      </c>
    </row>
    <row r="324" spans="1:203" s="7" customFormat="1">
      <c r="A324" s="1"/>
      <c r="B324">
        <v>0.29091840318181195</v>
      </c>
      <c r="C324">
        <v>3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254.84052392374014</v>
      </c>
      <c r="AO324">
        <v>26.578112516825286</v>
      </c>
      <c r="AP324">
        <v>22.24310662543045</v>
      </c>
      <c r="AQ324">
        <v>179.309044109051</v>
      </c>
      <c r="AR324">
        <v>26.03088626878716</v>
      </c>
      <c r="AS324">
        <v>387.64594915785392</v>
      </c>
      <c r="AT324" t="e">
        <v>#DIV/0!</v>
      </c>
      <c r="AU324" t="e">
        <v>#DIV/0!</v>
      </c>
      <c r="AV324"/>
      <c r="AW324"/>
      <c r="FY324" s="213">
        <v>319</v>
      </c>
      <c r="FZ324">
        <v>31.506762533606476</v>
      </c>
      <c r="GA324">
        <v>29.896871964270236</v>
      </c>
      <c r="GB324">
        <v>31.160973205525181</v>
      </c>
      <c r="GC324">
        <v>14.521215961729421</v>
      </c>
      <c r="GD324">
        <v>4.373099815844272</v>
      </c>
      <c r="GE324">
        <v>6.8482671810447178</v>
      </c>
      <c r="GF324">
        <v>7.0415711186684113</v>
      </c>
      <c r="GG324">
        <v>8.3616331101053127</v>
      </c>
      <c r="GH324">
        <v>10.081804565902024</v>
      </c>
      <c r="GI324">
        <v>17.669791340612356</v>
      </c>
      <c r="GJ324"/>
      <c r="GK324"/>
      <c r="GL324"/>
      <c r="GM324"/>
      <c r="GN324" s="208"/>
      <c r="GO324" s="208"/>
      <c r="GP324" s="208"/>
      <c r="GQ324" s="208"/>
      <c r="GR324" s="208"/>
      <c r="GS324" s="208"/>
      <c r="GT324" s="208"/>
      <c r="GU324" s="213">
        <v>319</v>
      </c>
    </row>
    <row r="325" spans="1:203" s="7" customFormat="1">
      <c r="A325" s="1"/>
      <c r="B325">
        <v>0.38179119376041415</v>
      </c>
      <c r="C325">
        <v>10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20.833333333333332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245.54725827105503</v>
      </c>
      <c r="AO325">
        <v>25.581089354895475</v>
      </c>
      <c r="AP325">
        <v>39.708837756226615</v>
      </c>
      <c r="AQ325">
        <v>185.23893503821299</v>
      </c>
      <c r="AR325">
        <v>27.232515709836047</v>
      </c>
      <c r="AS325">
        <v>375.7660082546202</v>
      </c>
      <c r="AT325">
        <v>16.844666326622342</v>
      </c>
      <c r="AU325">
        <v>12.980199893067123</v>
      </c>
      <c r="AV325"/>
      <c r="AW325"/>
      <c r="FY325" s="213">
        <v>320</v>
      </c>
      <c r="FZ325">
        <v>44.517411204845487</v>
      </c>
      <c r="GA325">
        <v>31.228751907287464</v>
      </c>
      <c r="GB325">
        <v>31.891594661476194</v>
      </c>
      <c r="GC325">
        <v>13.382327977148952</v>
      </c>
      <c r="GD325">
        <v>3.359710420457676</v>
      </c>
      <c r="GE325">
        <v>3.4718340557539391</v>
      </c>
      <c r="GF325">
        <v>3.288486179700246</v>
      </c>
      <c r="GG325">
        <v>3.5203766409429074</v>
      </c>
      <c r="GH325">
        <v>5.8533228481310466</v>
      </c>
      <c r="GI325">
        <v>17.830835802996063</v>
      </c>
      <c r="GJ325"/>
      <c r="GK325"/>
      <c r="GL325"/>
      <c r="GM325"/>
      <c r="GN325" s="208"/>
      <c r="GO325" s="208"/>
      <c r="GP325" s="208"/>
      <c r="GQ325" s="208"/>
      <c r="GR325" s="208"/>
      <c r="GS325" s="208"/>
      <c r="GT325" s="208"/>
      <c r="GU325" s="213">
        <v>320</v>
      </c>
    </row>
    <row r="326" spans="1:203" s="7" customFormat="1">
      <c r="A326" s="1"/>
      <c r="B326">
        <v>3.1076218341142381E-2</v>
      </c>
      <c r="C326">
        <v>4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20.833333333333332</v>
      </c>
      <c r="J326">
        <v>0</v>
      </c>
      <c r="K326">
        <v>0</v>
      </c>
      <c r="L326">
        <v>20.833333333333332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353.72972613051616</v>
      </c>
      <c r="AO326">
        <v>33.521684596607386</v>
      </c>
      <c r="AP326">
        <v>38.229587919772719</v>
      </c>
      <c r="AQ326">
        <v>231.06987051425793</v>
      </c>
      <c r="AR326">
        <v>33.430754724824801</v>
      </c>
      <c r="AS326">
        <v>480.27979228595018</v>
      </c>
      <c r="AT326">
        <v>21.072444838938495</v>
      </c>
      <c r="AU326">
        <v>-26.060747660298283</v>
      </c>
      <c r="AV326"/>
      <c r="AW326"/>
      <c r="FY326" s="213">
        <v>321</v>
      </c>
      <c r="FZ326">
        <v>47.287862507343739</v>
      </c>
      <c r="GA326">
        <v>29.187747476422857</v>
      </c>
      <c r="GB326">
        <v>25.591793190723745</v>
      </c>
      <c r="GC326">
        <v>14.035890349213986</v>
      </c>
      <c r="GD326">
        <v>5.3198625699141022</v>
      </c>
      <c r="GE326">
        <v>6.2869662779792792</v>
      </c>
      <c r="GF326">
        <v>2.7303371468876914</v>
      </c>
      <c r="GG326">
        <v>2.819575381839083</v>
      </c>
      <c r="GH326">
        <v>6.3878537496867143</v>
      </c>
      <c r="GI326">
        <v>17.777531041179117</v>
      </c>
      <c r="GJ326"/>
      <c r="GK326"/>
      <c r="GL326"/>
      <c r="GM326"/>
      <c r="GN326" s="208"/>
      <c r="GO326" s="208"/>
      <c r="GP326" s="208"/>
      <c r="GQ326" s="208"/>
      <c r="GR326" s="208"/>
      <c r="GS326" s="208"/>
      <c r="GT326" s="208"/>
      <c r="GU326" s="213">
        <v>321</v>
      </c>
    </row>
    <row r="327" spans="1:203" s="7" customFormat="1">
      <c r="A327" s="1"/>
      <c r="B327">
        <v>0.31794867032877061</v>
      </c>
      <c r="C327">
        <v>1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298.57747870437333</v>
      </c>
      <c r="AO327">
        <v>25.527012780973582</v>
      </c>
      <c r="AP327">
        <v>13.138153213989234</v>
      </c>
      <c r="AQ327">
        <v>177.69724386934399</v>
      </c>
      <c r="AR327">
        <v>25.272943794043492</v>
      </c>
      <c r="AS327">
        <v>371.90891822351216</v>
      </c>
      <c r="AT327">
        <v>15.745748545018008</v>
      </c>
      <c r="AU327">
        <v>-38.643880871302343</v>
      </c>
      <c r="AV327"/>
      <c r="AW327"/>
      <c r="FY327" s="213">
        <v>322</v>
      </c>
      <c r="FZ327">
        <v>52.917657158108227</v>
      </c>
      <c r="GA327">
        <v>51.745939674072318</v>
      </c>
      <c r="GB327">
        <v>37.179836961859039</v>
      </c>
      <c r="GC327">
        <v>11.351608215936736</v>
      </c>
      <c r="GD327">
        <v>1.8048816352251273</v>
      </c>
      <c r="GE327">
        <v>1.6749361450659155</v>
      </c>
      <c r="GF327">
        <v>4.1607344615460367</v>
      </c>
      <c r="GG327">
        <v>7.4817217536452461</v>
      </c>
      <c r="GH327">
        <v>8.4358317199346402</v>
      </c>
      <c r="GI327">
        <v>20.047686761802485</v>
      </c>
      <c r="GJ327"/>
      <c r="GK327"/>
      <c r="GL327"/>
      <c r="GM327"/>
      <c r="GN327" s="208"/>
      <c r="GO327" s="208"/>
      <c r="GP327" s="208"/>
      <c r="GQ327" s="208"/>
      <c r="GR327" s="208"/>
      <c r="GS327" s="208"/>
      <c r="GT327" s="208"/>
      <c r="GU327" s="213">
        <v>322</v>
      </c>
    </row>
    <row r="328" spans="1:203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211.52006426516309</v>
      </c>
      <c r="AO328">
        <v>18.74815867441907</v>
      </c>
      <c r="AP328">
        <v>23.973842732822625</v>
      </c>
      <c r="AQ328">
        <v>139.79013169625861</v>
      </c>
      <c r="AR328">
        <v>20.024097696012433</v>
      </c>
      <c r="AS328">
        <v>277.0368881028412</v>
      </c>
      <c r="AT328">
        <v>11.816289603060456</v>
      </c>
      <c r="AU328">
        <v>-8.5351653820711562</v>
      </c>
      <c r="AV328"/>
      <c r="AW328"/>
      <c r="FY328" s="213">
        <v>323</v>
      </c>
      <c r="FZ328">
        <v>62.635225768051122</v>
      </c>
      <c r="GA328">
        <v>48.927292472991944</v>
      </c>
      <c r="GB328">
        <v>23.588681965306233</v>
      </c>
      <c r="GC328">
        <v>11.54878397877722</v>
      </c>
      <c r="GD328">
        <v>4.3286118397714866</v>
      </c>
      <c r="GE328">
        <v>7.3311230688730511</v>
      </c>
      <c r="GF328">
        <v>3.2370152587773364</v>
      </c>
      <c r="GG328">
        <v>4.0646917029501282</v>
      </c>
      <c r="GH328">
        <v>5.2690345633714433</v>
      </c>
      <c r="GI328">
        <v>18.902064080012632</v>
      </c>
      <c r="GJ328"/>
      <c r="GK328"/>
      <c r="GL328"/>
      <c r="GM328"/>
      <c r="GN328" s="208"/>
      <c r="GO328" s="208"/>
      <c r="GP328" s="208"/>
      <c r="GQ328" s="208"/>
      <c r="GR328" s="208"/>
      <c r="GS328" s="208"/>
      <c r="GT328" s="208"/>
      <c r="GU328" s="213">
        <v>323</v>
      </c>
    </row>
    <row r="329" spans="1:203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338.29637919168374</v>
      </c>
      <c r="AO329">
        <v>33.409434442237007</v>
      </c>
      <c r="AP329">
        <v>43.215275184087261</v>
      </c>
      <c r="AQ329">
        <v>233.79565724682158</v>
      </c>
      <c r="AR329">
        <v>33.811457675527926</v>
      </c>
      <c r="AS329">
        <v>420.55512135748774</v>
      </c>
      <c r="AT329">
        <v>20.60525130851369</v>
      </c>
      <c r="AU329">
        <v>-23.40350283398039</v>
      </c>
      <c r="AV329"/>
      <c r="AW329"/>
      <c r="FY329" s="213">
        <v>324</v>
      </c>
      <c r="FZ329">
        <v>43.300835637451357</v>
      </c>
      <c r="GA329">
        <v>40.709953380710303</v>
      </c>
      <c r="GB329">
        <v>34.018230143035147</v>
      </c>
      <c r="GC329">
        <v>15.096949696280527</v>
      </c>
      <c r="GD329">
        <v>3.6466627844775523</v>
      </c>
      <c r="GE329">
        <v>4.6496338344963863</v>
      </c>
      <c r="GF329">
        <v>5.8298700313830061</v>
      </c>
      <c r="GG329">
        <v>5.2047989856992896</v>
      </c>
      <c r="GH329">
        <v>7.9381233259628878</v>
      </c>
      <c r="GI329">
        <v>19.132807400012641</v>
      </c>
      <c r="GJ329"/>
      <c r="GK329"/>
      <c r="GL329"/>
      <c r="GM329"/>
      <c r="GN329" s="208"/>
      <c r="GO329" s="208"/>
      <c r="GP329" s="208"/>
      <c r="GQ329" s="208"/>
      <c r="GR329" s="208"/>
      <c r="GS329" s="208"/>
      <c r="GT329" s="208"/>
      <c r="GU329" s="213">
        <v>324</v>
      </c>
    </row>
    <row r="330" spans="1:203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264.30751120793474</v>
      </c>
      <c r="AO330">
        <v>24.868604660157796</v>
      </c>
      <c r="AP330">
        <v>10.001601448856619</v>
      </c>
      <c r="AQ330">
        <v>170.60795112136807</v>
      </c>
      <c r="AR330">
        <v>25.558875682396376</v>
      </c>
      <c r="AS330">
        <v>383.74043765720285</v>
      </c>
      <c r="AT330">
        <v>16.093003337769016</v>
      </c>
      <c r="AU330">
        <v>-28.448264813460554</v>
      </c>
      <c r="AV330"/>
      <c r="AW330"/>
      <c r="FY330" s="213">
        <v>325</v>
      </c>
      <c r="FZ330">
        <v>48.921493109145608</v>
      </c>
      <c r="GA330">
        <v>63.44703617098579</v>
      </c>
      <c r="GB330">
        <v>38.783342894260208</v>
      </c>
      <c r="GC330">
        <v>11.51184368611438</v>
      </c>
      <c r="GD330">
        <v>2.5475772505547116</v>
      </c>
      <c r="GE330">
        <v>3.4150359238562622</v>
      </c>
      <c r="GF330">
        <v>1.2682284677805309</v>
      </c>
      <c r="GG330">
        <v>0.8206030063091353</v>
      </c>
      <c r="GH330">
        <v>2.6134418305759768</v>
      </c>
      <c r="GI330">
        <v>18.839929140989359</v>
      </c>
      <c r="GJ330"/>
      <c r="GK330"/>
      <c r="GL330"/>
      <c r="GM330"/>
      <c r="GN330" s="208"/>
      <c r="GO330" s="208"/>
      <c r="GP330" s="208"/>
      <c r="GQ330" s="208"/>
      <c r="GR330" s="208"/>
      <c r="GS330" s="208"/>
      <c r="GT330" s="208"/>
      <c r="GU330" s="213">
        <v>325</v>
      </c>
    </row>
    <row r="331" spans="1:203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286.99212169722375</v>
      </c>
      <c r="AO331">
        <v>26.954119188543483</v>
      </c>
      <c r="AP331">
        <v>35.201149556593577</v>
      </c>
      <c r="AQ331">
        <v>197.44344262439839</v>
      </c>
      <c r="AR331">
        <v>27.569558840776089</v>
      </c>
      <c r="AS331">
        <v>425.99790479178779</v>
      </c>
      <c r="AT331">
        <v>16.69682117913694</v>
      </c>
      <c r="AU331">
        <v>9.0174698131723403</v>
      </c>
      <c r="AV331"/>
      <c r="AW331"/>
      <c r="FY331" s="213">
        <v>326</v>
      </c>
      <c r="FZ331">
        <v>41.54566917186672</v>
      </c>
      <c r="GA331">
        <v>39.609874055882344</v>
      </c>
      <c r="GB331">
        <v>40.000056973635118</v>
      </c>
      <c r="GC331">
        <v>17.71845908730764</v>
      </c>
      <c r="GD331">
        <v>3.3684081581576608</v>
      </c>
      <c r="GE331">
        <v>3.101468027726042</v>
      </c>
      <c r="GF331">
        <v>8.4507779849319249</v>
      </c>
      <c r="GG331">
        <v>9.0865990146002851</v>
      </c>
      <c r="GH331">
        <v>8.852017002209152</v>
      </c>
      <c r="GI331">
        <v>20.82228508557758</v>
      </c>
      <c r="GJ331"/>
      <c r="GK331"/>
      <c r="GL331"/>
      <c r="GM331"/>
      <c r="GN331" s="208"/>
      <c r="GO331" s="208"/>
      <c r="GP331" s="208"/>
      <c r="GQ331" s="208"/>
      <c r="GR331" s="208"/>
      <c r="GS331" s="208"/>
      <c r="GT331" s="208"/>
      <c r="GU331" s="213">
        <v>326</v>
      </c>
    </row>
    <row r="332" spans="1:203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252.84992783879156</v>
      </c>
      <c r="AO332">
        <v>22.461001518503142</v>
      </c>
      <c r="AP332">
        <v>27.234960659649179</v>
      </c>
      <c r="AQ332">
        <v>150.45215666774595</v>
      </c>
      <c r="AR332">
        <v>23.95620633457867</v>
      </c>
      <c r="AS332">
        <v>342.04584719374941</v>
      </c>
      <c r="AT332">
        <v>15.301679382051006</v>
      </c>
      <c r="AU332">
        <v>11.174938915558343</v>
      </c>
      <c r="AV332"/>
      <c r="AW332"/>
      <c r="FY332" s="213">
        <v>327</v>
      </c>
      <c r="FZ332">
        <v>50.34537768982598</v>
      </c>
      <c r="GA332">
        <v>38.943478244628402</v>
      </c>
      <c r="GB332">
        <v>24.059504969669266</v>
      </c>
      <c r="GC332">
        <v>13.302276410063319</v>
      </c>
      <c r="GD332">
        <v>4.2743159059888844</v>
      </c>
      <c r="GE332">
        <v>5.3515754610407322</v>
      </c>
      <c r="GF332">
        <v>6.6483277766863207</v>
      </c>
      <c r="GG332">
        <v>8.0114172060860724</v>
      </c>
      <c r="GH332">
        <v>11.966172105765935</v>
      </c>
      <c r="GI332">
        <v>18.870137673275682</v>
      </c>
      <c r="GJ332"/>
      <c r="GK332"/>
      <c r="GL332"/>
      <c r="GM332"/>
      <c r="GN332" s="208"/>
      <c r="GO332" s="208"/>
      <c r="GP332" s="208"/>
      <c r="GQ332" s="208"/>
      <c r="GR332" s="208"/>
      <c r="GS332" s="208"/>
      <c r="GT332" s="208"/>
      <c r="GU332" s="213">
        <v>327</v>
      </c>
    </row>
    <row r="333" spans="1:203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278.01139525622818</v>
      </c>
      <c r="AO333">
        <v>22.577696008808548</v>
      </c>
      <c r="AP333">
        <v>16.628334079450475</v>
      </c>
      <c r="AQ333">
        <v>159.18402253066606</v>
      </c>
      <c r="AR333">
        <v>23.752369411459529</v>
      </c>
      <c r="AS333">
        <v>353.41112811712281</v>
      </c>
      <c r="AT333">
        <v>14.12357428739034</v>
      </c>
      <c r="AU333">
        <v>12.268561503901438</v>
      </c>
      <c r="AV333"/>
      <c r="AW333"/>
      <c r="FY333" s="213">
        <v>328</v>
      </c>
      <c r="FZ333">
        <v>36.373582754835404</v>
      </c>
      <c r="GA333">
        <v>44.6649988717122</v>
      </c>
      <c r="GB333">
        <v>31.294246526347738</v>
      </c>
      <c r="GC333">
        <v>12.147497879012612</v>
      </c>
      <c r="GD333">
        <v>3.5099914903326082</v>
      </c>
      <c r="GE333">
        <v>5.7203093640380107</v>
      </c>
      <c r="GF333">
        <v>7.2566417783898736</v>
      </c>
      <c r="GG333">
        <v>4.1411332166697985</v>
      </c>
      <c r="GH333">
        <v>6.9547356517109984</v>
      </c>
      <c r="GI333">
        <v>17.468030655683819</v>
      </c>
      <c r="GJ333"/>
      <c r="GK333"/>
      <c r="GL333"/>
      <c r="GM333"/>
      <c r="GN333" s="208"/>
      <c r="GO333" s="208"/>
      <c r="GP333" s="208"/>
      <c r="GQ333" s="208"/>
      <c r="GR333" s="208"/>
      <c r="GS333" s="208"/>
      <c r="GT333" s="208"/>
      <c r="GU333" s="213">
        <v>328</v>
      </c>
    </row>
    <row r="334" spans="1:203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290.52083326165126</v>
      </c>
      <c r="AO334">
        <v>30.981780909869052</v>
      </c>
      <c r="AP334">
        <v>55.793078627450626</v>
      </c>
      <c r="AQ334">
        <v>228.47559628006991</v>
      </c>
      <c r="AR334">
        <v>31.908410945196138</v>
      </c>
      <c r="AS334">
        <v>423.94928913371609</v>
      </c>
      <c r="AT334">
        <v>20.482452499723383</v>
      </c>
      <c r="AU334">
        <v>13.887535561614968</v>
      </c>
      <c r="AV334"/>
      <c r="AW334"/>
      <c r="FY334" s="213">
        <v>329</v>
      </c>
      <c r="FZ334">
        <v>44.343234949786044</v>
      </c>
      <c r="GA334">
        <v>40.362257206758635</v>
      </c>
      <c r="GB334">
        <v>25.732990340737054</v>
      </c>
      <c r="GC334">
        <v>10.038834907186599</v>
      </c>
      <c r="GD334">
        <v>4.1300237045355317</v>
      </c>
      <c r="GE334">
        <v>6.2354413350964659</v>
      </c>
      <c r="GF334">
        <v>4.5355241990859447</v>
      </c>
      <c r="GG334">
        <v>8.9119395980337082</v>
      </c>
      <c r="GH334">
        <v>14.465059544661866</v>
      </c>
      <c r="GI334">
        <v>18.302115057527601</v>
      </c>
      <c r="GJ334"/>
      <c r="GK334"/>
      <c r="GL334"/>
      <c r="GM334"/>
      <c r="GN334" s="208"/>
      <c r="GO334" s="208"/>
      <c r="GP334" s="208"/>
      <c r="GQ334" s="208"/>
      <c r="GR334" s="208"/>
      <c r="GS334" s="208"/>
      <c r="GT334" s="208"/>
      <c r="GU334" s="213">
        <v>329</v>
      </c>
    </row>
    <row r="335" spans="1:203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296.54811114825031</v>
      </c>
      <c r="AO335">
        <v>23.854561363649236</v>
      </c>
      <c r="AP335">
        <v>38.264764430935202</v>
      </c>
      <c r="AQ335">
        <v>161.4619907973084</v>
      </c>
      <c r="AR335">
        <v>24.09997394349206</v>
      </c>
      <c r="AS335">
        <v>361.83579931171778</v>
      </c>
      <c r="AT335">
        <v>14.724781105583723</v>
      </c>
      <c r="AU335">
        <v>6.4416168551535868</v>
      </c>
      <c r="AV335"/>
      <c r="AW335"/>
      <c r="FY335" s="213">
        <v>330</v>
      </c>
      <c r="FZ335">
        <v>52.712538527583213</v>
      </c>
      <c r="GA335">
        <v>46.388879653686843</v>
      </c>
      <c r="GB335">
        <v>26.93480911588815</v>
      </c>
      <c r="GC335">
        <v>12.086679985820497</v>
      </c>
      <c r="GD335">
        <v>2.6624600758400536</v>
      </c>
      <c r="GE335">
        <v>3.180283355605753</v>
      </c>
      <c r="GF335">
        <v>2.3675038208841959</v>
      </c>
      <c r="GG335">
        <v>10.700805893555192</v>
      </c>
      <c r="GH335">
        <v>14.445028701765551</v>
      </c>
      <c r="GI335">
        <v>18.603429955484511</v>
      </c>
      <c r="GJ335"/>
      <c r="GK335"/>
      <c r="GL335"/>
      <c r="GM335"/>
      <c r="GN335" s="208"/>
      <c r="GO335" s="208"/>
      <c r="GP335" s="208"/>
      <c r="GQ335" s="208"/>
      <c r="GR335" s="208"/>
      <c r="GS335" s="208"/>
      <c r="GT335" s="208"/>
      <c r="GU335" s="213">
        <v>330</v>
      </c>
    </row>
    <row r="336" spans="1:203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230.75250700635223</v>
      </c>
      <c r="AO336">
        <v>22.48357526169081</v>
      </c>
      <c r="AP336">
        <v>54.069927899031221</v>
      </c>
      <c r="AQ336">
        <v>158.34465169873999</v>
      </c>
      <c r="AR336">
        <v>24.442316161416052</v>
      </c>
      <c r="AS336">
        <v>334.00595206530755</v>
      </c>
      <c r="AT336" t="e">
        <v>#DIV/0!</v>
      </c>
      <c r="AU336" t="e">
        <v>#DIV/0!</v>
      </c>
      <c r="AV336"/>
      <c r="AW336"/>
      <c r="FY336" s="213">
        <v>331</v>
      </c>
      <c r="FZ336">
        <v>58.647682538816262</v>
      </c>
      <c r="GA336">
        <v>90.521739655879855</v>
      </c>
      <c r="GB336">
        <v>45.261430094092759</v>
      </c>
      <c r="GC336">
        <v>12.943000377443932</v>
      </c>
      <c r="GD336">
        <v>4.8518336300686071</v>
      </c>
      <c r="GE336">
        <v>7.0563139196980913</v>
      </c>
      <c r="GF336">
        <v>12.242181927568694</v>
      </c>
      <c r="GG336">
        <v>11.59601729909906</v>
      </c>
      <c r="GH336">
        <v>7.4562449462042881</v>
      </c>
      <c r="GI336">
        <v>25.93410488016854</v>
      </c>
      <c r="GJ336"/>
      <c r="GK336"/>
      <c r="GL336"/>
      <c r="GM336"/>
      <c r="GN336" s="208"/>
      <c r="GO336" s="208"/>
      <c r="GP336" s="208"/>
      <c r="GQ336" s="208"/>
      <c r="GR336" s="208"/>
      <c r="GS336" s="208"/>
      <c r="GT336" s="208"/>
      <c r="GU336" s="213">
        <v>331</v>
      </c>
    </row>
    <row r="337" spans="1:203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288.77956638263947</v>
      </c>
      <c r="AO337">
        <v>22.950962324639544</v>
      </c>
      <c r="AP337">
        <v>10.660399303321874</v>
      </c>
      <c r="AQ337">
        <v>157.42541969119031</v>
      </c>
      <c r="AR337">
        <v>24.40694071691107</v>
      </c>
      <c r="AS337">
        <v>354.8015246352013</v>
      </c>
      <c r="AT337">
        <v>14.755064166614332</v>
      </c>
      <c r="AU337">
        <v>4.962239320410113</v>
      </c>
      <c r="AV337"/>
      <c r="AW337"/>
      <c r="FY337" s="213">
        <v>332</v>
      </c>
      <c r="FZ337">
        <v>50.018530416262927</v>
      </c>
      <c r="GA337">
        <v>37.342474347199619</v>
      </c>
      <c r="GB337">
        <v>18.710359388471428</v>
      </c>
      <c r="GC337">
        <v>8.4932673686437319</v>
      </c>
      <c r="GD337">
        <v>5.2497063067230334</v>
      </c>
      <c r="GE337">
        <v>9.2427414857833519</v>
      </c>
      <c r="GF337">
        <v>5.7032978134958032</v>
      </c>
      <c r="GG337">
        <v>6.2710399897328442</v>
      </c>
      <c r="GH337">
        <v>6.7175603156299211</v>
      </c>
      <c r="GI337">
        <v>17.050940005251924</v>
      </c>
      <c r="GJ337"/>
      <c r="GK337"/>
      <c r="GL337"/>
      <c r="GM337"/>
      <c r="GN337" s="208"/>
      <c r="GO337" s="208"/>
      <c r="GP337" s="208"/>
      <c r="GQ337" s="208"/>
      <c r="GR337" s="208"/>
      <c r="GS337" s="208"/>
      <c r="GT337" s="208"/>
      <c r="GU337" s="213">
        <v>332</v>
      </c>
    </row>
    <row r="338" spans="1:203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271.35896777334676</v>
      </c>
      <c r="AO338">
        <v>25.672656964272779</v>
      </c>
      <c r="AP338">
        <v>18.530562240581965</v>
      </c>
      <c r="AQ338">
        <v>196.80083448719574</v>
      </c>
      <c r="AR338">
        <v>27.487912572911718</v>
      </c>
      <c r="AS338">
        <v>369.99750137464707</v>
      </c>
      <c r="AT338">
        <v>16.859486037532964</v>
      </c>
      <c r="AU338">
        <v>3.4076439353658401</v>
      </c>
      <c r="AV338"/>
      <c r="AW338"/>
      <c r="FY338" s="213">
        <v>333</v>
      </c>
      <c r="FZ338">
        <v>63.440399266584315</v>
      </c>
      <c r="GA338">
        <v>65.147219207116919</v>
      </c>
      <c r="GB338">
        <v>35.839276442839562</v>
      </c>
      <c r="GC338">
        <v>11.842447459368108</v>
      </c>
      <c r="GD338">
        <v>3.286060123710481</v>
      </c>
      <c r="GE338">
        <v>6.4324058508273119</v>
      </c>
      <c r="GF338">
        <v>6.3739928925170855</v>
      </c>
      <c r="GG338">
        <v>7.0227613450979893</v>
      </c>
      <c r="GH338">
        <v>7.2838070400815997</v>
      </c>
      <c r="GI338">
        <v>22.321964594240065</v>
      </c>
      <c r="GJ338"/>
      <c r="GK338"/>
      <c r="GL338"/>
      <c r="GM338"/>
      <c r="GN338" s="208"/>
      <c r="GO338" s="208"/>
      <c r="GP338" s="208"/>
      <c r="GQ338" s="208"/>
      <c r="GR338" s="208"/>
      <c r="GS338" s="208"/>
      <c r="GT338" s="208"/>
      <c r="GU338" s="213">
        <v>333</v>
      </c>
    </row>
    <row r="339" spans="1:203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284.61663108265896</v>
      </c>
      <c r="AO339">
        <v>25.354594643204074</v>
      </c>
      <c r="AP339">
        <v>25.848688958476558</v>
      </c>
      <c r="AQ339">
        <v>189.83252469888257</v>
      </c>
      <c r="AR339">
        <v>26.090949559061265</v>
      </c>
      <c r="AS339">
        <v>367.66723097645007</v>
      </c>
      <c r="AT339">
        <v>15.090130449833824</v>
      </c>
      <c r="AU339">
        <v>-1.2528467633979616</v>
      </c>
      <c r="AV339"/>
      <c r="AW339"/>
      <c r="FY339" s="213">
        <v>334</v>
      </c>
      <c r="FZ339">
        <v>64.382472842788331</v>
      </c>
      <c r="GA339">
        <v>57.403004870917549</v>
      </c>
      <c r="GB339">
        <v>28.375103102046502</v>
      </c>
      <c r="GC339">
        <v>12.009995474936245</v>
      </c>
      <c r="GD339">
        <v>2.7506813191639803</v>
      </c>
      <c r="GE339">
        <v>3.6057327690579042</v>
      </c>
      <c r="GF339">
        <v>3.1420340933119641</v>
      </c>
      <c r="GG339">
        <v>3.2375040756423394</v>
      </c>
      <c r="GH339">
        <v>5.2301279495766151</v>
      </c>
      <c r="GI339">
        <v>19.411849572795759</v>
      </c>
      <c r="GJ339"/>
      <c r="GK339"/>
      <c r="GL339"/>
      <c r="GM339"/>
      <c r="GN339" s="208"/>
      <c r="GO339" s="208"/>
      <c r="GP339" s="208"/>
      <c r="GQ339" s="208"/>
      <c r="GR339" s="208"/>
      <c r="GS339" s="208"/>
      <c r="GT339" s="208"/>
      <c r="GU339" s="213">
        <v>334</v>
      </c>
    </row>
    <row r="340" spans="1:203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249.90578996182958</v>
      </c>
      <c r="AO340">
        <v>25.44806147893204</v>
      </c>
      <c r="AP340">
        <v>38.536244100407139</v>
      </c>
      <c r="AQ340">
        <v>179.52786521950907</v>
      </c>
      <c r="AR340">
        <v>26.260132693244952</v>
      </c>
      <c r="AS340">
        <v>366.54697092204179</v>
      </c>
      <c r="AT340">
        <v>16.341786917755954</v>
      </c>
      <c r="AU340">
        <v>-2.6014379351743386</v>
      </c>
      <c r="AV340"/>
      <c r="AW340"/>
      <c r="FY340" s="213">
        <v>335</v>
      </c>
      <c r="FZ340">
        <v>69.687106521065019</v>
      </c>
      <c r="GA340">
        <v>68.701035995228366</v>
      </c>
      <c r="GB340">
        <v>31.690132184223046</v>
      </c>
      <c r="GC340">
        <v>12.486650740465564</v>
      </c>
      <c r="GD340">
        <v>4.4561277437385787</v>
      </c>
      <c r="GE340">
        <v>5.9647581639720784</v>
      </c>
      <c r="GF340">
        <v>6.3712560485644349</v>
      </c>
      <c r="GG340">
        <v>4.6679434044590504</v>
      </c>
      <c r="GH340">
        <v>5.1892342832188216</v>
      </c>
      <c r="GI340">
        <v>22.57293732799468</v>
      </c>
      <c r="GJ340"/>
      <c r="GK340"/>
      <c r="GL340"/>
      <c r="GM340"/>
      <c r="GN340" s="208"/>
      <c r="GO340" s="208"/>
      <c r="GP340" s="208"/>
      <c r="GQ340" s="208"/>
      <c r="GR340" s="208"/>
      <c r="GS340" s="208"/>
      <c r="GT340" s="208"/>
      <c r="GU340" s="213">
        <v>335</v>
      </c>
    </row>
    <row r="341" spans="1:203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250.6459005071809</v>
      </c>
      <c r="AO341">
        <v>25.085604821788433</v>
      </c>
      <c r="AP341">
        <v>14.247683856611165</v>
      </c>
      <c r="AQ341">
        <v>192.16853148057197</v>
      </c>
      <c r="AR341">
        <v>25.748550969437776</v>
      </c>
      <c r="AS341">
        <v>371.09325910783002</v>
      </c>
      <c r="AT341">
        <v>16.537830633488976</v>
      </c>
      <c r="AU341">
        <v>-5.5823698898370395</v>
      </c>
      <c r="AV341"/>
      <c r="AW341"/>
      <c r="FY341" s="213">
        <v>336</v>
      </c>
      <c r="FZ341">
        <v>63.688484478459351</v>
      </c>
      <c r="GA341">
        <v>59.664336888892386</v>
      </c>
      <c r="GB341">
        <v>33.782906880496789</v>
      </c>
      <c r="GC341">
        <v>13.986911786855647</v>
      </c>
      <c r="GD341">
        <v>4.2454896553456187</v>
      </c>
      <c r="GE341">
        <v>7.0315317844279246</v>
      </c>
      <c r="GF341">
        <v>2.9503439541543814</v>
      </c>
      <c r="GG341">
        <v>2.7586044252923227</v>
      </c>
      <c r="GH341">
        <v>4.1827752406993151</v>
      </c>
      <c r="GI341">
        <v>21.283927580066045</v>
      </c>
      <c r="GJ341"/>
      <c r="GK341"/>
      <c r="GL341"/>
      <c r="GM341"/>
      <c r="GN341" s="208"/>
      <c r="GO341" s="208"/>
      <c r="GP341" s="208"/>
      <c r="GQ341" s="208"/>
      <c r="GR341" s="208"/>
      <c r="GS341" s="208"/>
      <c r="GT341" s="208"/>
      <c r="GU341" s="213">
        <v>336</v>
      </c>
    </row>
    <row r="342" spans="1:203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285.28814834620391</v>
      </c>
      <c r="AO342">
        <v>27.795437056659903</v>
      </c>
      <c r="AP342">
        <v>62.192630213000186</v>
      </c>
      <c r="AQ342">
        <v>192.55561456189449</v>
      </c>
      <c r="AR342">
        <v>28.6267563783253</v>
      </c>
      <c r="AS342">
        <v>400.7070636688623</v>
      </c>
      <c r="AT342">
        <v>17.22278771998602</v>
      </c>
      <c r="AU342">
        <v>18.120659287212362</v>
      </c>
      <c r="AV342"/>
      <c r="AW342"/>
      <c r="FY342" s="213">
        <v>337</v>
      </c>
      <c r="FZ342">
        <v>44.856505370869719</v>
      </c>
      <c r="GA342">
        <v>27.325032591846512</v>
      </c>
      <c r="GB342">
        <v>20.394804550692349</v>
      </c>
      <c r="GC342">
        <v>10.895888904129254</v>
      </c>
      <c r="GD342">
        <v>2.9937393899348219</v>
      </c>
      <c r="GE342">
        <v>5.3299465893567515</v>
      </c>
      <c r="GF342">
        <v>4.6805500214153284</v>
      </c>
      <c r="GG342">
        <v>9.1192707412171057</v>
      </c>
      <c r="GH342">
        <v>11.314725897594991</v>
      </c>
      <c r="GI342">
        <v>15.965350065297121</v>
      </c>
      <c r="GJ342"/>
      <c r="GK342"/>
      <c r="GL342"/>
      <c r="GM342"/>
      <c r="GN342" s="208"/>
      <c r="GO342" s="208"/>
      <c r="GP342" s="208"/>
      <c r="GQ342" s="208"/>
      <c r="GR342" s="208"/>
      <c r="GS342" s="208"/>
      <c r="GT342" s="208"/>
      <c r="GU342" s="213">
        <v>337</v>
      </c>
    </row>
    <row r="343" spans="1:203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256.30670990252997</v>
      </c>
      <c r="AO343">
        <v>25.231765769218423</v>
      </c>
      <c r="AP343">
        <v>53.325644375901447</v>
      </c>
      <c r="AQ343">
        <v>181.77258344303058</v>
      </c>
      <c r="AR343">
        <v>26.048415199458216</v>
      </c>
      <c r="AS343">
        <v>329.54891172866127</v>
      </c>
      <c r="AT343">
        <v>15.286820546099909</v>
      </c>
      <c r="AU343">
        <v>33.322033724720576</v>
      </c>
      <c r="AV343"/>
      <c r="AW343"/>
      <c r="FY343" s="213">
        <v>338</v>
      </c>
      <c r="FZ343">
        <v>48.722259105330089</v>
      </c>
      <c r="GA343">
        <v>79.110396459579988</v>
      </c>
      <c r="GB343">
        <v>42.346776868758447</v>
      </c>
      <c r="GC343">
        <v>14.621464099498452</v>
      </c>
      <c r="GD343">
        <v>6.2398973478722226</v>
      </c>
      <c r="GE343">
        <v>6.4914885384174594</v>
      </c>
      <c r="GF343">
        <v>2.3647669769315458</v>
      </c>
      <c r="GG343">
        <v>5.4379854881503595</v>
      </c>
      <c r="GH343">
        <v>10.312979156645035</v>
      </c>
      <c r="GI343">
        <v>23.19458619191397</v>
      </c>
      <c r="GJ343"/>
      <c r="GK343"/>
      <c r="GL343"/>
      <c r="GM343"/>
      <c r="GN343" s="208"/>
      <c r="GO343" s="208"/>
      <c r="GP343" s="208"/>
      <c r="GQ343" s="208"/>
      <c r="GR343" s="208"/>
      <c r="GS343" s="208"/>
      <c r="GT343" s="208"/>
      <c r="GU343" s="213">
        <v>338</v>
      </c>
    </row>
    <row r="344" spans="1:203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276.85496653930801</v>
      </c>
      <c r="AO344">
        <v>23.450674476577582</v>
      </c>
      <c r="AP344">
        <v>38.496734884286496</v>
      </c>
      <c r="AQ344">
        <v>169.53116818873303</v>
      </c>
      <c r="AR344">
        <v>23.850556953917938</v>
      </c>
      <c r="AS344">
        <v>344.45207002219109</v>
      </c>
      <c r="AT344">
        <v>14.954509847316034</v>
      </c>
      <c r="AU344">
        <v>-27.135802567140399</v>
      </c>
      <c r="AV344"/>
      <c r="AW344"/>
      <c r="FY344" s="213">
        <v>339</v>
      </c>
      <c r="FZ344">
        <v>49.309458117585862</v>
      </c>
      <c r="GA344">
        <v>57.008047318243406</v>
      </c>
      <c r="GB344">
        <v>39.185037924674077</v>
      </c>
      <c r="GC344">
        <v>15.132122042725584</v>
      </c>
      <c r="GD344">
        <v>3.5534105886977967</v>
      </c>
      <c r="GE344">
        <v>4.7206744337483073</v>
      </c>
      <c r="GF344">
        <v>3.4787500547989296</v>
      </c>
      <c r="GG344">
        <v>2.080554955374498</v>
      </c>
      <c r="GH344">
        <v>5.0258160848437061</v>
      </c>
      <c r="GI344">
        <v>20.326098560765711</v>
      </c>
      <c r="GJ344"/>
      <c r="GK344"/>
      <c r="GL344"/>
      <c r="GM344"/>
      <c r="GN344" s="208"/>
      <c r="GO344" s="208"/>
      <c r="GP344" s="208"/>
      <c r="GQ344" s="208"/>
      <c r="GR344" s="208"/>
      <c r="GS344" s="208"/>
      <c r="GT344" s="208"/>
      <c r="GU344" s="213">
        <v>339</v>
      </c>
    </row>
    <row r="345" spans="1:203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282.57445535935591</v>
      </c>
      <c r="AO345">
        <v>24.0026276609162</v>
      </c>
      <c r="AP345">
        <v>42.406272817366393</v>
      </c>
      <c r="AQ345">
        <v>177.05742084340946</v>
      </c>
      <c r="AR345">
        <v>25.12260101465008</v>
      </c>
      <c r="AS345">
        <v>399.28154011272068</v>
      </c>
      <c r="AT345">
        <v>16.075537547505139</v>
      </c>
      <c r="AU345">
        <v>-23.991153876453431</v>
      </c>
      <c r="AV345"/>
      <c r="AW345"/>
      <c r="FY345" s="213">
        <v>340</v>
      </c>
      <c r="FZ345">
        <v>46.081040079920548</v>
      </c>
      <c r="GA345">
        <v>34.856676092391979</v>
      </c>
      <c r="GB345">
        <v>27.208869659111492</v>
      </c>
      <c r="GC345">
        <v>10.035070369912745</v>
      </c>
      <c r="GD345">
        <v>4.7450988471086575</v>
      </c>
      <c r="GE345">
        <v>9.3984699710440651</v>
      </c>
      <c r="GF345">
        <v>6.2854944506828261</v>
      </c>
      <c r="GG345">
        <v>4.3816425269933372</v>
      </c>
      <c r="GH345">
        <v>5.2981028942866075</v>
      </c>
      <c r="GI345">
        <v>18.149822833391312</v>
      </c>
      <c r="GJ345"/>
      <c r="GK345"/>
      <c r="GL345"/>
      <c r="GM345"/>
      <c r="GN345" s="208"/>
      <c r="GO345" s="208"/>
      <c r="GP345" s="208"/>
      <c r="GQ345" s="208"/>
      <c r="GR345" s="208"/>
      <c r="GS345" s="208"/>
      <c r="GT345" s="208"/>
      <c r="GU345" s="213">
        <v>340</v>
      </c>
    </row>
    <row r="346" spans="1:203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300.04920271142265</v>
      </c>
      <c r="AO346">
        <v>25.035184104084998</v>
      </c>
      <c r="AP346">
        <v>47.579483473076095</v>
      </c>
      <c r="AQ346">
        <v>190.08241908611393</v>
      </c>
      <c r="AR346">
        <v>25.488681534211779</v>
      </c>
      <c r="AS346">
        <v>424.88070720476242</v>
      </c>
      <c r="AT346">
        <v>15.541369715258313</v>
      </c>
      <c r="AU346">
        <v>30.462955893712895</v>
      </c>
      <c r="AV346"/>
      <c r="AW346"/>
      <c r="FY346" s="213">
        <v>341</v>
      </c>
      <c r="FZ346">
        <v>37.971413093700541</v>
      </c>
      <c r="GA346">
        <v>70.854297867777134</v>
      </c>
      <c r="GB346">
        <v>49.09278938995579</v>
      </c>
      <c r="GC346">
        <v>15.637803153246535</v>
      </c>
      <c r="GD346">
        <v>6.4173556143065671</v>
      </c>
      <c r="GE346">
        <v>10.892956029247543</v>
      </c>
      <c r="GF346">
        <v>3.3690611645698381</v>
      </c>
      <c r="GG346">
        <v>3.2447517333402809</v>
      </c>
      <c r="GH346">
        <v>7.1407182851497746</v>
      </c>
      <c r="GI346">
        <v>23.041334585445821</v>
      </c>
      <c r="GJ346"/>
      <c r="GK346"/>
      <c r="GL346"/>
      <c r="GM346"/>
      <c r="GN346" s="208"/>
      <c r="GO346" s="208"/>
      <c r="GP346" s="208"/>
      <c r="GQ346" s="208"/>
      <c r="GR346" s="208"/>
      <c r="GS346" s="208"/>
      <c r="GT346" s="208"/>
      <c r="GU346" s="213">
        <v>341</v>
      </c>
    </row>
    <row r="347" spans="1:203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391.40846408174866</v>
      </c>
      <c r="AO347">
        <v>35.919048417546776</v>
      </c>
      <c r="AP347">
        <v>31.12343197311667</v>
      </c>
      <c r="AQ347">
        <v>276.51054926904004</v>
      </c>
      <c r="AR347">
        <v>35.443351996000338</v>
      </c>
      <c r="AS347">
        <v>551.06586358580796</v>
      </c>
      <c r="AT347">
        <v>21.701798389263491</v>
      </c>
      <c r="AU347">
        <v>-50.126441618318182</v>
      </c>
      <c r="AV347"/>
      <c r="AW347"/>
      <c r="FY347" s="213">
        <v>342</v>
      </c>
      <c r="FZ347">
        <v>47.6537884282927</v>
      </c>
      <c r="GA347">
        <v>30.10562416545384</v>
      </c>
      <c r="GB347">
        <v>26.133026095424462</v>
      </c>
      <c r="GC347">
        <v>13.19483767814933</v>
      </c>
      <c r="GD347">
        <v>4.0035006559079713</v>
      </c>
      <c r="GE347">
        <v>3.5165408216208651</v>
      </c>
      <c r="GF347">
        <v>5.3100544715137126</v>
      </c>
      <c r="GG347">
        <v>7.2213513856217322</v>
      </c>
      <c r="GH347">
        <v>11.667052557177231</v>
      </c>
      <c r="GI347">
        <v>18.532527209349716</v>
      </c>
      <c r="GJ347"/>
      <c r="GK347"/>
      <c r="GL347"/>
      <c r="GM347"/>
      <c r="GN347" s="208"/>
      <c r="GO347" s="208"/>
      <c r="GP347" s="208"/>
      <c r="GQ347" s="208"/>
      <c r="GR347" s="208"/>
      <c r="GS347" s="208"/>
      <c r="GT347" s="208"/>
      <c r="GU347" s="213">
        <v>342</v>
      </c>
    </row>
    <row r="348" spans="1:203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274.67951077507553</v>
      </c>
      <c r="AO348">
        <v>22.489555805221954</v>
      </c>
      <c r="AP348">
        <v>26.602786920999264</v>
      </c>
      <c r="AQ348">
        <v>164.79991743719458</v>
      </c>
      <c r="AR348">
        <v>23.436316141609542</v>
      </c>
      <c r="AS348">
        <v>335.652043236883</v>
      </c>
      <c r="AT348">
        <v>14.089789791795388</v>
      </c>
      <c r="AU348">
        <v>5.3328701575882604</v>
      </c>
      <c r="AV348"/>
      <c r="AW348"/>
      <c r="FY348" s="213">
        <v>343</v>
      </c>
      <c r="FZ348">
        <v>43.484157302227473</v>
      </c>
      <c r="GA348">
        <v>27.643856600139504</v>
      </c>
      <c r="GB348">
        <v>22.226104125126334</v>
      </c>
      <c r="GC348">
        <v>11.750087286758541</v>
      </c>
      <c r="GD348">
        <v>5.6930848713203162</v>
      </c>
      <c r="GE348">
        <v>9.466769001001472</v>
      </c>
      <c r="GF348">
        <v>4.4654793616938679</v>
      </c>
      <c r="GG348">
        <v>5.4414234616747166</v>
      </c>
      <c r="GH348">
        <v>6.4773702066919583</v>
      </c>
      <c r="GI348">
        <v>16.946287717814194</v>
      </c>
      <c r="GJ348"/>
      <c r="GK348"/>
      <c r="GL348"/>
      <c r="GM348"/>
      <c r="GN348" s="208"/>
      <c r="GO348" s="208"/>
      <c r="GP348" s="208"/>
      <c r="GQ348" s="208"/>
      <c r="GR348" s="208"/>
      <c r="GS348" s="208"/>
      <c r="GT348" s="208"/>
      <c r="GU348" s="213">
        <v>343</v>
      </c>
    </row>
    <row r="349" spans="1:203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317.90155207965574</v>
      </c>
      <c r="AO349">
        <v>29.859868866409442</v>
      </c>
      <c r="AP349">
        <v>18.729215959916694</v>
      </c>
      <c r="AQ349">
        <v>228.99033422238344</v>
      </c>
      <c r="AR349">
        <v>30.745556409390922</v>
      </c>
      <c r="AS349">
        <v>459.24062649993806</v>
      </c>
      <c r="AT349">
        <v>17.805761061111891</v>
      </c>
      <c r="AU349">
        <v>-18.84369387921835</v>
      </c>
      <c r="AV349"/>
      <c r="AW349"/>
      <c r="FY349" s="213">
        <v>344</v>
      </c>
      <c r="FZ349">
        <v>44.733245059811388</v>
      </c>
      <c r="GA349">
        <v>52.095022726875236</v>
      </c>
      <c r="GB349">
        <v>35.891547128941923</v>
      </c>
      <c r="GC349">
        <v>15.551739068261558</v>
      </c>
      <c r="GD349">
        <v>5.3365497761259748</v>
      </c>
      <c r="GE349">
        <v>6.9100854976204342</v>
      </c>
      <c r="GF349">
        <v>0.8722482818457904</v>
      </c>
      <c r="GG349">
        <v>2.7348585332442354</v>
      </c>
      <c r="GH349">
        <v>5.0845290924147424</v>
      </c>
      <c r="GI349">
        <v>19.402068779778336</v>
      </c>
      <c r="GJ349"/>
      <c r="GK349"/>
      <c r="GL349"/>
      <c r="GM349"/>
      <c r="GN349" s="208"/>
      <c r="GO349" s="208"/>
      <c r="GP349" s="208"/>
      <c r="GQ349" s="208"/>
      <c r="GR349" s="208"/>
      <c r="GS349" s="208"/>
      <c r="GT349" s="208"/>
      <c r="GU349" s="213">
        <v>344</v>
      </c>
    </row>
    <row r="350" spans="1:203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248.82743032471225</v>
      </c>
      <c r="AO350">
        <v>25.752063032919455</v>
      </c>
      <c r="AP350">
        <v>13.785978542104917</v>
      </c>
      <c r="AQ350">
        <v>199.54850607023718</v>
      </c>
      <c r="AR350">
        <v>26.722205161207832</v>
      </c>
      <c r="AS350">
        <v>381.67894121934654</v>
      </c>
      <c r="AT350">
        <v>15.9022971242601</v>
      </c>
      <c r="AU350">
        <v>3.1610324563765175</v>
      </c>
      <c r="AV350"/>
      <c r="AW350"/>
      <c r="FY350" s="213">
        <v>345</v>
      </c>
      <c r="FZ350">
        <v>32.211827826268966</v>
      </c>
      <c r="GA350">
        <v>17.582238970741088</v>
      </c>
      <c r="GB350">
        <v>26.402544295633326</v>
      </c>
      <c r="GC350">
        <v>16.69992714285749</v>
      </c>
      <c r="GD350">
        <v>3.7485296848175618</v>
      </c>
      <c r="GE350">
        <v>3.7195057020012556</v>
      </c>
      <c r="GF350">
        <v>2.4001183783064941</v>
      </c>
      <c r="GG350">
        <v>3.6108850553561891</v>
      </c>
      <c r="GH350">
        <v>5.5727048600997406</v>
      </c>
      <c r="GI350">
        <v>14.684921749827561</v>
      </c>
      <c r="GJ350"/>
      <c r="GK350"/>
      <c r="GL350"/>
      <c r="GM350"/>
      <c r="GN350" s="208"/>
      <c r="GO350" s="208"/>
      <c r="GP350" s="208"/>
      <c r="GQ350" s="208"/>
      <c r="GR350" s="208"/>
      <c r="GS350" s="208"/>
      <c r="GT350" s="208"/>
      <c r="GU350" s="213">
        <v>345</v>
      </c>
    </row>
    <row r="351" spans="1:203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299.5978948884424</v>
      </c>
      <c r="AO351">
        <v>30.135980648724306</v>
      </c>
      <c r="AP351">
        <v>17.098291148708615</v>
      </c>
      <c r="AQ351">
        <v>231.78718241292964</v>
      </c>
      <c r="AR351">
        <v>31.102115407060833</v>
      </c>
      <c r="AS351">
        <v>427.972609364405</v>
      </c>
      <c r="AT351">
        <v>18.46059770163383</v>
      </c>
      <c r="AU351">
        <v>-0.57266131430733935</v>
      </c>
      <c r="AV351"/>
      <c r="AW351"/>
      <c r="FY351" s="213">
        <v>346</v>
      </c>
      <c r="FZ351">
        <v>61.498646158791061</v>
      </c>
      <c r="GA351">
        <v>60.642578917747336</v>
      </c>
      <c r="GB351">
        <v>21.83064748057377</v>
      </c>
      <c r="GC351">
        <v>6.3270090820026876</v>
      </c>
      <c r="GD351">
        <v>2.7624371697811112</v>
      </c>
      <c r="GE351">
        <v>5.9882105065587004</v>
      </c>
      <c r="GF351">
        <v>6.0400137749827696</v>
      </c>
      <c r="GG351">
        <v>6.2479875164892018</v>
      </c>
      <c r="GH351">
        <v>4.5281395202942543</v>
      </c>
      <c r="GI351">
        <v>17.800927921850121</v>
      </c>
      <c r="GJ351"/>
      <c r="GK351"/>
      <c r="GL351"/>
      <c r="GM351"/>
      <c r="GN351" s="208"/>
      <c r="GO351" s="208"/>
      <c r="GP351" s="208"/>
      <c r="GQ351" s="208"/>
      <c r="GR351" s="208"/>
      <c r="GS351" s="208"/>
      <c r="GT351" s="208"/>
      <c r="GU351" s="213">
        <v>346</v>
      </c>
    </row>
    <row r="352" spans="1:203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292.29330869490866</v>
      </c>
      <c r="AO352">
        <v>28.644666900528811</v>
      </c>
      <c r="AP352">
        <v>11.182192184024728</v>
      </c>
      <c r="AQ352">
        <v>213.5753126746898</v>
      </c>
      <c r="AR352">
        <v>29.263433658615995</v>
      </c>
      <c r="AS352">
        <v>412.48705969228223</v>
      </c>
      <c r="AT352">
        <v>17.91861748812347</v>
      </c>
      <c r="AU352">
        <v>-16.270856971332542</v>
      </c>
      <c r="AV352"/>
      <c r="AW352"/>
      <c r="FY352" s="213">
        <v>347</v>
      </c>
      <c r="FZ352">
        <v>51.198340964750244</v>
      </c>
      <c r="GA352">
        <v>30.801169445680753</v>
      </c>
      <c r="GB352">
        <v>27.435018422699297</v>
      </c>
      <c r="GC352">
        <v>16.299686625198841</v>
      </c>
      <c r="GD352">
        <v>5.2363317454903058</v>
      </c>
      <c r="GE352">
        <v>7.4905437498613754</v>
      </c>
      <c r="GF352">
        <v>5.7032978134958032</v>
      </c>
      <c r="GG352">
        <v>3.9117563983923129</v>
      </c>
      <c r="GH352">
        <v>3.4133375918617634</v>
      </c>
      <c r="GI352">
        <v>18.8424536495016</v>
      </c>
      <c r="GJ352"/>
      <c r="GK352"/>
      <c r="GL352"/>
      <c r="GM352"/>
      <c r="GN352" s="208"/>
      <c r="GO352" s="208"/>
      <c r="GP352" s="208"/>
      <c r="GQ352" s="208"/>
      <c r="GR352" s="208"/>
      <c r="GS352" s="208"/>
      <c r="GT352" s="208"/>
      <c r="GU352" s="213">
        <v>347</v>
      </c>
    </row>
    <row r="353" spans="1:203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240.11784643220295</v>
      </c>
      <c r="AO353">
        <v>21.025179202457007</v>
      </c>
      <c r="AP353">
        <v>32.466637586887742</v>
      </c>
      <c r="AQ353">
        <v>152.87581412235394</v>
      </c>
      <c r="AR353">
        <v>21.845234372115399</v>
      </c>
      <c r="AS353">
        <v>362.08007186786739</v>
      </c>
      <c r="AT353">
        <v>13.624866726864056</v>
      </c>
      <c r="AU353">
        <v>20.522802794398604</v>
      </c>
      <c r="AV353"/>
      <c r="AW353"/>
      <c r="FY353" s="213">
        <v>348</v>
      </c>
      <c r="FZ353">
        <v>46.162035792018663</v>
      </c>
      <c r="GA353">
        <v>56.755914288116465</v>
      </c>
      <c r="GB353">
        <v>41.959162399931351</v>
      </c>
      <c r="GC353">
        <v>15.799606966784493</v>
      </c>
      <c r="GD353">
        <v>4.728876720713286</v>
      </c>
      <c r="GE353">
        <v>6.6156892789059434</v>
      </c>
      <c r="GF353">
        <v>9.952530716876101</v>
      </c>
      <c r="GG353">
        <v>9.2702592576283891</v>
      </c>
      <c r="GH353">
        <v>5.9216749588637416</v>
      </c>
      <c r="GI353">
        <v>22.538088375491078</v>
      </c>
      <c r="GJ353"/>
      <c r="GK353"/>
      <c r="GL353"/>
      <c r="GM353"/>
      <c r="GN353" s="208"/>
      <c r="GO353" s="208"/>
      <c r="GP353" s="208"/>
      <c r="GQ353" s="208"/>
      <c r="GR353" s="208"/>
      <c r="GS353" s="208"/>
      <c r="GT353" s="208"/>
      <c r="GU353" s="213">
        <v>348</v>
      </c>
    </row>
    <row r="354" spans="1:203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381.87059637976063</v>
      </c>
      <c r="AO354">
        <v>32.166612252526633</v>
      </c>
      <c r="AP354">
        <v>33.189826585364258</v>
      </c>
      <c r="AQ354">
        <v>238.84260023309756</v>
      </c>
      <c r="AR354">
        <v>31.689908885438818</v>
      </c>
      <c r="AS354">
        <v>461.51908195099873</v>
      </c>
      <c r="AT354">
        <v>19.97110283439055</v>
      </c>
      <c r="AU354">
        <v>-35.375528703452176</v>
      </c>
      <c r="AV354"/>
      <c r="AW354"/>
      <c r="FY354" s="213">
        <v>349</v>
      </c>
      <c r="FZ354">
        <v>36.282962899974144</v>
      </c>
      <c r="GA354">
        <v>22.370721435935081</v>
      </c>
      <c r="GB354">
        <v>27.311077993588988</v>
      </c>
      <c r="GC354">
        <v>15.427724862497255</v>
      </c>
      <c r="GD354">
        <v>2.759440765993717</v>
      </c>
      <c r="GE354">
        <v>5.3522490827980613</v>
      </c>
      <c r="GF354">
        <v>10.005297748418105</v>
      </c>
      <c r="GG354">
        <v>8.1356120450063756</v>
      </c>
      <c r="GH354">
        <v>8.4169051950349392</v>
      </c>
      <c r="GI354">
        <v>16.799160606467677</v>
      </c>
      <c r="GJ354"/>
      <c r="GK354"/>
      <c r="GL354"/>
      <c r="GM354"/>
      <c r="GN354" s="208"/>
      <c r="GO354" s="208"/>
      <c r="GP354" s="208"/>
      <c r="GQ354" s="208"/>
      <c r="GR354" s="208"/>
      <c r="GS354" s="208"/>
      <c r="GT354" s="208"/>
      <c r="GU354" s="213">
        <v>349</v>
      </c>
    </row>
    <row r="355" spans="1:203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265.65821191599167</v>
      </c>
      <c r="AO355">
        <v>27.522379577636883</v>
      </c>
      <c r="AP355">
        <v>31.42685866393364</v>
      </c>
      <c r="AQ355">
        <v>199.81997008145791</v>
      </c>
      <c r="AR355">
        <v>28.028725796012857</v>
      </c>
      <c r="AS355">
        <v>373.39133062805598</v>
      </c>
      <c r="AT355">
        <v>17.263597958408635</v>
      </c>
      <c r="AU355">
        <v>-37.869910472066017</v>
      </c>
      <c r="AV355"/>
      <c r="AW355"/>
      <c r="FY355" s="213">
        <v>350</v>
      </c>
      <c r="FZ355">
        <v>45.71186505824695</v>
      </c>
      <c r="GA355">
        <v>18.867929818305356</v>
      </c>
      <c r="GB355">
        <v>19.128016396720881</v>
      </c>
      <c r="GC355">
        <v>10.294693531581164</v>
      </c>
      <c r="GD355">
        <v>1.6069625554816929</v>
      </c>
      <c r="GE355">
        <v>3.4963322812672653</v>
      </c>
      <c r="GF355">
        <v>3.2120789307040414</v>
      </c>
      <c r="GG355">
        <v>3.6057563679553097</v>
      </c>
      <c r="GH355">
        <v>7.7410808176045283</v>
      </c>
      <c r="GI355">
        <v>14.154644240730965</v>
      </c>
      <c r="GJ355"/>
      <c r="GK355"/>
      <c r="GL355"/>
      <c r="GM355"/>
      <c r="GN355" s="208"/>
      <c r="GO355" s="208"/>
      <c r="GP355" s="208"/>
      <c r="GQ355" s="208"/>
      <c r="GR355" s="208"/>
      <c r="GS355" s="208"/>
      <c r="GT355" s="208"/>
      <c r="GU355" s="213">
        <v>350</v>
      </c>
    </row>
    <row r="356" spans="1:203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295.04477745382394</v>
      </c>
      <c r="AO356">
        <v>23.295553971705523</v>
      </c>
      <c r="AP356">
        <v>17.98735646006039</v>
      </c>
      <c r="AQ356">
        <v>166.44028772484359</v>
      </c>
      <c r="AR356">
        <v>24.856831748774347</v>
      </c>
      <c r="AS356">
        <v>347.1993760448554</v>
      </c>
      <c r="AT356">
        <v>15.217857864223051</v>
      </c>
      <c r="AU356">
        <v>1.2874880657464089</v>
      </c>
      <c r="AV356"/>
      <c r="AW356"/>
      <c r="FY356" s="213">
        <v>351</v>
      </c>
      <c r="FZ356">
        <v>49.902311525793394</v>
      </c>
      <c r="GA356">
        <v>32.472949468648167</v>
      </c>
      <c r="GB356">
        <v>19.441469970689209</v>
      </c>
      <c r="GC356">
        <v>12.256091856549359</v>
      </c>
      <c r="GD356">
        <v>3.6512935594032188</v>
      </c>
      <c r="GE356">
        <v>5.8073383802271472</v>
      </c>
      <c r="GF356">
        <v>6.8830278394420752</v>
      </c>
      <c r="GG356">
        <v>5.6188428451544343</v>
      </c>
      <c r="GH356">
        <v>9.783605774581801</v>
      </c>
      <c r="GI356">
        <v>17.013338358399299</v>
      </c>
      <c r="GJ356"/>
      <c r="GK356"/>
      <c r="GL356"/>
      <c r="GM356"/>
      <c r="GN356" s="208"/>
      <c r="GO356" s="208"/>
      <c r="GP356" s="208"/>
      <c r="GQ356" s="208"/>
      <c r="GR356" s="208"/>
      <c r="GS356" s="208"/>
      <c r="GT356" s="208"/>
      <c r="GU356" s="213">
        <v>351</v>
      </c>
    </row>
    <row r="357" spans="1:203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419.36684092127382</v>
      </c>
      <c r="AO357">
        <v>32.088828647024037</v>
      </c>
      <c r="AP357">
        <v>19.077679079290469</v>
      </c>
      <c r="AQ357">
        <v>227.66248091673978</v>
      </c>
      <c r="AR357">
        <v>31.400702121699428</v>
      </c>
      <c r="AS357">
        <v>515.38415393591447</v>
      </c>
      <c r="AT357">
        <v>19.989844426874182</v>
      </c>
      <c r="AU357">
        <v>-52.328387313654595</v>
      </c>
      <c r="AV357"/>
      <c r="AW357"/>
      <c r="FY357" s="213">
        <v>352</v>
      </c>
      <c r="FZ357">
        <v>43.330023122171639</v>
      </c>
      <c r="GA357">
        <v>40.991882017132866</v>
      </c>
      <c r="GB357">
        <v>28.369136464957176</v>
      </c>
      <c r="GC357">
        <v>12.545463119988757</v>
      </c>
      <c r="GD357">
        <v>2.7050819785756635</v>
      </c>
      <c r="GE357">
        <v>3.7439328741304054</v>
      </c>
      <c r="GF357">
        <v>5.1269548731313872</v>
      </c>
      <c r="GG357">
        <v>4.4495173797877703</v>
      </c>
      <c r="GH357">
        <v>4.971171647372981</v>
      </c>
      <c r="GI357">
        <v>16.593242848921147</v>
      </c>
      <c r="GJ357"/>
      <c r="GK357"/>
      <c r="GL357"/>
      <c r="GM357"/>
      <c r="GN357" s="208"/>
      <c r="GO357" s="208"/>
      <c r="GP357" s="208"/>
      <c r="GQ357" s="208"/>
      <c r="GR357" s="208"/>
      <c r="GS357" s="208"/>
      <c r="GT357" s="208"/>
      <c r="GU357" s="213">
        <v>352</v>
      </c>
    </row>
    <row r="358" spans="1:203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234.87054252978936</v>
      </c>
      <c r="AO358">
        <v>23.483375192746678</v>
      </c>
      <c r="AP358">
        <v>23.424275251291569</v>
      </c>
      <c r="AQ358">
        <v>167.33830346851158</v>
      </c>
      <c r="AR358">
        <v>25.421813494664679</v>
      </c>
      <c r="AS358">
        <v>369.47976136170251</v>
      </c>
      <c r="AT358">
        <v>16.199308469272335</v>
      </c>
      <c r="AU358">
        <v>18.234555115525943</v>
      </c>
      <c r="AV358"/>
      <c r="AW358"/>
      <c r="FY358" s="213">
        <v>353</v>
      </c>
      <c r="FZ358">
        <v>38.86729417010077</v>
      </c>
      <c r="GA358">
        <v>63.724542338067998</v>
      </c>
      <c r="GB358">
        <v>57.334445623485195</v>
      </c>
      <c r="GC358">
        <v>21.163508893009791</v>
      </c>
      <c r="GD358">
        <v>2.110436460987263</v>
      </c>
      <c r="GE358">
        <v>2.83179646180366</v>
      </c>
      <c r="GF358">
        <v>9.7162696087598057</v>
      </c>
      <c r="GG358">
        <v>9.7174062923308817</v>
      </c>
      <c r="GH358">
        <v>7.8571680761007876</v>
      </c>
      <c r="GI358">
        <v>24.026653474931841</v>
      </c>
      <c r="GJ358"/>
      <c r="GK358"/>
      <c r="GL358"/>
      <c r="GM358"/>
      <c r="GN358" s="208"/>
      <c r="GO358" s="208"/>
      <c r="GP358" s="208"/>
      <c r="GQ358" s="208"/>
      <c r="GR358" s="208"/>
      <c r="GS358" s="208"/>
      <c r="GT358" s="208"/>
      <c r="GU358" s="213">
        <v>353</v>
      </c>
    </row>
    <row r="359" spans="1:203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268.69401720388146</v>
      </c>
      <c r="AO359">
        <v>22.38888402254495</v>
      </c>
      <c r="AP359">
        <v>25.108722512974687</v>
      </c>
      <c r="AQ359">
        <v>153.59461993444836</v>
      </c>
      <c r="AR359">
        <v>23.201758759645408</v>
      </c>
      <c r="AS359">
        <v>365.52014617001339</v>
      </c>
      <c r="AT359">
        <v>14.360077997204675</v>
      </c>
      <c r="AU359">
        <v>13.468428816368064</v>
      </c>
      <c r="AV359"/>
      <c r="AW359"/>
      <c r="FY359" s="213">
        <v>354</v>
      </c>
      <c r="FZ359">
        <v>43.120908809456083</v>
      </c>
      <c r="GA359">
        <v>50.664886934882958</v>
      </c>
      <c r="GB359">
        <v>36.02461135988419</v>
      </c>
      <c r="GC359">
        <v>14.59989007987409</v>
      </c>
      <c r="GD359">
        <v>6.7408513475461147</v>
      </c>
      <c r="GE359">
        <v>10.979334064217905</v>
      </c>
      <c r="GF359">
        <v>7.6507738440707911</v>
      </c>
      <c r="GG359">
        <v>8.37844699842503</v>
      </c>
      <c r="GH359">
        <v>5.2791206458697726</v>
      </c>
      <c r="GI359">
        <v>21.267273364632885</v>
      </c>
      <c r="GJ359"/>
      <c r="GK359"/>
      <c r="GL359"/>
      <c r="GM359"/>
      <c r="GN359" s="208"/>
      <c r="GO359" s="208"/>
      <c r="GP359" s="208"/>
      <c r="GQ359" s="208"/>
      <c r="GR359" s="208"/>
      <c r="GS359" s="208"/>
      <c r="GT359" s="208"/>
      <c r="GU359" s="213">
        <v>354</v>
      </c>
    </row>
    <row r="360" spans="1:203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333.02859717058976</v>
      </c>
      <c r="AO360">
        <v>26.789234333394148</v>
      </c>
      <c r="AP360">
        <v>35.01185846695769</v>
      </c>
      <c r="AQ360">
        <v>188.61189394491964</v>
      </c>
      <c r="AR360">
        <v>26.560521813850958</v>
      </c>
      <c r="AS360">
        <v>432.23943309813626</v>
      </c>
      <c r="AT360">
        <v>16.550402535397787</v>
      </c>
      <c r="AU360">
        <v>-15.916919988893948</v>
      </c>
      <c r="AV360"/>
      <c r="AW360"/>
      <c r="FY360" s="213">
        <v>355</v>
      </c>
      <c r="FZ360">
        <v>31.760756487934728</v>
      </c>
      <c r="GA360">
        <v>45.484645145712051</v>
      </c>
      <c r="GB360">
        <v>41.218396628027286</v>
      </c>
      <c r="GC360">
        <v>14.957132081439092</v>
      </c>
      <c r="GD360">
        <v>2.2625725023214072</v>
      </c>
      <c r="GE360">
        <v>2.1788393182303905</v>
      </c>
      <c r="GF360">
        <v>10.592680998617144</v>
      </c>
      <c r="GG360">
        <v>13.133773306326709</v>
      </c>
      <c r="GH360">
        <v>6.5789850606037747</v>
      </c>
      <c r="GI360">
        <v>19.07432268729141</v>
      </c>
      <c r="GJ360"/>
      <c r="GK360"/>
      <c r="GL360"/>
      <c r="GM360"/>
      <c r="GN360" s="208"/>
      <c r="GO360" s="208"/>
      <c r="GP360" s="208"/>
      <c r="GQ360" s="208"/>
      <c r="GR360" s="208"/>
      <c r="GS360" s="208"/>
      <c r="GT360" s="208"/>
      <c r="GU360" s="213">
        <v>355</v>
      </c>
    </row>
    <row r="361" spans="1:203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231.70490946674926</v>
      </c>
      <c r="AO361">
        <v>19.873744014480685</v>
      </c>
      <c r="AP361">
        <v>24.321259089334177</v>
      </c>
      <c r="AQ361">
        <v>126.63320366590966</v>
      </c>
      <c r="AR361">
        <v>20.141875344188541</v>
      </c>
      <c r="AS361">
        <v>302.73953996794819</v>
      </c>
      <c r="AT361">
        <v>11.996672829203</v>
      </c>
      <c r="AU361">
        <v>1.8336482537063326</v>
      </c>
      <c r="AV361"/>
      <c r="AW361"/>
      <c r="FY361" s="213">
        <v>356</v>
      </c>
      <c r="FZ361">
        <v>48.221219839951779</v>
      </c>
      <c r="GA361">
        <v>47.36670383398468</v>
      </c>
      <c r="GB361">
        <v>34.153018447439074</v>
      </c>
      <c r="GC361">
        <v>12.086568678140281</v>
      </c>
      <c r="GD361">
        <v>2.134148762496713</v>
      </c>
      <c r="GE361">
        <v>3.2278148730602543</v>
      </c>
      <c r="GF361">
        <v>6.9503358328815015</v>
      </c>
      <c r="GG361">
        <v>4.0732583638753646</v>
      </c>
      <c r="GH361">
        <v>7.8590986596291472</v>
      </c>
      <c r="GI361">
        <v>19.218194035598991</v>
      </c>
      <c r="GJ361"/>
      <c r="GK361"/>
      <c r="GL361"/>
      <c r="GM361"/>
      <c r="GN361" s="208"/>
      <c r="GO361" s="208"/>
      <c r="GP361" s="208"/>
      <c r="GQ361" s="208"/>
      <c r="GR361" s="208"/>
      <c r="GS361" s="208"/>
      <c r="GT361" s="208"/>
      <c r="GU361" s="213">
        <v>356</v>
      </c>
    </row>
    <row r="362" spans="1:203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246.84695804583907</v>
      </c>
      <c r="AO362">
        <v>23.879460383620906</v>
      </c>
      <c r="AP362">
        <v>16.567460032768192</v>
      </c>
      <c r="AQ362">
        <v>193.66659804907101</v>
      </c>
      <c r="AR362">
        <v>24.508977486412899</v>
      </c>
      <c r="AS362">
        <v>365.3358221716644</v>
      </c>
      <c r="AT362">
        <v>14.809172955139731</v>
      </c>
      <c r="AU362">
        <v>-22.07345499319473</v>
      </c>
      <c r="AV362"/>
      <c r="AW362"/>
      <c r="FY362" s="213">
        <v>357</v>
      </c>
      <c r="FZ362">
        <v>37.559038956080187</v>
      </c>
      <c r="GA362">
        <v>55.241535393367101</v>
      </c>
      <c r="GB362">
        <v>34.973014276186014</v>
      </c>
      <c r="GC362">
        <v>12.783313565842157</v>
      </c>
      <c r="GD362">
        <v>2.679803403996023</v>
      </c>
      <c r="GE362">
        <v>2.3370237138367127</v>
      </c>
      <c r="GF362">
        <v>4.4535229501574545</v>
      </c>
      <c r="GG362">
        <v>3.8355520978575885</v>
      </c>
      <c r="GH362">
        <v>6.8522188931280317</v>
      </c>
      <c r="GI362">
        <v>17.545655829955539</v>
      </c>
      <c r="GJ362"/>
      <c r="GK362"/>
      <c r="GL362"/>
      <c r="GM362"/>
      <c r="GN362" s="208"/>
      <c r="GO362" s="208"/>
      <c r="GP362" s="208"/>
      <c r="GQ362" s="208"/>
      <c r="GR362" s="208"/>
      <c r="GS362" s="208"/>
      <c r="GT362" s="208"/>
      <c r="GU362" s="213">
        <v>357</v>
      </c>
    </row>
    <row r="363" spans="1:203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261.8439898275401</v>
      </c>
      <c r="AO363">
        <v>25.136448474243842</v>
      </c>
      <c r="AP363">
        <v>23.858128361785816</v>
      </c>
      <c r="AQ363">
        <v>170.3319364069323</v>
      </c>
      <c r="AR363">
        <v>25.940812629313218</v>
      </c>
      <c r="AS363">
        <v>348.09592526409295</v>
      </c>
      <c r="AT363">
        <v>15.266607273519801</v>
      </c>
      <c r="AU363">
        <v>5.5751591770514892</v>
      </c>
      <c r="AV363"/>
      <c r="AW363"/>
      <c r="FY363" s="213">
        <v>358</v>
      </c>
      <c r="FZ363">
        <v>46.722861944879597</v>
      </c>
      <c r="GA363">
        <v>43.856068662364308</v>
      </c>
      <c r="GB363">
        <v>25.585395524654917</v>
      </c>
      <c r="GC363">
        <v>11.402780396915219</v>
      </c>
      <c r="GD363">
        <v>2.0489580123367981</v>
      </c>
      <c r="GE363">
        <v>3.1092129895552247</v>
      </c>
      <c r="GF363">
        <v>2.6602923094956141</v>
      </c>
      <c r="GG363">
        <v>4.6857583083245293</v>
      </c>
      <c r="GH363">
        <v>11.344150612177806</v>
      </c>
      <c r="GI363">
        <v>16.620561325665093</v>
      </c>
      <c r="GJ363"/>
      <c r="GK363"/>
      <c r="GL363"/>
      <c r="GM363"/>
      <c r="GN363" s="208"/>
      <c r="GO363" s="208"/>
      <c r="GP363" s="208"/>
      <c r="GQ363" s="208"/>
      <c r="GR363" s="208"/>
      <c r="GS363" s="208"/>
      <c r="GT363" s="208"/>
      <c r="GU363" s="213">
        <v>358</v>
      </c>
    </row>
    <row r="364" spans="1:203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381.34547514091656</v>
      </c>
      <c r="AO364">
        <v>30.686962172720087</v>
      </c>
      <c r="AP364">
        <v>41.350187228534466</v>
      </c>
      <c r="AQ364">
        <v>219.70383875532951</v>
      </c>
      <c r="AR364">
        <v>30.84682428867519</v>
      </c>
      <c r="AS364">
        <v>464.27500429567107</v>
      </c>
      <c r="AT364">
        <v>18.624955429037488</v>
      </c>
      <c r="AU364">
        <v>-16.426330698483874</v>
      </c>
      <c r="AV364"/>
      <c r="AW364"/>
      <c r="FY364" s="213">
        <v>359</v>
      </c>
      <c r="FZ364">
        <v>49.063842871874215</v>
      </c>
      <c r="GA364">
        <v>56.78987179380303</v>
      </c>
      <c r="GB364">
        <v>35.375527871642973</v>
      </c>
      <c r="GC364">
        <v>12.12501737676364</v>
      </c>
      <c r="GD364">
        <v>4.5218340541137492</v>
      </c>
      <c r="GE364">
        <v>7.1380562224353916</v>
      </c>
      <c r="GF364">
        <v>0.87498512579844034</v>
      </c>
      <c r="GG364">
        <v>2.8703711839298909</v>
      </c>
      <c r="GH364">
        <v>5.2445887720129756</v>
      </c>
      <c r="GI364">
        <v>19.477518015937722</v>
      </c>
      <c r="GJ364"/>
      <c r="GK364"/>
      <c r="GL364"/>
      <c r="GM364"/>
      <c r="GN364" s="208"/>
      <c r="GO364" s="208"/>
      <c r="GP364" s="208"/>
      <c r="GQ364" s="208"/>
      <c r="GR364" s="208"/>
      <c r="GS364" s="208"/>
      <c r="GT364" s="208"/>
      <c r="GU364" s="213">
        <v>359</v>
      </c>
    </row>
    <row r="365" spans="1:203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220.78368280434952</v>
      </c>
      <c r="AO365">
        <v>22.627816063335558</v>
      </c>
      <c r="AP365">
        <v>33.388177083150126</v>
      </c>
      <c r="AQ365">
        <v>152.86115263571432</v>
      </c>
      <c r="AR365">
        <v>23.093416104536626</v>
      </c>
      <c r="AS365">
        <v>311.39882238462786</v>
      </c>
      <c r="AT365">
        <v>13.516873669919987</v>
      </c>
      <c r="AU365">
        <v>-5.8597833067423615</v>
      </c>
      <c r="AV365"/>
      <c r="AW365"/>
      <c r="FY365" s="213">
        <v>360</v>
      </c>
      <c r="FZ365">
        <v>51.696195507082557</v>
      </c>
      <c r="GA365">
        <v>49.294202419532418</v>
      </c>
      <c r="GB365">
        <v>30.363155128911355</v>
      </c>
      <c r="GC365">
        <v>13.774907875919299</v>
      </c>
      <c r="GD365">
        <v>2.8617500007396015</v>
      </c>
      <c r="GE365">
        <v>5.4303700219417141</v>
      </c>
      <c r="GF365">
        <v>10.103015757836127</v>
      </c>
      <c r="GG365">
        <v>10.693051194770891</v>
      </c>
      <c r="GH365">
        <v>7.1471581382336575</v>
      </c>
      <c r="GI365">
        <v>19.674775549453987</v>
      </c>
      <c r="GJ365"/>
      <c r="GK365"/>
      <c r="GL365"/>
      <c r="GM365"/>
      <c r="GN365" s="208"/>
      <c r="GO365" s="208"/>
      <c r="GP365" s="208"/>
      <c r="GQ365" s="208"/>
      <c r="GR365" s="208"/>
      <c r="GS365" s="208"/>
      <c r="GT365" s="208"/>
      <c r="GU365" s="213">
        <v>360</v>
      </c>
    </row>
    <row r="366" spans="1:203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187.90119406355262</v>
      </c>
      <c r="AO366">
        <v>17.616088379242743</v>
      </c>
      <c r="AP366">
        <v>23.687877384823175</v>
      </c>
      <c r="AQ366">
        <v>127.81935999859815</v>
      </c>
      <c r="AR366">
        <v>19.516243936954304</v>
      </c>
      <c r="AS366">
        <v>258.02894983797609</v>
      </c>
      <c r="AT366">
        <v>11.392546608301464</v>
      </c>
      <c r="AU366">
        <v>22.218561708941838</v>
      </c>
      <c r="AV366"/>
      <c r="AW366"/>
      <c r="FY366" s="213">
        <v>361</v>
      </c>
      <c r="FZ366">
        <v>47.919921060405926</v>
      </c>
      <c r="GA366">
        <v>20.008615682899091</v>
      </c>
      <c r="GB366">
        <v>29.876166482601555</v>
      </c>
      <c r="GC366">
        <v>17.979587360436103</v>
      </c>
      <c r="GD366">
        <v>3.8506043022834056</v>
      </c>
      <c r="GE366">
        <v>3.9751256746508719</v>
      </c>
      <c r="GF366">
        <v>4.0749728636644269</v>
      </c>
      <c r="GG366">
        <v>6.9367131145518472</v>
      </c>
      <c r="GH366">
        <v>8.8493087008466667</v>
      </c>
      <c r="GI366">
        <v>18.75204651705312</v>
      </c>
      <c r="GJ366"/>
      <c r="GK366"/>
      <c r="GL366"/>
      <c r="GM366"/>
      <c r="GN366" s="208"/>
      <c r="GO366" s="208"/>
      <c r="GP366" s="208"/>
      <c r="GQ366" s="208"/>
      <c r="GR366" s="208"/>
      <c r="GS366" s="208"/>
      <c r="GT366" s="208"/>
      <c r="GU366" s="213">
        <v>361</v>
      </c>
    </row>
    <row r="367" spans="1:203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231.39762823783366</v>
      </c>
      <c r="AO367">
        <v>22.455954451207717</v>
      </c>
      <c r="AP367">
        <v>25.266678141645322</v>
      </c>
      <c r="AQ367">
        <v>162.83026957888811</v>
      </c>
      <c r="AR367">
        <v>23.386236166403645</v>
      </c>
      <c r="AS367">
        <v>293.46549177534138</v>
      </c>
      <c r="AT367">
        <v>13.68870296589556</v>
      </c>
      <c r="AU367">
        <v>10.432126594704627</v>
      </c>
      <c r="AV367"/>
      <c r="AW367"/>
      <c r="FY367" s="213">
        <v>362</v>
      </c>
      <c r="FZ367">
        <v>46.678402265989526</v>
      </c>
      <c r="GA367">
        <v>37.784120224082685</v>
      </c>
      <c r="GB367">
        <v>34.712932289086737</v>
      </c>
      <c r="GC367">
        <v>15.114633677471279</v>
      </c>
      <c r="GD367">
        <v>3.4665146766356525</v>
      </c>
      <c r="GE367">
        <v>3.3626504408413358</v>
      </c>
      <c r="GF367">
        <v>5.3192740390974755</v>
      </c>
      <c r="GG367">
        <v>3.8100403417584499</v>
      </c>
      <c r="GH367">
        <v>3.8270058074329518</v>
      </c>
      <c r="GI367">
        <v>18.950825015627924</v>
      </c>
      <c r="GJ367"/>
      <c r="GK367"/>
      <c r="GL367"/>
      <c r="GM367"/>
      <c r="GN367" s="208"/>
      <c r="GO367" s="208"/>
      <c r="GP367" s="208"/>
      <c r="GQ367" s="208"/>
      <c r="GR367" s="208"/>
      <c r="GS367" s="208"/>
      <c r="GT367" s="208"/>
      <c r="GU367" s="213">
        <v>362</v>
      </c>
    </row>
    <row r="368" spans="1:203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245.37454186910668</v>
      </c>
      <c r="AO368">
        <v>22.386196902038677</v>
      </c>
      <c r="AP368">
        <v>37.946954597939516</v>
      </c>
      <c r="AQ368">
        <v>162.82640632616977</v>
      </c>
      <c r="AR368">
        <v>22.849585207009728</v>
      </c>
      <c r="AS368">
        <v>355.60481861134497</v>
      </c>
      <c r="AT368">
        <v>13.766136938400654</v>
      </c>
      <c r="AU368">
        <v>-14.754341363695094</v>
      </c>
      <c r="AV368"/>
      <c r="AW368"/>
      <c r="FY368" s="213">
        <v>363</v>
      </c>
      <c r="FZ368">
        <v>37.899507268595414</v>
      </c>
      <c r="GA368">
        <v>17.710210960808215</v>
      </c>
      <c r="GB368">
        <v>18.637184702407868</v>
      </c>
      <c r="GC368">
        <v>11.117228793301818</v>
      </c>
      <c r="GD368">
        <v>3.2774370086440716</v>
      </c>
      <c r="GE368">
        <v>5.6405709271988105</v>
      </c>
      <c r="GF368">
        <v>5.5370815427715883</v>
      </c>
      <c r="GG368">
        <v>5.2302074841432056</v>
      </c>
      <c r="GH368">
        <v>6.4593490806185123</v>
      </c>
      <c r="GI368">
        <v>14.057411529598269</v>
      </c>
      <c r="GJ368"/>
      <c r="GK368"/>
      <c r="GL368"/>
      <c r="GM368"/>
      <c r="GN368" s="208"/>
      <c r="GO368" s="208"/>
      <c r="GP368" s="208"/>
      <c r="GQ368" s="208"/>
      <c r="GR368" s="208"/>
      <c r="GS368" s="208"/>
      <c r="GT368" s="208"/>
      <c r="GU368" s="213">
        <v>363</v>
      </c>
    </row>
    <row r="369" spans="1:203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326.99882424888511</v>
      </c>
      <c r="AO369">
        <v>33.390545661166954</v>
      </c>
      <c r="AP369">
        <v>19.865875615767695</v>
      </c>
      <c r="AQ369">
        <v>237.34952139957801</v>
      </c>
      <c r="AR369">
        <v>32.784969207939533</v>
      </c>
      <c r="AS369">
        <v>509.99211335352624</v>
      </c>
      <c r="AT369">
        <v>21.049532080126905</v>
      </c>
      <c r="AU369">
        <v>-20.576995955311709</v>
      </c>
      <c r="AV369"/>
      <c r="AW369"/>
      <c r="FY369" s="213">
        <v>364</v>
      </c>
      <c r="FZ369">
        <v>54.509282066013924</v>
      </c>
      <c r="GA369">
        <v>68.173527348023185</v>
      </c>
      <c r="GB369">
        <v>40.663512235838766</v>
      </c>
      <c r="GC369">
        <v>12.940557150783564</v>
      </c>
      <c r="GD369">
        <v>3.1888158365662163</v>
      </c>
      <c r="GE369">
        <v>4.4568457217575972</v>
      </c>
      <c r="GF369">
        <v>1.7287798032020487</v>
      </c>
      <c r="GG369">
        <v>2.7111126411961477</v>
      </c>
      <c r="GH369">
        <v>6.7485905849096666</v>
      </c>
      <c r="GI369">
        <v>21.207672846896095</v>
      </c>
      <c r="GJ369"/>
      <c r="GK369"/>
      <c r="GL369"/>
      <c r="GM369"/>
      <c r="GN369" s="208"/>
      <c r="GO369" s="208"/>
      <c r="GP369" s="208"/>
      <c r="GQ369" s="208"/>
      <c r="GR369" s="208"/>
      <c r="GS369" s="208"/>
      <c r="GT369" s="208"/>
      <c r="GU369" s="213">
        <v>364</v>
      </c>
    </row>
    <row r="370" spans="1:203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354.30030420043289</v>
      </c>
      <c r="AO370">
        <v>29.45577849086958</v>
      </c>
      <c r="AP370">
        <v>30.270422552195161</v>
      </c>
      <c r="AQ370">
        <v>204.70609744885979</v>
      </c>
      <c r="AR370">
        <v>29.060903765220438</v>
      </c>
      <c r="AS370">
        <v>476.27919458534421</v>
      </c>
      <c r="AT370">
        <v>18.259739504415851</v>
      </c>
      <c r="AU370">
        <v>-31.139205048256386</v>
      </c>
      <c r="AV370"/>
      <c r="AW370"/>
      <c r="FY370" s="213">
        <v>365</v>
      </c>
      <c r="FZ370">
        <v>38.177689811233904</v>
      </c>
      <c r="GA370">
        <v>34.278878201003693</v>
      </c>
      <c r="GB370">
        <v>34.516173723387851</v>
      </c>
      <c r="GC370">
        <v>17.525577615087183</v>
      </c>
      <c r="GD370">
        <v>3.0303041510844344</v>
      </c>
      <c r="GE370">
        <v>5.2240938452402164</v>
      </c>
      <c r="GF370">
        <v>7.1838600970451463</v>
      </c>
      <c r="GG370">
        <v>5.9220983208715268</v>
      </c>
      <c r="GH370">
        <v>10.561897083856056</v>
      </c>
      <c r="GI370">
        <v>18.825832180247687</v>
      </c>
      <c r="GJ370"/>
      <c r="GK370"/>
      <c r="GL370"/>
      <c r="GM370"/>
      <c r="GN370" s="208"/>
      <c r="GO370" s="208"/>
      <c r="GP370" s="208"/>
      <c r="GQ370" s="208"/>
      <c r="GR370" s="208"/>
      <c r="GS370" s="208"/>
      <c r="GT370" s="208"/>
      <c r="GU370" s="213">
        <v>365</v>
      </c>
    </row>
    <row r="371" spans="1:203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269.62288576651156</v>
      </c>
      <c r="AO371">
        <v>26.25451320512807</v>
      </c>
      <c r="AP371">
        <v>165.72020823047345</v>
      </c>
      <c r="AQ371">
        <v>187.24210421650398</v>
      </c>
      <c r="AR371">
        <v>26.019392559159684</v>
      </c>
      <c r="AS371">
        <v>389.16822274761563</v>
      </c>
      <c r="AT371" t="e">
        <v>#DIV/0!</v>
      </c>
      <c r="AU371" t="e">
        <v>#DIV/0!</v>
      </c>
      <c r="AV371"/>
      <c r="AW371"/>
      <c r="FY371" s="213">
        <v>366</v>
      </c>
      <c r="FZ371">
        <v>39.724886795500794</v>
      </c>
      <c r="GA371">
        <v>51.745810492003457</v>
      </c>
      <c r="GB371">
        <v>43.340304608313069</v>
      </c>
      <c r="GC371">
        <v>15.345888760387538</v>
      </c>
      <c r="GD371">
        <v>4.0172617407078066</v>
      </c>
      <c r="GE371">
        <v>8.3415337123123265</v>
      </c>
      <c r="GF371">
        <v>3.6053222726861316</v>
      </c>
      <c r="GG371">
        <v>1.4457007802853712</v>
      </c>
      <c r="GH371">
        <v>4.222326412927619</v>
      </c>
      <c r="GI371">
        <v>20.116288862196981</v>
      </c>
      <c r="GJ371"/>
      <c r="GK371"/>
      <c r="GL371"/>
      <c r="GM371"/>
      <c r="GN371" s="208"/>
      <c r="GO371" s="208"/>
      <c r="GP371" s="208"/>
      <c r="GQ371" s="208"/>
      <c r="GR371" s="208"/>
      <c r="GS371" s="208"/>
      <c r="GT371" s="208"/>
      <c r="GU371" s="213">
        <v>366</v>
      </c>
    </row>
    <row r="372" spans="1:203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1.1192378560128725E-3</v>
      </c>
      <c r="H372" s="59">
        <f t="shared" ref="H372:AK372" si="357">+H36</f>
        <v>7.2275999999999998E-3</v>
      </c>
      <c r="I372" s="59">
        <f t="shared" si="357"/>
        <v>4.6673011888725101E-2</v>
      </c>
      <c r="J372" s="59">
        <f t="shared" si="357"/>
        <v>0.13897203136197886</v>
      </c>
      <c r="K372" s="59">
        <f t="shared" si="357"/>
        <v>0.30139604277562043</v>
      </c>
      <c r="L372" s="59">
        <f t="shared" si="357"/>
        <v>0.54944267880487196</v>
      </c>
      <c r="M372" s="59">
        <f t="shared" si="357"/>
        <v>0.89742698433199364</v>
      </c>
      <c r="N372" s="59">
        <f t="shared" si="357"/>
        <v>1.3587918549382612</v>
      </c>
      <c r="O372" s="59">
        <f t="shared" si="357"/>
        <v>1.9462976766397186</v>
      </c>
      <c r="P372" s="59">
        <f t="shared" si="357"/>
        <v>2.6721491921073159</v>
      </c>
      <c r="Q372" s="59">
        <f t="shared" si="357"/>
        <v>3.5480857656805531</v>
      </c>
      <c r="R372" s="59">
        <f t="shared" si="357"/>
        <v>4.5854485507812486</v>
      </c>
      <c r="S372" s="59">
        <f t="shared" si="357"/>
        <v>5.7952322083388497</v>
      </c>
      <c r="T372" s="59">
        <f t="shared" si="357"/>
        <v>7.1881258189983859</v>
      </c>
      <c r="U372" s="59">
        <f t="shared" si="357"/>
        <v>8.7745459626758926</v>
      </c>
      <c r="V372" s="59">
        <f t="shared" si="357"/>
        <v>10.564663953522661</v>
      </c>
      <c r="W372" s="59">
        <f t="shared" si="357"/>
        <v>12.568428607117669</v>
      </c>
      <c r="X372" s="59">
        <f t="shared" si="357"/>
        <v>14.795585521883805</v>
      </c>
      <c r="Y372" s="59">
        <f t="shared" si="357"/>
        <v>17.255693592848509</v>
      </c>
      <c r="Z372" s="59">
        <f t="shared" si="357"/>
        <v>19.958139294316886</v>
      </c>
      <c r="AA372" s="59">
        <f t="shared" si="357"/>
        <v>22.912149139939221</v>
      </c>
      <c r="AB372" s="59">
        <f t="shared" si="357"/>
        <v>26.126800636294448</v>
      </c>
      <c r="AC372" s="59">
        <f t="shared" si="357"/>
        <v>29.611031978215532</v>
      </c>
      <c r="AD372" s="59">
        <f t="shared" si="357"/>
        <v>33.373650683313194</v>
      </c>
      <c r="AE372" s="59">
        <f t="shared" si="357"/>
        <v>37.423341324605943</v>
      </c>
      <c r="AF372" s="59">
        <f t="shared" si="357"/>
        <v>41.768672490491134</v>
      </c>
      <c r="AG372" s="59">
        <f t="shared" si="357"/>
        <v>46.418103078167533</v>
      </c>
      <c r="AH372" s="59">
        <f t="shared" si="357"/>
        <v>51.37998800838789</v>
      </c>
      <c r="AI372" s="59">
        <f t="shared" si="357"/>
        <v>56.662583434907432</v>
      </c>
      <c r="AJ372" s="59">
        <f t="shared" si="357"/>
        <v>62.274051510321357</v>
      </c>
      <c r="AK372" s="59">
        <f t="shared" si="357"/>
        <v>68.222464760522016</v>
      </c>
      <c r="AL372" s="78"/>
      <c r="AM372" s="43">
        <v>356</v>
      </c>
      <c r="AN372">
        <v>267.70974288248533</v>
      </c>
      <c r="AO372">
        <v>24.689496503863406</v>
      </c>
      <c r="AP372">
        <v>20.753143267635988</v>
      </c>
      <c r="AQ372">
        <v>185.29036132705781</v>
      </c>
      <c r="AR372">
        <v>26.352631025857345</v>
      </c>
      <c r="AS372">
        <v>363.14929770955365</v>
      </c>
      <c r="AT372">
        <v>16.236299025904021</v>
      </c>
      <c r="AU372">
        <v>-6.4672012922523621</v>
      </c>
      <c r="AV372"/>
      <c r="AW372"/>
      <c r="FY372" s="213">
        <v>367</v>
      </c>
      <c r="FZ372">
        <v>41.195809186186153</v>
      </c>
      <c r="GA372">
        <v>35.191177665246748</v>
      </c>
      <c r="GB372">
        <v>30.973435064041784</v>
      </c>
      <c r="GC372">
        <v>14.567454439702768</v>
      </c>
      <c r="GD372">
        <v>4.9996725739965662</v>
      </c>
      <c r="GE372">
        <v>7.4011368092284027</v>
      </c>
      <c r="GF372">
        <v>4.7994584792281838</v>
      </c>
      <c r="GG372">
        <v>5.6656715925513215</v>
      </c>
      <c r="GH372">
        <v>9.3474794325973125</v>
      </c>
      <c r="GI372">
        <v>18.88208263461782</v>
      </c>
      <c r="GJ372"/>
      <c r="GK372"/>
      <c r="GL372"/>
      <c r="GM372"/>
      <c r="GN372" s="208"/>
      <c r="GO372" s="208"/>
      <c r="GP372" s="208"/>
      <c r="GQ372" s="208"/>
      <c r="GR372" s="208"/>
      <c r="GS372" s="208"/>
      <c r="GT372" s="208"/>
      <c r="GU372" s="213">
        <v>367</v>
      </c>
    </row>
    <row r="373" spans="1:203" s="7" customFormat="1">
      <c r="A373" s="95"/>
      <c r="B373" s="71">
        <f t="shared" ref="B373:B378" si="358">+C4</f>
        <v>39646</v>
      </c>
      <c r="C373" s="18">
        <f t="shared" ref="C373:C382" si="359">+D70</f>
        <v>180.20833333333334</v>
      </c>
      <c r="D373" s="18">
        <f t="shared" ref="D373:D382" si="360">SUM(G373:AK373)</f>
        <v>50.234217616899329</v>
      </c>
      <c r="E373" s="19">
        <f t="shared" ref="E373:E382" si="361">IF(C373&lt;1, 0.000001, D373/C373)</f>
        <v>0.27875635209377658</v>
      </c>
      <c r="F373" s="19"/>
      <c r="G373" s="18">
        <f>AVERAGE(E228:E237)*G$372</f>
        <v>0</v>
      </c>
      <c r="H373" s="18">
        <f t="shared" ref="H373:AK373" si="362">AVERAGE(F228:F237)*H$372</f>
        <v>1.5057499999999998E-2</v>
      </c>
      <c r="I373" s="18">
        <f t="shared" si="362"/>
        <v>3.0629164051975852</v>
      </c>
      <c r="J373" s="18">
        <f t="shared" si="362"/>
        <v>4.7771635780680226</v>
      </c>
      <c r="K373" s="18">
        <f t="shared" si="362"/>
        <v>10.046534759187349</v>
      </c>
      <c r="L373" s="18">
        <f t="shared" si="362"/>
        <v>15.453075341387024</v>
      </c>
      <c r="M373" s="18">
        <f t="shared" si="362"/>
        <v>11.217837304149921</v>
      </c>
      <c r="N373" s="18">
        <f t="shared" si="362"/>
        <v>5.6616327289094208</v>
      </c>
      <c r="O373" s="18">
        <f t="shared" si="362"/>
        <v>0</v>
      </c>
      <c r="P373" s="18">
        <f t="shared" si="362"/>
        <v>0</v>
      </c>
      <c r="Q373" s="18">
        <f t="shared" si="362"/>
        <v>0</v>
      </c>
      <c r="R373" s="18">
        <f t="shared" si="362"/>
        <v>0</v>
      </c>
      <c r="S373" s="18">
        <f t="shared" si="362"/>
        <v>0</v>
      </c>
      <c r="T373" s="18">
        <f t="shared" si="362"/>
        <v>0</v>
      </c>
      <c r="U373" s="18">
        <f t="shared" si="362"/>
        <v>0</v>
      </c>
      <c r="V373" s="18">
        <f t="shared" si="362"/>
        <v>0</v>
      </c>
      <c r="W373" s="18">
        <f t="shared" si="362"/>
        <v>0</v>
      </c>
      <c r="X373" s="18">
        <f t="shared" si="362"/>
        <v>0</v>
      </c>
      <c r="Y373" s="18">
        <f t="shared" si="362"/>
        <v>0</v>
      </c>
      <c r="Z373" s="18">
        <f t="shared" si="362"/>
        <v>0</v>
      </c>
      <c r="AA373" s="18">
        <f t="shared" si="362"/>
        <v>0</v>
      </c>
      <c r="AB373" s="18">
        <f t="shared" si="362"/>
        <v>0</v>
      </c>
      <c r="AC373" s="18">
        <f t="shared" si="362"/>
        <v>0</v>
      </c>
      <c r="AD373" s="18">
        <f t="shared" si="362"/>
        <v>0</v>
      </c>
      <c r="AE373" s="18">
        <f t="shared" si="362"/>
        <v>0</v>
      </c>
      <c r="AF373" s="18">
        <f t="shared" si="362"/>
        <v>0</v>
      </c>
      <c r="AG373" s="18">
        <f t="shared" si="362"/>
        <v>0</v>
      </c>
      <c r="AH373" s="18">
        <f t="shared" si="362"/>
        <v>0</v>
      </c>
      <c r="AI373" s="18">
        <f t="shared" si="362"/>
        <v>0</v>
      </c>
      <c r="AJ373" s="18">
        <f t="shared" si="362"/>
        <v>0</v>
      </c>
      <c r="AK373" s="18">
        <f t="shared" si="362"/>
        <v>0</v>
      </c>
      <c r="AL373" s="78"/>
      <c r="AM373" s="43">
        <v>357</v>
      </c>
      <c r="AN373">
        <v>235.97962569602828</v>
      </c>
      <c r="AO373">
        <v>23.893351728034716</v>
      </c>
      <c r="AP373">
        <v>13.76724852626467</v>
      </c>
      <c r="AQ373">
        <v>178.26067908040682</v>
      </c>
      <c r="AR373">
        <v>23.932306113964536</v>
      </c>
      <c r="AS373">
        <v>360.89694174245273</v>
      </c>
      <c r="AT373">
        <v>15.694319127470559</v>
      </c>
      <c r="AU373">
        <v>-29.581443247537116</v>
      </c>
      <c r="AV373"/>
      <c r="AW373"/>
      <c r="FY373" s="213">
        <v>368</v>
      </c>
      <c r="FZ373">
        <v>57.491406578067235</v>
      </c>
      <c r="GA373">
        <v>51.299067459760614</v>
      </c>
      <c r="GB373">
        <v>35.373489381468374</v>
      </c>
      <c r="GC373">
        <v>19.632309811058935</v>
      </c>
      <c r="GD373">
        <v>5.5098845682520343</v>
      </c>
      <c r="GE373">
        <v>5.3513281184779098</v>
      </c>
      <c r="GF373">
        <v>7.9429188365990449</v>
      </c>
      <c r="GG373">
        <v>8.7093332005383246</v>
      </c>
      <c r="GH373">
        <v>9.1025337360459542</v>
      </c>
      <c r="GI373">
        <v>23.198544747733745</v>
      </c>
      <c r="GJ373"/>
      <c r="GK373"/>
      <c r="GL373"/>
      <c r="GM373"/>
      <c r="GN373" s="208"/>
      <c r="GO373" s="208"/>
      <c r="GP373" s="208"/>
      <c r="GQ373" s="208"/>
      <c r="GR373" s="208"/>
      <c r="GS373" s="208"/>
      <c r="GT373" s="208"/>
      <c r="GU373" s="213">
        <v>368</v>
      </c>
    </row>
    <row r="374" spans="1:203" s="7" customFormat="1">
      <c r="A374" s="95"/>
      <c r="B374" s="71">
        <f t="shared" si="358"/>
        <v>39673</v>
      </c>
      <c r="C374" s="18">
        <f t="shared" si="359"/>
        <v>168.80047852474323</v>
      </c>
      <c r="D374" s="18">
        <f t="shared" si="360"/>
        <v>42.9802786535382</v>
      </c>
      <c r="E374" s="19">
        <f t="shared" si="361"/>
        <v>0.25462178205400071</v>
      </c>
      <c r="F374" s="19">
        <f>IF(F388&lt;0,0,F388)</f>
        <v>0</v>
      </c>
      <c r="G374" s="18">
        <f>AVERAGE(E238:E247)*G$372</f>
        <v>0</v>
      </c>
      <c r="H374" s="18">
        <f t="shared" ref="H374:AK374" si="363">AVERAGE(F238:F247)*H$372</f>
        <v>6.7758749999999993E-2</v>
      </c>
      <c r="I374" s="18">
        <f t="shared" si="363"/>
        <v>3.9598384511836153</v>
      </c>
      <c r="J374" s="18">
        <f t="shared" si="363"/>
        <v>3.3295382513807437</v>
      </c>
      <c r="K374" s="18">
        <f t="shared" si="363"/>
        <v>4.0814047459198601</v>
      </c>
      <c r="L374" s="18">
        <f t="shared" si="363"/>
        <v>8.4705746315751096</v>
      </c>
      <c r="M374" s="18">
        <f t="shared" si="363"/>
        <v>14.770152450464064</v>
      </c>
      <c r="N374" s="18">
        <f t="shared" si="363"/>
        <v>4.2462245466820665</v>
      </c>
      <c r="O374" s="18">
        <f t="shared" si="363"/>
        <v>4.0547868263327462</v>
      </c>
      <c r="P374" s="18">
        <f t="shared" si="363"/>
        <v>0</v>
      </c>
      <c r="Q374" s="18">
        <f t="shared" si="363"/>
        <v>0</v>
      </c>
      <c r="R374" s="18">
        <f t="shared" si="363"/>
        <v>0</v>
      </c>
      <c r="S374" s="18">
        <f t="shared" si="363"/>
        <v>0</v>
      </c>
      <c r="T374" s="18">
        <f t="shared" si="363"/>
        <v>0</v>
      </c>
      <c r="U374" s="18">
        <f t="shared" si="363"/>
        <v>0</v>
      </c>
      <c r="V374" s="18">
        <f t="shared" si="363"/>
        <v>0</v>
      </c>
      <c r="W374" s="18">
        <f t="shared" si="363"/>
        <v>0</v>
      </c>
      <c r="X374" s="18">
        <f t="shared" si="363"/>
        <v>0</v>
      </c>
      <c r="Y374" s="18">
        <f t="shared" si="363"/>
        <v>0</v>
      </c>
      <c r="Z374" s="18">
        <f t="shared" si="363"/>
        <v>0</v>
      </c>
      <c r="AA374" s="18">
        <f t="shared" si="363"/>
        <v>0</v>
      </c>
      <c r="AB374" s="18">
        <f t="shared" si="363"/>
        <v>0</v>
      </c>
      <c r="AC374" s="18">
        <f t="shared" si="363"/>
        <v>0</v>
      </c>
      <c r="AD374" s="18">
        <f t="shared" si="363"/>
        <v>0</v>
      </c>
      <c r="AE374" s="18">
        <f t="shared" si="363"/>
        <v>0</v>
      </c>
      <c r="AF374" s="18">
        <f t="shared" si="363"/>
        <v>0</v>
      </c>
      <c r="AG374" s="18">
        <f t="shared" si="363"/>
        <v>0</v>
      </c>
      <c r="AH374" s="18">
        <f t="shared" si="363"/>
        <v>0</v>
      </c>
      <c r="AI374" s="18">
        <f t="shared" si="363"/>
        <v>0</v>
      </c>
      <c r="AJ374" s="18">
        <f t="shared" si="363"/>
        <v>0</v>
      </c>
      <c r="AK374" s="18">
        <f t="shared" si="363"/>
        <v>0</v>
      </c>
      <c r="AL374" s="78"/>
      <c r="AM374" s="43">
        <v>358</v>
      </c>
      <c r="AN374">
        <v>196.19403361628088</v>
      </c>
      <c r="AO374">
        <v>22.149350663289194</v>
      </c>
      <c r="AP374">
        <v>31.132665820723854</v>
      </c>
      <c r="AQ374">
        <v>168.0360400863691</v>
      </c>
      <c r="AR374">
        <v>22.815683368345848</v>
      </c>
      <c r="AS374">
        <v>299.390085448055</v>
      </c>
      <c r="AT374">
        <v>14.432130089170663</v>
      </c>
      <c r="AU374">
        <v>-0.98419348435130161</v>
      </c>
      <c r="AV374"/>
      <c r="AW374"/>
      <c r="FY374" s="213">
        <v>369</v>
      </c>
      <c r="FZ374">
        <v>39.971662864034357</v>
      </c>
      <c r="GA374">
        <v>18.663973129877668</v>
      </c>
      <c r="GB374">
        <v>22.430138319251139</v>
      </c>
      <c r="GC374">
        <v>13.606584131861759</v>
      </c>
      <c r="GD374">
        <v>3.8272279909274505</v>
      </c>
      <c r="GE374">
        <v>5.5982138672153603</v>
      </c>
      <c r="GF374">
        <v>4.9733385100267462</v>
      </c>
      <c r="GG374">
        <v>3.6367124654248997</v>
      </c>
      <c r="GH374">
        <v>6.0918559092051003</v>
      </c>
      <c r="GI374">
        <v>15.460664370319588</v>
      </c>
      <c r="GJ374"/>
      <c r="GK374"/>
      <c r="GL374"/>
      <c r="GM374"/>
      <c r="GN374" s="208"/>
      <c r="GO374" s="208"/>
      <c r="GP374" s="208"/>
      <c r="GQ374" s="208"/>
      <c r="GR374" s="208"/>
      <c r="GS374" s="208"/>
      <c r="GT374" s="208"/>
      <c r="GU374" s="213">
        <v>369</v>
      </c>
    </row>
    <row r="375" spans="1:203" s="7" customFormat="1">
      <c r="A375" s="95"/>
      <c r="B375" s="71">
        <f t="shared" si="358"/>
        <v>39714</v>
      </c>
      <c r="C375" s="18">
        <f t="shared" si="359"/>
        <v>44.791666666666664</v>
      </c>
      <c r="D375" s="18">
        <f t="shared" si="360"/>
        <v>5.0157241958158867</v>
      </c>
      <c r="E375" s="19">
        <f t="shared" si="361"/>
        <v>0.11197895879030817</v>
      </c>
      <c r="F375" s="19">
        <f>IF(F389&lt;0,0,F389)</f>
        <v>0</v>
      </c>
      <c r="G375" s="18">
        <f>AVERAGE(E248:E257)*G$372</f>
        <v>0</v>
      </c>
      <c r="H375" s="18">
        <f t="shared" ref="H375:AK375" si="364">AVERAGE(F248:F257)*H$372</f>
        <v>1.5057499999999998E-2</v>
      </c>
      <c r="I375" s="18">
        <f t="shared" si="364"/>
        <v>0.72926581076132968</v>
      </c>
      <c r="J375" s="18">
        <f t="shared" si="364"/>
        <v>3.3295382513807432</v>
      </c>
      <c r="K375" s="18">
        <f t="shared" si="364"/>
        <v>0.94186263367381384</v>
      </c>
      <c r="L375" s="18">
        <f t="shared" si="364"/>
        <v>0</v>
      </c>
      <c r="M375" s="18">
        <f t="shared" si="364"/>
        <v>0</v>
      </c>
      <c r="N375" s="18">
        <f t="shared" si="364"/>
        <v>0</v>
      </c>
      <c r="O375" s="18">
        <f t="shared" si="364"/>
        <v>0</v>
      </c>
      <c r="P375" s="18">
        <f t="shared" si="364"/>
        <v>0</v>
      </c>
      <c r="Q375" s="18">
        <f t="shared" si="364"/>
        <v>0</v>
      </c>
      <c r="R375" s="18">
        <f t="shared" si="364"/>
        <v>0</v>
      </c>
      <c r="S375" s="18">
        <f t="shared" si="364"/>
        <v>0</v>
      </c>
      <c r="T375" s="18">
        <f t="shared" si="364"/>
        <v>0</v>
      </c>
      <c r="U375" s="18">
        <f t="shared" si="364"/>
        <v>0</v>
      </c>
      <c r="V375" s="18">
        <f t="shared" si="364"/>
        <v>0</v>
      </c>
      <c r="W375" s="18">
        <f t="shared" si="364"/>
        <v>0</v>
      </c>
      <c r="X375" s="18">
        <f t="shared" si="364"/>
        <v>0</v>
      </c>
      <c r="Y375" s="18">
        <f t="shared" si="364"/>
        <v>0</v>
      </c>
      <c r="Z375" s="18">
        <f t="shared" si="364"/>
        <v>0</v>
      </c>
      <c r="AA375" s="18">
        <f t="shared" si="364"/>
        <v>0</v>
      </c>
      <c r="AB375" s="18">
        <f t="shared" si="364"/>
        <v>0</v>
      </c>
      <c r="AC375" s="18">
        <f t="shared" si="364"/>
        <v>0</v>
      </c>
      <c r="AD375" s="18">
        <f t="shared" si="364"/>
        <v>0</v>
      </c>
      <c r="AE375" s="18">
        <f t="shared" si="364"/>
        <v>0</v>
      </c>
      <c r="AF375" s="18">
        <f t="shared" si="364"/>
        <v>0</v>
      </c>
      <c r="AG375" s="18">
        <f t="shared" si="364"/>
        <v>0</v>
      </c>
      <c r="AH375" s="18">
        <f t="shared" si="364"/>
        <v>0</v>
      </c>
      <c r="AI375" s="18">
        <f t="shared" si="364"/>
        <v>0</v>
      </c>
      <c r="AJ375" s="18">
        <f t="shared" si="364"/>
        <v>0</v>
      </c>
      <c r="AK375" s="18">
        <f t="shared" si="364"/>
        <v>0</v>
      </c>
      <c r="AL375" s="78"/>
      <c r="AM375" s="43">
        <v>359</v>
      </c>
      <c r="AN375">
        <v>296.13016633505856</v>
      </c>
      <c r="AO375">
        <v>26.301516363010528</v>
      </c>
      <c r="AP375">
        <v>57.499857131574231</v>
      </c>
      <c r="AQ375">
        <v>193.48161328831205</v>
      </c>
      <c r="AR375">
        <v>26.713794295750706</v>
      </c>
      <c r="AS375">
        <v>419.85027868214002</v>
      </c>
      <c r="AT375">
        <v>16.60115692723236</v>
      </c>
      <c r="AU375">
        <v>24.733181009701443</v>
      </c>
      <c r="AV375"/>
      <c r="AW375"/>
      <c r="FY375" s="213">
        <v>370</v>
      </c>
      <c r="FZ375">
        <v>54.290976095507617</v>
      </c>
      <c r="GA375">
        <v>81.314895240854241</v>
      </c>
      <c r="GB375">
        <v>44.758504123608134</v>
      </c>
      <c r="GC375">
        <v>13.765227732628716</v>
      </c>
      <c r="GD375">
        <v>4.8101313828306642</v>
      </c>
      <c r="GE375">
        <v>6.6853397439863089</v>
      </c>
      <c r="GF375">
        <v>8.5073053654270492</v>
      </c>
      <c r="GG375">
        <v>8.5382863575122538</v>
      </c>
      <c r="GH375">
        <v>6.4870193107501191</v>
      </c>
      <c r="GI375">
        <v>24.307277881302621</v>
      </c>
      <c r="GJ375"/>
      <c r="GK375"/>
      <c r="GL375"/>
      <c r="GM375"/>
      <c r="GN375" s="208"/>
      <c r="GO375" s="208"/>
      <c r="GP375" s="208"/>
      <c r="GQ375" s="208"/>
      <c r="GR375" s="208"/>
      <c r="GS375" s="208"/>
      <c r="GT375" s="208"/>
      <c r="GU375" s="213">
        <v>370</v>
      </c>
    </row>
    <row r="376" spans="1:203" s="7" customFormat="1">
      <c r="A376" s="95"/>
      <c r="B376" s="71">
        <f t="shared" si="358"/>
        <v>39747</v>
      </c>
      <c r="C376" s="18">
        <f t="shared" si="359"/>
        <v>937.34884089896173</v>
      </c>
      <c r="D376" s="18">
        <f t="shared" si="360"/>
        <v>80.457089274548949</v>
      </c>
      <c r="E376" s="19">
        <f t="shared" si="361"/>
        <v>8.5834734907643137E-2</v>
      </c>
      <c r="F376" s="19">
        <f>IF(F390&lt;0,0,F390)</f>
        <v>0</v>
      </c>
      <c r="G376" s="18">
        <f>AVERAGE(E258:E267)*G$372</f>
        <v>0</v>
      </c>
      <c r="H376" s="18">
        <f t="shared" ref="H376:AK376" si="365">AVERAGE(F258:F267)*H$372</f>
        <v>1.0028066154964848</v>
      </c>
      <c r="I376" s="18">
        <f t="shared" si="365"/>
        <v>20.133484843146878</v>
      </c>
      <c r="J376" s="18">
        <f t="shared" si="365"/>
        <v>44.547641392386595</v>
      </c>
      <c r="K376" s="18">
        <f t="shared" si="365"/>
        <v>13.212239722368778</v>
      </c>
      <c r="L376" s="18">
        <f t="shared" si="365"/>
        <v>1.5609167011502043</v>
      </c>
      <c r="M376" s="18">
        <f t="shared" si="365"/>
        <v>0</v>
      </c>
      <c r="N376" s="18">
        <f t="shared" si="365"/>
        <v>0</v>
      </c>
      <c r="O376" s="18">
        <f t="shared" si="365"/>
        <v>0</v>
      </c>
      <c r="P376" s="18">
        <f t="shared" si="365"/>
        <v>0</v>
      </c>
      <c r="Q376" s="18">
        <f t="shared" si="365"/>
        <v>0</v>
      </c>
      <c r="R376" s="18">
        <f t="shared" si="365"/>
        <v>0</v>
      </c>
      <c r="S376" s="18">
        <f t="shared" si="365"/>
        <v>0</v>
      </c>
      <c r="T376" s="18">
        <f t="shared" si="365"/>
        <v>0</v>
      </c>
      <c r="U376" s="18">
        <f t="shared" si="365"/>
        <v>0</v>
      </c>
      <c r="V376" s="18">
        <f t="shared" si="365"/>
        <v>0</v>
      </c>
      <c r="W376" s="18">
        <f t="shared" si="365"/>
        <v>0</v>
      </c>
      <c r="X376" s="18">
        <f t="shared" si="365"/>
        <v>0</v>
      </c>
      <c r="Y376" s="18">
        <f t="shared" si="365"/>
        <v>0</v>
      </c>
      <c r="Z376" s="18">
        <f t="shared" si="365"/>
        <v>0</v>
      </c>
      <c r="AA376" s="18">
        <f t="shared" si="365"/>
        <v>0</v>
      </c>
      <c r="AB376" s="18">
        <f t="shared" si="365"/>
        <v>0</v>
      </c>
      <c r="AC376" s="18">
        <f t="shared" si="365"/>
        <v>0</v>
      </c>
      <c r="AD376" s="18">
        <f t="shared" si="365"/>
        <v>0</v>
      </c>
      <c r="AE376" s="18">
        <f t="shared" si="365"/>
        <v>0</v>
      </c>
      <c r="AF376" s="18">
        <f t="shared" si="365"/>
        <v>0</v>
      </c>
      <c r="AG376" s="18">
        <f t="shared" si="365"/>
        <v>0</v>
      </c>
      <c r="AH376" s="18">
        <f t="shared" si="365"/>
        <v>0</v>
      </c>
      <c r="AI376" s="18">
        <f t="shared" si="365"/>
        <v>0</v>
      </c>
      <c r="AJ376" s="18">
        <f t="shared" si="365"/>
        <v>0</v>
      </c>
      <c r="AK376" s="18">
        <f t="shared" si="365"/>
        <v>0</v>
      </c>
      <c r="AL376" s="78"/>
      <c r="AM376" s="43">
        <v>360</v>
      </c>
      <c r="AN376">
        <v>277.87956331612224</v>
      </c>
      <c r="AO376">
        <v>27.156776046800285</v>
      </c>
      <c r="AP376">
        <v>31.036374332872068</v>
      </c>
      <c r="AQ376">
        <v>201.0385815944216</v>
      </c>
      <c r="AR376">
        <v>26.978954092014369</v>
      </c>
      <c r="AS376">
        <v>354.90373470207925</v>
      </c>
      <c r="AT376">
        <v>16.121440361325352</v>
      </c>
      <c r="AU376">
        <v>-8.330480392632623</v>
      </c>
      <c r="AV376"/>
      <c r="AW376"/>
      <c r="FY376" s="213">
        <v>371</v>
      </c>
      <c r="FZ376">
        <v>53.880694653731794</v>
      </c>
      <c r="GA376">
        <v>35.216995434348974</v>
      </c>
      <c r="GB376">
        <v>26.773258784233338</v>
      </c>
      <c r="GC376">
        <v>16.733103115809286</v>
      </c>
      <c r="GD376">
        <v>4.5161258899162977</v>
      </c>
      <c r="GE376">
        <v>5.100416320950492</v>
      </c>
      <c r="GF376">
        <v>5.4990077667186448</v>
      </c>
      <c r="GG376">
        <v>6.3562881941217171</v>
      </c>
      <c r="GH376">
        <v>7.1191589168357954</v>
      </c>
      <c r="GI376">
        <v>19.224935401970008</v>
      </c>
      <c r="GJ376"/>
      <c r="GK376"/>
      <c r="GL376"/>
      <c r="GM376"/>
      <c r="GN376" s="208"/>
      <c r="GO376" s="208"/>
      <c r="GP376" s="208"/>
      <c r="GQ376" s="208"/>
      <c r="GR376" s="208"/>
      <c r="GS376" s="208"/>
      <c r="GT376" s="208"/>
      <c r="GU376" s="213">
        <v>371</v>
      </c>
    </row>
    <row r="377" spans="1:203" s="7" customFormat="1">
      <c r="A377" s="95"/>
      <c r="B377" s="71">
        <f t="shared" si="358"/>
        <v>39775</v>
      </c>
      <c r="C377" s="18">
        <f t="shared" si="359"/>
        <v>118.0904512154512</v>
      </c>
      <c r="D377" s="18">
        <f t="shared" si="360"/>
        <v>5.4837344545450986</v>
      </c>
      <c r="E377" s="19">
        <f t="shared" si="361"/>
        <v>4.6436730473154428E-2</v>
      </c>
      <c r="F377" s="19">
        <f>IF(F391&lt;0,0,F391)</f>
        <v>0</v>
      </c>
      <c r="G377" s="18">
        <f>AVERAGE(E268:E277)*G$372</f>
        <v>1.1658727666800754E-3</v>
      </c>
      <c r="H377" s="18">
        <f t="shared" ref="H377:AK377" si="366">AVERAGE(F268:F277)*H$372</f>
        <v>0.3171265941558441</v>
      </c>
      <c r="I377" s="18">
        <f t="shared" si="366"/>
        <v>2.7933090448555169</v>
      </c>
      <c r="J377" s="18">
        <f t="shared" si="366"/>
        <v>1.4061199851528894</v>
      </c>
      <c r="K377" s="18">
        <f t="shared" si="366"/>
        <v>0.96601295761416806</v>
      </c>
      <c r="L377" s="18">
        <f t="shared" si="366"/>
        <v>0</v>
      </c>
      <c r="M377" s="18">
        <f t="shared" si="366"/>
        <v>0</v>
      </c>
      <c r="N377" s="18">
        <f t="shared" si="366"/>
        <v>0</v>
      </c>
      <c r="O377" s="18">
        <f t="shared" si="366"/>
        <v>0</v>
      </c>
      <c r="P377" s="18">
        <f t="shared" si="366"/>
        <v>0</v>
      </c>
      <c r="Q377" s="18">
        <f t="shared" si="366"/>
        <v>0</v>
      </c>
      <c r="R377" s="18">
        <f t="shared" si="366"/>
        <v>0</v>
      </c>
      <c r="S377" s="18">
        <f t="shared" si="366"/>
        <v>0</v>
      </c>
      <c r="T377" s="18">
        <f t="shared" si="366"/>
        <v>0</v>
      </c>
      <c r="U377" s="18">
        <f t="shared" si="366"/>
        <v>0</v>
      </c>
      <c r="V377" s="18">
        <f t="shared" si="366"/>
        <v>0</v>
      </c>
      <c r="W377" s="18">
        <f t="shared" si="366"/>
        <v>0</v>
      </c>
      <c r="X377" s="18">
        <f t="shared" si="366"/>
        <v>0</v>
      </c>
      <c r="Y377" s="18">
        <f t="shared" si="366"/>
        <v>0</v>
      </c>
      <c r="Z377" s="18">
        <f t="shared" si="366"/>
        <v>0</v>
      </c>
      <c r="AA377" s="18">
        <f t="shared" si="366"/>
        <v>0</v>
      </c>
      <c r="AB377" s="18">
        <f t="shared" si="366"/>
        <v>0</v>
      </c>
      <c r="AC377" s="18">
        <f t="shared" si="366"/>
        <v>0</v>
      </c>
      <c r="AD377" s="18">
        <f t="shared" si="366"/>
        <v>0</v>
      </c>
      <c r="AE377" s="18">
        <f t="shared" si="366"/>
        <v>0</v>
      </c>
      <c r="AF377" s="18">
        <f t="shared" si="366"/>
        <v>0</v>
      </c>
      <c r="AG377" s="18">
        <f t="shared" si="366"/>
        <v>0</v>
      </c>
      <c r="AH377" s="18">
        <f t="shared" si="366"/>
        <v>0</v>
      </c>
      <c r="AI377" s="18">
        <f t="shared" si="366"/>
        <v>0</v>
      </c>
      <c r="AJ377" s="18">
        <f t="shared" si="366"/>
        <v>0</v>
      </c>
      <c r="AK377" s="18">
        <f t="shared" si="366"/>
        <v>0</v>
      </c>
      <c r="AL377" s="78"/>
      <c r="AM377" s="43">
        <v>361</v>
      </c>
      <c r="AN377">
        <v>242.50788235108922</v>
      </c>
      <c r="AO377">
        <v>24.335515730565501</v>
      </c>
      <c r="AP377">
        <v>26.695796501005304</v>
      </c>
      <c r="AQ377">
        <v>162.223061759393</v>
      </c>
      <c r="AR377">
        <v>25.760345813453441</v>
      </c>
      <c r="AS377">
        <v>361.86434976970116</v>
      </c>
      <c r="AT377">
        <v>15.256990147518755</v>
      </c>
      <c r="AU377">
        <v>12.844145151361538</v>
      </c>
      <c r="AV377"/>
      <c r="AW377"/>
      <c r="FY377" s="213">
        <v>372</v>
      </c>
      <c r="FZ377">
        <v>50.561914738516911</v>
      </c>
      <c r="GA377">
        <v>38.270986531356733</v>
      </c>
      <c r="GB377">
        <v>26.035608782787811</v>
      </c>
      <c r="GC377">
        <v>12.273718352917433</v>
      </c>
      <c r="GD377">
        <v>2.4096998642282967</v>
      </c>
      <c r="GE377">
        <v>2.241894925971545</v>
      </c>
      <c r="GF377">
        <v>4.6805500214153284</v>
      </c>
      <c r="GG377">
        <v>5.2776992682393811</v>
      </c>
      <c r="GH377">
        <v>11.294689430852349</v>
      </c>
      <c r="GI377">
        <v>17.861444289377737</v>
      </c>
      <c r="GJ377"/>
      <c r="GK377"/>
      <c r="GL377"/>
      <c r="GM377"/>
      <c r="GN377" s="208"/>
      <c r="GO377" s="208"/>
      <c r="GP377" s="208"/>
      <c r="GQ377" s="208"/>
      <c r="GR377" s="208"/>
      <c r="GS377" s="208"/>
      <c r="GT377" s="208"/>
      <c r="GU377" s="213">
        <v>372</v>
      </c>
    </row>
    <row r="378" spans="1:203" s="7" customFormat="1">
      <c r="A378" s="95"/>
      <c r="B378" s="71">
        <f t="shared" si="358"/>
        <v>39799</v>
      </c>
      <c r="C378" s="18">
        <f t="shared" si="359"/>
        <v>621.13806807078026</v>
      </c>
      <c r="D378" s="18">
        <f t="shared" si="360"/>
        <v>21.569622511239814</v>
      </c>
      <c r="E378" s="19">
        <f t="shared" si="361"/>
        <v>3.472597095559421E-2</v>
      </c>
      <c r="F378" s="19">
        <f t="shared" ref="F378:F382" si="367">IF(F392&lt;0,0,F392)</f>
        <v>0</v>
      </c>
      <c r="G378" s="18">
        <f>AVERAGE(E278:E287)*G$372</f>
        <v>0</v>
      </c>
      <c r="H378" s="18">
        <f t="shared" ref="H378:AK378" si="368">AVERAGE(F278:F287)*H$372</f>
        <v>1.7145592198242934</v>
      </c>
      <c r="I378" s="18">
        <f t="shared" si="368"/>
        <v>16.939132276231142</v>
      </c>
      <c r="J378" s="18">
        <f t="shared" si="368"/>
        <v>2.9159310151843778</v>
      </c>
      <c r="K378" s="18">
        <f t="shared" si="368"/>
        <v>0</v>
      </c>
      <c r="L378" s="18">
        <f t="shared" si="368"/>
        <v>0</v>
      </c>
      <c r="M378" s="18">
        <f t="shared" si="368"/>
        <v>0</v>
      </c>
      <c r="N378" s="18">
        <f t="shared" si="368"/>
        <v>0</v>
      </c>
      <c r="O378" s="18">
        <f t="shared" si="368"/>
        <v>0</v>
      </c>
      <c r="P378" s="18">
        <f t="shared" si="368"/>
        <v>0</v>
      </c>
      <c r="Q378" s="18">
        <f t="shared" si="368"/>
        <v>0</v>
      </c>
      <c r="R378" s="18">
        <f t="shared" si="368"/>
        <v>0</v>
      </c>
      <c r="S378" s="18">
        <f t="shared" si="368"/>
        <v>0</v>
      </c>
      <c r="T378" s="18">
        <f t="shared" si="368"/>
        <v>0</v>
      </c>
      <c r="U378" s="18">
        <f t="shared" si="368"/>
        <v>0</v>
      </c>
      <c r="V378" s="18">
        <f t="shared" si="368"/>
        <v>0</v>
      </c>
      <c r="W378" s="18">
        <f t="shared" si="368"/>
        <v>0</v>
      </c>
      <c r="X378" s="18">
        <f t="shared" si="368"/>
        <v>0</v>
      </c>
      <c r="Y378" s="18">
        <f t="shared" si="368"/>
        <v>0</v>
      </c>
      <c r="Z378" s="18">
        <f t="shared" si="368"/>
        <v>0</v>
      </c>
      <c r="AA378" s="18">
        <f t="shared" si="368"/>
        <v>0</v>
      </c>
      <c r="AB378" s="18">
        <f t="shared" si="368"/>
        <v>0</v>
      </c>
      <c r="AC378" s="18">
        <f t="shared" si="368"/>
        <v>0</v>
      </c>
      <c r="AD378" s="18">
        <f t="shared" si="368"/>
        <v>0</v>
      </c>
      <c r="AE378" s="18">
        <f t="shared" si="368"/>
        <v>0</v>
      </c>
      <c r="AF378" s="18">
        <f t="shared" si="368"/>
        <v>0</v>
      </c>
      <c r="AG378" s="18">
        <f t="shared" si="368"/>
        <v>0</v>
      </c>
      <c r="AH378" s="18">
        <f t="shared" si="368"/>
        <v>0</v>
      </c>
      <c r="AI378" s="18">
        <f t="shared" si="368"/>
        <v>0</v>
      </c>
      <c r="AJ378" s="18">
        <f t="shared" si="368"/>
        <v>0</v>
      </c>
      <c r="AK378" s="18">
        <f t="shared" si="368"/>
        <v>0</v>
      </c>
      <c r="AL378" s="78"/>
      <c r="AM378" s="43">
        <v>362</v>
      </c>
      <c r="AN378">
        <v>266.40781319753387</v>
      </c>
      <c r="AO378">
        <v>24.501604317473685</v>
      </c>
      <c r="AP378">
        <v>7.9847227833467347</v>
      </c>
      <c r="AQ378">
        <v>173.02639877802403</v>
      </c>
      <c r="AR378">
        <v>25.962993685054258</v>
      </c>
      <c r="AS378">
        <v>373.57751398227197</v>
      </c>
      <c r="AT378">
        <v>15.812306796368459</v>
      </c>
      <c r="AU378">
        <v>-9.6290416761489226</v>
      </c>
      <c r="AV378"/>
      <c r="AW378"/>
      <c r="FY378" s="213">
        <v>373</v>
      </c>
      <c r="FZ378">
        <v>69.225219299692583</v>
      </c>
      <c r="GA378">
        <v>71.151884046591377</v>
      </c>
      <c r="GB378">
        <v>39.379078135324939</v>
      </c>
      <c r="GC378">
        <v>16.942806824562428</v>
      </c>
      <c r="GD378">
        <v>3.6713689903591757</v>
      </c>
      <c r="GE378">
        <v>6.2784718251482277</v>
      </c>
      <c r="GF378">
        <v>5.9933494581545705</v>
      </c>
      <c r="GG378">
        <v>5.7311904201454809</v>
      </c>
      <c r="GH378">
        <v>9.1001022437033328</v>
      </c>
      <c r="GI378">
        <v>24.481527623434232</v>
      </c>
      <c r="GJ378"/>
      <c r="GK378"/>
      <c r="GL378"/>
      <c r="GM378"/>
      <c r="GN378" s="208"/>
      <c r="GO378" s="208"/>
      <c r="GP378" s="208"/>
      <c r="GQ378" s="208"/>
      <c r="GR378" s="208"/>
      <c r="GS378" s="208"/>
      <c r="GT378" s="208"/>
      <c r="GU378" s="213">
        <v>373</v>
      </c>
    </row>
    <row r="379" spans="1:203" s="7" customFormat="1">
      <c r="A379" s="77" t="s">
        <v>61</v>
      </c>
      <c r="B379" s="71">
        <f t="shared" ref="B379:B382" si="369">+C10</f>
        <v>39847</v>
      </c>
      <c r="C379" s="18">
        <f t="shared" si="359"/>
        <v>27.777777777777779</v>
      </c>
      <c r="D379" s="18">
        <f t="shared" si="360"/>
        <v>3.8603342044994129</v>
      </c>
      <c r="E379" s="19">
        <f t="shared" si="361"/>
        <v>0.13897203136197886</v>
      </c>
      <c r="F379" s="19">
        <f t="shared" si="367"/>
        <v>2.8891351044327357E-2</v>
      </c>
      <c r="G379" s="18">
        <f>AVERAGE(E288:E297)*G$372</f>
        <v>0</v>
      </c>
      <c r="H379" s="18">
        <f t="shared" ref="H379:AK379" si="370">AVERAGE(F288:F297)*H$372</f>
        <v>0</v>
      </c>
      <c r="I379" s="18">
        <f t="shared" si="370"/>
        <v>0</v>
      </c>
      <c r="J379" s="18">
        <f t="shared" si="370"/>
        <v>3.8603342044994129</v>
      </c>
      <c r="K379" s="18">
        <f t="shared" si="370"/>
        <v>0</v>
      </c>
      <c r="L379" s="18">
        <f t="shared" si="370"/>
        <v>0</v>
      </c>
      <c r="M379" s="18">
        <f t="shared" si="370"/>
        <v>0</v>
      </c>
      <c r="N379" s="18">
        <f t="shared" si="370"/>
        <v>0</v>
      </c>
      <c r="O379" s="18">
        <f t="shared" si="370"/>
        <v>0</v>
      </c>
      <c r="P379" s="18">
        <f t="shared" si="370"/>
        <v>0</v>
      </c>
      <c r="Q379" s="18">
        <f t="shared" si="370"/>
        <v>0</v>
      </c>
      <c r="R379" s="18">
        <f t="shared" si="370"/>
        <v>0</v>
      </c>
      <c r="S379" s="18">
        <f t="shared" si="370"/>
        <v>0</v>
      </c>
      <c r="T379" s="18">
        <f t="shared" si="370"/>
        <v>0</v>
      </c>
      <c r="U379" s="18">
        <f t="shared" si="370"/>
        <v>0</v>
      </c>
      <c r="V379" s="18">
        <f t="shared" si="370"/>
        <v>0</v>
      </c>
      <c r="W379" s="18">
        <f t="shared" si="370"/>
        <v>0</v>
      </c>
      <c r="X379" s="18">
        <f t="shared" si="370"/>
        <v>0</v>
      </c>
      <c r="Y379" s="18">
        <f t="shared" si="370"/>
        <v>0</v>
      </c>
      <c r="Z379" s="18">
        <f t="shared" si="370"/>
        <v>0</v>
      </c>
      <c r="AA379" s="18">
        <f t="shared" si="370"/>
        <v>0</v>
      </c>
      <c r="AB379" s="18">
        <f t="shared" si="370"/>
        <v>0</v>
      </c>
      <c r="AC379" s="18">
        <f t="shared" si="370"/>
        <v>0</v>
      </c>
      <c r="AD379" s="18">
        <f t="shared" si="370"/>
        <v>0</v>
      </c>
      <c r="AE379" s="18">
        <f t="shared" si="370"/>
        <v>0</v>
      </c>
      <c r="AF379" s="18">
        <f t="shared" si="370"/>
        <v>0</v>
      </c>
      <c r="AG379" s="18">
        <f t="shared" si="370"/>
        <v>0</v>
      </c>
      <c r="AH379" s="18">
        <f t="shared" si="370"/>
        <v>0</v>
      </c>
      <c r="AI379" s="18">
        <f t="shared" si="370"/>
        <v>0</v>
      </c>
      <c r="AJ379" s="18">
        <f t="shared" si="370"/>
        <v>0</v>
      </c>
      <c r="AK379" s="18">
        <f t="shared" si="370"/>
        <v>0</v>
      </c>
      <c r="AL379" s="78"/>
      <c r="AM379" s="43">
        <v>363</v>
      </c>
      <c r="AN379">
        <v>228.83865043245015</v>
      </c>
      <c r="AO379">
        <v>18.279096595873632</v>
      </c>
      <c r="AP379">
        <v>20.979776435244567</v>
      </c>
      <c r="AQ379">
        <v>125.56618929808776</v>
      </c>
      <c r="AR379">
        <v>19.313991161836761</v>
      </c>
      <c r="AS379">
        <v>276.80609473732255</v>
      </c>
      <c r="AT379">
        <v>11.162219625789961</v>
      </c>
      <c r="AU379">
        <v>8.6884928247235678</v>
      </c>
      <c r="AV379"/>
      <c r="AW379"/>
      <c r="FY379" s="213">
        <v>374</v>
      </c>
      <c r="FZ379">
        <v>39.940758188481588</v>
      </c>
      <c r="GA379">
        <v>61.252014269525354</v>
      </c>
      <c r="GB379">
        <v>39.75170653553657</v>
      </c>
      <c r="GC379">
        <v>11.46935249203406</v>
      </c>
      <c r="GD379">
        <v>4.8581656323753784</v>
      </c>
      <c r="GE379">
        <v>8.8377221557156478</v>
      </c>
      <c r="GF379">
        <v>5.7626823499705635</v>
      </c>
      <c r="GG379">
        <v>1.4524474642944425</v>
      </c>
      <c r="GH379">
        <v>3.7746990905160072</v>
      </c>
      <c r="GI379">
        <v>20.059182887898086</v>
      </c>
      <c r="GJ379"/>
      <c r="GK379"/>
      <c r="GL379"/>
      <c r="GM379"/>
      <c r="GN379" s="208"/>
      <c r="GO379" s="208"/>
      <c r="GP379" s="208"/>
      <c r="GQ379" s="208"/>
      <c r="GR379" s="208"/>
      <c r="GS379" s="208"/>
      <c r="GT379" s="208"/>
      <c r="GU379" s="213">
        <v>374</v>
      </c>
    </row>
    <row r="380" spans="1:203" s="7" customFormat="1">
      <c r="A380" s="77" t="s">
        <v>62</v>
      </c>
      <c r="B380" s="71">
        <f t="shared" si="369"/>
        <v>39910</v>
      </c>
      <c r="C380" s="18">
        <f t="shared" si="359"/>
        <v>83.333333333333343</v>
      </c>
      <c r="D380" s="18">
        <f t="shared" si="360"/>
        <v>16.425773516707189</v>
      </c>
      <c r="E380" s="19">
        <f t="shared" si="361"/>
        <v>0.19710928220048624</v>
      </c>
      <c r="F380" s="19">
        <f t="shared" si="367"/>
        <v>5.5473905912987766E-3</v>
      </c>
      <c r="G380" s="18">
        <f>AVERAGE(E298:E307)*G$372</f>
        <v>0</v>
      </c>
      <c r="H380" s="18">
        <f t="shared" ref="H380:AK380" si="371">AVERAGE(F298:F307)*H$372</f>
        <v>0</v>
      </c>
      <c r="I380" s="18">
        <f t="shared" si="371"/>
        <v>0.97235441434843972</v>
      </c>
      <c r="J380" s="18">
        <f t="shared" si="371"/>
        <v>2.8952506533745601</v>
      </c>
      <c r="K380" s="18">
        <f t="shared" si="371"/>
        <v>12.558168448984187</v>
      </c>
      <c r="L380" s="18">
        <f t="shared" si="371"/>
        <v>0</v>
      </c>
      <c r="M380" s="18">
        <f t="shared" si="371"/>
        <v>0</v>
      </c>
      <c r="N380" s="18">
        <f t="shared" si="371"/>
        <v>0</v>
      </c>
      <c r="O380" s="18">
        <f t="shared" si="371"/>
        <v>0</v>
      </c>
      <c r="P380" s="18">
        <f t="shared" si="371"/>
        <v>0</v>
      </c>
      <c r="Q380" s="18">
        <f t="shared" si="371"/>
        <v>0</v>
      </c>
      <c r="R380" s="18">
        <f t="shared" si="371"/>
        <v>0</v>
      </c>
      <c r="S380" s="18">
        <f t="shared" si="371"/>
        <v>0</v>
      </c>
      <c r="T380" s="18">
        <f t="shared" si="371"/>
        <v>0</v>
      </c>
      <c r="U380" s="18">
        <f t="shared" si="371"/>
        <v>0</v>
      </c>
      <c r="V380" s="18">
        <f t="shared" si="371"/>
        <v>0</v>
      </c>
      <c r="W380" s="18">
        <f t="shared" si="371"/>
        <v>0</v>
      </c>
      <c r="X380" s="18">
        <f t="shared" si="371"/>
        <v>0</v>
      </c>
      <c r="Y380" s="18">
        <f t="shared" si="371"/>
        <v>0</v>
      </c>
      <c r="Z380" s="18">
        <f t="shared" si="371"/>
        <v>0</v>
      </c>
      <c r="AA380" s="18">
        <f t="shared" si="371"/>
        <v>0</v>
      </c>
      <c r="AB380" s="18">
        <f t="shared" si="371"/>
        <v>0</v>
      </c>
      <c r="AC380" s="18">
        <f t="shared" si="371"/>
        <v>0</v>
      </c>
      <c r="AD380" s="18">
        <f t="shared" si="371"/>
        <v>0</v>
      </c>
      <c r="AE380" s="18">
        <f t="shared" si="371"/>
        <v>0</v>
      </c>
      <c r="AF380" s="18">
        <f t="shared" si="371"/>
        <v>0</v>
      </c>
      <c r="AG380" s="18">
        <f t="shared" si="371"/>
        <v>0</v>
      </c>
      <c r="AH380" s="18">
        <f t="shared" si="371"/>
        <v>0</v>
      </c>
      <c r="AI380" s="18">
        <f t="shared" si="371"/>
        <v>0</v>
      </c>
      <c r="AJ380" s="18">
        <f t="shared" si="371"/>
        <v>0</v>
      </c>
      <c r="AK380" s="18">
        <f t="shared" si="371"/>
        <v>0</v>
      </c>
      <c r="AL380" s="78"/>
      <c r="AM380" s="43">
        <v>364</v>
      </c>
      <c r="AN380">
        <v>308.59168960288326</v>
      </c>
      <c r="AO380">
        <v>28.483379483159656</v>
      </c>
      <c r="AP380">
        <v>13.489510892826065</v>
      </c>
      <c r="AQ380">
        <v>216.32869623518721</v>
      </c>
      <c r="AR380">
        <v>29.143124822306611</v>
      </c>
      <c r="AS380">
        <v>431.80102147220077</v>
      </c>
      <c r="AT380">
        <v>17.535653738975238</v>
      </c>
      <c r="AU380">
        <v>-27.56083506727645</v>
      </c>
      <c r="AV380"/>
      <c r="AW380"/>
      <c r="FY380" s="213">
        <v>375</v>
      </c>
      <c r="FZ380">
        <v>40.722928541714083</v>
      </c>
      <c r="GA380">
        <v>32.100440878172634</v>
      </c>
      <c r="GB380">
        <v>31.665499749420956</v>
      </c>
      <c r="GC380">
        <v>14.571679925603274</v>
      </c>
      <c r="GD380">
        <v>2.4237083535880184</v>
      </c>
      <c r="GE380">
        <v>3.6106003832557878</v>
      </c>
      <c r="GF380">
        <v>9.7451238172289862</v>
      </c>
      <c r="GG380">
        <v>8.2559453062874457</v>
      </c>
      <c r="GH380">
        <v>10.657564147718212</v>
      </c>
      <c r="GI380">
        <v>18.620953213705075</v>
      </c>
      <c r="GJ380"/>
      <c r="GK380"/>
      <c r="GL380"/>
      <c r="GM380"/>
      <c r="GN380" s="208"/>
      <c r="GO380" s="208"/>
      <c r="GP380" s="208"/>
      <c r="GQ380" s="208"/>
      <c r="GR380" s="208"/>
      <c r="GS380" s="208"/>
      <c r="GT380" s="208"/>
      <c r="GU380" s="213">
        <v>375</v>
      </c>
    </row>
    <row r="381" spans="1:203" s="7" customFormat="1">
      <c r="A381" s="1"/>
      <c r="B381" s="71">
        <f t="shared" si="369"/>
        <v>39949</v>
      </c>
      <c r="C381" s="18">
        <f t="shared" si="359"/>
        <v>186.61875431711627</v>
      </c>
      <c r="D381" s="18">
        <f t="shared" si="360"/>
        <v>12.235798850704153</v>
      </c>
      <c r="E381" s="19">
        <f t="shared" si="361"/>
        <v>6.5565751392339625E-2</v>
      </c>
      <c r="F381" s="19">
        <f t="shared" si="367"/>
        <v>0</v>
      </c>
      <c r="G381" s="18">
        <f>AVERAGE(E308:E317)*G$372</f>
        <v>0</v>
      </c>
      <c r="H381" s="18">
        <f t="shared" ref="H381:AK381" si="372">AVERAGE(F308:F317)*H$372</f>
        <v>0.18311936834094367</v>
      </c>
      <c r="I381" s="18">
        <f t="shared" si="372"/>
        <v>5.5815356238358653</v>
      </c>
      <c r="J381" s="18">
        <f t="shared" si="372"/>
        <v>5.2153270136289258</v>
      </c>
      <c r="K381" s="18">
        <f t="shared" si="372"/>
        <v>1.2558168448984184</v>
      </c>
      <c r="L381" s="18">
        <f t="shared" si="372"/>
        <v>0</v>
      </c>
      <c r="M381" s="18">
        <f t="shared" si="372"/>
        <v>0</v>
      </c>
      <c r="N381" s="18">
        <f t="shared" si="372"/>
        <v>0</v>
      </c>
      <c r="O381" s="18">
        <f t="shared" si="372"/>
        <v>0</v>
      </c>
      <c r="P381" s="18">
        <f t="shared" si="372"/>
        <v>0</v>
      </c>
      <c r="Q381" s="18">
        <f t="shared" si="372"/>
        <v>0</v>
      </c>
      <c r="R381" s="18">
        <f t="shared" si="372"/>
        <v>0</v>
      </c>
      <c r="S381" s="18">
        <f t="shared" si="372"/>
        <v>0</v>
      </c>
      <c r="T381" s="18">
        <f t="shared" si="372"/>
        <v>0</v>
      </c>
      <c r="U381" s="18">
        <f t="shared" si="372"/>
        <v>0</v>
      </c>
      <c r="V381" s="18">
        <f t="shared" si="372"/>
        <v>0</v>
      </c>
      <c r="W381" s="18">
        <f t="shared" si="372"/>
        <v>0</v>
      </c>
      <c r="X381" s="18">
        <f t="shared" si="372"/>
        <v>0</v>
      </c>
      <c r="Y381" s="18">
        <f t="shared" si="372"/>
        <v>0</v>
      </c>
      <c r="Z381" s="18">
        <f t="shared" si="372"/>
        <v>0</v>
      </c>
      <c r="AA381" s="18">
        <f t="shared" si="372"/>
        <v>0</v>
      </c>
      <c r="AB381" s="18">
        <f t="shared" si="372"/>
        <v>0</v>
      </c>
      <c r="AC381" s="18">
        <f t="shared" si="372"/>
        <v>0</v>
      </c>
      <c r="AD381" s="18">
        <f t="shared" si="372"/>
        <v>0</v>
      </c>
      <c r="AE381" s="18">
        <f t="shared" si="372"/>
        <v>0</v>
      </c>
      <c r="AF381" s="18">
        <f t="shared" si="372"/>
        <v>0</v>
      </c>
      <c r="AG381" s="18">
        <f t="shared" si="372"/>
        <v>0</v>
      </c>
      <c r="AH381" s="18">
        <f t="shared" si="372"/>
        <v>0</v>
      </c>
      <c r="AI381" s="18">
        <f t="shared" si="372"/>
        <v>0</v>
      </c>
      <c r="AJ381" s="18">
        <f t="shared" si="372"/>
        <v>0</v>
      </c>
      <c r="AK381" s="18">
        <f t="shared" si="372"/>
        <v>0</v>
      </c>
      <c r="AL381" s="78"/>
      <c r="AM381" s="43">
        <v>365</v>
      </c>
      <c r="AN381">
        <v>302.34366191518041</v>
      </c>
      <c r="AO381">
        <v>25.476323819597802</v>
      </c>
      <c r="AP381">
        <v>37.900151189632673</v>
      </c>
      <c r="AQ381">
        <v>175.24640502905768</v>
      </c>
      <c r="AR381">
        <v>25.719272448518939</v>
      </c>
      <c r="AS381">
        <v>388.85209245045809</v>
      </c>
      <c r="AT381">
        <v>15.309486953780217</v>
      </c>
      <c r="AU381">
        <v>-0.10554524991520253</v>
      </c>
      <c r="AV381"/>
      <c r="AW381"/>
      <c r="FY381" s="213">
        <v>376</v>
      </c>
      <c r="FZ381">
        <v>49.999943714264887</v>
      </c>
      <c r="GA381">
        <v>48.022981768540468</v>
      </c>
      <c r="GB381">
        <v>31.349096969305847</v>
      </c>
      <c r="GC381">
        <v>15.713120799697892</v>
      </c>
      <c r="GD381">
        <v>3.4755012868042652</v>
      </c>
      <c r="GE381">
        <v>1.9945618257225424</v>
      </c>
      <c r="GF381">
        <v>7.5084848656940579</v>
      </c>
      <c r="GG381">
        <v>8.4112064122221106</v>
      </c>
      <c r="GH381">
        <v>8.4448966168235131</v>
      </c>
      <c r="GI381">
        <v>19.742368945781195</v>
      </c>
      <c r="GJ381"/>
      <c r="GK381"/>
      <c r="GL381"/>
      <c r="GM381"/>
      <c r="GN381" s="208"/>
      <c r="GO381" s="208"/>
      <c r="GP381" s="208"/>
      <c r="GQ381" s="208"/>
      <c r="GR381" s="208"/>
      <c r="GS381" s="208"/>
      <c r="GT381" s="208"/>
      <c r="GU381" s="213">
        <v>376</v>
      </c>
    </row>
    <row r="382" spans="1:203" s="7" customFormat="1">
      <c r="A382" s="1"/>
      <c r="B382" s="71">
        <f t="shared" si="369"/>
        <v>39987</v>
      </c>
      <c r="C382" s="18">
        <f t="shared" si="359"/>
        <v>15.344551282051281</v>
      </c>
      <c r="D382" s="18">
        <f t="shared" si="360"/>
        <v>5.5585401155382339</v>
      </c>
      <c r="E382" s="19">
        <f t="shared" si="361"/>
        <v>0.36224846288207396</v>
      </c>
      <c r="F382" s="19">
        <f t="shared" si="367"/>
        <v>4.4980970019904906E-2</v>
      </c>
      <c r="G382" s="18">
        <f>AVERAGE(E318:E327)*G$372</f>
        <v>0</v>
      </c>
      <c r="H382" s="18">
        <f t="shared" ref="H382:AK382" si="373">AVERAGE(F318:F327)*H$372</f>
        <v>0</v>
      </c>
      <c r="I382" s="18">
        <f t="shared" si="373"/>
        <v>0.32723465867495566</v>
      </c>
      <c r="J382" s="18">
        <f t="shared" si="373"/>
        <v>0</v>
      </c>
      <c r="K382" s="18">
        <f t="shared" si="373"/>
        <v>1.2558168448984184</v>
      </c>
      <c r="L382" s="18">
        <f t="shared" si="373"/>
        <v>1.1446722475101498</v>
      </c>
      <c r="M382" s="18">
        <f t="shared" si="373"/>
        <v>0</v>
      </c>
      <c r="N382" s="18">
        <f t="shared" si="373"/>
        <v>2.8308163644547104</v>
      </c>
      <c r="O382" s="18">
        <f t="shared" si="373"/>
        <v>0</v>
      </c>
      <c r="P382" s="18">
        <f t="shared" si="373"/>
        <v>0</v>
      </c>
      <c r="Q382" s="18">
        <f t="shared" si="373"/>
        <v>0</v>
      </c>
      <c r="R382" s="18">
        <f t="shared" si="373"/>
        <v>0</v>
      </c>
      <c r="S382" s="18">
        <f t="shared" si="373"/>
        <v>0</v>
      </c>
      <c r="T382" s="18">
        <f t="shared" si="373"/>
        <v>0</v>
      </c>
      <c r="U382" s="18">
        <f t="shared" si="373"/>
        <v>0</v>
      </c>
      <c r="V382" s="18">
        <f t="shared" si="373"/>
        <v>0</v>
      </c>
      <c r="W382" s="18">
        <f t="shared" si="373"/>
        <v>0</v>
      </c>
      <c r="X382" s="18">
        <f t="shared" si="373"/>
        <v>0</v>
      </c>
      <c r="Y382" s="18">
        <f t="shared" si="373"/>
        <v>0</v>
      </c>
      <c r="Z382" s="18">
        <f t="shared" si="373"/>
        <v>0</v>
      </c>
      <c r="AA382" s="18">
        <f t="shared" si="373"/>
        <v>0</v>
      </c>
      <c r="AB382" s="18">
        <f t="shared" si="373"/>
        <v>0</v>
      </c>
      <c r="AC382" s="18">
        <f t="shared" si="373"/>
        <v>0</v>
      </c>
      <c r="AD382" s="18">
        <f t="shared" si="373"/>
        <v>0</v>
      </c>
      <c r="AE382" s="18">
        <f t="shared" si="373"/>
        <v>0</v>
      </c>
      <c r="AF382" s="18">
        <f t="shared" si="373"/>
        <v>0</v>
      </c>
      <c r="AG382" s="18">
        <f t="shared" si="373"/>
        <v>0</v>
      </c>
      <c r="AH382" s="18">
        <f t="shared" si="373"/>
        <v>0</v>
      </c>
      <c r="AI382" s="18">
        <f t="shared" si="373"/>
        <v>0</v>
      </c>
      <c r="AJ382" s="18">
        <f t="shared" si="373"/>
        <v>0</v>
      </c>
      <c r="AK382" s="18">
        <f t="shared" si="373"/>
        <v>0</v>
      </c>
      <c r="AL382" s="78"/>
      <c r="AM382" s="43">
        <v>366</v>
      </c>
      <c r="AN382">
        <v>321.70104876092972</v>
      </c>
      <c r="AO382">
        <v>27.281948541445537</v>
      </c>
      <c r="AP382">
        <v>9.9307150467563847</v>
      </c>
      <c r="AQ382">
        <v>191.9053244373211</v>
      </c>
      <c r="AR382">
        <v>27.432373387148996</v>
      </c>
      <c r="AS382">
        <v>442.03766637652092</v>
      </c>
      <c r="AT382">
        <v>17.371044953577325</v>
      </c>
      <c r="AU382">
        <v>-38.915281048233567</v>
      </c>
      <c r="AV382"/>
      <c r="AW382"/>
      <c r="FY382" s="213">
        <v>377</v>
      </c>
      <c r="FZ382">
        <v>54.850468025813527</v>
      </c>
      <c r="GA382">
        <v>68.783040195456607</v>
      </c>
      <c r="GB382">
        <v>34.0445697124822</v>
      </c>
      <c r="GC382">
        <v>10.819750494957855</v>
      </c>
      <c r="GD382">
        <v>1.2973072215795551</v>
      </c>
      <c r="GE382">
        <v>2.2355356984842372</v>
      </c>
      <c r="GF382">
        <v>3.0154474061501064</v>
      </c>
      <c r="GG382">
        <v>3.5473725956081243</v>
      </c>
      <c r="GH382">
        <v>8.2419351009567485</v>
      </c>
      <c r="GI382">
        <v>19.025271063292394</v>
      </c>
      <c r="GJ382"/>
      <c r="GK382"/>
      <c r="GL382"/>
      <c r="GM382"/>
      <c r="GN382" s="208"/>
      <c r="GO382" s="208"/>
      <c r="GP382" s="208"/>
      <c r="GQ382" s="208"/>
      <c r="GR382" s="208"/>
      <c r="GS382" s="208"/>
      <c r="GT382" s="208"/>
      <c r="GU382" s="213">
        <v>377</v>
      </c>
    </row>
    <row r="383" spans="1:203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328.32607415300805</v>
      </c>
      <c r="AO383">
        <v>25.20537907809668</v>
      </c>
      <c r="AP383">
        <v>42.392456115641934</v>
      </c>
      <c r="AQ383">
        <v>173.02337787739705</v>
      </c>
      <c r="AR383">
        <v>25.944815385037224</v>
      </c>
      <c r="AS383">
        <v>368.10207971841817</v>
      </c>
      <c r="AT383">
        <v>15.438141001447105</v>
      </c>
      <c r="AU383">
        <v>10.626374410753655</v>
      </c>
      <c r="AV383"/>
      <c r="AW383"/>
      <c r="FY383" s="213">
        <v>378</v>
      </c>
      <c r="FZ383">
        <v>54.320671384210883</v>
      </c>
      <c r="GA383">
        <v>68.768044594240322</v>
      </c>
      <c r="GB383">
        <v>46.301965576657182</v>
      </c>
      <c r="GC383">
        <v>16.449335091921753</v>
      </c>
      <c r="GD383">
        <v>3.6093025845337205</v>
      </c>
      <c r="GE383">
        <v>4.4006262621653391</v>
      </c>
      <c r="GF383">
        <v>10.005297748418105</v>
      </c>
      <c r="GG383">
        <v>8.5314950637155444</v>
      </c>
      <c r="GH383">
        <v>7.5736962301050443</v>
      </c>
      <c r="GI383">
        <v>24.460672555733947</v>
      </c>
      <c r="GJ383"/>
      <c r="GK383"/>
      <c r="GL383"/>
      <c r="GM383"/>
      <c r="GN383" s="208"/>
      <c r="GO383" s="208"/>
      <c r="GP383" s="208"/>
      <c r="GQ383" s="208"/>
      <c r="GR383" s="208"/>
      <c r="GS383" s="208"/>
      <c r="GT383" s="208"/>
      <c r="GU383" s="213">
        <v>378</v>
      </c>
    </row>
    <row r="384" spans="1:203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300.66873503974887</v>
      </c>
      <c r="AO384">
        <v>31.73061647324128</v>
      </c>
      <c r="AP384">
        <v>44.433057746005318</v>
      </c>
      <c r="AQ384">
        <v>223.61081643800219</v>
      </c>
      <c r="AR384">
        <v>31.839875050124618</v>
      </c>
      <c r="AS384">
        <v>417.58743586539248</v>
      </c>
      <c r="AT384">
        <v>19.345433298851571</v>
      </c>
      <c r="AU384">
        <v>1.3201209838648751</v>
      </c>
      <c r="AV384"/>
      <c r="AW384"/>
      <c r="FY384" s="213">
        <v>379</v>
      </c>
      <c r="FZ384">
        <v>50.816052254872965</v>
      </c>
      <c r="GA384">
        <v>43.681471042302</v>
      </c>
      <c r="GB384">
        <v>29.194508550368909</v>
      </c>
      <c r="GC384">
        <v>12.12028709892518</v>
      </c>
      <c r="GD384">
        <v>1.5770896832718733</v>
      </c>
      <c r="GE384">
        <v>1.2077620332576671</v>
      </c>
      <c r="GF384">
        <v>4.7717853072022383</v>
      </c>
      <c r="GG384">
        <v>5.8035098863320931</v>
      </c>
      <c r="GH384">
        <v>9.5522514704473878</v>
      </c>
      <c r="GI384">
        <v>17.928127645872713</v>
      </c>
      <c r="GJ384"/>
      <c r="GK384"/>
      <c r="GL384"/>
      <c r="GM384"/>
      <c r="GN384" s="208"/>
      <c r="GO384" s="208"/>
      <c r="GP384" s="208"/>
      <c r="GQ384" s="208"/>
      <c r="GR384" s="208"/>
      <c r="GS384" s="208"/>
      <c r="GT384" s="208"/>
      <c r="GU384" s="213">
        <v>379</v>
      </c>
    </row>
    <row r="385" spans="1:203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204.21797445767967</v>
      </c>
      <c r="AO385">
        <v>20.074834436037541</v>
      </c>
      <c r="AP385">
        <v>20.085322716810264</v>
      </c>
      <c r="AQ385">
        <v>134.26037155814407</v>
      </c>
      <c r="AR385">
        <v>21.27507784854539</v>
      </c>
      <c r="AS385">
        <v>271.5871737584871</v>
      </c>
      <c r="AT385">
        <v>12.640850252398678</v>
      </c>
      <c r="AU385">
        <v>6.4956516177840342</v>
      </c>
      <c r="AV385"/>
      <c r="AW385"/>
      <c r="FY385" s="213">
        <v>380</v>
      </c>
      <c r="FZ385">
        <v>49.048873050831851</v>
      </c>
      <c r="GA385">
        <v>20.645707393732465</v>
      </c>
      <c r="GB385">
        <v>19.319257627674055</v>
      </c>
      <c r="GC385">
        <v>12.419399166615239</v>
      </c>
      <c r="GD385">
        <v>4.9902587472860196</v>
      </c>
      <c r="GE385">
        <v>7.5369439875213304</v>
      </c>
      <c r="GF385">
        <v>2.887319380753488</v>
      </c>
      <c r="GG385">
        <v>4.5615402126953448</v>
      </c>
      <c r="GH385">
        <v>6.464041829787333</v>
      </c>
      <c r="GI385">
        <v>16.360418966599688</v>
      </c>
      <c r="GJ385"/>
      <c r="GK385"/>
      <c r="GL385"/>
      <c r="GM385"/>
      <c r="GN385" s="208"/>
      <c r="GO385" s="208"/>
      <c r="GP385" s="208"/>
      <c r="GQ385" s="208"/>
      <c r="GR385" s="208"/>
      <c r="GS385" s="208"/>
      <c r="GT385" s="208"/>
      <c r="GU385" s="213">
        <v>380</v>
      </c>
    </row>
    <row r="386" spans="1:203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369.63296486617367</v>
      </c>
      <c r="AO386">
        <v>33.533709178856036</v>
      </c>
      <c r="AP386">
        <v>49.533188833040072</v>
      </c>
      <c r="AQ386">
        <v>253.46496323440772</v>
      </c>
      <c r="AR386">
        <v>33.239839662644258</v>
      </c>
      <c r="AS386">
        <v>457.29848291859929</v>
      </c>
      <c r="AT386">
        <v>20.735251621419657</v>
      </c>
      <c r="AU386">
        <v>-66.44403582023466</v>
      </c>
      <c r="AV386"/>
      <c r="AW386"/>
      <c r="FY386" s="213">
        <v>381</v>
      </c>
      <c r="FZ386">
        <v>56.09270795539021</v>
      </c>
      <c r="GA386">
        <v>51.806622457316365</v>
      </c>
      <c r="GB386">
        <v>31.588164746588273</v>
      </c>
      <c r="GC386">
        <v>15.641631401165416</v>
      </c>
      <c r="GD386">
        <v>4.3216480055451099</v>
      </c>
      <c r="GE386">
        <v>5.7702746371569571</v>
      </c>
      <c r="GF386">
        <v>5.9368220776594463</v>
      </c>
      <c r="GG386">
        <v>5.7950183755813836</v>
      </c>
      <c r="GH386">
        <v>10.459668574535897</v>
      </c>
      <c r="GI386">
        <v>21.22211219897412</v>
      </c>
      <c r="GJ386"/>
      <c r="GK386"/>
      <c r="GL386"/>
      <c r="GM386"/>
      <c r="GN386" s="208"/>
      <c r="GO386" s="208"/>
      <c r="GP386" s="208"/>
      <c r="GQ386" s="208"/>
      <c r="GR386" s="208"/>
      <c r="GS386" s="208"/>
      <c r="GT386" s="208"/>
      <c r="GU386" s="213">
        <v>381</v>
      </c>
    </row>
    <row r="387" spans="1:203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259.90975282670155</v>
      </c>
      <c r="AO387">
        <v>25.901722219618939</v>
      </c>
      <c r="AP387">
        <v>20.398134226923396</v>
      </c>
      <c r="AQ387">
        <v>180.41998447863639</v>
      </c>
      <c r="AR387">
        <v>26.499778795073066</v>
      </c>
      <c r="AS387">
        <v>300.09745454639483</v>
      </c>
      <c r="AT387">
        <v>15.239910194129292</v>
      </c>
      <c r="AU387">
        <v>5.058353845209723</v>
      </c>
      <c r="AV387"/>
      <c r="AW387"/>
      <c r="FY387" s="213">
        <v>382</v>
      </c>
      <c r="FZ387">
        <v>44.998587646667652</v>
      </c>
      <c r="GA387">
        <v>43.282849563319381</v>
      </c>
      <c r="GB387">
        <v>27.31377764138897</v>
      </c>
      <c r="GC387">
        <v>11.484039523379709</v>
      </c>
      <c r="GD387">
        <v>2.4762652568619039</v>
      </c>
      <c r="GE387">
        <v>3.2670987380463692</v>
      </c>
      <c r="GF387">
        <v>1.1204658014984969</v>
      </c>
      <c r="GG387">
        <v>2.6597360227518601</v>
      </c>
      <c r="GH387">
        <v>6.2431583229346375</v>
      </c>
      <c r="GI387">
        <v>15.92080154474638</v>
      </c>
      <c r="GJ387"/>
      <c r="GK387"/>
      <c r="GL387"/>
      <c r="GM387"/>
      <c r="GN387" s="208"/>
      <c r="GO387" s="208"/>
      <c r="GP387" s="208"/>
      <c r="GQ387" s="208"/>
      <c r="GR387" s="208"/>
      <c r="GS387" s="208"/>
      <c r="GT387" s="208"/>
      <c r="GU387" s="213">
        <v>382</v>
      </c>
    </row>
    <row r="388" spans="1:203" s="7" customFormat="1">
      <c r="A388" s="1"/>
      <c r="B388" s="13"/>
      <c r="C388" s="21"/>
      <c r="D388" s="96"/>
      <c r="E388" s="3"/>
      <c r="F388" s="19">
        <f t="shared" ref="F388:F398" si="374">IF(C374&lt;1,0,LN(E374/E373)/E21)</f>
        <v>-3.3540323633069577E-3</v>
      </c>
      <c r="G388" s="13"/>
      <c r="H388" s="19">
        <f>IF(G406&lt;0,0,G406)</f>
        <v>3.1260988417726523E-2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247.14048766384195</v>
      </c>
      <c r="AO388">
        <v>22.854666166666053</v>
      </c>
      <c r="AP388">
        <v>31.317332190075419</v>
      </c>
      <c r="AQ388">
        <v>170.90820620566353</v>
      </c>
      <c r="AR388">
        <v>24.523523937925418</v>
      </c>
      <c r="AS388">
        <v>395.35426072051683</v>
      </c>
      <c r="AT388">
        <v>14.573517320414874</v>
      </c>
      <c r="AU388">
        <v>11.264542480982769</v>
      </c>
      <c r="AV388"/>
      <c r="AW388"/>
      <c r="FY388" s="213">
        <v>383</v>
      </c>
      <c r="FZ388">
        <v>51.505719280988245</v>
      </c>
      <c r="GA388">
        <v>47.559539827911657</v>
      </c>
      <c r="GB388">
        <v>26.003697203948761</v>
      </c>
      <c r="GC388">
        <v>9.0732227623253898</v>
      </c>
      <c r="GD388">
        <v>2.0243811817789443</v>
      </c>
      <c r="GE388">
        <v>4.3756840336090166</v>
      </c>
      <c r="GF388">
        <v>7.1392891280864355</v>
      </c>
      <c r="GG388">
        <v>5.0581663799733132</v>
      </c>
      <c r="GH388">
        <v>5.4742268815638138</v>
      </c>
      <c r="GI388">
        <v>17.273402365880131</v>
      </c>
      <c r="GJ388"/>
      <c r="GK388"/>
      <c r="GL388"/>
      <c r="GM388"/>
      <c r="GN388" s="208"/>
      <c r="GO388" s="208"/>
      <c r="GP388" s="208"/>
      <c r="GQ388" s="208"/>
      <c r="GR388" s="208"/>
      <c r="GS388" s="208"/>
      <c r="GT388" s="208"/>
      <c r="GU388" s="213">
        <v>383</v>
      </c>
    </row>
    <row r="389" spans="1:203" s="7" customFormat="1">
      <c r="A389" s="1"/>
      <c r="B389" s="13"/>
      <c r="C389" s="21"/>
      <c r="D389" s="96"/>
      <c r="E389" s="3"/>
      <c r="F389" s="19">
        <f t="shared" si="374"/>
        <v>-2.0035810994725435E-2</v>
      </c>
      <c r="G389" s="13"/>
      <c r="H389" s="19">
        <f t="shared" ref="H389:H398" si="375">IF(G407&lt;0,0,G407)</f>
        <v>9.4792361947230765E-3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308.10780624534243</v>
      </c>
      <c r="AO389">
        <v>33.582343555116012</v>
      </c>
      <c r="AP389">
        <v>40.466412761288929</v>
      </c>
      <c r="AQ389">
        <v>251.95499886711633</v>
      </c>
      <c r="AR389">
        <v>33.770091595265718</v>
      </c>
      <c r="AS389">
        <v>411.76910969510237</v>
      </c>
      <c r="AT389">
        <v>20.818635244104353</v>
      </c>
      <c r="AU389">
        <v>-44.839023181641799</v>
      </c>
      <c r="AV389"/>
      <c r="AW389"/>
      <c r="FY389" s="213">
        <v>384</v>
      </c>
      <c r="FZ389">
        <v>47.798800855196369</v>
      </c>
      <c r="GA389">
        <v>47.772751063307865</v>
      </c>
      <c r="GB389">
        <v>30.81075220253048</v>
      </c>
      <c r="GC389">
        <v>14.286833042560742</v>
      </c>
      <c r="GD389">
        <v>5.7427275788247441</v>
      </c>
      <c r="GE389">
        <v>7.2645052910396188</v>
      </c>
      <c r="GF389">
        <v>4.7017404698101615</v>
      </c>
      <c r="GG389">
        <v>3.7745811413108292</v>
      </c>
      <c r="GH389">
        <v>7.3426835964254984</v>
      </c>
      <c r="GI389">
        <v>19.923822329648917</v>
      </c>
      <c r="GJ389"/>
      <c r="GK389"/>
      <c r="GL389"/>
      <c r="GM389"/>
      <c r="GN389" s="208"/>
      <c r="GO389" s="208"/>
      <c r="GP389" s="208"/>
      <c r="GQ389" s="208"/>
      <c r="GR389" s="208"/>
      <c r="GS389" s="208"/>
      <c r="GT389" s="208"/>
      <c r="GU389" s="213">
        <v>384</v>
      </c>
    </row>
    <row r="390" spans="1:203" s="7" customFormat="1">
      <c r="A390" s="1"/>
      <c r="B390" s="13"/>
      <c r="C390" s="21"/>
      <c r="D390" s="96"/>
      <c r="E390" s="3"/>
      <c r="F390" s="19">
        <f t="shared" si="374"/>
        <v>-8.0571886478356253E-3</v>
      </c>
      <c r="G390" s="13"/>
      <c r="H390" s="19">
        <f t="shared" si="375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323.62653537594463</v>
      </c>
      <c r="AO390">
        <v>26.969088588596861</v>
      </c>
      <c r="AP390">
        <v>9.2645394539041028</v>
      </c>
      <c r="AQ390">
        <v>197.15873106634768</v>
      </c>
      <c r="AR390">
        <v>27.373629585223004</v>
      </c>
      <c r="AS390">
        <v>380.99438698466207</v>
      </c>
      <c r="AT390">
        <v>17.275886979082603</v>
      </c>
      <c r="AU390">
        <v>-32.176697651088453</v>
      </c>
      <c r="AV390"/>
      <c r="AW390"/>
      <c r="FY390" s="213">
        <v>385</v>
      </c>
      <c r="FZ390">
        <v>48.411445939987672</v>
      </c>
      <c r="GA390">
        <v>47.821989608486106</v>
      </c>
      <c r="GB390">
        <v>32.909724525984174</v>
      </c>
      <c r="GC390">
        <v>13.87847962824458</v>
      </c>
      <c r="GD390">
        <v>4.6243028450900567</v>
      </c>
      <c r="GE390">
        <v>6.7373233780317197</v>
      </c>
      <c r="GF390">
        <v>5.4990077667186448</v>
      </c>
      <c r="GG390">
        <v>6.4952881206094482</v>
      </c>
      <c r="GH390">
        <v>5.7667733924741773</v>
      </c>
      <c r="GI390">
        <v>19.734156914020385</v>
      </c>
      <c r="GJ390"/>
      <c r="GK390"/>
      <c r="GL390"/>
      <c r="GM390"/>
      <c r="GN390" s="208"/>
      <c r="GO390" s="208"/>
      <c r="GP390" s="208"/>
      <c r="GQ390" s="208"/>
      <c r="GR390" s="208"/>
      <c r="GS390" s="208"/>
      <c r="GT390" s="208"/>
      <c r="GU390" s="213">
        <v>385</v>
      </c>
    </row>
    <row r="391" spans="1:203" s="7" customFormat="1">
      <c r="A391" s="1"/>
      <c r="B391" s="13"/>
      <c r="C391" s="21"/>
      <c r="D391" s="96"/>
      <c r="E391" s="3"/>
      <c r="F391" s="19">
        <f t="shared" si="374"/>
        <v>-2.1940464615013051E-2</v>
      </c>
      <c r="G391" s="13"/>
      <c r="H391" s="19">
        <f t="shared" si="375"/>
        <v>1.3585306726460827E-2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242.49107803575052</v>
      </c>
      <c r="AO391">
        <v>24.315448154142651</v>
      </c>
      <c r="AP391">
        <v>31.886834705305745</v>
      </c>
      <c r="AQ391">
        <v>172.37444431669445</v>
      </c>
      <c r="AR391">
        <v>25.519849708026857</v>
      </c>
      <c r="AS391">
        <v>362.9145535348955</v>
      </c>
      <c r="AT391">
        <v>15.904726870227833</v>
      </c>
      <c r="AU391">
        <v>-4.9893173369843709</v>
      </c>
      <c r="AV391"/>
      <c r="AW391"/>
      <c r="FY391" s="213">
        <v>386</v>
      </c>
      <c r="FZ391">
        <v>45.513161280310065</v>
      </c>
      <c r="GA391">
        <v>46.590429810360625</v>
      </c>
      <c r="GB391">
        <v>36.100056102434678</v>
      </c>
      <c r="GC391">
        <v>15.036153643252097</v>
      </c>
      <c r="GD391">
        <v>5.1614356366698955</v>
      </c>
      <c r="GE391">
        <v>8.6799484415578689</v>
      </c>
      <c r="GF391">
        <v>4.9168111295316219</v>
      </c>
      <c r="GG391">
        <v>5.5724328511006087</v>
      </c>
      <c r="GH391">
        <v>5.0836780669598189</v>
      </c>
      <c r="GI391">
        <v>20.202446495648832</v>
      </c>
      <c r="GJ391"/>
      <c r="GK391"/>
      <c r="GL391"/>
      <c r="GM391"/>
      <c r="GN391" s="208"/>
      <c r="GO391" s="208"/>
      <c r="GP391" s="208"/>
      <c r="GQ391" s="208"/>
      <c r="GR391" s="208"/>
      <c r="GS391" s="208"/>
      <c r="GT391" s="208"/>
      <c r="GU391" s="213">
        <v>386</v>
      </c>
    </row>
    <row r="392" spans="1:203" s="7" customFormat="1">
      <c r="A392" s="1"/>
      <c r="B392" s="13"/>
      <c r="C392" s="21"/>
      <c r="D392" s="96"/>
      <c r="E392" s="3"/>
      <c r="F392" s="19">
        <f t="shared" si="374"/>
        <v>-1.2108454232057296E-2</v>
      </c>
      <c r="G392" s="13"/>
      <c r="H392" s="19">
        <f t="shared" si="375"/>
        <v>1.8130584015302421E-2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265.56016557545149</v>
      </c>
      <c r="AO392">
        <v>26.793231769667706</v>
      </c>
      <c r="AP392">
        <v>49.440687380414438</v>
      </c>
      <c r="AQ392">
        <v>194.66216320485677</v>
      </c>
      <c r="AR392">
        <v>27.163490534741509</v>
      </c>
      <c r="AS392">
        <v>432.70659540935929</v>
      </c>
      <c r="AT392">
        <v>16.801965222240561</v>
      </c>
      <c r="AU392">
        <v>-25.822974616870162</v>
      </c>
      <c r="AV392"/>
      <c r="AW392"/>
      <c r="FY392" s="213">
        <v>387</v>
      </c>
      <c r="FZ392">
        <v>47.945494407045572</v>
      </c>
      <c r="GA392">
        <v>39.178753583112041</v>
      </c>
      <c r="GB392">
        <v>29.17276743575767</v>
      </c>
      <c r="GC392">
        <v>12.648967756724952</v>
      </c>
      <c r="GD392">
        <v>4.2637937551755503</v>
      </c>
      <c r="GE392">
        <v>5.8752667158574408</v>
      </c>
      <c r="GF392">
        <v>5.5555351472137691</v>
      </c>
      <c r="GG392">
        <v>3.8885913226977049</v>
      </c>
      <c r="GH392">
        <v>4.8036947983836695</v>
      </c>
      <c r="GI392">
        <v>18.441507856133867</v>
      </c>
      <c r="GJ392"/>
      <c r="GK392"/>
      <c r="GL392"/>
      <c r="GM392"/>
      <c r="GN392" s="208"/>
      <c r="GO392" s="208"/>
      <c r="GP392" s="208"/>
      <c r="GQ392" s="208"/>
      <c r="GR392" s="208"/>
      <c r="GS392" s="208"/>
      <c r="GT392" s="208"/>
      <c r="GU392" s="213">
        <v>387</v>
      </c>
    </row>
    <row r="393" spans="1:203" s="7" customFormat="1">
      <c r="A393" s="1"/>
      <c r="B393" s="13"/>
      <c r="C393" s="21"/>
      <c r="D393" s="96"/>
      <c r="E393" s="3"/>
      <c r="F393" s="19">
        <f t="shared" si="374"/>
        <v>2.8891351044327357E-2</v>
      </c>
      <c r="G393" s="13"/>
      <c r="H393" s="19">
        <f t="shared" si="375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226.71756632044122</v>
      </c>
      <c r="AO393">
        <v>25.85589293709873</v>
      </c>
      <c r="AP393">
        <v>50.559888652358524</v>
      </c>
      <c r="AQ393">
        <v>205.86069751478132</v>
      </c>
      <c r="AR393">
        <v>26.198702682320903</v>
      </c>
      <c r="AS393">
        <v>355.75355779566547</v>
      </c>
      <c r="AT393">
        <v>16.975685565894974</v>
      </c>
      <c r="AU393">
        <v>-59.287982853899834</v>
      </c>
      <c r="AV393"/>
      <c r="AW393"/>
      <c r="FY393" s="213">
        <v>388</v>
      </c>
      <c r="FZ393">
        <v>45.403891461280296</v>
      </c>
      <c r="GA393">
        <v>30.442121574366524</v>
      </c>
      <c r="GB393">
        <v>29.16186178063472</v>
      </c>
      <c r="GC393">
        <v>13.119465732795879</v>
      </c>
      <c r="GD393">
        <v>3.6391981158676363</v>
      </c>
      <c r="GE393">
        <v>5.9447044429322178</v>
      </c>
      <c r="GF393">
        <v>6.9702157013825818</v>
      </c>
      <c r="GG393">
        <v>8.1655684144976917</v>
      </c>
      <c r="GH393">
        <v>6.9723201662005687</v>
      </c>
      <c r="GI393">
        <v>18.300619603731828</v>
      </c>
      <c r="GJ393"/>
      <c r="GK393"/>
      <c r="GL393"/>
      <c r="GM393"/>
      <c r="GN393" s="208"/>
      <c r="GO393" s="208"/>
      <c r="GP393" s="208"/>
      <c r="GQ393" s="208"/>
      <c r="GR393" s="208"/>
      <c r="GS393" s="208"/>
      <c r="GT393" s="208"/>
      <c r="GU393" s="213">
        <v>388</v>
      </c>
    </row>
    <row r="394" spans="1:203" s="7" customFormat="1">
      <c r="A394" s="1"/>
      <c r="B394" s="13"/>
      <c r="C394" s="21"/>
      <c r="D394" s="96"/>
      <c r="E394" s="3"/>
      <c r="F394" s="19">
        <f t="shared" si="374"/>
        <v>5.5473905912987766E-3</v>
      </c>
      <c r="G394" s="13"/>
      <c r="H394" s="19">
        <f t="shared" si="375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312.40919361251252</v>
      </c>
      <c r="AO394">
        <v>33.004321253952227</v>
      </c>
      <c r="AP394">
        <v>25.798161593403172</v>
      </c>
      <c r="AQ394">
        <v>244.42110709170183</v>
      </c>
      <c r="AR394">
        <v>33.492833709288568</v>
      </c>
      <c r="AS394">
        <v>482.01072598936605</v>
      </c>
      <c r="AT394">
        <v>21.032395153023021</v>
      </c>
      <c r="AU394">
        <v>-14.566894450835221</v>
      </c>
      <c r="AV394"/>
      <c r="AW394"/>
      <c r="FY394" s="213">
        <v>389</v>
      </c>
      <c r="FZ394">
        <v>48.943057260773678</v>
      </c>
      <c r="GA394">
        <v>38.42689089572481</v>
      </c>
      <c r="GB394">
        <v>26.771939881271855</v>
      </c>
      <c r="GC394">
        <v>12.111551568450965</v>
      </c>
      <c r="GD394">
        <v>2.1695983806235026</v>
      </c>
      <c r="GE394">
        <v>3.8169588122486089</v>
      </c>
      <c r="GF394">
        <v>1.8738056255314333</v>
      </c>
      <c r="GG394">
        <v>4.8010123427641727</v>
      </c>
      <c r="GH394">
        <v>9.0873811773838398</v>
      </c>
      <c r="GI394">
        <v>16.791735262992223</v>
      </c>
      <c r="GJ394"/>
      <c r="GK394"/>
      <c r="GL394"/>
      <c r="GM394"/>
      <c r="GN394" s="208"/>
      <c r="GO394" s="208"/>
      <c r="GP394" s="208"/>
      <c r="GQ394" s="208"/>
      <c r="GR394" s="208"/>
      <c r="GS394" s="208"/>
      <c r="GT394" s="208"/>
      <c r="GU394" s="213">
        <v>389</v>
      </c>
    </row>
    <row r="395" spans="1:203" s="7" customFormat="1">
      <c r="A395" s="1"/>
      <c r="B395" s="13"/>
      <c r="C395" s="21"/>
      <c r="D395" s="96"/>
      <c r="E395" s="3"/>
      <c r="F395" s="19">
        <f t="shared" si="374"/>
        <v>-2.8223200762295779E-2</v>
      </c>
      <c r="G395" s="13"/>
      <c r="H395" s="19">
        <f t="shared" si="375"/>
        <v>4.4205731448118242E-2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203.16611716497735</v>
      </c>
      <c r="AO395">
        <v>23.289440001270485</v>
      </c>
      <c r="AP395">
        <v>24.208576608592459</v>
      </c>
      <c r="AQ395">
        <v>176.65284497285299</v>
      </c>
      <c r="AR395">
        <v>24.68789745414632</v>
      </c>
      <c r="AS395">
        <v>366.31402331491824</v>
      </c>
      <c r="AT395">
        <v>15.080181687945334</v>
      </c>
      <c r="AU395">
        <v>0.85743334133899651</v>
      </c>
      <c r="AV395"/>
      <c r="AW395"/>
      <c r="FY395" s="213">
        <v>390</v>
      </c>
      <c r="FZ395">
        <v>54.354170497198183</v>
      </c>
      <c r="GA395">
        <v>49.143300722850654</v>
      </c>
      <c r="GB395">
        <v>25.312648845553515</v>
      </c>
      <c r="GC395">
        <v>10.984333781390532</v>
      </c>
      <c r="GD395">
        <v>4.7316089481215302</v>
      </c>
      <c r="GE395">
        <v>5.3087345131278738</v>
      </c>
      <c r="GF395">
        <v>1.8830251931151958</v>
      </c>
      <c r="GG395">
        <v>1.3620705725046891</v>
      </c>
      <c r="GH395">
        <v>2.4648203195011678</v>
      </c>
      <c r="GI395">
        <v>17.6421895091901</v>
      </c>
      <c r="GJ395"/>
      <c r="GK395"/>
      <c r="GL395"/>
      <c r="GM395"/>
      <c r="GN395" s="208"/>
      <c r="GO395" s="208"/>
      <c r="GP395" s="208"/>
      <c r="GQ395" s="208"/>
      <c r="GR395" s="208"/>
      <c r="GS395" s="208"/>
      <c r="GT395" s="208"/>
      <c r="GU395" s="213">
        <v>390</v>
      </c>
    </row>
    <row r="396" spans="1:203" s="7" customFormat="1">
      <c r="A396" s="1"/>
      <c r="B396" s="13"/>
      <c r="C396" s="21"/>
      <c r="D396" s="96"/>
      <c r="E396" s="3"/>
      <c r="F396" s="19">
        <f t="shared" si="374"/>
        <v>4.4980970019904906E-2</v>
      </c>
      <c r="G396" s="13"/>
      <c r="H396" s="19">
        <f t="shared" si="375"/>
        <v>2.6406365487801793E-2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291.2374353885748</v>
      </c>
      <c r="AO396">
        <v>21.01017978485924</v>
      </c>
      <c r="AP396">
        <v>12.505053018648393</v>
      </c>
      <c r="AQ396">
        <v>144.2337603634968</v>
      </c>
      <c r="AR396">
        <v>22.401081885142659</v>
      </c>
      <c r="AS396">
        <v>324.94325522525986</v>
      </c>
      <c r="AT396">
        <v>13.520334533403343</v>
      </c>
      <c r="AU396">
        <v>17.742484177002609</v>
      </c>
      <c r="AV396"/>
      <c r="AW396"/>
      <c r="FY396" s="213">
        <v>391</v>
      </c>
      <c r="FZ396">
        <v>35.336260594001992</v>
      </c>
      <c r="GA396">
        <v>22.24083003357001</v>
      </c>
      <c r="GB396">
        <v>16.131068465434151</v>
      </c>
      <c r="GC396">
        <v>9.9971228765368139</v>
      </c>
      <c r="GD396">
        <v>3.720498662931869</v>
      </c>
      <c r="GE396">
        <v>5.2350078505173911</v>
      </c>
      <c r="GF396">
        <v>4.6832868653679789</v>
      </c>
      <c r="GG396">
        <v>5.3342045740845485</v>
      </c>
      <c r="GH396">
        <v>5.8515672044119125</v>
      </c>
      <c r="GI396">
        <v>13.07930480721787</v>
      </c>
      <c r="GJ396"/>
      <c r="GK396"/>
      <c r="GL396"/>
      <c r="GM396"/>
      <c r="GN396" s="208"/>
      <c r="GO396" s="208"/>
      <c r="GP396" s="208"/>
      <c r="GQ396" s="208"/>
      <c r="GR396" s="208"/>
      <c r="GS396" s="208"/>
      <c r="GT396" s="208"/>
      <c r="GU396" s="213">
        <v>391</v>
      </c>
    </row>
    <row r="397" spans="1:203" s="7" customFormat="1">
      <c r="A397" s="1"/>
      <c r="B397" s="13"/>
      <c r="C397" s="21"/>
      <c r="D397" s="96"/>
      <c r="E397" s="3"/>
      <c r="F397" s="19">
        <f t="shared" si="374"/>
        <v>0</v>
      </c>
      <c r="G397" s="13"/>
      <c r="H397" s="19">
        <f t="shared" si="375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294.55086288732161</v>
      </c>
      <c r="AO397">
        <v>28.662164773902724</v>
      </c>
      <c r="AP397">
        <v>41.115287499672995</v>
      </c>
      <c r="AQ397">
        <v>208.63467042991317</v>
      </c>
      <c r="AR397">
        <v>29.1923865851115</v>
      </c>
      <c r="AS397">
        <v>374.64882545670883</v>
      </c>
      <c r="AT397">
        <v>17.636547000599492</v>
      </c>
      <c r="AU397">
        <v>-14.691594397221309</v>
      </c>
      <c r="AV397"/>
      <c r="AW397"/>
      <c r="FY397" s="213">
        <v>392</v>
      </c>
      <c r="FZ397">
        <v>43.255168964896896</v>
      </c>
      <c r="GA397">
        <v>50.002158187973322</v>
      </c>
      <c r="GB397">
        <v>31.506671316547116</v>
      </c>
      <c r="GC397">
        <v>15.710909141173548</v>
      </c>
      <c r="GD397">
        <v>5.7741733536709621</v>
      </c>
      <c r="GE397">
        <v>7.7459367732151616</v>
      </c>
      <c r="GF397">
        <v>3.8041386315579904</v>
      </c>
      <c r="GG397">
        <v>1.4349120496895849</v>
      </c>
      <c r="GH397">
        <v>2.8412478915733539</v>
      </c>
      <c r="GI397">
        <v>18.544721030722858</v>
      </c>
      <c r="GJ397"/>
      <c r="GK397"/>
      <c r="GL397"/>
      <c r="GM397"/>
      <c r="GN397" s="208"/>
      <c r="GO397" s="208"/>
      <c r="GP397" s="208"/>
      <c r="GQ397" s="208"/>
      <c r="GR397" s="208"/>
      <c r="GS397" s="208"/>
      <c r="GT397" s="208"/>
      <c r="GU397" s="213">
        <v>392</v>
      </c>
    </row>
    <row r="398" spans="1:203" s="7" customFormat="1">
      <c r="A398" s="1"/>
      <c r="B398" s="13"/>
      <c r="C398" s="21"/>
      <c r="D398" s="96"/>
      <c r="E398" s="3"/>
      <c r="F398" s="19">
        <f t="shared" si="374"/>
        <v>0</v>
      </c>
      <c r="G398" s="13"/>
      <c r="H398" s="19">
        <f t="shared" si="375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243.60413665343367</v>
      </c>
      <c r="AO398">
        <v>21.346192138826034</v>
      </c>
      <c r="AP398">
        <v>40.015762437664712</v>
      </c>
      <c r="AQ398">
        <v>158.76678006159537</v>
      </c>
      <c r="AR398">
        <v>21.921099977923831</v>
      </c>
      <c r="AS398">
        <v>314.86079623425155</v>
      </c>
      <c r="AT398">
        <v>13.291882275883163</v>
      </c>
      <c r="AU398">
        <v>-13.888595864712975</v>
      </c>
      <c r="AV398"/>
      <c r="AW398"/>
      <c r="FY398" s="213">
        <v>393</v>
      </c>
      <c r="FZ398">
        <v>67.302873283374083</v>
      </c>
      <c r="GA398">
        <v>76.080657727893325</v>
      </c>
      <c r="GB398">
        <v>34.029894765607779</v>
      </c>
      <c r="GC398">
        <v>13.266088128002009</v>
      </c>
      <c r="GD398">
        <v>5.4551985434631387</v>
      </c>
      <c r="GE398">
        <v>10.816104670086178</v>
      </c>
      <c r="GF398">
        <v>12.259079724501461</v>
      </c>
      <c r="GG398">
        <v>9.8936407863947604</v>
      </c>
      <c r="GH398">
        <v>4.7787857533069573</v>
      </c>
      <c r="GI398">
        <v>24.362106323068215</v>
      </c>
      <c r="GJ398"/>
      <c r="GK398"/>
      <c r="GL398"/>
      <c r="GM398"/>
      <c r="GN398" s="208"/>
      <c r="GO398" s="208"/>
      <c r="GP398" s="208"/>
      <c r="GQ398" s="208"/>
      <c r="GR398" s="208"/>
      <c r="GS398" s="208"/>
      <c r="GT398" s="208"/>
      <c r="GU398" s="213">
        <v>393</v>
      </c>
    </row>
    <row r="399" spans="1:203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249.1281972121144</v>
      </c>
      <c r="AO399">
        <v>22.692963417040595</v>
      </c>
      <c r="AP399">
        <v>15.572541340389174</v>
      </c>
      <c r="AQ399">
        <v>175.48732904606572</v>
      </c>
      <c r="AR399">
        <v>23.816480763858188</v>
      </c>
      <c r="AS399">
        <v>306.68128470310467</v>
      </c>
      <c r="AT399">
        <v>14.032560974488733</v>
      </c>
      <c r="AU399">
        <v>-19.079301946300674</v>
      </c>
      <c r="AV399"/>
      <c r="AW399"/>
      <c r="FY399" s="213">
        <v>394</v>
      </c>
      <c r="FZ399">
        <v>43.925205113106095</v>
      </c>
      <c r="GA399">
        <v>50.894208067960029</v>
      </c>
      <c r="GB399">
        <v>37.090086756220003</v>
      </c>
      <c r="GC399">
        <v>14.012394354399538</v>
      </c>
      <c r="GD399">
        <v>2.1529281925250587</v>
      </c>
      <c r="GE399">
        <v>2.8880800998278033</v>
      </c>
      <c r="GF399">
        <v>7.9874898055577574</v>
      </c>
      <c r="GG399">
        <v>7.2717927065591281</v>
      </c>
      <c r="GH399">
        <v>3.2555879382058377</v>
      </c>
      <c r="GI399">
        <v>18.779059641146592</v>
      </c>
      <c r="GJ399"/>
      <c r="GK399"/>
      <c r="GL399"/>
      <c r="GM399"/>
      <c r="GN399" s="208"/>
      <c r="GO399" s="208"/>
      <c r="GP399" s="208"/>
      <c r="GQ399" s="208"/>
      <c r="GR399" s="208"/>
      <c r="GS399" s="208"/>
      <c r="GT399" s="208"/>
      <c r="GU399" s="213">
        <v>394</v>
      </c>
    </row>
    <row r="400" spans="1:203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286.4183794181348</v>
      </c>
      <c r="AO400">
        <v>26.724145767252207</v>
      </c>
      <c r="AP400">
        <v>33.318053018080221</v>
      </c>
      <c r="AQ400">
        <v>189.4191975706552</v>
      </c>
      <c r="AR400">
        <v>27.33040503880008</v>
      </c>
      <c r="AS400">
        <v>378.99486714794352</v>
      </c>
      <c r="AT400">
        <v>16.830303093330738</v>
      </c>
      <c r="AU400">
        <v>-13.206901617392489</v>
      </c>
      <c r="AV400"/>
      <c r="AW400"/>
      <c r="FY400" s="213">
        <v>395</v>
      </c>
      <c r="FZ400">
        <v>45.48151727288537</v>
      </c>
      <c r="GA400">
        <v>23.998094021352017</v>
      </c>
      <c r="GB400">
        <v>16.247515178568548</v>
      </c>
      <c r="GC400">
        <v>9.5183679451408647</v>
      </c>
      <c r="GD400">
        <v>2.5107996055415587</v>
      </c>
      <c r="GE400">
        <v>5.1190628462409213</v>
      </c>
      <c r="GF400">
        <v>7.0507906862521743</v>
      </c>
      <c r="GG400">
        <v>7.9164924432489165</v>
      </c>
      <c r="GH400">
        <v>14.08596259120271</v>
      </c>
      <c r="GI400">
        <v>15.635129706812981</v>
      </c>
      <c r="GJ400"/>
      <c r="GK400"/>
      <c r="GL400"/>
      <c r="GM400"/>
      <c r="GN400" s="208"/>
      <c r="GO400" s="208"/>
      <c r="GP400" s="208"/>
      <c r="GQ400" s="208"/>
      <c r="GR400" s="208"/>
      <c r="GS400" s="208"/>
      <c r="GT400" s="208"/>
      <c r="GU400" s="213">
        <v>395</v>
      </c>
    </row>
    <row r="401" spans="1:203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286.84802219543678</v>
      </c>
      <c r="AO401">
        <v>26.901367307530343</v>
      </c>
      <c r="AP401">
        <v>32.577129856151743</v>
      </c>
      <c r="AQ401">
        <v>191.87849211964698</v>
      </c>
      <c r="AR401">
        <v>27.229397524646462</v>
      </c>
      <c r="AS401">
        <v>393.47795381888477</v>
      </c>
      <c r="AT401">
        <v>16.320245534726752</v>
      </c>
      <c r="AU401">
        <v>-23.999475119972644</v>
      </c>
      <c r="AV401"/>
      <c r="AW401"/>
      <c r="FY401" s="213">
        <v>396</v>
      </c>
      <c r="FZ401">
        <v>50.635120877557817</v>
      </c>
      <c r="GA401">
        <v>59.811632262942396</v>
      </c>
      <c r="GB401">
        <v>44.098047966048178</v>
      </c>
      <c r="GC401">
        <v>16.274903542085866</v>
      </c>
      <c r="GD401">
        <v>3.6610669454326157</v>
      </c>
      <c r="GE401">
        <v>4.0477684838093255</v>
      </c>
      <c r="GF401">
        <v>3.9152537858459802</v>
      </c>
      <c r="GG401">
        <v>5.5369290408653509</v>
      </c>
      <c r="GH401">
        <v>3.6968979776888657</v>
      </c>
      <c r="GI401">
        <v>21.681053055643424</v>
      </c>
      <c r="GJ401"/>
      <c r="GK401"/>
      <c r="GL401"/>
      <c r="GM401"/>
      <c r="GN401" s="208"/>
      <c r="GO401" s="208"/>
      <c r="GP401" s="208"/>
      <c r="GQ401" s="208"/>
      <c r="GR401" s="208"/>
      <c r="GS401" s="208"/>
      <c r="GT401" s="208"/>
      <c r="GU401" s="213">
        <v>396</v>
      </c>
    </row>
    <row r="402" spans="1:203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331.05383038019988</v>
      </c>
      <c r="AO402">
        <v>27.543600308277242</v>
      </c>
      <c r="AP402">
        <v>27.030363422830252</v>
      </c>
      <c r="AQ402">
        <v>192.85655345782615</v>
      </c>
      <c r="AR402">
        <v>27.651341117485646</v>
      </c>
      <c r="AS402">
        <v>431.29142094471177</v>
      </c>
      <c r="AT402">
        <v>17.405333222228055</v>
      </c>
      <c r="AU402">
        <v>-23.692691166235825</v>
      </c>
      <c r="AV402"/>
      <c r="AW402"/>
      <c r="FY402" s="213">
        <v>397</v>
      </c>
      <c r="FZ402">
        <v>59.782709845520152</v>
      </c>
      <c r="GA402">
        <v>70.932999015146763</v>
      </c>
      <c r="GB402">
        <v>33.305255255125168</v>
      </c>
      <c r="GC402">
        <v>13.822542438416102</v>
      </c>
      <c r="GD402">
        <v>3.087585954830391</v>
      </c>
      <c r="GE402">
        <v>3.761899205842961</v>
      </c>
      <c r="GF402">
        <v>10.882732643275911</v>
      </c>
      <c r="GG402">
        <v>11.323933622676012</v>
      </c>
      <c r="GH402">
        <v>10.845865745999841</v>
      </c>
      <c r="GI402">
        <v>22.44901431447094</v>
      </c>
      <c r="GJ402"/>
      <c r="GK402"/>
      <c r="GL402"/>
      <c r="GM402"/>
      <c r="GN402" s="208"/>
      <c r="GO402" s="208"/>
      <c r="GP402" s="208"/>
      <c r="GQ402" s="208"/>
      <c r="GR402" s="208"/>
      <c r="GS402" s="208"/>
      <c r="GT402" s="208"/>
      <c r="GU402" s="213">
        <v>397</v>
      </c>
    </row>
    <row r="403" spans="1:203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270.90218653756114</v>
      </c>
      <c r="AO403">
        <v>24.039230361389876</v>
      </c>
      <c r="AP403">
        <v>23.703767113877689</v>
      </c>
      <c r="AQ403">
        <v>171.77437277810219</v>
      </c>
      <c r="AR403">
        <v>25.314693022526075</v>
      </c>
      <c r="AS403">
        <v>329.87070861661942</v>
      </c>
      <c r="AT403">
        <v>14.874067393869948</v>
      </c>
      <c r="AU403">
        <v>3.0940588689866004</v>
      </c>
      <c r="AV403"/>
      <c r="AW403"/>
      <c r="FY403" s="213">
        <v>398</v>
      </c>
      <c r="FZ403">
        <v>41.550632009994011</v>
      </c>
      <c r="GA403">
        <v>53.389610518951166</v>
      </c>
      <c r="GB403">
        <v>31.807424950187563</v>
      </c>
      <c r="GC403">
        <v>10.023901817256228</v>
      </c>
      <c r="GD403">
        <v>2.6579924491329523</v>
      </c>
      <c r="GE403">
        <v>3.7470448591037959</v>
      </c>
      <c r="GF403">
        <v>2.1785505256792637</v>
      </c>
      <c r="GG403">
        <v>0.44892224354928567</v>
      </c>
      <c r="GH403">
        <v>4.8094591643329716</v>
      </c>
      <c r="GI403">
        <v>16.60459095051997</v>
      </c>
      <c r="GJ403"/>
      <c r="GK403"/>
      <c r="GL403"/>
      <c r="GM403"/>
      <c r="GN403" s="208"/>
      <c r="GO403" s="208"/>
      <c r="GP403" s="208"/>
      <c r="GQ403" s="208"/>
      <c r="GR403" s="208"/>
      <c r="GS403" s="208"/>
      <c r="GT403" s="208"/>
      <c r="GU403" s="213">
        <v>398</v>
      </c>
    </row>
    <row r="404" spans="1:203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265.98152537148474</v>
      </c>
      <c r="AO404">
        <v>23.815590402488688</v>
      </c>
      <c r="AP404">
        <v>28.512940888896143</v>
      </c>
      <c r="AQ404">
        <v>168.11996699368996</v>
      </c>
      <c r="AR404">
        <v>25.012489049891713</v>
      </c>
      <c r="AS404">
        <v>347.80187419201627</v>
      </c>
      <c r="AT404">
        <v>16.27054967911138</v>
      </c>
      <c r="AU404">
        <v>16.05830503898585</v>
      </c>
      <c r="AV404"/>
      <c r="AW404"/>
      <c r="FY404" s="213">
        <v>399</v>
      </c>
      <c r="FZ404">
        <v>58.637423681114434</v>
      </c>
      <c r="GA404">
        <v>36.178908740893526</v>
      </c>
      <c r="GB404">
        <v>23.006775121435819</v>
      </c>
      <c r="GC404">
        <v>13.514493739492563</v>
      </c>
      <c r="GD404">
        <v>3.016238861769196</v>
      </c>
      <c r="GE404">
        <v>2.818114673471837</v>
      </c>
      <c r="GF404">
        <v>1.9954509272969378</v>
      </c>
      <c r="GG404">
        <v>3.9066558184721285</v>
      </c>
      <c r="GH404">
        <v>10.75523835961631</v>
      </c>
      <c r="GI404">
        <v>18.075946780951185</v>
      </c>
      <c r="GJ404"/>
      <c r="GK404"/>
      <c r="GL404"/>
      <c r="GM404"/>
      <c r="GN404" s="208"/>
      <c r="GO404" s="208"/>
      <c r="GP404" s="208"/>
      <c r="GQ404" s="208"/>
      <c r="GR404" s="208"/>
      <c r="GS404" s="208"/>
      <c r="GT404" s="208"/>
      <c r="GU404" s="213">
        <v>399</v>
      </c>
    </row>
    <row r="405" spans="1:203" s="7" customFormat="1">
      <c r="A405" s="189">
        <v>13.69</v>
      </c>
      <c r="B405" s="71">
        <f t="shared" ref="B405:B414" si="376">+C4</f>
        <v>39646</v>
      </c>
      <c r="C405" s="61">
        <v>0</v>
      </c>
      <c r="D405" s="61">
        <f t="shared" ref="D405:D414" si="377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3.4104046242774566</v>
      </c>
      <c r="E405" s="108">
        <f t="shared" ref="E405:E414" si="378">IF(D405=0,0.00000001,(1-$A$43/100)*($A$39*(D405^($A$41))))</f>
        <v>0.19623424964568373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229.04080328186046</v>
      </c>
      <c r="AO405">
        <v>22.206133812788813</v>
      </c>
      <c r="AP405">
        <v>22.594023720042081</v>
      </c>
      <c r="AQ405">
        <v>164.7939312077651</v>
      </c>
      <c r="AR405">
        <v>23.06092458737821</v>
      </c>
      <c r="AS405">
        <v>350.30680900074924</v>
      </c>
      <c r="AT405">
        <v>14.241028306701066</v>
      </c>
      <c r="AU405">
        <v>5.6998912558853831</v>
      </c>
      <c r="AV405"/>
      <c r="AW405"/>
      <c r="FY405" s="213">
        <v>400</v>
      </c>
      <c r="FZ405">
        <v>45.842242100576307</v>
      </c>
      <c r="GA405">
        <v>56.745513131427472</v>
      </c>
      <c r="GB405">
        <v>41.576293046145075</v>
      </c>
      <c r="GC405">
        <v>16.809139291257036</v>
      </c>
      <c r="GD405">
        <v>3.3348230169831132</v>
      </c>
      <c r="GE405">
        <v>2.6286255880472158</v>
      </c>
      <c r="GF405">
        <v>1.6283249498313763</v>
      </c>
      <c r="GG405">
        <v>4.4282943997496114</v>
      </c>
      <c r="GH405">
        <v>11.620219897343237</v>
      </c>
      <c r="GI405">
        <v>21.013174050499369</v>
      </c>
      <c r="GJ405"/>
      <c r="GK405"/>
      <c r="GL405"/>
      <c r="GM405"/>
      <c r="GN405" s="208"/>
      <c r="GO405" s="208"/>
      <c r="GP405" s="208"/>
      <c r="GQ405" s="208"/>
      <c r="GR405" s="208"/>
      <c r="GS405" s="208"/>
      <c r="GT405" s="208"/>
      <c r="GU405" s="213">
        <v>400</v>
      </c>
    </row>
    <row r="406" spans="1:203" s="7" customFormat="1">
      <c r="A406" s="189">
        <v>9.4499999999999993</v>
      </c>
      <c r="B406" s="71">
        <f t="shared" si="376"/>
        <v>39673</v>
      </c>
      <c r="C406" s="61">
        <f>B406-B405</f>
        <v>27</v>
      </c>
      <c r="D406" s="61">
        <f t="shared" si="377"/>
        <v>3.0774554763678599</v>
      </c>
      <c r="E406" s="108">
        <f t="shared" si="378"/>
        <v>0.1488394940095219</v>
      </c>
      <c r="F406" s="19">
        <f t="shared" ref="F406:F414" si="379">IF(C374&lt;1,0,LN(E406/E405)/E21)</f>
        <v>-1.0238540479497127E-2</v>
      </c>
      <c r="G406" s="19">
        <f t="shared" ref="G406:G414" si="380">IF(D406=0, 0, 0.051-(0.068*LN(D406))+(0.006*A406))</f>
        <v>3.1260988417726523E-2</v>
      </c>
      <c r="H406" s="19">
        <f t="shared" ref="H406:H414" si="381">+IF((G406&gt;0),G406,0)</f>
        <v>3.1260988417726523E-2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283.44166296294696</v>
      </c>
      <c r="AO406">
        <v>23.299899362090951</v>
      </c>
      <c r="AP406">
        <v>3.7813821516098507</v>
      </c>
      <c r="AQ406">
        <v>173.18690290255344</v>
      </c>
      <c r="AR406">
        <v>24.264877239324065</v>
      </c>
      <c r="AS406">
        <v>343.48876570417286</v>
      </c>
      <c r="AT406">
        <v>14.447670400686611</v>
      </c>
      <c r="AU406">
        <v>-17.426923849571999</v>
      </c>
      <c r="AV406"/>
      <c r="AW406"/>
      <c r="FY406" s="213">
        <v>401</v>
      </c>
      <c r="FZ406">
        <v>44.66806865271522</v>
      </c>
      <c r="GA406">
        <v>52.458670013810689</v>
      </c>
      <c r="GB406">
        <v>40.857446853908726</v>
      </c>
      <c r="GC406">
        <v>16.8356791759972</v>
      </c>
      <c r="GD406">
        <v>4.520357438350378</v>
      </c>
      <c r="GE406">
        <v>5.0985436119120733</v>
      </c>
      <c r="GF406">
        <v>8.5669495987921298</v>
      </c>
      <c r="GG406">
        <v>7.6862553193573326</v>
      </c>
      <c r="GH406">
        <v>6.5181272030253687</v>
      </c>
      <c r="GI406">
        <v>21.794363562735956</v>
      </c>
      <c r="GJ406"/>
      <c r="GK406"/>
      <c r="GL406"/>
      <c r="GM406"/>
      <c r="GN406" s="208"/>
      <c r="GO406" s="208"/>
      <c r="GP406" s="208"/>
      <c r="GQ406" s="208"/>
      <c r="GR406" s="208"/>
      <c r="GS406" s="208"/>
      <c r="GT406" s="208"/>
      <c r="GU406" s="213">
        <v>401</v>
      </c>
    </row>
    <row r="407" spans="1:203" s="7" customFormat="1">
      <c r="A407" s="189">
        <v>4.03</v>
      </c>
      <c r="B407" s="71">
        <f t="shared" si="376"/>
        <v>39714</v>
      </c>
      <c r="C407" s="61">
        <f>B407-$B$405</f>
        <v>68</v>
      </c>
      <c r="D407" s="61">
        <f t="shared" si="377"/>
        <v>2.6279069767441863</v>
      </c>
      <c r="E407" s="108">
        <f t="shared" si="378"/>
        <v>9.7311594033099524E-2</v>
      </c>
      <c r="F407" s="19">
        <f t="shared" si="379"/>
        <v>-1.0364643030092435E-2</v>
      </c>
      <c r="G407" s="19">
        <f t="shared" si="380"/>
        <v>9.4792361947230765E-3</v>
      </c>
      <c r="H407" s="19">
        <f t="shared" si="381"/>
        <v>9.4792361947230765E-3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200.05211171333048</v>
      </c>
      <c r="AO407">
        <v>17.411144727509871</v>
      </c>
      <c r="AP407">
        <v>22.186065105201322</v>
      </c>
      <c r="AQ407">
        <v>121.60915193407453</v>
      </c>
      <c r="AR407">
        <v>17.899211330375199</v>
      </c>
      <c r="AS407">
        <v>253.37699404073328</v>
      </c>
      <c r="AT407">
        <v>10.824634649781894</v>
      </c>
      <c r="AU407">
        <v>5.1540239842311557</v>
      </c>
      <c r="AV407"/>
      <c r="AW407"/>
      <c r="FY407" s="213">
        <v>402</v>
      </c>
      <c r="FZ407">
        <v>54.687244944984172</v>
      </c>
      <c r="GA407">
        <v>49.41076523437674</v>
      </c>
      <c r="GB407">
        <v>29.350525733618358</v>
      </c>
      <c r="GC407">
        <v>14.919593423525527</v>
      </c>
      <c r="GD407">
        <v>5.4193943289126842</v>
      </c>
      <c r="GE407">
        <v>4.8518417724434864</v>
      </c>
      <c r="GF407">
        <v>7.5084848656940579</v>
      </c>
      <c r="GG407">
        <v>6.6754074490214412</v>
      </c>
      <c r="GH407">
        <v>6.4778026283376438</v>
      </c>
      <c r="GI407">
        <v>20.764848213339452</v>
      </c>
      <c r="GJ407"/>
      <c r="GK407"/>
      <c r="GL407"/>
      <c r="GM407"/>
      <c r="GN407" s="208"/>
      <c r="GO407" s="208"/>
      <c r="GP407" s="208"/>
      <c r="GQ407" s="208"/>
      <c r="GR407" s="208"/>
      <c r="GS407" s="208"/>
      <c r="GT407" s="208"/>
      <c r="GU407" s="213">
        <v>402</v>
      </c>
    </row>
    <row r="408" spans="1:203" s="7" customFormat="1">
      <c r="A408" s="189">
        <v>0.78</v>
      </c>
      <c r="B408" s="71">
        <f t="shared" si="376"/>
        <v>39747</v>
      </c>
      <c r="C408" s="61">
        <f t="shared" ref="C408:C414" si="382">B408-$B$405</f>
        <v>101</v>
      </c>
      <c r="D408" s="61">
        <f t="shared" si="377"/>
        <v>2.2965818277760581</v>
      </c>
      <c r="E408" s="108">
        <f t="shared" si="378"/>
        <v>6.7711988330078729E-2</v>
      </c>
      <c r="F408" s="19">
        <f t="shared" si="379"/>
        <v>-1.0989542279688874E-2</v>
      </c>
      <c r="G408" s="19">
        <f t="shared" si="380"/>
        <v>-8.5668618520191517E-4</v>
      </c>
      <c r="H408" s="19">
        <f t="shared" si="381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311.59475545910317</v>
      </c>
      <c r="AO408">
        <v>25.905624427820033</v>
      </c>
      <c r="AP408">
        <v>13.118720129720105</v>
      </c>
      <c r="AQ408">
        <v>180.6200373410208</v>
      </c>
      <c r="AR408">
        <v>25.35203390663952</v>
      </c>
      <c r="AS408">
        <v>375.6028173188019</v>
      </c>
      <c r="AT408">
        <v>15.355564033501409</v>
      </c>
      <c r="AU408">
        <v>-23.704890315172875</v>
      </c>
      <c r="AV408"/>
      <c r="AW408"/>
      <c r="FY408" s="213">
        <v>403</v>
      </c>
      <c r="FZ408">
        <v>40.626265559479684</v>
      </c>
      <c r="GA408">
        <v>31.45883523841092</v>
      </c>
      <c r="GB408">
        <v>26.25349554566283</v>
      </c>
      <c r="GC408">
        <v>14.052525298456214</v>
      </c>
      <c r="GD408">
        <v>5.6690802861676097</v>
      </c>
      <c r="GE408">
        <v>7.9317467500518966</v>
      </c>
      <c r="GF408">
        <v>9.4854821885488114</v>
      </c>
      <c r="GG408">
        <v>6.6313534801678884</v>
      </c>
      <c r="GH408">
        <v>5.5977260616684656</v>
      </c>
      <c r="GI408">
        <v>18.285111244242604</v>
      </c>
      <c r="GJ408"/>
      <c r="GK408"/>
      <c r="GL408"/>
      <c r="GM408"/>
      <c r="GN408" s="208"/>
      <c r="GO408" s="208"/>
      <c r="GP408" s="208"/>
      <c r="GQ408" s="208"/>
      <c r="GR408" s="208"/>
      <c r="GS408" s="208"/>
      <c r="GT408" s="208"/>
      <c r="GU408" s="213">
        <v>403</v>
      </c>
    </row>
    <row r="409" spans="1:203" s="7" customFormat="1">
      <c r="A409" s="189">
        <v>0.14000000000000001</v>
      </c>
      <c r="B409" s="71">
        <f t="shared" si="376"/>
        <v>39775</v>
      </c>
      <c r="C409" s="61">
        <f t="shared" si="382"/>
        <v>129</v>
      </c>
      <c r="D409" s="61">
        <f t="shared" si="377"/>
        <v>1.7551757927814722</v>
      </c>
      <c r="E409" s="108">
        <f t="shared" si="378"/>
        <v>3.2844367211354607E-2</v>
      </c>
      <c r="F409" s="19">
        <f t="shared" si="379"/>
        <v>-2.5838678006977121E-2</v>
      </c>
      <c r="G409" s="19">
        <f t="shared" si="380"/>
        <v>1.3585306726460827E-2</v>
      </c>
      <c r="H409" s="19">
        <f t="shared" si="381"/>
        <v>1.3585306726460827E-2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341.04970304302145</v>
      </c>
      <c r="AO409">
        <v>34.198939978248553</v>
      </c>
      <c r="AP409">
        <v>55.765161411690755</v>
      </c>
      <c r="AQ409">
        <v>258.24442970569788</v>
      </c>
      <c r="AR409">
        <v>33.511741738216706</v>
      </c>
      <c r="AS409">
        <v>443.79220268313611</v>
      </c>
      <c r="AT409">
        <v>20.772377140857017</v>
      </c>
      <c r="AU409">
        <v>-37.99601150000116</v>
      </c>
      <c r="AV409"/>
      <c r="AW409"/>
      <c r="FY409" s="213">
        <v>404</v>
      </c>
      <c r="FZ409">
        <v>56.737828353935988</v>
      </c>
      <c r="GA409">
        <v>34.349874746599518</v>
      </c>
      <c r="GB409">
        <v>26.093039848680252</v>
      </c>
      <c r="GC409">
        <v>16.31365797953675</v>
      </c>
      <c r="GD409">
        <v>4.4220397275237309</v>
      </c>
      <c r="GE409">
        <v>4.7733832527038773</v>
      </c>
      <c r="GF409">
        <v>1.6283249498313763</v>
      </c>
      <c r="GG409">
        <v>2.6066967979117441</v>
      </c>
      <c r="GH409">
        <v>5.3407264213085117</v>
      </c>
      <c r="GI409">
        <v>18.422658743881172</v>
      </c>
      <c r="GJ409"/>
      <c r="GK409"/>
      <c r="GL409"/>
      <c r="GM409"/>
      <c r="GN409" s="208"/>
      <c r="GO409" s="208"/>
      <c r="GP409" s="208"/>
      <c r="GQ409" s="208"/>
      <c r="GR409" s="208"/>
      <c r="GS409" s="208"/>
      <c r="GT409" s="208"/>
      <c r="GU409" s="213">
        <v>404</v>
      </c>
    </row>
    <row r="410" spans="1:203" s="7" customFormat="1">
      <c r="A410" s="189">
        <v>0.21</v>
      </c>
      <c r="B410" s="71">
        <f t="shared" si="376"/>
        <v>39799</v>
      </c>
      <c r="C410" s="61">
        <f t="shared" si="382"/>
        <v>153</v>
      </c>
      <c r="D410" s="61">
        <f t="shared" si="377"/>
        <v>1.6518620656532179</v>
      </c>
      <c r="E410" s="108">
        <f t="shared" si="378"/>
        <v>2.7897260056157613E-2</v>
      </c>
      <c r="F410" s="19">
        <f t="shared" si="379"/>
        <v>-6.802157588402402E-3</v>
      </c>
      <c r="G410" s="19">
        <f t="shared" si="380"/>
        <v>1.8130584015302421E-2</v>
      </c>
      <c r="H410" s="19">
        <f t="shared" si="381"/>
        <v>1.8130584015302421E-2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273.66302226142386</v>
      </c>
      <c r="AO410">
        <v>25.624134648119611</v>
      </c>
      <c r="AP410">
        <v>24.512619671642721</v>
      </c>
      <c r="AQ410">
        <v>188.25683267550781</v>
      </c>
      <c r="AR410">
        <v>25.750130436429981</v>
      </c>
      <c r="AS410">
        <v>385.40628277046744</v>
      </c>
      <c r="AT410">
        <v>15.396924901660112</v>
      </c>
      <c r="AU410">
        <v>-19.110190875587691</v>
      </c>
      <c r="AV410"/>
      <c r="AW410"/>
      <c r="FY410" s="213">
        <v>405</v>
      </c>
      <c r="FZ410">
        <v>57.046087424177742</v>
      </c>
      <c r="GA410">
        <v>70.876373752729535</v>
      </c>
      <c r="GB410">
        <v>40.296023427570965</v>
      </c>
      <c r="GC410">
        <v>12.752605701957675</v>
      </c>
      <c r="GD410">
        <v>2.8856535500986489</v>
      </c>
      <c r="GE410">
        <v>5.1250334440918595</v>
      </c>
      <c r="GF410">
        <v>6.0938043115252434</v>
      </c>
      <c r="GG410">
        <v>9.8104681591409815</v>
      </c>
      <c r="GH410">
        <v>14.140203460907149</v>
      </c>
      <c r="GI410">
        <v>23.273248353966117</v>
      </c>
      <c r="GJ410"/>
      <c r="GK410"/>
      <c r="GL410"/>
      <c r="GM410"/>
      <c r="GN410" s="208"/>
      <c r="GO410" s="208"/>
      <c r="GP410" s="208"/>
      <c r="GQ410" s="208"/>
      <c r="GR410" s="208"/>
      <c r="GS410" s="208"/>
      <c r="GT410" s="208"/>
      <c r="GU410" s="213">
        <v>405</v>
      </c>
    </row>
    <row r="411" spans="1:203" s="7" customFormat="1">
      <c r="A411" s="189">
        <v>1.28</v>
      </c>
      <c r="B411" s="71">
        <f>+C10</f>
        <v>39847</v>
      </c>
      <c r="C411" s="61">
        <f t="shared" si="382"/>
        <v>201</v>
      </c>
      <c r="D411" s="61">
        <f t="shared" si="377"/>
        <v>3.0000000000000004</v>
      </c>
      <c r="E411" s="108">
        <f t="shared" si="378"/>
        <v>0.13897203136197886</v>
      </c>
      <c r="F411" s="19">
        <f t="shared" si="379"/>
        <v>3.3453004615189609E-2</v>
      </c>
      <c r="G411" s="19">
        <f t="shared" si="380"/>
        <v>-1.6025635629431476E-2</v>
      </c>
      <c r="H411" s="19">
        <f t="shared" si="381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223.419998218839</v>
      </c>
      <c r="AO411">
        <v>19.948076274496678</v>
      </c>
      <c r="AP411">
        <v>29.888001495550981</v>
      </c>
      <c r="AQ411">
        <v>147.56373229724608</v>
      </c>
      <c r="AR411">
        <v>21.508913493928027</v>
      </c>
      <c r="AS411">
        <v>312.26448372695415</v>
      </c>
      <c r="AT411">
        <v>12.589937357397162</v>
      </c>
      <c r="AU411">
        <v>14.496852878146878</v>
      </c>
      <c r="AV411"/>
      <c r="AW411"/>
      <c r="FY411" s="213">
        <v>406</v>
      </c>
      <c r="FZ411">
        <v>49.618982091709761</v>
      </c>
      <c r="GA411">
        <v>41.698532262905708</v>
      </c>
      <c r="GB411">
        <v>40.409126852999755</v>
      </c>
      <c r="GC411">
        <v>17.305985886617528</v>
      </c>
      <c r="GD411">
        <v>2.9020338095145761</v>
      </c>
      <c r="GE411">
        <v>4.7948587270555283</v>
      </c>
      <c r="GF411">
        <v>2.5152664871662296</v>
      </c>
      <c r="GG411">
        <v>2.6359901307037723</v>
      </c>
      <c r="GH411">
        <v>5.6183384778536585</v>
      </c>
      <c r="GI411">
        <v>20.22728593293732</v>
      </c>
      <c r="GJ411"/>
      <c r="GK411"/>
      <c r="GL411"/>
      <c r="GM411"/>
      <c r="GN411" s="208"/>
      <c r="GO411" s="208"/>
      <c r="GP411" s="208"/>
      <c r="GQ411" s="208"/>
      <c r="GR411" s="208"/>
      <c r="GS411" s="208"/>
      <c r="GT411" s="208"/>
      <c r="GU411" s="213">
        <v>406</v>
      </c>
    </row>
    <row r="412" spans="1:203" s="7" customFormat="1">
      <c r="A412" s="189">
        <v>4</v>
      </c>
      <c r="B412" s="71">
        <f t="shared" si="376"/>
        <v>39910</v>
      </c>
      <c r="C412" s="61">
        <f t="shared" si="382"/>
        <v>264</v>
      </c>
      <c r="D412" s="61">
        <f t="shared" si="377"/>
        <v>3.25</v>
      </c>
      <c r="E412" s="108">
        <f t="shared" si="378"/>
        <v>0.17237418809798372</v>
      </c>
      <c r="F412" s="19">
        <f t="shared" si="379"/>
        <v>3.4189670849124891E-3</v>
      </c>
      <c r="G412" s="19">
        <f t="shared" si="380"/>
        <v>-5.1485397512319453E-3</v>
      </c>
      <c r="H412" s="19">
        <f t="shared" si="381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320.03951237209276</v>
      </c>
      <c r="AO412">
        <v>29.340109299412479</v>
      </c>
      <c r="AP412">
        <v>23.148559350101845</v>
      </c>
      <c r="AQ412">
        <v>213.35867393791983</v>
      </c>
      <c r="AR412">
        <v>29.636472348245086</v>
      </c>
      <c r="AS412">
        <v>453.75610831721781</v>
      </c>
      <c r="AT412">
        <v>18.219919733689967</v>
      </c>
      <c r="AU412">
        <v>-20.466101091055116</v>
      </c>
      <c r="AV412"/>
      <c r="AW412"/>
      <c r="FY412" s="213">
        <v>407</v>
      </c>
      <c r="FZ412">
        <v>40.822934488664032</v>
      </c>
      <c r="GA412">
        <v>51.10069526149428</v>
      </c>
      <c r="GB412">
        <v>36.52942713979003</v>
      </c>
      <c r="GC412">
        <v>15.221612037299531</v>
      </c>
      <c r="GD412">
        <v>5.3457473377429405</v>
      </c>
      <c r="GE412">
        <v>5.751789286719287</v>
      </c>
      <c r="GF412">
        <v>2.2790053790499365</v>
      </c>
      <c r="GG412">
        <v>2.6659018904074521</v>
      </c>
      <c r="GH412">
        <v>9.375492376550147</v>
      </c>
      <c r="GI412">
        <v>19.920316108132123</v>
      </c>
      <c r="GJ412"/>
      <c r="GK412"/>
      <c r="GL412"/>
      <c r="GM412"/>
      <c r="GN412" s="208"/>
      <c r="GO412" s="208"/>
      <c r="GP412" s="208"/>
      <c r="GQ412" s="208"/>
      <c r="GR412" s="208"/>
      <c r="GS412" s="208"/>
      <c r="GT412" s="208"/>
      <c r="GU412" s="213">
        <v>407</v>
      </c>
    </row>
    <row r="413" spans="1:203" s="7" customFormat="1">
      <c r="A413" s="190">
        <v>7.33</v>
      </c>
      <c r="B413" s="71">
        <f t="shared" si="376"/>
        <v>39949</v>
      </c>
      <c r="C413" s="61">
        <f t="shared" si="382"/>
        <v>303</v>
      </c>
      <c r="D413" s="61">
        <f t="shared" si="377"/>
        <v>2.1099841168082492</v>
      </c>
      <c r="E413" s="108">
        <f t="shared" si="378"/>
        <v>5.3905043272967079E-2</v>
      </c>
      <c r="F413" s="19">
        <f t="shared" si="379"/>
        <v>-2.980624577581123E-2</v>
      </c>
      <c r="G413" s="19">
        <f t="shared" si="380"/>
        <v>4.4205731448118242E-2</v>
      </c>
      <c r="H413" s="19">
        <f t="shared" si="381"/>
        <v>4.4205731448118242E-2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279.81817476572326</v>
      </c>
      <c r="AO413">
        <v>31.198946169550673</v>
      </c>
      <c r="AP413">
        <v>50.417082581057798</v>
      </c>
      <c r="AQ413">
        <v>240.19453804130421</v>
      </c>
      <c r="AR413">
        <v>30.888508750323521</v>
      </c>
      <c r="AS413">
        <v>423.7031786904447</v>
      </c>
      <c r="AT413">
        <v>19.06033270128664</v>
      </c>
      <c r="AU413">
        <v>-37.737767678070604</v>
      </c>
      <c r="AV413"/>
      <c r="AW413"/>
      <c r="FY413" s="213">
        <v>408</v>
      </c>
      <c r="FZ413">
        <v>27.473395239954574</v>
      </c>
      <c r="GA413">
        <v>58.321020077832564</v>
      </c>
      <c r="GB413">
        <v>52.542042685490678</v>
      </c>
      <c r="GC413">
        <v>18.0895138925246</v>
      </c>
      <c r="GD413">
        <v>3.6828025067585837</v>
      </c>
      <c r="GE413">
        <v>4.8411698357567152</v>
      </c>
      <c r="GF413">
        <v>5.1650286491843289</v>
      </c>
      <c r="GG413">
        <v>3.4707752313454132</v>
      </c>
      <c r="GH413">
        <v>3.4510718633296662</v>
      </c>
      <c r="GI413">
        <v>20.546097625283004</v>
      </c>
      <c r="GJ413"/>
      <c r="GK413"/>
      <c r="GL413"/>
      <c r="GM413"/>
      <c r="GN413" s="208"/>
      <c r="GO413" s="208"/>
      <c r="GP413" s="208"/>
      <c r="GQ413" s="208"/>
      <c r="GR413" s="208"/>
      <c r="GS413" s="208"/>
      <c r="GT413" s="208"/>
      <c r="GU413" s="213">
        <v>408</v>
      </c>
    </row>
    <row r="414" spans="1:203" s="7" customFormat="1">
      <c r="A414" s="189">
        <v>10.51</v>
      </c>
      <c r="B414" s="71">
        <f t="shared" si="376"/>
        <v>39987</v>
      </c>
      <c r="C414" s="61">
        <f t="shared" si="382"/>
        <v>341</v>
      </c>
      <c r="D414" s="61">
        <f t="shared" si="377"/>
        <v>3.6292428198433417</v>
      </c>
      <c r="E414" s="108">
        <f t="shared" si="378"/>
        <v>0.23198453599994123</v>
      </c>
      <c r="F414" s="19">
        <f t="shared" si="379"/>
        <v>3.8406491408363629E-2</v>
      </c>
      <c r="G414" s="19">
        <f t="shared" si="380"/>
        <v>2.6406365487801793E-2</v>
      </c>
      <c r="H414" s="19">
        <f t="shared" si="381"/>
        <v>2.6406365487801793E-2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200.97177787138747</v>
      </c>
      <c r="AO414">
        <v>22.08437470167669</v>
      </c>
      <c r="AP414">
        <v>9.7814876485499411</v>
      </c>
      <c r="AQ414">
        <v>167.21812948870721</v>
      </c>
      <c r="AR414">
        <v>22.824402968533697</v>
      </c>
      <c r="AS414">
        <v>333.903575225032</v>
      </c>
      <c r="AT414">
        <v>13.882278041819353</v>
      </c>
      <c r="AU414">
        <v>-17.30539597378079</v>
      </c>
      <c r="AV414"/>
      <c r="AW414"/>
      <c r="FY414" s="213">
        <v>409</v>
      </c>
      <c r="FZ414">
        <v>61.268953563577007</v>
      </c>
      <c r="GA414">
        <v>52.282571233809371</v>
      </c>
      <c r="GB414">
        <v>28.614810594370557</v>
      </c>
      <c r="GC414">
        <v>12.759419449045373</v>
      </c>
      <c r="GD414">
        <v>3.6833712859168628</v>
      </c>
      <c r="GE414">
        <v>3.7616087049852389</v>
      </c>
      <c r="GF414">
        <v>2.654818621590314</v>
      </c>
      <c r="GG414">
        <v>1.8657979049451425</v>
      </c>
      <c r="GH414">
        <v>3.0706595782202335</v>
      </c>
      <c r="GI414">
        <v>19.124563015864588</v>
      </c>
      <c r="GJ414"/>
      <c r="GK414"/>
      <c r="GL414"/>
      <c r="GM414"/>
      <c r="GN414" s="208"/>
      <c r="GO414" s="208"/>
      <c r="GP414" s="208"/>
      <c r="GQ414" s="208"/>
      <c r="GR414" s="208"/>
      <c r="GS414" s="208"/>
      <c r="GT414" s="208"/>
      <c r="GU414" s="213">
        <v>409</v>
      </c>
    </row>
    <row r="415" spans="1:203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245.70340488386483</v>
      </c>
      <c r="AO415">
        <v>23.235232878339627</v>
      </c>
      <c r="AP415">
        <v>35.361738050331375</v>
      </c>
      <c r="AQ415">
        <v>171.9052467045139</v>
      </c>
      <c r="AR415">
        <v>24.941428237927159</v>
      </c>
      <c r="AS415">
        <v>308.31131675623448</v>
      </c>
      <c r="AT415">
        <v>15.043851749316536</v>
      </c>
      <c r="AU415">
        <v>25.868685787700699</v>
      </c>
      <c r="AV415"/>
      <c r="AW415"/>
      <c r="FY415" s="213">
        <v>410</v>
      </c>
      <c r="FZ415">
        <v>47.446299852465295</v>
      </c>
      <c r="GA415">
        <v>22.497379349292032</v>
      </c>
      <c r="GB415">
        <v>21.343187393931597</v>
      </c>
      <c r="GC415">
        <v>13.129316609437392</v>
      </c>
      <c r="GD415">
        <v>2.7152687117177443</v>
      </c>
      <c r="GE415">
        <v>3.5296926554811545</v>
      </c>
      <c r="GF415">
        <v>5.8010158229138256</v>
      </c>
      <c r="GG415">
        <v>5.9864321007681145</v>
      </c>
      <c r="GH415">
        <v>7.8245179358529064</v>
      </c>
      <c r="GI415">
        <v>16.074124008045771</v>
      </c>
      <c r="GJ415"/>
      <c r="GK415"/>
      <c r="GL415"/>
      <c r="GM415"/>
      <c r="GN415" s="208"/>
      <c r="GO415" s="208"/>
      <c r="GP415" s="208"/>
      <c r="GQ415" s="208"/>
      <c r="GR415" s="208"/>
      <c r="GS415" s="208"/>
      <c r="GT415" s="208"/>
      <c r="GU415" s="213">
        <v>410</v>
      </c>
    </row>
    <row r="416" spans="1:203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285.25234821165475</v>
      </c>
      <c r="AO416">
        <v>28.296639887059467</v>
      </c>
      <c r="AP416">
        <v>31.12575004422305</v>
      </c>
      <c r="AQ416">
        <v>205.62664947185982</v>
      </c>
      <c r="AR416">
        <v>28.788444354561772</v>
      </c>
      <c r="AS416">
        <v>412.31325403660827</v>
      </c>
      <c r="AT416">
        <v>18.023610841411681</v>
      </c>
      <c r="AU416">
        <v>0.11190519986967473</v>
      </c>
      <c r="AV416"/>
      <c r="AW416"/>
      <c r="FY416" s="213">
        <v>411</v>
      </c>
      <c r="FZ416">
        <v>49.766495710220745</v>
      </c>
      <c r="GA416">
        <v>59.772971542560519</v>
      </c>
      <c r="GB416">
        <v>40.327872009177575</v>
      </c>
      <c r="GC416">
        <v>15.237917767624914</v>
      </c>
      <c r="GD416">
        <v>3.5958114998554946</v>
      </c>
      <c r="GE416">
        <v>4.3101031187134495</v>
      </c>
      <c r="GF416">
        <v>3.6817295216823367</v>
      </c>
      <c r="GG416">
        <v>5.091369620665894</v>
      </c>
      <c r="GH416">
        <v>5.1959010375586328</v>
      </c>
      <c r="GI416">
        <v>20.78814372237418</v>
      </c>
      <c r="GJ416"/>
      <c r="GK416"/>
      <c r="GL416"/>
      <c r="GM416"/>
      <c r="GN416" s="208"/>
      <c r="GO416" s="208"/>
      <c r="GP416" s="208"/>
      <c r="GQ416" s="208"/>
      <c r="GR416" s="208"/>
      <c r="GS416" s="208"/>
      <c r="GT416" s="208"/>
      <c r="GU416" s="213">
        <v>411</v>
      </c>
    </row>
    <row r="417" spans="1:203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336.85011010228726</v>
      </c>
      <c r="AO417">
        <v>29.477984882439557</v>
      </c>
      <c r="AP417">
        <v>28.881917253007003</v>
      </c>
      <c r="AQ417">
        <v>209.00446143060506</v>
      </c>
      <c r="AR417">
        <v>29.79834762977346</v>
      </c>
      <c r="AS417">
        <v>432.52094306606722</v>
      </c>
      <c r="AT417">
        <v>17.865829363404682</v>
      </c>
      <c r="AU417">
        <v>-15.400091212441019</v>
      </c>
      <c r="AV417"/>
      <c r="AW417"/>
      <c r="FY417" s="213">
        <v>412</v>
      </c>
      <c r="FZ417">
        <v>52.448134903176474</v>
      </c>
      <c r="GA417">
        <v>50.580825119171458</v>
      </c>
      <c r="GB417">
        <v>27.740099214617572</v>
      </c>
      <c r="GC417">
        <v>13.532342403411429</v>
      </c>
      <c r="GD417">
        <v>4.2539663182632035</v>
      </c>
      <c r="GE417">
        <v>3.871563924965308</v>
      </c>
      <c r="GF417">
        <v>10.572801130116066</v>
      </c>
      <c r="GG417">
        <v>11.213276761561492</v>
      </c>
      <c r="GH417">
        <v>10.178341578547521</v>
      </c>
      <c r="GI417">
        <v>20.504849484331928</v>
      </c>
      <c r="GJ417"/>
      <c r="GK417"/>
      <c r="GL417"/>
      <c r="GM417"/>
      <c r="GN417" s="208"/>
      <c r="GO417" s="208"/>
      <c r="GP417" s="208"/>
      <c r="GQ417" s="208"/>
      <c r="GR417" s="208"/>
      <c r="GS417" s="208"/>
      <c r="GT417" s="208"/>
      <c r="GU417" s="213">
        <v>412</v>
      </c>
    </row>
    <row r="418" spans="1:203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280.07904636018867</v>
      </c>
      <c r="AO418">
        <v>27.730014008501847</v>
      </c>
      <c r="AP418">
        <v>28.290342454215054</v>
      </c>
      <c r="AQ418">
        <v>200.06590859425361</v>
      </c>
      <c r="AR418">
        <v>28.535445227115638</v>
      </c>
      <c r="AS418">
        <v>386.92335785877867</v>
      </c>
      <c r="AT418">
        <v>17.109176330831218</v>
      </c>
      <c r="AU418">
        <v>-3.2826248691797986</v>
      </c>
      <c r="AV418"/>
      <c r="AW418"/>
      <c r="FY418" s="213">
        <v>413</v>
      </c>
      <c r="FZ418">
        <v>32.323206580853629</v>
      </c>
      <c r="GA418">
        <v>8.4745171404201347</v>
      </c>
      <c r="GB418">
        <v>26.061544234113079</v>
      </c>
      <c r="GC418">
        <v>15.233797636642317</v>
      </c>
      <c r="GD418">
        <v>1.52430489181351</v>
      </c>
      <c r="GE418">
        <v>1.8843836811113008</v>
      </c>
      <c r="GF418">
        <v>1.3100625927865923</v>
      </c>
      <c r="GG418">
        <v>3.0064646509690256</v>
      </c>
      <c r="GH418">
        <v>9.7607274387787779</v>
      </c>
      <c r="GI418">
        <v>13.816046881300201</v>
      </c>
      <c r="GJ418"/>
      <c r="GK418"/>
      <c r="GL418"/>
      <c r="GM418"/>
      <c r="GN418" s="208"/>
      <c r="GO418" s="208"/>
      <c r="GP418" s="208"/>
      <c r="GQ418" s="208"/>
      <c r="GR418" s="208"/>
      <c r="GS418" s="208"/>
      <c r="GT418" s="208"/>
      <c r="GU418" s="213">
        <v>413</v>
      </c>
    </row>
    <row r="419" spans="1:203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272.91481149529625</v>
      </c>
      <c r="AO419">
        <v>24.432249372439788</v>
      </c>
      <c r="AP419">
        <v>27.153621120282445</v>
      </c>
      <c r="AQ419">
        <v>165.99162165285694</v>
      </c>
      <c r="AR419">
        <v>25.079991176937131</v>
      </c>
      <c r="AS419">
        <v>367.53769243622503</v>
      </c>
      <c r="AT419">
        <v>15.29069323630012</v>
      </c>
      <c r="AU419">
        <v>-9.9128720593146866</v>
      </c>
      <c r="AV419"/>
      <c r="AW419"/>
      <c r="FY419" s="213">
        <v>414</v>
      </c>
      <c r="FZ419">
        <v>57.529241987257357</v>
      </c>
      <c r="GA419">
        <v>49.827285442028163</v>
      </c>
      <c r="GB419">
        <v>33.496438803906088</v>
      </c>
      <c r="GC419">
        <v>12.324241606031837</v>
      </c>
      <c r="GD419">
        <v>1.8672206943073779</v>
      </c>
      <c r="GE419">
        <v>2.9110158799177426</v>
      </c>
      <c r="GF419">
        <v>6.9383794213450898</v>
      </c>
      <c r="GG419">
        <v>6.3337861551263979</v>
      </c>
      <c r="GH419">
        <v>4.6910944649511244</v>
      </c>
      <c r="GI419">
        <v>19.764131789853263</v>
      </c>
      <c r="GJ419"/>
      <c r="GK419"/>
      <c r="GL419"/>
      <c r="GM419"/>
      <c r="GN419" s="208"/>
      <c r="GO419" s="208"/>
      <c r="GP419" s="208"/>
      <c r="GQ419" s="208"/>
      <c r="GR419" s="208"/>
      <c r="GS419" s="208"/>
      <c r="GT419" s="208"/>
      <c r="GU419" s="213">
        <v>414</v>
      </c>
    </row>
    <row r="420" spans="1:203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246.15519403966385</v>
      </c>
      <c r="AO420">
        <v>24.471792999018504</v>
      </c>
      <c r="AP420">
        <v>12.60378959149709</v>
      </c>
      <c r="AQ420">
        <v>170.6882308219129</v>
      </c>
      <c r="AR420">
        <v>25.43481808892729</v>
      </c>
      <c r="AS420">
        <v>331.911837640057</v>
      </c>
      <c r="AT420">
        <v>14.946834364855709</v>
      </c>
      <c r="AU420">
        <v>4.8166471306006997</v>
      </c>
      <c r="AV420"/>
      <c r="AW420"/>
      <c r="FY420" s="213">
        <v>415</v>
      </c>
      <c r="FZ420">
        <v>47.168371959051704</v>
      </c>
      <c r="GA420">
        <v>44.804705456518228</v>
      </c>
      <c r="GB420">
        <v>32.273563084390098</v>
      </c>
      <c r="GC420">
        <v>12.054019772533591</v>
      </c>
      <c r="GD420">
        <v>2.5856193460685337</v>
      </c>
      <c r="GE420">
        <v>5.0532102551830613</v>
      </c>
      <c r="GF420">
        <v>4.2440462903682779</v>
      </c>
      <c r="GG420">
        <v>5.6944122164705657</v>
      </c>
      <c r="GH420">
        <v>9.7962994966774826</v>
      </c>
      <c r="GI420">
        <v>18.665169647941646</v>
      </c>
      <c r="GJ420"/>
      <c r="GK420"/>
      <c r="GL420"/>
      <c r="GM420"/>
      <c r="GN420" s="208"/>
      <c r="GO420" s="208"/>
      <c r="GP420" s="208"/>
      <c r="GQ420" s="208"/>
      <c r="GR420" s="208"/>
      <c r="GS420" s="208"/>
      <c r="GT420" s="208"/>
      <c r="GU420" s="213">
        <v>415</v>
      </c>
    </row>
    <row r="421" spans="1:203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320.83220895015</v>
      </c>
      <c r="AO421">
        <v>31.535723379830596</v>
      </c>
      <c r="AP421">
        <v>41.887263533644912</v>
      </c>
      <c r="AQ421">
        <v>242.29950158616592</v>
      </c>
      <c r="AR421">
        <v>31.993306238830272</v>
      </c>
      <c r="AS421">
        <v>504.74404395258472</v>
      </c>
      <c r="AT421">
        <v>19.282262477975575</v>
      </c>
      <c r="AU421">
        <v>-20.789689236442392</v>
      </c>
      <c r="AV421"/>
      <c r="AW421"/>
      <c r="FY421" s="213">
        <v>416</v>
      </c>
      <c r="FZ421">
        <v>36.009049035435645</v>
      </c>
      <c r="GA421">
        <v>24.113163128965503</v>
      </c>
      <c r="GB421">
        <v>26.915335094543916</v>
      </c>
      <c r="GC421">
        <v>14.726188519588339</v>
      </c>
      <c r="GD421">
        <v>3.3531565924744196</v>
      </c>
      <c r="GE421">
        <v>5.9724437851280037</v>
      </c>
      <c r="GF421">
        <v>4.9287675410680354</v>
      </c>
      <c r="GG421">
        <v>5.7966059900844193</v>
      </c>
      <c r="GH421">
        <v>8.1390117281120222</v>
      </c>
      <c r="GI421">
        <v>16.021576046208807</v>
      </c>
      <c r="GJ421"/>
      <c r="GK421"/>
      <c r="GL421"/>
      <c r="GM421"/>
      <c r="GN421" s="208"/>
      <c r="GO421" s="208"/>
      <c r="GP421" s="208"/>
      <c r="GQ421" s="208"/>
      <c r="GR421" s="208"/>
      <c r="GS421" s="208"/>
      <c r="GT421" s="208"/>
      <c r="GU421" s="213">
        <v>416</v>
      </c>
    </row>
    <row r="422" spans="1:203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1.1192378560128725E-3</v>
      </c>
      <c r="H422" s="44">
        <f t="shared" ref="H422:AK422" si="383">H372</f>
        <v>7.2275999999999998E-3</v>
      </c>
      <c r="I422" s="44">
        <f t="shared" si="383"/>
        <v>4.6673011888725101E-2</v>
      </c>
      <c r="J422" s="44">
        <f t="shared" si="383"/>
        <v>0.13897203136197886</v>
      </c>
      <c r="K422" s="44">
        <f t="shared" si="383"/>
        <v>0.30139604277562043</v>
      </c>
      <c r="L422" s="44">
        <f t="shared" si="383"/>
        <v>0.54944267880487196</v>
      </c>
      <c r="M422" s="44">
        <f t="shared" si="383"/>
        <v>0.89742698433199364</v>
      </c>
      <c r="N422" s="44">
        <f t="shared" si="383"/>
        <v>1.3587918549382612</v>
      </c>
      <c r="O422" s="44">
        <f t="shared" si="383"/>
        <v>1.9462976766397186</v>
      </c>
      <c r="P422" s="44">
        <f t="shared" si="383"/>
        <v>2.6721491921073159</v>
      </c>
      <c r="Q422" s="44">
        <f t="shared" si="383"/>
        <v>3.5480857656805531</v>
      </c>
      <c r="R422" s="44">
        <f t="shared" si="383"/>
        <v>4.5854485507812486</v>
      </c>
      <c r="S422" s="44">
        <f t="shared" si="383"/>
        <v>5.7952322083388497</v>
      </c>
      <c r="T422" s="44">
        <f t="shared" si="383"/>
        <v>7.1881258189983859</v>
      </c>
      <c r="U422" s="44">
        <f t="shared" si="383"/>
        <v>8.7745459626758926</v>
      </c>
      <c r="V422" s="44">
        <f t="shared" si="383"/>
        <v>10.564663953522661</v>
      </c>
      <c r="W422" s="44">
        <f t="shared" si="383"/>
        <v>12.568428607117669</v>
      </c>
      <c r="X422" s="44">
        <f t="shared" si="383"/>
        <v>14.795585521883805</v>
      </c>
      <c r="Y422" s="44">
        <f t="shared" si="383"/>
        <v>17.255693592848509</v>
      </c>
      <c r="Z422" s="44">
        <f t="shared" si="383"/>
        <v>19.958139294316886</v>
      </c>
      <c r="AA422" s="44">
        <f t="shared" si="383"/>
        <v>22.912149139939221</v>
      </c>
      <c r="AB422" s="44">
        <f t="shared" si="383"/>
        <v>26.126800636294448</v>
      </c>
      <c r="AC422" s="44">
        <f t="shared" si="383"/>
        <v>29.611031978215532</v>
      </c>
      <c r="AD422" s="44">
        <f t="shared" si="383"/>
        <v>33.373650683313194</v>
      </c>
      <c r="AE422" s="44">
        <f t="shared" si="383"/>
        <v>37.423341324605943</v>
      </c>
      <c r="AF422" s="44">
        <f t="shared" si="383"/>
        <v>41.768672490491134</v>
      </c>
      <c r="AG422" s="44">
        <f t="shared" si="383"/>
        <v>46.418103078167533</v>
      </c>
      <c r="AH422" s="44">
        <f t="shared" si="383"/>
        <v>51.37998800838789</v>
      </c>
      <c r="AI422" s="44">
        <f t="shared" si="383"/>
        <v>56.662583434907432</v>
      </c>
      <c r="AJ422" s="44">
        <f t="shared" si="383"/>
        <v>62.274051510321357</v>
      </c>
      <c r="AK422" s="44">
        <f t="shared" si="383"/>
        <v>68.222464760522016</v>
      </c>
      <c r="AL422" s="4"/>
      <c r="AM422" s="43">
        <v>406</v>
      </c>
      <c r="AN422">
        <v>286.08831505392465</v>
      </c>
      <c r="AO422">
        <v>26.727277845192354</v>
      </c>
      <c r="AP422">
        <v>12.178107633068345</v>
      </c>
      <c r="AQ422">
        <v>187.72640065946379</v>
      </c>
      <c r="AR422">
        <v>27.758685057745918</v>
      </c>
      <c r="AS422">
        <v>404.8306247327809</v>
      </c>
      <c r="AT422">
        <v>17.046361913779233</v>
      </c>
      <c r="AU422">
        <v>-9.3409625918681058</v>
      </c>
      <c r="AV422"/>
      <c r="AW422"/>
      <c r="FY422" s="213">
        <v>417</v>
      </c>
      <c r="FZ422">
        <v>49.059026065868771</v>
      </c>
      <c r="GA422">
        <v>35.0243308545503</v>
      </c>
      <c r="GB422">
        <v>28.379889562079434</v>
      </c>
      <c r="GC422">
        <v>15.383138372379912</v>
      </c>
      <c r="GD422">
        <v>3.8825325652580873</v>
      </c>
      <c r="GE422">
        <v>3.0018163676626881</v>
      </c>
      <c r="GF422">
        <v>0</v>
      </c>
      <c r="GG422">
        <v>2.5609052307695692</v>
      </c>
      <c r="GH422">
        <v>6.4865440167663415</v>
      </c>
      <c r="GI422">
        <v>17.435982534589602</v>
      </c>
      <c r="GJ422"/>
      <c r="GK422"/>
      <c r="GL422"/>
      <c r="GM422"/>
      <c r="GN422" s="208"/>
      <c r="GO422" s="208"/>
      <c r="GP422" s="208"/>
      <c r="GQ422" s="208"/>
      <c r="GR422" s="208"/>
      <c r="GS422" s="208"/>
      <c r="GT422" s="208"/>
      <c r="GU422" s="213">
        <v>417</v>
      </c>
    </row>
    <row r="423" spans="1:203" s="7" customFormat="1">
      <c r="A423" s="4"/>
      <c r="B423" s="48" t="s">
        <v>38</v>
      </c>
      <c r="C423" s="107">
        <f t="shared" ref="C423:C432" si="384">SUM(G423:AK423)</f>
        <v>45.214101985450249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5">(($A$453+$A$455*(H$422)+($A$457*$D423))*($E21*H37))</f>
        <v>4.1594837431240726E-2</v>
      </c>
      <c r="I423" s="107">
        <f t="shared" si="385"/>
        <v>3.5201450683877589</v>
      </c>
      <c r="J423" s="107">
        <f t="shared" si="385"/>
        <v>4.0443875323596377</v>
      </c>
      <c r="K423" s="107">
        <f t="shared" si="385"/>
        <v>6.989820825475566</v>
      </c>
      <c r="L423" s="107">
        <f t="shared" si="385"/>
        <v>11.684909809431399</v>
      </c>
      <c r="M423" s="107">
        <f t="shared" si="385"/>
        <v>12.462527848340009</v>
      </c>
      <c r="N423" s="107">
        <f t="shared" si="385"/>
        <v>4.6347187674130854</v>
      </c>
      <c r="O423" s="107">
        <f t="shared" si="385"/>
        <v>1.8359972966115516</v>
      </c>
      <c r="P423" s="107">
        <f t="shared" si="385"/>
        <v>0</v>
      </c>
      <c r="Q423" s="107">
        <f t="shared" si="385"/>
        <v>0</v>
      </c>
      <c r="R423" s="107">
        <f t="shared" si="385"/>
        <v>0</v>
      </c>
      <c r="S423" s="107">
        <f t="shared" si="385"/>
        <v>0</v>
      </c>
      <c r="T423" s="107">
        <f t="shared" si="385"/>
        <v>0</v>
      </c>
      <c r="U423" s="107">
        <f t="shared" si="385"/>
        <v>0</v>
      </c>
      <c r="V423" s="107">
        <f t="shared" si="385"/>
        <v>0</v>
      </c>
      <c r="W423" s="107">
        <f t="shared" si="385"/>
        <v>0</v>
      </c>
      <c r="X423" s="107">
        <f t="shared" si="385"/>
        <v>0</v>
      </c>
      <c r="Y423" s="107">
        <f t="shared" si="385"/>
        <v>0</v>
      </c>
      <c r="Z423" s="107">
        <f t="shared" si="385"/>
        <v>0</v>
      </c>
      <c r="AA423" s="107">
        <f t="shared" si="385"/>
        <v>0</v>
      </c>
      <c r="AB423" s="107">
        <f t="shared" si="385"/>
        <v>0</v>
      </c>
      <c r="AC423" s="107">
        <f t="shared" si="385"/>
        <v>0</v>
      </c>
      <c r="AD423" s="107">
        <f t="shared" si="385"/>
        <v>0</v>
      </c>
      <c r="AE423" s="107">
        <f t="shared" si="385"/>
        <v>0</v>
      </c>
      <c r="AF423" s="107">
        <f t="shared" si="385"/>
        <v>0</v>
      </c>
      <c r="AG423" s="107">
        <f t="shared" si="385"/>
        <v>0</v>
      </c>
      <c r="AH423" s="107">
        <f t="shared" si="385"/>
        <v>0</v>
      </c>
      <c r="AI423" s="107">
        <f t="shared" si="385"/>
        <v>0</v>
      </c>
      <c r="AJ423" s="107">
        <f t="shared" si="385"/>
        <v>0</v>
      </c>
      <c r="AK423" s="107">
        <f t="shared" si="385"/>
        <v>0</v>
      </c>
      <c r="AL423" s="4"/>
      <c r="AM423" s="43">
        <v>407</v>
      </c>
      <c r="AN423">
        <v>329.63317177663367</v>
      </c>
      <c r="AO423">
        <v>26.738316577683957</v>
      </c>
      <c r="AP423">
        <v>30.660890044419496</v>
      </c>
      <c r="AQ423">
        <v>189.01292130584977</v>
      </c>
      <c r="AR423">
        <v>27.237162193220289</v>
      </c>
      <c r="AS423">
        <v>447.23000124365984</v>
      </c>
      <c r="AT423">
        <v>17.115270412596701</v>
      </c>
      <c r="AU423">
        <v>-35.463130961319997</v>
      </c>
      <c r="AV423"/>
      <c r="AW423"/>
      <c r="FY423" s="213">
        <v>418</v>
      </c>
      <c r="FZ423">
        <v>50.843991914770797</v>
      </c>
      <c r="GA423">
        <v>41.438641042272572</v>
      </c>
      <c r="GB423">
        <v>38.252690234552418</v>
      </c>
      <c r="GC423">
        <v>16.843652528728466</v>
      </c>
      <c r="GD423">
        <v>3.3615831068769384</v>
      </c>
      <c r="GE423">
        <v>4.3677448392058693</v>
      </c>
      <c r="GF423">
        <v>2.4848564711876349</v>
      </c>
      <c r="GG423">
        <v>2.4085505842835002</v>
      </c>
      <c r="GH423">
        <v>7.3529620015127719</v>
      </c>
      <c r="GI423">
        <v>20.418325625936294</v>
      </c>
      <c r="GJ423"/>
      <c r="GK423"/>
      <c r="GL423"/>
      <c r="GM423"/>
      <c r="GN423" s="208"/>
      <c r="GO423" s="208"/>
      <c r="GP423" s="208"/>
      <c r="GQ423" s="208"/>
      <c r="GR423" s="208"/>
      <c r="GS423" s="208"/>
      <c r="GT423" s="208"/>
      <c r="GU423" s="213">
        <v>418</v>
      </c>
    </row>
    <row r="424" spans="1:203" s="7" customFormat="1">
      <c r="A424" s="4"/>
      <c r="B424" s="48" t="s">
        <v>39</v>
      </c>
      <c r="C424" s="107">
        <f t="shared" si="384"/>
        <v>27.218882091037976</v>
      </c>
      <c r="D424" s="191">
        <f>$A$406</f>
        <v>9.4499999999999993</v>
      </c>
      <c r="E424" s="8"/>
      <c r="F424" s="124"/>
      <c r="G424" s="107">
        <f t="shared" ref="G424:V432" si="386">(($A$453+$A$455*(G$422)+($A$457*$D424))*($E22*G38))</f>
        <v>0</v>
      </c>
      <c r="H424" s="107">
        <f t="shared" si="386"/>
        <v>4.9230050069131288E-2</v>
      </c>
      <c r="I424" s="107">
        <f t="shared" si="386"/>
        <v>2.7802703172508521</v>
      </c>
      <c r="J424" s="107">
        <f t="shared" si="386"/>
        <v>3.9245041652536856</v>
      </c>
      <c r="K424" s="107">
        <f t="shared" si="386"/>
        <v>2.9288452954340509</v>
      </c>
      <c r="L424" s="107">
        <f t="shared" si="386"/>
        <v>4.8574409883369221</v>
      </c>
      <c r="M424" s="107">
        <f t="shared" si="386"/>
        <v>8.2708593577760521</v>
      </c>
      <c r="N424" s="107">
        <f t="shared" si="386"/>
        <v>2.3018876503764463</v>
      </c>
      <c r="O424" s="107">
        <f t="shared" si="386"/>
        <v>2.1058442665408359</v>
      </c>
      <c r="P424" s="107">
        <f t="shared" si="386"/>
        <v>0</v>
      </c>
      <c r="Q424" s="107">
        <f t="shared" si="386"/>
        <v>0</v>
      </c>
      <c r="R424" s="107">
        <f t="shared" si="386"/>
        <v>0</v>
      </c>
      <c r="S424" s="107">
        <f t="shared" si="386"/>
        <v>0</v>
      </c>
      <c r="T424" s="107">
        <f t="shared" si="386"/>
        <v>0</v>
      </c>
      <c r="U424" s="107">
        <f t="shared" si="386"/>
        <v>0</v>
      </c>
      <c r="V424" s="107">
        <f t="shared" si="386"/>
        <v>0</v>
      </c>
      <c r="W424" s="107">
        <f t="shared" si="385"/>
        <v>0</v>
      </c>
      <c r="X424" s="107">
        <f t="shared" si="385"/>
        <v>0</v>
      </c>
      <c r="Y424" s="107">
        <f t="shared" si="385"/>
        <v>0</v>
      </c>
      <c r="Z424" s="107">
        <f t="shared" si="385"/>
        <v>0</v>
      </c>
      <c r="AA424" s="107">
        <f t="shared" si="385"/>
        <v>0</v>
      </c>
      <c r="AB424" s="107">
        <f t="shared" si="385"/>
        <v>0</v>
      </c>
      <c r="AC424" s="107">
        <f t="shared" si="385"/>
        <v>0</v>
      </c>
      <c r="AD424" s="107">
        <f t="shared" si="385"/>
        <v>0</v>
      </c>
      <c r="AE424" s="107">
        <f t="shared" si="385"/>
        <v>0</v>
      </c>
      <c r="AF424" s="107">
        <f t="shared" si="385"/>
        <v>0</v>
      </c>
      <c r="AG424" s="107">
        <f t="shared" si="385"/>
        <v>0</v>
      </c>
      <c r="AH424" s="107">
        <f t="shared" si="385"/>
        <v>0</v>
      </c>
      <c r="AI424" s="107">
        <f t="shared" si="385"/>
        <v>0</v>
      </c>
      <c r="AJ424" s="107">
        <f t="shared" si="385"/>
        <v>0</v>
      </c>
      <c r="AK424" s="107">
        <f t="shared" si="385"/>
        <v>0</v>
      </c>
      <c r="AL424" s="4"/>
      <c r="AM424" s="43">
        <v>408</v>
      </c>
      <c r="AN424">
        <v>316.13255457912425</v>
      </c>
      <c r="AO424">
        <v>28.632014522305319</v>
      </c>
      <c r="AP424">
        <v>18.720677909910229</v>
      </c>
      <c r="AQ424">
        <v>197.58291760746013</v>
      </c>
      <c r="AR424">
        <v>28.033197669107693</v>
      </c>
      <c r="AS424">
        <v>436.76250325816414</v>
      </c>
      <c r="AT424">
        <v>17.398718724989759</v>
      </c>
      <c r="AU424">
        <v>-47.610712599457784</v>
      </c>
      <c r="AV424"/>
      <c r="AW424"/>
      <c r="FY424" s="213">
        <v>419</v>
      </c>
      <c r="FZ424">
        <v>43.778962183795798</v>
      </c>
      <c r="GA424">
        <v>26.898947105623023</v>
      </c>
      <c r="GB424">
        <v>27.337553242930689</v>
      </c>
      <c r="GC424">
        <v>15.448458143684203</v>
      </c>
      <c r="GD424">
        <v>3.5953623594445747</v>
      </c>
      <c r="GE424">
        <v>4.4466435656601657</v>
      </c>
      <c r="GF424">
        <v>3.9244733534297431</v>
      </c>
      <c r="GG424">
        <v>3.5169105599378554</v>
      </c>
      <c r="GH424">
        <v>3.3574118824099708</v>
      </c>
      <c r="GI424">
        <v>16.472333664592998</v>
      </c>
      <c r="GJ424"/>
      <c r="GK424"/>
      <c r="GL424"/>
      <c r="GM424"/>
      <c r="GN424" s="208"/>
      <c r="GO424" s="208"/>
      <c r="GP424" s="208"/>
      <c r="GQ424" s="208"/>
      <c r="GR424" s="208"/>
      <c r="GS424" s="208"/>
      <c r="GT424" s="208"/>
      <c r="GU424" s="213">
        <v>419</v>
      </c>
    </row>
    <row r="425" spans="1:203" s="7" customFormat="1">
      <c r="A425" s="4"/>
      <c r="B425" s="48" t="s">
        <v>40</v>
      </c>
      <c r="C425" s="107">
        <f t="shared" si="384"/>
        <v>25.722141064559963</v>
      </c>
      <c r="D425" s="191">
        <f>A$407</f>
        <v>4.03</v>
      </c>
      <c r="E425" s="8"/>
      <c r="F425" s="124"/>
      <c r="G425" s="107">
        <f t="shared" si="386"/>
        <v>0</v>
      </c>
      <c r="H425" s="107">
        <f t="shared" si="385"/>
        <v>0.31082243022593625</v>
      </c>
      <c r="I425" s="107">
        <f t="shared" si="385"/>
        <v>6.3451482421839138</v>
      </c>
      <c r="J425" s="107">
        <f t="shared" si="385"/>
        <v>14.423497564005588</v>
      </c>
      <c r="K425" s="107">
        <f t="shared" si="385"/>
        <v>4.1924036184610909</v>
      </c>
      <c r="L425" s="107">
        <f t="shared" si="385"/>
        <v>0.45026920968343231</v>
      </c>
      <c r="M425" s="107">
        <f t="shared" si="385"/>
        <v>0</v>
      </c>
      <c r="N425" s="107">
        <f t="shared" si="385"/>
        <v>0</v>
      </c>
      <c r="O425" s="107">
        <f t="shared" si="385"/>
        <v>0</v>
      </c>
      <c r="P425" s="107">
        <f t="shared" si="385"/>
        <v>0</v>
      </c>
      <c r="Q425" s="107">
        <f t="shared" si="385"/>
        <v>0</v>
      </c>
      <c r="R425" s="107">
        <f t="shared" si="385"/>
        <v>0</v>
      </c>
      <c r="S425" s="107">
        <f t="shared" si="385"/>
        <v>0</v>
      </c>
      <c r="T425" s="107">
        <f t="shared" si="385"/>
        <v>0</v>
      </c>
      <c r="U425" s="107">
        <f t="shared" si="385"/>
        <v>0</v>
      </c>
      <c r="V425" s="107">
        <f t="shared" si="385"/>
        <v>0</v>
      </c>
      <c r="W425" s="107">
        <f t="shared" si="385"/>
        <v>0</v>
      </c>
      <c r="X425" s="107">
        <f t="shared" si="385"/>
        <v>0</v>
      </c>
      <c r="Y425" s="107">
        <f t="shared" si="385"/>
        <v>0</v>
      </c>
      <c r="Z425" s="107">
        <f t="shared" si="385"/>
        <v>0</v>
      </c>
      <c r="AA425" s="107">
        <f t="shared" si="385"/>
        <v>0</v>
      </c>
      <c r="AB425" s="107">
        <f t="shared" si="385"/>
        <v>0</v>
      </c>
      <c r="AC425" s="107">
        <f t="shared" si="385"/>
        <v>0</v>
      </c>
      <c r="AD425" s="107">
        <f t="shared" si="385"/>
        <v>0</v>
      </c>
      <c r="AE425" s="107">
        <f t="shared" si="385"/>
        <v>0</v>
      </c>
      <c r="AF425" s="107">
        <f t="shared" si="385"/>
        <v>0</v>
      </c>
      <c r="AG425" s="107">
        <f t="shared" si="385"/>
        <v>0</v>
      </c>
      <c r="AH425" s="107">
        <f t="shared" si="385"/>
        <v>0</v>
      </c>
      <c r="AI425" s="107">
        <f t="shared" si="385"/>
        <v>0</v>
      </c>
      <c r="AJ425" s="107">
        <f t="shared" si="385"/>
        <v>0</v>
      </c>
      <c r="AK425" s="107">
        <f t="shared" si="385"/>
        <v>0</v>
      </c>
      <c r="AL425" s="4"/>
      <c r="AM425" s="43">
        <v>409</v>
      </c>
      <c r="AN425">
        <v>266.79494761713426</v>
      </c>
      <c r="AO425">
        <v>25.047360236443854</v>
      </c>
      <c r="AP425">
        <v>7.4494316072854625</v>
      </c>
      <c r="AQ425">
        <v>189.0865739523247</v>
      </c>
      <c r="AR425">
        <v>26.251569113064509</v>
      </c>
      <c r="AS425">
        <v>405.06066261764676</v>
      </c>
      <c r="AT425">
        <v>15.483700068113821</v>
      </c>
      <c r="AU425">
        <v>-2.8019583164515112</v>
      </c>
      <c r="AV425"/>
      <c r="AW425"/>
      <c r="FY425" s="213">
        <v>420</v>
      </c>
      <c r="FZ425">
        <v>41.114949339672378</v>
      </c>
      <c r="GA425">
        <v>44.557048176434797</v>
      </c>
      <c r="GB425">
        <v>29.640340865780146</v>
      </c>
      <c r="GC425">
        <v>14.386378847506382</v>
      </c>
      <c r="GD425">
        <v>3.8791692942103491</v>
      </c>
      <c r="GE425">
        <v>4.0912557227403807</v>
      </c>
      <c r="GF425">
        <v>1.9014787975573781</v>
      </c>
      <c r="GG425">
        <v>4.9573856208463436</v>
      </c>
      <c r="GH425">
        <v>7.5269851434621771</v>
      </c>
      <c r="GI425">
        <v>17.086273671624113</v>
      </c>
      <c r="GJ425"/>
      <c r="GK425"/>
      <c r="GL425"/>
      <c r="GM425"/>
      <c r="GN425" s="208"/>
      <c r="GO425" s="208"/>
      <c r="GP425" s="208"/>
      <c r="GQ425" s="208"/>
      <c r="GR425" s="208"/>
      <c r="GS425" s="208"/>
      <c r="GT425" s="208"/>
      <c r="GU425" s="213">
        <v>420</v>
      </c>
    </row>
    <row r="426" spans="1:203" s="7" customFormat="1">
      <c r="A426" s="128" t="s">
        <v>92</v>
      </c>
      <c r="B426" s="48" t="s">
        <v>41</v>
      </c>
      <c r="C426" s="107">
        <f t="shared" si="384"/>
        <v>14.382069332648626</v>
      </c>
      <c r="D426" s="191">
        <f>A$408</f>
        <v>0.78</v>
      </c>
      <c r="E426" s="8"/>
      <c r="F426" s="124"/>
      <c r="G426" s="107">
        <f t="shared" si="386"/>
        <v>1.9959258620293985E-4</v>
      </c>
      <c r="H426" s="107">
        <f t="shared" si="385"/>
        <v>0.22575383742591867</v>
      </c>
      <c r="I426" s="107">
        <f t="shared" si="385"/>
        <v>3.8973474620338933</v>
      </c>
      <c r="J426" s="107">
        <f t="shared" si="385"/>
        <v>7.6995353471852379</v>
      </c>
      <c r="K426" s="107">
        <f t="shared" si="385"/>
        <v>2.3146490107777011</v>
      </c>
      <c r="L426" s="107">
        <f t="shared" si="385"/>
        <v>0.24458408263967141</v>
      </c>
      <c r="M426" s="107">
        <f t="shared" si="385"/>
        <v>0</v>
      </c>
      <c r="N426" s="107">
        <f t="shared" si="385"/>
        <v>0</v>
      </c>
      <c r="O426" s="107">
        <f t="shared" si="385"/>
        <v>0</v>
      </c>
      <c r="P426" s="107">
        <f t="shared" si="385"/>
        <v>0</v>
      </c>
      <c r="Q426" s="107">
        <f t="shared" si="385"/>
        <v>0</v>
      </c>
      <c r="R426" s="107">
        <f t="shared" si="385"/>
        <v>0</v>
      </c>
      <c r="S426" s="107">
        <f t="shared" si="385"/>
        <v>0</v>
      </c>
      <c r="T426" s="107">
        <f t="shared" si="385"/>
        <v>0</v>
      </c>
      <c r="U426" s="107">
        <f t="shared" si="385"/>
        <v>0</v>
      </c>
      <c r="V426" s="107">
        <f t="shared" si="385"/>
        <v>0</v>
      </c>
      <c r="W426" s="107">
        <f t="shared" si="385"/>
        <v>0</v>
      </c>
      <c r="X426" s="107">
        <f t="shared" si="385"/>
        <v>0</v>
      </c>
      <c r="Y426" s="107">
        <f t="shared" si="385"/>
        <v>0</v>
      </c>
      <c r="Z426" s="107">
        <f t="shared" si="385"/>
        <v>0</v>
      </c>
      <c r="AA426" s="107">
        <f t="shared" si="385"/>
        <v>0</v>
      </c>
      <c r="AB426" s="107">
        <f t="shared" si="385"/>
        <v>0</v>
      </c>
      <c r="AC426" s="107">
        <f t="shared" si="385"/>
        <v>0</v>
      </c>
      <c r="AD426" s="107">
        <f t="shared" si="385"/>
        <v>0</v>
      </c>
      <c r="AE426" s="107">
        <f t="shared" si="385"/>
        <v>0</v>
      </c>
      <c r="AF426" s="107">
        <f t="shared" si="385"/>
        <v>0</v>
      </c>
      <c r="AG426" s="107">
        <f t="shared" si="385"/>
        <v>0</v>
      </c>
      <c r="AH426" s="107">
        <f t="shared" si="385"/>
        <v>0</v>
      </c>
      <c r="AI426" s="107">
        <f t="shared" si="385"/>
        <v>0</v>
      </c>
      <c r="AJ426" s="107">
        <f t="shared" si="385"/>
        <v>0</v>
      </c>
      <c r="AK426" s="107">
        <f t="shared" si="385"/>
        <v>0</v>
      </c>
      <c r="AL426" s="4"/>
      <c r="AM426" s="43">
        <v>410</v>
      </c>
      <c r="AN426">
        <v>216.10813322425747</v>
      </c>
      <c r="AO426">
        <v>20.699556329897824</v>
      </c>
      <c r="AP426">
        <v>17.830626128547497</v>
      </c>
      <c r="AQ426">
        <v>146.34723443990583</v>
      </c>
      <c r="AR426">
        <v>22.120138422631488</v>
      </c>
      <c r="AS426">
        <v>307.38135246971774</v>
      </c>
      <c r="AT426">
        <v>12.983979412149893</v>
      </c>
      <c r="AU426">
        <v>7.3555251296257183</v>
      </c>
      <c r="AV426"/>
      <c r="AW426"/>
      <c r="FY426" s="213">
        <v>421</v>
      </c>
      <c r="FZ426">
        <v>44.570612013802936</v>
      </c>
      <c r="GA426">
        <v>23.982287709995234</v>
      </c>
      <c r="GB426">
        <v>24.457801129249894</v>
      </c>
      <c r="GC426">
        <v>14.384652780383291</v>
      </c>
      <c r="GD426">
        <v>3.4587470675001191</v>
      </c>
      <c r="GE426">
        <v>6.7966660571609809</v>
      </c>
      <c r="GF426">
        <v>7.1985533525342085</v>
      </c>
      <c r="GG426">
        <v>3.6599079232246643</v>
      </c>
      <c r="GH426">
        <v>7.7847661224285956</v>
      </c>
      <c r="GI426">
        <v>17.09327248901446</v>
      </c>
      <c r="GJ426"/>
      <c r="GK426"/>
      <c r="GL426"/>
      <c r="GM426"/>
      <c r="GN426" s="208"/>
      <c r="GO426" s="208"/>
      <c r="GP426" s="208"/>
      <c r="GQ426" s="208"/>
      <c r="GR426" s="208"/>
      <c r="GS426" s="208"/>
      <c r="GT426" s="208"/>
      <c r="GU426" s="213">
        <v>421</v>
      </c>
    </row>
    <row r="427" spans="1:203" s="7" customFormat="1">
      <c r="A427" s="128" t="s">
        <v>93</v>
      </c>
      <c r="B427" s="48" t="s">
        <v>42</v>
      </c>
      <c r="C427" s="107">
        <f t="shared" si="384"/>
        <v>3.5269075444999585</v>
      </c>
      <c r="D427" s="191">
        <f>A$409</f>
        <v>0.14000000000000001</v>
      </c>
      <c r="E427" s="8"/>
      <c r="F427" s="124"/>
      <c r="G427" s="107">
        <f t="shared" si="386"/>
        <v>1.5374908064001656E-4</v>
      </c>
      <c r="H427" s="107">
        <f t="shared" si="385"/>
        <v>0.26764652554181145</v>
      </c>
      <c r="I427" s="107">
        <f t="shared" si="385"/>
        <v>2.5818298801350257</v>
      </c>
      <c r="J427" s="107">
        <f t="shared" si="385"/>
        <v>0.55646113461931945</v>
      </c>
      <c r="K427" s="107">
        <f t="shared" si="385"/>
        <v>0.12081625512316176</v>
      </c>
      <c r="L427" s="107">
        <f t="shared" si="385"/>
        <v>0</v>
      </c>
      <c r="M427" s="107">
        <f t="shared" si="385"/>
        <v>0</v>
      </c>
      <c r="N427" s="107">
        <f t="shared" si="385"/>
        <v>0</v>
      </c>
      <c r="O427" s="107">
        <f t="shared" si="385"/>
        <v>0</v>
      </c>
      <c r="P427" s="107">
        <f t="shared" si="385"/>
        <v>0</v>
      </c>
      <c r="Q427" s="107">
        <f t="shared" si="385"/>
        <v>0</v>
      </c>
      <c r="R427" s="107">
        <f t="shared" si="385"/>
        <v>0</v>
      </c>
      <c r="S427" s="107">
        <f t="shared" si="385"/>
        <v>0</v>
      </c>
      <c r="T427" s="107">
        <f t="shared" si="385"/>
        <v>0</v>
      </c>
      <c r="U427" s="107">
        <f t="shared" si="385"/>
        <v>0</v>
      </c>
      <c r="V427" s="107">
        <f t="shared" si="385"/>
        <v>0</v>
      </c>
      <c r="W427" s="107">
        <f t="shared" si="385"/>
        <v>0</v>
      </c>
      <c r="X427" s="107">
        <f t="shared" si="385"/>
        <v>0</v>
      </c>
      <c r="Y427" s="107">
        <f t="shared" si="385"/>
        <v>0</v>
      </c>
      <c r="Z427" s="107">
        <f t="shared" si="385"/>
        <v>0</v>
      </c>
      <c r="AA427" s="107">
        <f t="shared" si="385"/>
        <v>0</v>
      </c>
      <c r="AB427" s="107">
        <f t="shared" si="385"/>
        <v>0</v>
      </c>
      <c r="AC427" s="107">
        <f t="shared" si="385"/>
        <v>0</v>
      </c>
      <c r="AD427" s="107">
        <f t="shared" si="385"/>
        <v>0</v>
      </c>
      <c r="AE427" s="107">
        <f t="shared" si="385"/>
        <v>0</v>
      </c>
      <c r="AF427" s="107">
        <f t="shared" si="385"/>
        <v>0</v>
      </c>
      <c r="AG427" s="107">
        <f t="shared" si="385"/>
        <v>0</v>
      </c>
      <c r="AH427" s="107">
        <f t="shared" si="385"/>
        <v>0</v>
      </c>
      <c r="AI427" s="107">
        <f t="shared" si="385"/>
        <v>0</v>
      </c>
      <c r="AJ427" s="107">
        <f t="shared" si="385"/>
        <v>0</v>
      </c>
      <c r="AK427" s="107">
        <f t="shared" si="385"/>
        <v>0</v>
      </c>
      <c r="AL427" s="4"/>
      <c r="AM427" s="43">
        <v>411</v>
      </c>
      <c r="AN427">
        <v>271.505506897136</v>
      </c>
      <c r="AO427">
        <v>28.367149421965916</v>
      </c>
      <c r="AP427">
        <v>23.405816053468673</v>
      </c>
      <c r="AQ427">
        <v>207.76831555043373</v>
      </c>
      <c r="AR427">
        <v>28.492021816888268</v>
      </c>
      <c r="AS427">
        <v>406.89925824228129</v>
      </c>
      <c r="AT427">
        <v>17.62740493175432</v>
      </c>
      <c r="AU427">
        <v>6.6118866660286884</v>
      </c>
      <c r="AV427"/>
      <c r="AW427"/>
      <c r="FY427" s="213">
        <v>422</v>
      </c>
      <c r="FZ427">
        <v>46.30790342154684</v>
      </c>
      <c r="GA427">
        <v>39.975705905387521</v>
      </c>
      <c r="GB427">
        <v>25.427487429722532</v>
      </c>
      <c r="GC427">
        <v>13.121667539486788</v>
      </c>
      <c r="GD427">
        <v>6.1044224237005578</v>
      </c>
      <c r="GE427">
        <v>9.5047462552452373</v>
      </c>
      <c r="GF427">
        <v>2.7303371468876914</v>
      </c>
      <c r="GG427">
        <v>0.91822755579683002</v>
      </c>
      <c r="GH427">
        <v>2.5633208622206438</v>
      </c>
      <c r="GI427">
        <v>17.433357333311974</v>
      </c>
      <c r="GJ427"/>
      <c r="GK427"/>
      <c r="GL427"/>
      <c r="GM427"/>
      <c r="GN427" s="208"/>
      <c r="GO427" s="208"/>
      <c r="GP427" s="208"/>
      <c r="GQ427" s="208"/>
      <c r="GR427" s="208"/>
      <c r="GS427" s="208"/>
      <c r="GT427" s="208"/>
      <c r="GU427" s="213">
        <v>422</v>
      </c>
    </row>
    <row r="428" spans="1:203" s="7" customFormat="1">
      <c r="A428" s="138" t="s">
        <v>95</v>
      </c>
      <c r="B428" s="48" t="s">
        <v>118</v>
      </c>
      <c r="C428" s="107">
        <f t="shared" si="384"/>
        <v>6.7120032265320209</v>
      </c>
      <c r="D428" s="191">
        <f>A$410</f>
        <v>0.21</v>
      </c>
      <c r="E428" s="8"/>
      <c r="F428" s="124"/>
      <c r="G428" s="107">
        <f t="shared" si="386"/>
        <v>0</v>
      </c>
      <c r="H428" s="107">
        <f t="shared" si="385"/>
        <v>0.45731408904089338</v>
      </c>
      <c r="I428" s="107">
        <f t="shared" si="385"/>
        <v>4.4877760611493969</v>
      </c>
      <c r="J428" s="107">
        <f t="shared" si="385"/>
        <v>1.7669130763417304</v>
      </c>
      <c r="K428" s="107">
        <f t="shared" si="385"/>
        <v>0</v>
      </c>
      <c r="L428" s="107">
        <f t="shared" si="385"/>
        <v>0</v>
      </c>
      <c r="M428" s="107">
        <f t="shared" si="385"/>
        <v>0</v>
      </c>
      <c r="N428" s="107">
        <f t="shared" si="385"/>
        <v>0</v>
      </c>
      <c r="O428" s="107">
        <f t="shared" si="385"/>
        <v>0</v>
      </c>
      <c r="P428" s="107">
        <f t="shared" si="385"/>
        <v>0</v>
      </c>
      <c r="Q428" s="107">
        <f t="shared" si="385"/>
        <v>0</v>
      </c>
      <c r="R428" s="107">
        <f t="shared" si="385"/>
        <v>0</v>
      </c>
      <c r="S428" s="107">
        <f t="shared" si="385"/>
        <v>0</v>
      </c>
      <c r="T428" s="107">
        <f t="shared" si="385"/>
        <v>0</v>
      </c>
      <c r="U428" s="107">
        <f t="shared" si="385"/>
        <v>0</v>
      </c>
      <c r="V428" s="107">
        <f t="shared" si="385"/>
        <v>0</v>
      </c>
      <c r="W428" s="107">
        <f t="shared" si="385"/>
        <v>0</v>
      </c>
      <c r="X428" s="107">
        <f t="shared" si="385"/>
        <v>0</v>
      </c>
      <c r="Y428" s="107">
        <f t="shared" si="385"/>
        <v>0</v>
      </c>
      <c r="Z428" s="107">
        <f t="shared" si="385"/>
        <v>0</v>
      </c>
      <c r="AA428" s="107">
        <f t="shared" si="385"/>
        <v>0</v>
      </c>
      <c r="AB428" s="107">
        <f t="shared" si="385"/>
        <v>0</v>
      </c>
      <c r="AC428" s="107">
        <f t="shared" si="385"/>
        <v>0</v>
      </c>
      <c r="AD428" s="107">
        <f t="shared" si="385"/>
        <v>0</v>
      </c>
      <c r="AE428" s="107">
        <f t="shared" si="385"/>
        <v>0</v>
      </c>
      <c r="AF428" s="107">
        <f t="shared" si="385"/>
        <v>0</v>
      </c>
      <c r="AG428" s="107">
        <f t="shared" si="385"/>
        <v>0</v>
      </c>
      <c r="AH428" s="107">
        <f t="shared" si="385"/>
        <v>0</v>
      </c>
      <c r="AI428" s="107">
        <f t="shared" si="385"/>
        <v>0</v>
      </c>
      <c r="AJ428" s="107">
        <f t="shared" si="385"/>
        <v>0</v>
      </c>
      <c r="AK428" s="107">
        <f t="shared" si="385"/>
        <v>0</v>
      </c>
      <c r="AL428" s="4"/>
      <c r="AM428" s="43">
        <v>412</v>
      </c>
      <c r="AN428">
        <v>301.39403328145261</v>
      </c>
      <c r="AO428">
        <v>27.585889806175679</v>
      </c>
      <c r="AP428">
        <v>30.716726314070556</v>
      </c>
      <c r="AQ428">
        <v>204.89620083816249</v>
      </c>
      <c r="AR428">
        <v>28.081593847406289</v>
      </c>
      <c r="AS428">
        <v>397.97452728406512</v>
      </c>
      <c r="AT428">
        <v>16.997828276778876</v>
      </c>
      <c r="AU428">
        <v>14.767256865304603</v>
      </c>
      <c r="AV428"/>
      <c r="AW428"/>
      <c r="FY428" s="213">
        <v>423</v>
      </c>
      <c r="FZ428">
        <v>41.708805618759236</v>
      </c>
      <c r="GA428">
        <v>47.960290680409678</v>
      </c>
      <c r="GB428">
        <v>41.338753431249245</v>
      </c>
      <c r="GC428">
        <v>20.331246578736028</v>
      </c>
      <c r="GD428">
        <v>3.1932474878910426</v>
      </c>
      <c r="GE428">
        <v>3.0674291453204887</v>
      </c>
      <c r="GF428">
        <v>11.030495309557946</v>
      </c>
      <c r="GG428">
        <v>13.459662501944385</v>
      </c>
      <c r="GH428">
        <v>9.4602348148366318</v>
      </c>
      <c r="GI428">
        <v>21.632268639741213</v>
      </c>
      <c r="GJ428"/>
      <c r="GK428"/>
      <c r="GL428"/>
      <c r="GM428"/>
      <c r="GN428" s="208"/>
      <c r="GO428" s="208"/>
      <c r="GP428" s="208"/>
      <c r="GQ428" s="208"/>
      <c r="GR428" s="208"/>
      <c r="GS428" s="208"/>
      <c r="GT428" s="208"/>
      <c r="GU428" s="213">
        <v>423</v>
      </c>
    </row>
    <row r="429" spans="1:203" s="7" customFormat="1">
      <c r="A429" s="138" t="s">
        <v>94</v>
      </c>
      <c r="B429" s="48" t="s">
        <v>119</v>
      </c>
      <c r="C429" s="107">
        <f t="shared" si="384"/>
        <v>8.1499457273288538</v>
      </c>
      <c r="D429" s="191">
        <f>A$411</f>
        <v>1.28</v>
      </c>
      <c r="E429" s="8"/>
      <c r="F429" s="124"/>
      <c r="G429" s="107">
        <f t="shared" si="386"/>
        <v>0</v>
      </c>
      <c r="H429" s="107">
        <f t="shared" si="385"/>
        <v>0</v>
      </c>
      <c r="I429" s="107">
        <f t="shared" si="385"/>
        <v>0.40154713634097533</v>
      </c>
      <c r="J429" s="107">
        <f t="shared" si="385"/>
        <v>2.7527033938746333</v>
      </c>
      <c r="K429" s="107">
        <f t="shared" si="385"/>
        <v>4.9956951971132453</v>
      </c>
      <c r="L429" s="107">
        <f t="shared" si="385"/>
        <v>0</v>
      </c>
      <c r="M429" s="107">
        <f t="shared" si="385"/>
        <v>0</v>
      </c>
      <c r="N429" s="107">
        <f t="shared" si="385"/>
        <v>0</v>
      </c>
      <c r="O429" s="107">
        <f t="shared" si="385"/>
        <v>0</v>
      </c>
      <c r="P429" s="107">
        <f t="shared" si="385"/>
        <v>0</v>
      </c>
      <c r="Q429" s="107">
        <f t="shared" si="385"/>
        <v>0</v>
      </c>
      <c r="R429" s="107">
        <f t="shared" si="385"/>
        <v>0</v>
      </c>
      <c r="S429" s="107">
        <f t="shared" si="385"/>
        <v>0</v>
      </c>
      <c r="T429" s="107">
        <f t="shared" si="385"/>
        <v>0</v>
      </c>
      <c r="U429" s="107">
        <f t="shared" si="385"/>
        <v>0</v>
      </c>
      <c r="V429" s="107">
        <f t="shared" si="385"/>
        <v>0</v>
      </c>
      <c r="W429" s="107">
        <f t="shared" si="385"/>
        <v>0</v>
      </c>
      <c r="X429" s="107">
        <f t="shared" si="385"/>
        <v>0</v>
      </c>
      <c r="Y429" s="107">
        <f t="shared" si="385"/>
        <v>0</v>
      </c>
      <c r="Z429" s="107">
        <f t="shared" si="385"/>
        <v>0</v>
      </c>
      <c r="AA429" s="107">
        <f t="shared" si="385"/>
        <v>0</v>
      </c>
      <c r="AB429" s="107">
        <f t="shared" si="385"/>
        <v>0</v>
      </c>
      <c r="AC429" s="107">
        <f t="shared" si="385"/>
        <v>0</v>
      </c>
      <c r="AD429" s="107">
        <f t="shared" si="385"/>
        <v>0</v>
      </c>
      <c r="AE429" s="107">
        <f t="shared" si="385"/>
        <v>0</v>
      </c>
      <c r="AF429" s="107">
        <f t="shared" si="385"/>
        <v>0</v>
      </c>
      <c r="AG429" s="107">
        <f t="shared" si="385"/>
        <v>0</v>
      </c>
      <c r="AH429" s="107">
        <f t="shared" si="385"/>
        <v>0</v>
      </c>
      <c r="AI429" s="107">
        <f t="shared" si="385"/>
        <v>0</v>
      </c>
      <c r="AJ429" s="107">
        <f t="shared" si="385"/>
        <v>0</v>
      </c>
      <c r="AK429" s="107">
        <f t="shared" si="385"/>
        <v>0</v>
      </c>
      <c r="AL429" s="4"/>
      <c r="AM429" s="43">
        <v>413</v>
      </c>
      <c r="AN429">
        <v>173.61303086199845</v>
      </c>
      <c r="AO429">
        <v>17.475048645243373</v>
      </c>
      <c r="AP429">
        <v>34.416167646049047</v>
      </c>
      <c r="AQ429">
        <v>113.39505572878856</v>
      </c>
      <c r="AR429">
        <v>18.968393440643382</v>
      </c>
      <c r="AS429">
        <v>265.26102519069121</v>
      </c>
      <c r="AT429">
        <v>11.596499469040515</v>
      </c>
      <c r="AU429">
        <v>31.369126257516331</v>
      </c>
      <c r="AV429"/>
      <c r="AW429"/>
      <c r="FY429" s="213">
        <v>424</v>
      </c>
      <c r="FZ429">
        <v>25.756178205702057</v>
      </c>
      <c r="GA429">
        <v>16.959706735380891</v>
      </c>
      <c r="GB429">
        <v>26.810509135461309</v>
      </c>
      <c r="GC429">
        <v>14.833369674559291</v>
      </c>
      <c r="GD429">
        <v>2.0228986695248454</v>
      </c>
      <c r="GE429">
        <v>3.0070664294210463</v>
      </c>
      <c r="GF429">
        <v>2.8965534176119072</v>
      </c>
      <c r="GG429">
        <v>3.2131773672407724</v>
      </c>
      <c r="GH429">
        <v>8.7010954660885389</v>
      </c>
      <c r="GI429">
        <v>13.448253449808764</v>
      </c>
      <c r="GJ429"/>
      <c r="GK429"/>
      <c r="GL429"/>
      <c r="GM429"/>
      <c r="GN429" s="208"/>
      <c r="GO429" s="208"/>
      <c r="GP429" s="208"/>
      <c r="GQ429" s="208"/>
      <c r="GR429" s="208"/>
      <c r="GS429" s="208"/>
      <c r="GT429" s="208"/>
      <c r="GU429" s="213">
        <v>424</v>
      </c>
    </row>
    <row r="430" spans="1:203" s="7" customFormat="1">
      <c r="A430" s="128" t="s">
        <v>18</v>
      </c>
      <c r="B430" s="48" t="s">
        <v>120</v>
      </c>
      <c r="C430" s="107">
        <f t="shared" si="384"/>
        <v>10.112583355229873</v>
      </c>
      <c r="D430" s="191">
        <f>A$412</f>
        <v>4</v>
      </c>
      <c r="E430" s="8"/>
      <c r="F430" s="124"/>
      <c r="G430" s="107">
        <f t="shared" si="386"/>
        <v>0</v>
      </c>
      <c r="H430" s="107">
        <f t="shared" si="385"/>
        <v>6.587836023063183E-2</v>
      </c>
      <c r="I430" s="107">
        <f t="shared" si="385"/>
        <v>2.3482794666267539</v>
      </c>
      <c r="J430" s="107">
        <f t="shared" si="385"/>
        <v>2.8784661782199792</v>
      </c>
      <c r="K430" s="107">
        <f t="shared" si="385"/>
        <v>4.8199593501525078</v>
      </c>
      <c r="L430" s="107">
        <f t="shared" si="385"/>
        <v>0</v>
      </c>
      <c r="M430" s="107">
        <f t="shared" si="385"/>
        <v>0</v>
      </c>
      <c r="N430" s="107">
        <f t="shared" si="385"/>
        <v>0</v>
      </c>
      <c r="O430" s="107">
        <f t="shared" si="385"/>
        <v>0</v>
      </c>
      <c r="P430" s="107">
        <f t="shared" si="385"/>
        <v>0</v>
      </c>
      <c r="Q430" s="107">
        <f t="shared" si="385"/>
        <v>0</v>
      </c>
      <c r="R430" s="107">
        <f t="shared" si="385"/>
        <v>0</v>
      </c>
      <c r="S430" s="107">
        <f t="shared" si="385"/>
        <v>0</v>
      </c>
      <c r="T430" s="107">
        <f t="shared" si="385"/>
        <v>0</v>
      </c>
      <c r="U430" s="107">
        <f t="shared" si="385"/>
        <v>0</v>
      </c>
      <c r="V430" s="107">
        <f t="shared" si="385"/>
        <v>0</v>
      </c>
      <c r="W430" s="107">
        <f t="shared" si="385"/>
        <v>0</v>
      </c>
      <c r="X430" s="107">
        <f t="shared" si="385"/>
        <v>0</v>
      </c>
      <c r="Y430" s="107">
        <f t="shared" si="385"/>
        <v>0</v>
      </c>
      <c r="Z430" s="107">
        <f t="shared" si="385"/>
        <v>0</v>
      </c>
      <c r="AA430" s="107">
        <f t="shared" si="385"/>
        <v>0</v>
      </c>
      <c r="AB430" s="107">
        <f t="shared" si="385"/>
        <v>0</v>
      </c>
      <c r="AC430" s="107">
        <f t="shared" si="385"/>
        <v>0</v>
      </c>
      <c r="AD430" s="107">
        <f t="shared" si="385"/>
        <v>0</v>
      </c>
      <c r="AE430" s="107">
        <f t="shared" si="385"/>
        <v>0</v>
      </c>
      <c r="AF430" s="107">
        <f t="shared" si="385"/>
        <v>0</v>
      </c>
      <c r="AG430" s="107">
        <f t="shared" si="385"/>
        <v>0</v>
      </c>
      <c r="AH430" s="107">
        <f t="shared" si="385"/>
        <v>0</v>
      </c>
      <c r="AI430" s="107">
        <f t="shared" si="385"/>
        <v>0</v>
      </c>
      <c r="AJ430" s="107">
        <f t="shared" si="385"/>
        <v>0</v>
      </c>
      <c r="AK430" s="107">
        <f t="shared" si="385"/>
        <v>0</v>
      </c>
      <c r="AL430" s="4"/>
      <c r="AM430" s="43">
        <v>414</v>
      </c>
      <c r="AN430">
        <v>263.76534602633399</v>
      </c>
      <c r="AO430">
        <v>25.698677027307752</v>
      </c>
      <c r="AP430">
        <v>18.114039729777758</v>
      </c>
      <c r="AQ430">
        <v>195.68283624472448</v>
      </c>
      <c r="AR430">
        <v>27.132191861990876</v>
      </c>
      <c r="AS430">
        <v>352.33161737502132</v>
      </c>
      <c r="AT430">
        <v>16.495069893725688</v>
      </c>
      <c r="AU430">
        <v>-15.444630439980735</v>
      </c>
      <c r="AV430"/>
      <c r="AW430"/>
      <c r="FY430" s="213">
        <v>425</v>
      </c>
      <c r="FZ430">
        <v>45.443826570583191</v>
      </c>
      <c r="GA430">
        <v>31.628424228663341</v>
      </c>
      <c r="GB430">
        <v>23.934887374220285</v>
      </c>
      <c r="GC430">
        <v>14.055550181420317</v>
      </c>
      <c r="GD430">
        <v>6.4075029485996078</v>
      </c>
      <c r="GE430">
        <v>8.5293057412212043</v>
      </c>
      <c r="GF430">
        <v>8.8467581708666643</v>
      </c>
      <c r="GG430">
        <v>6.4974822410810376</v>
      </c>
      <c r="GH430">
        <v>3.1503660606865633</v>
      </c>
      <c r="GI430">
        <v>18.352714514272606</v>
      </c>
      <c r="GJ430"/>
      <c r="GK430"/>
      <c r="GL430"/>
      <c r="GM430"/>
      <c r="GN430" s="208"/>
      <c r="GO430" s="208"/>
      <c r="GP430" s="208"/>
      <c r="GQ430" s="208"/>
      <c r="GR430" s="208"/>
      <c r="GS430" s="208"/>
      <c r="GT430" s="208"/>
      <c r="GU430" s="213">
        <v>425</v>
      </c>
    </row>
    <row r="431" spans="1:203" s="7" customFormat="1">
      <c r="A431" s="128" t="s">
        <v>17</v>
      </c>
      <c r="B431" s="48" t="s">
        <v>121</v>
      </c>
      <c r="C431" s="107">
        <f t="shared" si="384"/>
        <v>8.1973867304122248</v>
      </c>
      <c r="D431" s="191">
        <f>A$413</f>
        <v>7.33</v>
      </c>
      <c r="E431" s="8"/>
      <c r="F431" s="124"/>
      <c r="G431" s="107">
        <f t="shared" si="386"/>
        <v>0</v>
      </c>
      <c r="H431" s="107">
        <f t="shared" si="385"/>
        <v>8.6613801799579421E-2</v>
      </c>
      <c r="I431" s="107">
        <f t="shared" si="385"/>
        <v>2.786428215356556</v>
      </c>
      <c r="J431" s="107">
        <f t="shared" si="385"/>
        <v>2.4421381421340276</v>
      </c>
      <c r="K431" s="107">
        <f t="shared" si="385"/>
        <v>1.1614579360288846</v>
      </c>
      <c r="L431" s="107">
        <f t="shared" si="385"/>
        <v>0.51914000618956957</v>
      </c>
      <c r="M431" s="107">
        <f t="shared" si="385"/>
        <v>0</v>
      </c>
      <c r="N431" s="107">
        <f t="shared" si="385"/>
        <v>1.2016086289036068</v>
      </c>
      <c r="O431" s="107">
        <f t="shared" si="385"/>
        <v>0</v>
      </c>
      <c r="P431" s="107">
        <f t="shared" si="385"/>
        <v>0</v>
      </c>
      <c r="Q431" s="107">
        <f t="shared" si="385"/>
        <v>0</v>
      </c>
      <c r="R431" s="107">
        <f t="shared" si="385"/>
        <v>0</v>
      </c>
      <c r="S431" s="107">
        <f t="shared" si="385"/>
        <v>0</v>
      </c>
      <c r="T431" s="107">
        <f t="shared" si="385"/>
        <v>0</v>
      </c>
      <c r="U431" s="107">
        <f t="shared" si="385"/>
        <v>0</v>
      </c>
      <c r="V431" s="107">
        <f t="shared" si="385"/>
        <v>0</v>
      </c>
      <c r="W431" s="107">
        <f t="shared" si="385"/>
        <v>0</v>
      </c>
      <c r="X431" s="107">
        <f t="shared" si="385"/>
        <v>0</v>
      </c>
      <c r="Y431" s="107">
        <f t="shared" si="385"/>
        <v>0</v>
      </c>
      <c r="Z431" s="107">
        <f t="shared" si="385"/>
        <v>0</v>
      </c>
      <c r="AA431" s="107">
        <f t="shared" si="385"/>
        <v>0</v>
      </c>
      <c r="AB431" s="107">
        <f t="shared" si="385"/>
        <v>0</v>
      </c>
      <c r="AC431" s="107">
        <f t="shared" si="385"/>
        <v>0</v>
      </c>
      <c r="AD431" s="107">
        <f t="shared" si="385"/>
        <v>0</v>
      </c>
      <c r="AE431" s="107">
        <f t="shared" si="385"/>
        <v>0</v>
      </c>
      <c r="AF431" s="107">
        <f t="shared" si="385"/>
        <v>0</v>
      </c>
      <c r="AG431" s="107">
        <f t="shared" si="385"/>
        <v>0</v>
      </c>
      <c r="AH431" s="107">
        <f t="shared" si="385"/>
        <v>0</v>
      </c>
      <c r="AI431" s="107">
        <f t="shared" si="385"/>
        <v>0</v>
      </c>
      <c r="AJ431" s="107">
        <f t="shared" si="385"/>
        <v>0</v>
      </c>
      <c r="AK431" s="107">
        <f t="shared" si="385"/>
        <v>0</v>
      </c>
      <c r="AL431" s="4"/>
      <c r="AM431" s="43">
        <v>415</v>
      </c>
      <c r="AN431">
        <v>306.04987124402044</v>
      </c>
      <c r="AO431">
        <v>24.533527771899106</v>
      </c>
      <c r="AP431">
        <v>34.288009227394831</v>
      </c>
      <c r="AQ431">
        <v>182.3394175252032</v>
      </c>
      <c r="AR431">
        <v>25.562522402971762</v>
      </c>
      <c r="AS431">
        <v>383.6801584639714</v>
      </c>
      <c r="AT431">
        <v>15.70233644707915</v>
      </c>
      <c r="AU431">
        <v>3.8337947735925582E-2</v>
      </c>
      <c r="AV431"/>
      <c r="AW431"/>
      <c r="FY431" s="213">
        <v>426</v>
      </c>
      <c r="FZ431">
        <v>37.695526668230094</v>
      </c>
      <c r="GA431">
        <v>47.095556215712804</v>
      </c>
      <c r="GB431">
        <v>42.721037779309952</v>
      </c>
      <c r="GC431">
        <v>16.456667638720322</v>
      </c>
      <c r="GD431">
        <v>4.3461503122515959</v>
      </c>
      <c r="GE431">
        <v>7.7206099257616358</v>
      </c>
      <c r="GF431">
        <v>6.6575473442700854</v>
      </c>
      <c r="GG431">
        <v>5.9971082289129356</v>
      </c>
      <c r="GH431">
        <v>8.744898164623363</v>
      </c>
      <c r="GI431">
        <v>21.114788783013601</v>
      </c>
      <c r="GJ431"/>
      <c r="GK431"/>
      <c r="GL431"/>
      <c r="GM431"/>
      <c r="GN431" s="208"/>
      <c r="GO431" s="208"/>
      <c r="GP431" s="208"/>
      <c r="GQ431" s="208"/>
      <c r="GR431" s="208"/>
      <c r="GS431" s="208"/>
      <c r="GT431" s="208"/>
      <c r="GU431" s="213">
        <v>426</v>
      </c>
    </row>
    <row r="432" spans="1:203" s="7" customFormat="1">
      <c r="A432" s="4"/>
      <c r="B432" s="48" t="s">
        <v>122</v>
      </c>
      <c r="C432" s="107">
        <f t="shared" si="384"/>
        <v>17.772926295738213</v>
      </c>
      <c r="D432" s="191">
        <f>A$414</f>
        <v>10.51</v>
      </c>
      <c r="E432" s="8"/>
      <c r="F432" s="124"/>
      <c r="G432" s="107">
        <f t="shared" si="386"/>
        <v>8.6910751390865617E-5</v>
      </c>
      <c r="H432" s="107">
        <f t="shared" ref="H432:AK432" si="387">(($A$453+$A$455*(H$422)+($A$457*$D432))*($E30*H46))</f>
        <v>0.24706321859989139</v>
      </c>
      <c r="I432" s="107">
        <f t="shared" si="387"/>
        <v>4.0514120170090591</v>
      </c>
      <c r="J432" s="107">
        <f t="shared" si="387"/>
        <v>5.3427468572551584</v>
      </c>
      <c r="K432" s="107">
        <f t="shared" si="387"/>
        <v>3.2433627366346891</v>
      </c>
      <c r="L432" s="107">
        <f t="shared" si="387"/>
        <v>1.9188865283860892</v>
      </c>
      <c r="M432" s="107">
        <f t="shared" si="387"/>
        <v>1.8316727825456947</v>
      </c>
      <c r="N432" s="107">
        <f t="shared" si="387"/>
        <v>0.8711919656934981</v>
      </c>
      <c r="O432" s="107">
        <f t="shared" si="387"/>
        <v>0.26650327886274405</v>
      </c>
      <c r="P432" s="107">
        <f t="shared" si="387"/>
        <v>0</v>
      </c>
      <c r="Q432" s="107">
        <f t="shared" si="387"/>
        <v>0</v>
      </c>
      <c r="R432" s="107">
        <f t="shared" si="387"/>
        <v>0</v>
      </c>
      <c r="S432" s="107">
        <f t="shared" si="387"/>
        <v>0</v>
      </c>
      <c r="T432" s="107">
        <f t="shared" si="387"/>
        <v>0</v>
      </c>
      <c r="U432" s="107">
        <f t="shared" si="387"/>
        <v>0</v>
      </c>
      <c r="V432" s="107">
        <f t="shared" si="387"/>
        <v>0</v>
      </c>
      <c r="W432" s="107">
        <f t="shared" si="387"/>
        <v>0</v>
      </c>
      <c r="X432" s="107">
        <f t="shared" si="387"/>
        <v>0</v>
      </c>
      <c r="Y432" s="107">
        <f t="shared" si="387"/>
        <v>0</v>
      </c>
      <c r="Z432" s="107">
        <f t="shared" si="387"/>
        <v>0</v>
      </c>
      <c r="AA432" s="107">
        <f t="shared" si="387"/>
        <v>0</v>
      </c>
      <c r="AB432" s="107">
        <f t="shared" si="387"/>
        <v>0</v>
      </c>
      <c r="AC432" s="107">
        <f t="shared" si="387"/>
        <v>0</v>
      </c>
      <c r="AD432" s="107">
        <f t="shared" si="387"/>
        <v>0</v>
      </c>
      <c r="AE432" s="107">
        <f t="shared" si="387"/>
        <v>0</v>
      </c>
      <c r="AF432" s="107">
        <f t="shared" si="387"/>
        <v>0</v>
      </c>
      <c r="AG432" s="107">
        <f t="shared" si="387"/>
        <v>0</v>
      </c>
      <c r="AH432" s="107">
        <f t="shared" si="387"/>
        <v>0</v>
      </c>
      <c r="AI432" s="107">
        <f t="shared" si="387"/>
        <v>0</v>
      </c>
      <c r="AJ432" s="107">
        <f t="shared" si="387"/>
        <v>0</v>
      </c>
      <c r="AK432" s="107">
        <f t="shared" si="387"/>
        <v>0</v>
      </c>
      <c r="AL432" s="4"/>
      <c r="AM432" s="43">
        <v>416</v>
      </c>
      <c r="AN432">
        <v>257.30210487561465</v>
      </c>
      <c r="AO432">
        <v>21.615720004128754</v>
      </c>
      <c r="AP432">
        <v>20.712087869320815</v>
      </c>
      <c r="AQ432">
        <v>145.9752974616091</v>
      </c>
      <c r="AR432">
        <v>21.917029826201361</v>
      </c>
      <c r="AS432">
        <v>362.39108736970019</v>
      </c>
      <c r="AT432">
        <v>12.82411100192161</v>
      </c>
      <c r="AU432">
        <v>-5.7742001732218036</v>
      </c>
      <c r="AV432"/>
      <c r="AW432"/>
      <c r="FY432" s="213">
        <v>427</v>
      </c>
      <c r="FZ432">
        <v>49.60412813831752</v>
      </c>
      <c r="GA432">
        <v>23.512010451655382</v>
      </c>
      <c r="GB432">
        <v>29.839373637697406</v>
      </c>
      <c r="GC432">
        <v>18.883590866821876</v>
      </c>
      <c r="GD432">
        <v>5.5850372590675494</v>
      </c>
      <c r="GE432">
        <v>8.0219841500554221</v>
      </c>
      <c r="GF432">
        <v>5.7005609695431527</v>
      </c>
      <c r="GG432">
        <v>5.6175989921016658</v>
      </c>
      <c r="GH432">
        <v>8.8464952180293874</v>
      </c>
      <c r="GI432">
        <v>20.247434769129185</v>
      </c>
      <c r="GJ432"/>
      <c r="GK432"/>
      <c r="GL432"/>
      <c r="GM432"/>
      <c r="GN432" s="208"/>
      <c r="GO432" s="208"/>
      <c r="GP432" s="208"/>
      <c r="GQ432" s="208"/>
      <c r="GR432" s="208"/>
      <c r="GS432" s="208"/>
      <c r="GT432" s="208"/>
      <c r="GU432" s="213">
        <v>427</v>
      </c>
    </row>
    <row r="433" spans="1:203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224.54102133357205</v>
      </c>
      <c r="AO433">
        <v>22.961829195480881</v>
      </c>
      <c r="AP433">
        <v>61.185485276919195</v>
      </c>
      <c r="AQ433">
        <v>161.21416556992472</v>
      </c>
      <c r="AR433">
        <v>23.961482583793252</v>
      </c>
      <c r="AS433">
        <v>352.11559643112133</v>
      </c>
      <c r="AT433" t="e">
        <v>#DIV/0!</v>
      </c>
      <c r="AU433" t="e">
        <v>#DIV/0!</v>
      </c>
      <c r="AV433"/>
      <c r="AW433"/>
      <c r="FY433" s="213">
        <v>428</v>
      </c>
      <c r="FZ433">
        <v>52.148184056135761</v>
      </c>
      <c r="GA433">
        <v>55.378659635518829</v>
      </c>
      <c r="GB433">
        <v>31.393763727062439</v>
      </c>
      <c r="GC433">
        <v>12.961311138304806</v>
      </c>
      <c r="GD433">
        <v>3.9241913474944172</v>
      </c>
      <c r="GE433">
        <v>3.8686818659152307</v>
      </c>
      <c r="GF433">
        <v>4.5800951680446564</v>
      </c>
      <c r="GG433">
        <v>3.7118349759172755</v>
      </c>
      <c r="GH433">
        <v>7.4699590352420433</v>
      </c>
      <c r="GI433">
        <v>19.646128301303104</v>
      </c>
      <c r="GJ433"/>
      <c r="GK433"/>
      <c r="GL433"/>
      <c r="GM433"/>
      <c r="GN433" s="208"/>
      <c r="GO433" s="208"/>
      <c r="GP433" s="208"/>
      <c r="GQ433" s="208"/>
      <c r="GR433" s="208"/>
      <c r="GS433" s="208"/>
      <c r="GT433" s="208"/>
      <c r="GU433" s="213">
        <v>428</v>
      </c>
    </row>
    <row r="434" spans="1:203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267.14271979692796</v>
      </c>
      <c r="AO434">
        <v>26.59310309357333</v>
      </c>
      <c r="AP434">
        <v>23.18692251924864</v>
      </c>
      <c r="AQ434">
        <v>187.77299834932725</v>
      </c>
      <c r="AR434">
        <v>28.026174624887208</v>
      </c>
      <c r="AS434">
        <v>379.82344200029598</v>
      </c>
      <c r="AT434">
        <v>17.168803109863205</v>
      </c>
      <c r="AU434">
        <v>8.3149034801106723</v>
      </c>
      <c r="AV434"/>
      <c r="AW434"/>
      <c r="FY434" s="213">
        <v>429</v>
      </c>
      <c r="FZ434">
        <v>67.000990641404655</v>
      </c>
      <c r="GA434">
        <v>54.05862458013101</v>
      </c>
      <c r="GB434">
        <v>29.739063394867291</v>
      </c>
      <c r="GC434">
        <v>14.124772409937126</v>
      </c>
      <c r="GD434">
        <v>3.8645510301983279</v>
      </c>
      <c r="GE434">
        <v>7.1759484825928341</v>
      </c>
      <c r="GF434">
        <v>7.9902266495104071</v>
      </c>
      <c r="GG434">
        <v>6.7668661308535443</v>
      </c>
      <c r="GH434">
        <v>6.5488745516283338</v>
      </c>
      <c r="GI434">
        <v>21.880701148715055</v>
      </c>
      <c r="GJ434"/>
      <c r="GK434"/>
      <c r="GL434"/>
      <c r="GM434"/>
      <c r="GN434" s="208"/>
      <c r="GO434" s="208"/>
      <c r="GP434" s="208"/>
      <c r="GQ434" s="208"/>
      <c r="GR434" s="208"/>
      <c r="GS434" s="208"/>
      <c r="GT434" s="208"/>
      <c r="GU434" s="213">
        <v>429</v>
      </c>
    </row>
    <row r="435" spans="1:203" s="7" customFormat="1">
      <c r="A435" s="4"/>
      <c r="B435" s="52" t="s">
        <v>53</v>
      </c>
      <c r="C435" s="53">
        <f>SUM(C423:C434)</f>
        <v>167.00894735343797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236.50923707192095</v>
      </c>
      <c r="AO435">
        <v>21.91165875337823</v>
      </c>
      <c r="AP435">
        <v>22.302051275758043</v>
      </c>
      <c r="AQ435">
        <v>148.77705606150903</v>
      </c>
      <c r="AR435">
        <v>22.620058853788727</v>
      </c>
      <c r="AS435">
        <v>335.40075214247975</v>
      </c>
      <c r="AT435">
        <v>12.805498883668394</v>
      </c>
      <c r="AU435">
        <v>3.933921620753587</v>
      </c>
      <c r="AV435"/>
      <c r="AW435"/>
      <c r="FY435" s="213">
        <v>430</v>
      </c>
      <c r="FZ435">
        <v>44.428326106862293</v>
      </c>
      <c r="GA435">
        <v>45.852743279127125</v>
      </c>
      <c r="GB435">
        <v>38.840528776704041</v>
      </c>
      <c r="GC435">
        <v>18.043565031842242</v>
      </c>
      <c r="GD435">
        <v>5.2819960250731501</v>
      </c>
      <c r="GE435">
        <v>6.8621018527637405</v>
      </c>
      <c r="GF435">
        <v>3.6237758771283142</v>
      </c>
      <c r="GG435">
        <v>3.8507759387680776</v>
      </c>
      <c r="GH435">
        <v>11.759541902236617</v>
      </c>
      <c r="GI435">
        <v>21.616834838443914</v>
      </c>
      <c r="GJ435"/>
      <c r="GK435"/>
      <c r="GL435"/>
      <c r="GM435"/>
      <c r="GN435" s="208"/>
      <c r="GO435" s="208"/>
      <c r="GP435" s="208"/>
      <c r="GQ435" s="208"/>
      <c r="GR435" s="208"/>
      <c r="GS435" s="208"/>
      <c r="GT435" s="208"/>
      <c r="GU435" s="213">
        <v>430</v>
      </c>
    </row>
    <row r="436" spans="1:203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237.62737676658247</v>
      </c>
      <c r="AO436">
        <v>23.695667271295921</v>
      </c>
      <c r="AP436">
        <v>17.633686862048037</v>
      </c>
      <c r="AQ436">
        <v>169.14126547983449</v>
      </c>
      <c r="AR436">
        <v>23.397650841421253</v>
      </c>
      <c r="AS436">
        <v>367.10464922149896</v>
      </c>
      <c r="AT436">
        <v>14.526653799462267</v>
      </c>
      <c r="AU436">
        <v>-11.932522487513456</v>
      </c>
      <c r="AV436"/>
      <c r="AW436"/>
      <c r="FY436" s="213">
        <v>431</v>
      </c>
      <c r="FZ436">
        <v>50.173340020930766</v>
      </c>
      <c r="GA436">
        <v>52.244595387454183</v>
      </c>
      <c r="GB436">
        <v>42.279812108166418</v>
      </c>
      <c r="GC436">
        <v>16.741413401290284</v>
      </c>
      <c r="GD436">
        <v>3.8512748927382767</v>
      </c>
      <c r="GE436">
        <v>4.4572559453921556</v>
      </c>
      <c r="GF436">
        <v>4.6805500214153284</v>
      </c>
      <c r="GG436">
        <v>10.721779281684405</v>
      </c>
      <c r="GH436">
        <v>14.751872063873584</v>
      </c>
      <c r="GI436">
        <v>23.157743837737108</v>
      </c>
      <c r="GJ436"/>
      <c r="GK436"/>
      <c r="GL436"/>
      <c r="GM436"/>
      <c r="GN436" s="208"/>
      <c r="GO436" s="208"/>
      <c r="GP436" s="208"/>
      <c r="GQ436" s="208"/>
      <c r="GR436" s="208"/>
      <c r="GS436" s="208"/>
      <c r="GT436" s="208"/>
      <c r="GU436" s="213">
        <v>431</v>
      </c>
    </row>
    <row r="437" spans="1:203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232.02509075351105</v>
      </c>
      <c r="AO437">
        <v>22.342655336169372</v>
      </c>
      <c r="AP437">
        <v>53.593059660525064</v>
      </c>
      <c r="AQ437">
        <v>153.38726664529437</v>
      </c>
      <c r="AR437">
        <v>23.500088379335867</v>
      </c>
      <c r="AS437">
        <v>330.85935528617438</v>
      </c>
      <c r="AT437">
        <v>14.185136546457374</v>
      </c>
      <c r="AU437">
        <v>13.419378284762473</v>
      </c>
      <c r="AV437"/>
      <c r="AW437"/>
      <c r="FY437" s="213">
        <v>432</v>
      </c>
      <c r="FZ437">
        <v>63.50590266449467</v>
      </c>
      <c r="GA437">
        <v>53.03826012486951</v>
      </c>
      <c r="GB437">
        <v>39.306619968920863</v>
      </c>
      <c r="GC437">
        <v>19.683465455720942</v>
      </c>
      <c r="GD437">
        <v>4.8741414173848101</v>
      </c>
      <c r="GE437">
        <v>7.8048152369035666</v>
      </c>
      <c r="GF437">
        <v>5.5555351472137691</v>
      </c>
      <c r="GG437">
        <v>4.0998073002292159</v>
      </c>
      <c r="GH437">
        <v>4.9238736944517099</v>
      </c>
      <c r="GI437">
        <v>23.5773927915392</v>
      </c>
      <c r="GJ437"/>
      <c r="GK437"/>
      <c r="GL437"/>
      <c r="GM437"/>
      <c r="GN437" s="208"/>
      <c r="GO437" s="208"/>
      <c r="GP437" s="208"/>
      <c r="GQ437" s="208"/>
      <c r="GR437" s="208"/>
      <c r="GS437" s="208"/>
      <c r="GT437" s="208"/>
      <c r="GU437" s="213">
        <v>432</v>
      </c>
    </row>
    <row r="438" spans="1:203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301.16396202337103</v>
      </c>
      <c r="AO438">
        <v>23.789816047737904</v>
      </c>
      <c r="AP438">
        <v>23.866205959353838</v>
      </c>
      <c r="AQ438">
        <v>164.08717587330659</v>
      </c>
      <c r="AR438">
        <v>23.998022419424839</v>
      </c>
      <c r="AS438">
        <v>339.53000037493536</v>
      </c>
      <c r="AT438">
        <v>14.242053065333197</v>
      </c>
      <c r="AU438">
        <v>-23.318168491495165</v>
      </c>
      <c r="AV438"/>
      <c r="AW438"/>
      <c r="FY438" s="213">
        <v>433</v>
      </c>
      <c r="FZ438">
        <v>61.249393408245481</v>
      </c>
      <c r="GA438">
        <v>52.675349576917661</v>
      </c>
      <c r="GB438">
        <v>22.952461999781143</v>
      </c>
      <c r="GC438">
        <v>10.087679589225184</v>
      </c>
      <c r="GD438">
        <v>3.872966335565867</v>
      </c>
      <c r="GE438">
        <v>4.0928150935226935</v>
      </c>
      <c r="GF438">
        <v>7.756702385346764</v>
      </c>
      <c r="GG438">
        <v>6.0005462024372935</v>
      </c>
      <c r="GH438">
        <v>6.855648161302728</v>
      </c>
      <c r="GI438">
        <v>19.367954016616597</v>
      </c>
      <c r="GJ438"/>
      <c r="GK438"/>
      <c r="GL438"/>
      <c r="GM438"/>
      <c r="GN438" s="208"/>
      <c r="GO438" s="208"/>
      <c r="GP438" s="208"/>
      <c r="GQ438" s="208"/>
      <c r="GR438" s="208"/>
      <c r="GS438" s="208"/>
      <c r="GT438" s="208"/>
      <c r="GU438" s="213">
        <v>433</v>
      </c>
    </row>
    <row r="439" spans="1:203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304.07638291672458</v>
      </c>
      <c r="AO439">
        <v>30.563378983608327</v>
      </c>
      <c r="AP439">
        <v>59.453845393729381</v>
      </c>
      <c r="AQ439">
        <v>213.18243420844595</v>
      </c>
      <c r="AR439">
        <v>29.666782099670552</v>
      </c>
      <c r="AS439">
        <v>405.74392754176444</v>
      </c>
      <c r="AT439">
        <v>18.042256805403408</v>
      </c>
      <c r="AU439">
        <v>-36.119900555951645</v>
      </c>
      <c r="AV439"/>
      <c r="AW439"/>
      <c r="FY439" s="213">
        <v>434</v>
      </c>
      <c r="FZ439">
        <v>46.137010516316501</v>
      </c>
      <c r="GA439">
        <v>70.435009515357862</v>
      </c>
      <c r="GB439">
        <v>47.846897195676824</v>
      </c>
      <c r="GC439">
        <v>15.968136153858953</v>
      </c>
      <c r="GD439">
        <v>3.8695734947333253</v>
      </c>
      <c r="GE439">
        <v>2.1427622846333065</v>
      </c>
      <c r="GF439">
        <v>0.73644202710016959</v>
      </c>
      <c r="GG439">
        <v>3.3424257433874294</v>
      </c>
      <c r="GH439">
        <v>6.7239472854069655</v>
      </c>
      <c r="GI439">
        <v>21.940202969469862</v>
      </c>
      <c r="GJ439"/>
      <c r="GK439"/>
      <c r="GL439"/>
      <c r="GM439"/>
      <c r="GN439" s="208"/>
      <c r="GO439" s="208"/>
      <c r="GP439" s="208"/>
      <c r="GQ439" s="208"/>
      <c r="GR439" s="208"/>
      <c r="GS439" s="208"/>
      <c r="GT439" s="208"/>
      <c r="GU439" s="213">
        <v>434</v>
      </c>
    </row>
    <row r="440" spans="1:203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195.87587213593383</v>
      </c>
      <c r="AO440">
        <v>17.973994194773802</v>
      </c>
      <c r="AP440">
        <v>18.306800245966322</v>
      </c>
      <c r="AQ440">
        <v>117.64880855079943</v>
      </c>
      <c r="AR440">
        <v>18.381707719086858</v>
      </c>
      <c r="AS440">
        <v>265.57761622529961</v>
      </c>
      <c r="AT440">
        <v>10.704879434948021</v>
      </c>
      <c r="AU440">
        <v>2.766645984301757</v>
      </c>
      <c r="AV440"/>
      <c r="AW440"/>
      <c r="FY440" s="213">
        <v>435</v>
      </c>
      <c r="FZ440">
        <v>37.335056636716352</v>
      </c>
      <c r="GA440">
        <v>46.798154435115691</v>
      </c>
      <c r="GB440">
        <v>36.673075923417585</v>
      </c>
      <c r="GC440">
        <v>12.469977723164806</v>
      </c>
      <c r="GD440">
        <v>2.4878283085845068</v>
      </c>
      <c r="GE440">
        <v>3.6092104653657548</v>
      </c>
      <c r="GF440">
        <v>5.9433048012905605</v>
      </c>
      <c r="GG440">
        <v>8.0988338413314587</v>
      </c>
      <c r="GH440">
        <v>10.619024376604987</v>
      </c>
      <c r="GI440">
        <v>18.692302928160444</v>
      </c>
      <c r="GJ440"/>
      <c r="GK440"/>
      <c r="GL440"/>
      <c r="GM440"/>
      <c r="GN440" s="208"/>
      <c r="GO440" s="208"/>
      <c r="GP440" s="208"/>
      <c r="GQ440" s="208"/>
      <c r="GR440" s="208"/>
      <c r="GS440" s="208"/>
      <c r="GT440" s="208"/>
      <c r="GU440" s="213">
        <v>435</v>
      </c>
    </row>
    <row r="441" spans="1:203" s="7" customFormat="1">
      <c r="A441" s="21" t="s">
        <v>97</v>
      </c>
      <c r="B441" s="48" t="s">
        <v>38</v>
      </c>
      <c r="C441" s="107">
        <f t="shared" ref="C441:C450" si="388">SUM(G441:AK441)</f>
        <v>45.214101985450249</v>
      </c>
      <c r="D441" s="191">
        <f>$A$405</f>
        <v>13.69</v>
      </c>
      <c r="E441" s="8"/>
      <c r="F441" s="124"/>
      <c r="G441" s="107" t="str">
        <f t="shared" ref="G441:G450" si="389">IF(G423&lt;=0, "0.000", G423)</f>
        <v>0.000</v>
      </c>
      <c r="H441" s="107">
        <f t="shared" ref="H441:AK441" si="390">IF(H423&lt;=0, "0.000", H423)</f>
        <v>4.1594837431240726E-2</v>
      </c>
      <c r="I441" s="107">
        <f t="shared" si="390"/>
        <v>3.5201450683877589</v>
      </c>
      <c r="J441" s="107">
        <f t="shared" si="390"/>
        <v>4.0443875323596377</v>
      </c>
      <c r="K441" s="107">
        <f t="shared" si="390"/>
        <v>6.989820825475566</v>
      </c>
      <c r="L441" s="107">
        <f t="shared" si="390"/>
        <v>11.684909809431399</v>
      </c>
      <c r="M441" s="107">
        <f t="shared" si="390"/>
        <v>12.462527848340009</v>
      </c>
      <c r="N441" s="107">
        <f t="shared" si="390"/>
        <v>4.6347187674130854</v>
      </c>
      <c r="O441" s="107">
        <f t="shared" si="390"/>
        <v>1.8359972966115516</v>
      </c>
      <c r="P441" s="107" t="str">
        <f t="shared" si="390"/>
        <v>0.000</v>
      </c>
      <c r="Q441" s="107" t="str">
        <f t="shared" si="390"/>
        <v>0.000</v>
      </c>
      <c r="R441" s="107" t="str">
        <f t="shared" si="390"/>
        <v>0.000</v>
      </c>
      <c r="S441" s="107" t="str">
        <f t="shared" si="390"/>
        <v>0.000</v>
      </c>
      <c r="T441" s="107" t="str">
        <f t="shared" si="390"/>
        <v>0.000</v>
      </c>
      <c r="U441" s="107" t="str">
        <f t="shared" si="390"/>
        <v>0.000</v>
      </c>
      <c r="V441" s="107" t="str">
        <f t="shared" si="390"/>
        <v>0.000</v>
      </c>
      <c r="W441" s="107" t="str">
        <f t="shared" si="390"/>
        <v>0.000</v>
      </c>
      <c r="X441" s="107" t="str">
        <f t="shared" si="390"/>
        <v>0.000</v>
      </c>
      <c r="Y441" s="107" t="str">
        <f t="shared" si="390"/>
        <v>0.000</v>
      </c>
      <c r="Z441" s="107" t="str">
        <f t="shared" si="390"/>
        <v>0.000</v>
      </c>
      <c r="AA441" s="107" t="str">
        <f t="shared" si="390"/>
        <v>0.000</v>
      </c>
      <c r="AB441" s="107" t="str">
        <f t="shared" si="390"/>
        <v>0.000</v>
      </c>
      <c r="AC441" s="107" t="str">
        <f t="shared" si="390"/>
        <v>0.000</v>
      </c>
      <c r="AD441" s="107" t="str">
        <f t="shared" si="390"/>
        <v>0.000</v>
      </c>
      <c r="AE441" s="107" t="str">
        <f t="shared" si="390"/>
        <v>0.000</v>
      </c>
      <c r="AF441" s="107" t="str">
        <f t="shared" si="390"/>
        <v>0.000</v>
      </c>
      <c r="AG441" s="107" t="str">
        <f t="shared" si="390"/>
        <v>0.000</v>
      </c>
      <c r="AH441" s="107" t="str">
        <f t="shared" si="390"/>
        <v>0.000</v>
      </c>
      <c r="AI441" s="107" t="str">
        <f t="shared" si="390"/>
        <v>0.000</v>
      </c>
      <c r="AJ441" s="107" t="str">
        <f t="shared" si="390"/>
        <v>0.000</v>
      </c>
      <c r="AK441" s="107" t="str">
        <f t="shared" si="390"/>
        <v>0.000</v>
      </c>
      <c r="AL441" s="4"/>
      <c r="AM441" s="43">
        <v>425</v>
      </c>
      <c r="AN441">
        <v>305.03751016980124</v>
      </c>
      <c r="AO441">
        <v>24.511040655472407</v>
      </c>
      <c r="AP441">
        <v>27.697617595087735</v>
      </c>
      <c r="AQ441">
        <v>166.84681803161482</v>
      </c>
      <c r="AR441">
        <v>25.075031362270103</v>
      </c>
      <c r="AS441">
        <v>361.87494848883955</v>
      </c>
      <c r="AT441">
        <v>15.167389385217975</v>
      </c>
      <c r="AU441">
        <v>8.7214496270804567</v>
      </c>
      <c r="AV441"/>
      <c r="AW441"/>
      <c r="FY441" s="213">
        <v>436</v>
      </c>
      <c r="FZ441">
        <v>43.182786958964002</v>
      </c>
      <c r="GA441">
        <v>42.895958920603071</v>
      </c>
      <c r="GB441">
        <v>30.263665284876296</v>
      </c>
      <c r="GC441">
        <v>12.119286983984033</v>
      </c>
      <c r="GD441">
        <v>2.1281910826639292</v>
      </c>
      <c r="GE441">
        <v>4.8590685487564897</v>
      </c>
      <c r="GF441">
        <v>13.754335263539868</v>
      </c>
      <c r="GG441">
        <v>9.3565356132455744</v>
      </c>
      <c r="GH441">
        <v>4.5964901657830577</v>
      </c>
      <c r="GI441">
        <v>18.247867720440095</v>
      </c>
      <c r="GJ441"/>
      <c r="GK441"/>
      <c r="GL441"/>
      <c r="GM441"/>
      <c r="GN441" s="208"/>
      <c r="GO441" s="208"/>
      <c r="GP441" s="208"/>
      <c r="GQ441" s="208"/>
      <c r="GR441" s="208"/>
      <c r="GS441" s="208"/>
      <c r="GT441" s="208"/>
      <c r="GU441" s="213">
        <v>436</v>
      </c>
    </row>
    <row r="442" spans="1:203" s="7" customFormat="1">
      <c r="A442" s="1">
        <v>200</v>
      </c>
      <c r="B442" s="48" t="s">
        <v>39</v>
      </c>
      <c r="C442" s="107">
        <f t="shared" si="388"/>
        <v>27.218882091037976</v>
      </c>
      <c r="D442" s="191">
        <f>$A$406</f>
        <v>9.4499999999999993</v>
      </c>
      <c r="E442" s="8"/>
      <c r="F442" s="124"/>
      <c r="G442" s="173" t="str">
        <f t="shared" si="389"/>
        <v>0.000</v>
      </c>
      <c r="H442" s="173">
        <f t="shared" ref="H442:V442" si="391">IF(H424&lt;=0, "0.000", H424)</f>
        <v>4.9230050069131288E-2</v>
      </c>
      <c r="I442" s="173">
        <f t="shared" si="391"/>
        <v>2.7802703172508521</v>
      </c>
      <c r="J442" s="173">
        <f t="shared" si="391"/>
        <v>3.9245041652536856</v>
      </c>
      <c r="K442" s="173">
        <f t="shared" si="391"/>
        <v>2.9288452954340509</v>
      </c>
      <c r="L442" s="173">
        <f t="shared" si="391"/>
        <v>4.8574409883369221</v>
      </c>
      <c r="M442" s="173">
        <f t="shared" si="391"/>
        <v>8.2708593577760521</v>
      </c>
      <c r="N442" s="173">
        <f t="shared" si="391"/>
        <v>2.3018876503764463</v>
      </c>
      <c r="O442" s="173">
        <f t="shared" si="391"/>
        <v>2.1058442665408359</v>
      </c>
      <c r="P442" s="173" t="str">
        <f t="shared" si="391"/>
        <v>0.000</v>
      </c>
      <c r="Q442" s="173" t="str">
        <f t="shared" si="391"/>
        <v>0.000</v>
      </c>
      <c r="R442" s="173" t="str">
        <f t="shared" si="391"/>
        <v>0.000</v>
      </c>
      <c r="S442" s="173" t="str">
        <f t="shared" si="391"/>
        <v>0.000</v>
      </c>
      <c r="T442" s="173" t="str">
        <f t="shared" si="391"/>
        <v>0.000</v>
      </c>
      <c r="U442" s="173" t="str">
        <f t="shared" si="391"/>
        <v>0.000</v>
      </c>
      <c r="V442" s="173" t="str">
        <f t="shared" si="391"/>
        <v>0.000</v>
      </c>
      <c r="W442" s="173" t="str">
        <f t="shared" ref="W442:AK442" si="392">IF(W424&lt;=0, "0.000", W424)</f>
        <v>0.000</v>
      </c>
      <c r="X442" s="173" t="str">
        <f t="shared" si="392"/>
        <v>0.000</v>
      </c>
      <c r="Y442" s="173" t="str">
        <f t="shared" si="392"/>
        <v>0.000</v>
      </c>
      <c r="Z442" s="173" t="str">
        <f t="shared" si="392"/>
        <v>0.000</v>
      </c>
      <c r="AA442" s="173" t="str">
        <f t="shared" si="392"/>
        <v>0.000</v>
      </c>
      <c r="AB442" s="173" t="str">
        <f t="shared" si="392"/>
        <v>0.000</v>
      </c>
      <c r="AC442" s="173" t="str">
        <f t="shared" si="392"/>
        <v>0.000</v>
      </c>
      <c r="AD442" s="173" t="str">
        <f t="shared" si="392"/>
        <v>0.000</v>
      </c>
      <c r="AE442" s="173" t="str">
        <f t="shared" si="392"/>
        <v>0.000</v>
      </c>
      <c r="AF442" s="173" t="str">
        <f t="shared" si="392"/>
        <v>0.000</v>
      </c>
      <c r="AG442" s="173" t="str">
        <f t="shared" si="392"/>
        <v>0.000</v>
      </c>
      <c r="AH442" s="173" t="str">
        <f t="shared" si="392"/>
        <v>0.000</v>
      </c>
      <c r="AI442" s="173" t="str">
        <f t="shared" si="392"/>
        <v>0.000</v>
      </c>
      <c r="AJ442" s="173" t="str">
        <f t="shared" si="392"/>
        <v>0.000</v>
      </c>
      <c r="AK442" s="173" t="str">
        <f t="shared" si="392"/>
        <v>0.000</v>
      </c>
      <c r="AL442" s="4"/>
      <c r="AM442" s="43">
        <v>426</v>
      </c>
      <c r="AN442">
        <v>338.50565833695811</v>
      </c>
      <c r="AO442">
        <v>28.597942784543925</v>
      </c>
      <c r="AP442">
        <v>20.719980419614849</v>
      </c>
      <c r="AQ442">
        <v>198.5498910608064</v>
      </c>
      <c r="AR442">
        <v>28.845819452655967</v>
      </c>
      <c r="AS442">
        <v>436.18837910952527</v>
      </c>
      <c r="AT442">
        <v>17.950794833670681</v>
      </c>
      <c r="AU442">
        <v>-15.277494298259249</v>
      </c>
      <c r="AV442"/>
      <c r="AW442"/>
      <c r="FY442" s="213">
        <v>437</v>
      </c>
      <c r="FZ442">
        <v>31.120209799890496</v>
      </c>
      <c r="GA442">
        <v>34.185942739892219</v>
      </c>
      <c r="GB442">
        <v>27.694984881499309</v>
      </c>
      <c r="GC442">
        <v>13.66222838539549</v>
      </c>
      <c r="GD442">
        <v>4.1931053136003911</v>
      </c>
      <c r="GE442">
        <v>5.564333536214475</v>
      </c>
      <c r="GF442">
        <v>6.1257753728643785</v>
      </c>
      <c r="GG442">
        <v>8.5869630310242666</v>
      </c>
      <c r="GH442">
        <v>6.6130107374516625</v>
      </c>
      <c r="GI442">
        <v>15.927296630217059</v>
      </c>
      <c r="GJ442"/>
      <c r="GK442"/>
      <c r="GL442"/>
      <c r="GM442"/>
      <c r="GN442" s="208"/>
      <c r="GO442" s="208"/>
      <c r="GP442" s="208"/>
      <c r="GQ442" s="208"/>
      <c r="GR442" s="208"/>
      <c r="GS442" s="208"/>
      <c r="GT442" s="208"/>
      <c r="GU442" s="213">
        <v>437</v>
      </c>
    </row>
    <row r="443" spans="1:203" s="7" customFormat="1">
      <c r="A443" s="103" t="s">
        <v>98</v>
      </c>
      <c r="B443" s="48" t="s">
        <v>40</v>
      </c>
      <c r="C443" s="107">
        <f t="shared" si="388"/>
        <v>25.722141064559963</v>
      </c>
      <c r="D443" s="191">
        <f>A$407</f>
        <v>4.03</v>
      </c>
      <c r="E443" s="8"/>
      <c r="F443" s="124"/>
      <c r="G443" s="173" t="str">
        <f t="shared" si="389"/>
        <v>0.000</v>
      </c>
      <c r="H443" s="173">
        <f t="shared" ref="H443:V443" si="393">IF(H425&lt;=0, "0.000", H425)</f>
        <v>0.31082243022593625</v>
      </c>
      <c r="I443" s="173">
        <f t="shared" si="393"/>
        <v>6.3451482421839138</v>
      </c>
      <c r="J443" s="173">
        <f t="shared" si="393"/>
        <v>14.423497564005588</v>
      </c>
      <c r="K443" s="173">
        <f t="shared" si="393"/>
        <v>4.1924036184610909</v>
      </c>
      <c r="L443" s="173">
        <f t="shared" si="393"/>
        <v>0.45026920968343231</v>
      </c>
      <c r="M443" s="173" t="str">
        <f t="shared" si="393"/>
        <v>0.000</v>
      </c>
      <c r="N443" s="173" t="str">
        <f t="shared" si="393"/>
        <v>0.000</v>
      </c>
      <c r="O443" s="173" t="str">
        <f t="shared" si="393"/>
        <v>0.000</v>
      </c>
      <c r="P443" s="173" t="str">
        <f t="shared" si="393"/>
        <v>0.000</v>
      </c>
      <c r="Q443" s="173" t="str">
        <f t="shared" si="393"/>
        <v>0.000</v>
      </c>
      <c r="R443" s="173" t="str">
        <f t="shared" si="393"/>
        <v>0.000</v>
      </c>
      <c r="S443" s="173" t="str">
        <f t="shared" si="393"/>
        <v>0.000</v>
      </c>
      <c r="T443" s="173" t="str">
        <f t="shared" si="393"/>
        <v>0.000</v>
      </c>
      <c r="U443" s="173" t="str">
        <f t="shared" si="393"/>
        <v>0.000</v>
      </c>
      <c r="V443" s="173" t="str">
        <f t="shared" si="393"/>
        <v>0.000</v>
      </c>
      <c r="W443" s="173" t="str">
        <f t="shared" ref="W443:AK443" si="394">IF(W425&lt;=0, "0.000", W425)</f>
        <v>0.000</v>
      </c>
      <c r="X443" s="173" t="str">
        <f t="shared" si="394"/>
        <v>0.000</v>
      </c>
      <c r="Y443" s="173" t="str">
        <f t="shared" si="394"/>
        <v>0.000</v>
      </c>
      <c r="Z443" s="173" t="str">
        <f t="shared" si="394"/>
        <v>0.000</v>
      </c>
      <c r="AA443" s="173" t="str">
        <f t="shared" si="394"/>
        <v>0.000</v>
      </c>
      <c r="AB443" s="173" t="str">
        <f t="shared" si="394"/>
        <v>0.000</v>
      </c>
      <c r="AC443" s="173" t="str">
        <f t="shared" si="394"/>
        <v>0.000</v>
      </c>
      <c r="AD443" s="173" t="str">
        <f t="shared" si="394"/>
        <v>0.000</v>
      </c>
      <c r="AE443" s="173" t="str">
        <f t="shared" si="394"/>
        <v>0.000</v>
      </c>
      <c r="AF443" s="173" t="str">
        <f t="shared" si="394"/>
        <v>0.000</v>
      </c>
      <c r="AG443" s="173" t="str">
        <f t="shared" si="394"/>
        <v>0.000</v>
      </c>
      <c r="AH443" s="173" t="str">
        <f t="shared" si="394"/>
        <v>0.000</v>
      </c>
      <c r="AI443" s="173" t="str">
        <f t="shared" si="394"/>
        <v>0.000</v>
      </c>
      <c r="AJ443" s="173" t="str">
        <f t="shared" si="394"/>
        <v>0.000</v>
      </c>
      <c r="AK443" s="173" t="str">
        <f t="shared" si="394"/>
        <v>0.000</v>
      </c>
      <c r="AL443" s="4"/>
      <c r="AM443" s="43">
        <v>427</v>
      </c>
      <c r="AN443">
        <v>295.12930010528999</v>
      </c>
      <c r="AO443">
        <v>26.758813562843152</v>
      </c>
      <c r="AP443">
        <v>32.719355760786023</v>
      </c>
      <c r="AQ443">
        <v>175.85821445241857</v>
      </c>
      <c r="AR443">
        <v>27.862968004032869</v>
      </c>
      <c r="AS443">
        <v>413.93897900028941</v>
      </c>
      <c r="AT443">
        <v>17.128387737841997</v>
      </c>
      <c r="AU443">
        <v>4.3769400028666681</v>
      </c>
      <c r="AV443"/>
      <c r="AW443"/>
      <c r="FY443" s="213">
        <v>438</v>
      </c>
      <c r="FZ443">
        <v>47.231792842194118</v>
      </c>
      <c r="GA443">
        <v>43.295791648494571</v>
      </c>
      <c r="GB443">
        <v>39.558416704782552</v>
      </c>
      <c r="GC443">
        <v>17.358002203358772</v>
      </c>
      <c r="GD443">
        <v>3.6142802850687126</v>
      </c>
      <c r="GE443">
        <v>6.1628046454127077</v>
      </c>
      <c r="GF443">
        <v>3.2120789307040414</v>
      </c>
      <c r="GG443">
        <v>3.6440632224963307</v>
      </c>
      <c r="GH443">
        <v>10.342069009724458</v>
      </c>
      <c r="GI443">
        <v>20.95596197164722</v>
      </c>
      <c r="GJ443"/>
      <c r="GK443"/>
      <c r="GL443"/>
      <c r="GM443"/>
      <c r="GN443" s="208"/>
      <c r="GO443" s="208"/>
      <c r="GP443" s="208"/>
      <c r="GQ443" s="208"/>
      <c r="GR443" s="208"/>
      <c r="GS443" s="208"/>
      <c r="GT443" s="208"/>
      <c r="GU443" s="213">
        <v>438</v>
      </c>
    </row>
    <row r="444" spans="1:203" s="7" customFormat="1">
      <c r="A444" s="1">
        <v>160</v>
      </c>
      <c r="B444" s="48" t="s">
        <v>41</v>
      </c>
      <c r="C444" s="107">
        <f t="shared" si="388"/>
        <v>14.382069332648626</v>
      </c>
      <c r="D444" s="191">
        <f>A$408</f>
        <v>0.78</v>
      </c>
      <c r="E444" s="8"/>
      <c r="F444" s="124"/>
      <c r="G444" s="173">
        <f t="shared" si="389"/>
        <v>1.9959258620293985E-4</v>
      </c>
      <c r="H444" s="173">
        <f t="shared" ref="H444:V444" si="395">IF(H426&lt;=0, "0.000", H426)</f>
        <v>0.22575383742591867</v>
      </c>
      <c r="I444" s="173">
        <f t="shared" si="395"/>
        <v>3.8973474620338933</v>
      </c>
      <c r="J444" s="173">
        <f t="shared" si="395"/>
        <v>7.6995353471852379</v>
      </c>
      <c r="K444" s="173">
        <f t="shared" si="395"/>
        <v>2.3146490107777011</v>
      </c>
      <c r="L444" s="173">
        <f t="shared" si="395"/>
        <v>0.24458408263967141</v>
      </c>
      <c r="M444" s="173" t="str">
        <f t="shared" si="395"/>
        <v>0.000</v>
      </c>
      <c r="N444" s="173" t="str">
        <f t="shared" si="395"/>
        <v>0.000</v>
      </c>
      <c r="O444" s="173" t="str">
        <f t="shared" si="395"/>
        <v>0.000</v>
      </c>
      <c r="P444" s="173" t="str">
        <f t="shared" si="395"/>
        <v>0.000</v>
      </c>
      <c r="Q444" s="173" t="str">
        <f t="shared" si="395"/>
        <v>0.000</v>
      </c>
      <c r="R444" s="173" t="str">
        <f t="shared" si="395"/>
        <v>0.000</v>
      </c>
      <c r="S444" s="173" t="str">
        <f t="shared" si="395"/>
        <v>0.000</v>
      </c>
      <c r="T444" s="173" t="str">
        <f t="shared" si="395"/>
        <v>0.000</v>
      </c>
      <c r="U444" s="173" t="str">
        <f t="shared" si="395"/>
        <v>0.000</v>
      </c>
      <c r="V444" s="173" t="str">
        <f t="shared" si="395"/>
        <v>0.000</v>
      </c>
      <c r="W444" s="173" t="str">
        <f t="shared" ref="W444:AK444" si="396">IF(W426&lt;=0, "0.000", W426)</f>
        <v>0.000</v>
      </c>
      <c r="X444" s="173" t="str">
        <f t="shared" si="396"/>
        <v>0.000</v>
      </c>
      <c r="Y444" s="173" t="str">
        <f t="shared" si="396"/>
        <v>0.000</v>
      </c>
      <c r="Z444" s="173" t="str">
        <f t="shared" si="396"/>
        <v>0.000</v>
      </c>
      <c r="AA444" s="173" t="str">
        <f t="shared" si="396"/>
        <v>0.000</v>
      </c>
      <c r="AB444" s="173" t="str">
        <f t="shared" si="396"/>
        <v>0.000</v>
      </c>
      <c r="AC444" s="173" t="str">
        <f t="shared" si="396"/>
        <v>0.000</v>
      </c>
      <c r="AD444" s="173" t="str">
        <f t="shared" si="396"/>
        <v>0.000</v>
      </c>
      <c r="AE444" s="173" t="str">
        <f t="shared" si="396"/>
        <v>0.000</v>
      </c>
      <c r="AF444" s="173" t="str">
        <f t="shared" si="396"/>
        <v>0.000</v>
      </c>
      <c r="AG444" s="173" t="str">
        <f t="shared" si="396"/>
        <v>0.000</v>
      </c>
      <c r="AH444" s="173" t="str">
        <f t="shared" si="396"/>
        <v>0.000</v>
      </c>
      <c r="AI444" s="173" t="str">
        <f t="shared" si="396"/>
        <v>0.000</v>
      </c>
      <c r="AJ444" s="173" t="str">
        <f t="shared" si="396"/>
        <v>0.000</v>
      </c>
      <c r="AK444" s="173" t="str">
        <f t="shared" si="396"/>
        <v>0.000</v>
      </c>
      <c r="AL444" s="4"/>
      <c r="AM444" s="43">
        <v>428</v>
      </c>
      <c r="AN444">
        <v>251.52084147450509</v>
      </c>
      <c r="AO444">
        <v>26.047907496762594</v>
      </c>
      <c r="AP444">
        <v>25.40593523657644</v>
      </c>
      <c r="AQ444">
        <v>195.08280925093857</v>
      </c>
      <c r="AR444">
        <v>26.905955631902717</v>
      </c>
      <c r="AS444">
        <v>379.46730185499376</v>
      </c>
      <c r="AT444">
        <v>17.351685532911464</v>
      </c>
      <c r="AU444">
        <v>-23.8341486244327</v>
      </c>
      <c r="AV444"/>
      <c r="AW444"/>
      <c r="FY444" s="213">
        <v>439</v>
      </c>
      <c r="FZ444">
        <v>45.565842840380064</v>
      </c>
      <c r="GA444">
        <v>39.388084267243343</v>
      </c>
      <c r="GB444">
        <v>37.33909188428953</v>
      </c>
      <c r="GC444">
        <v>15.348265073272481</v>
      </c>
      <c r="GD444">
        <v>3.4661878355016369</v>
      </c>
      <c r="GE444">
        <v>7.4051820258137271</v>
      </c>
      <c r="GF444">
        <v>6.7933535990157061</v>
      </c>
      <c r="GG444">
        <v>4.5753230899199888</v>
      </c>
      <c r="GH444">
        <v>5.427207177008845</v>
      </c>
      <c r="GI444">
        <v>19.955231488764817</v>
      </c>
      <c r="GJ444"/>
      <c r="GK444"/>
      <c r="GL444"/>
      <c r="GM444"/>
      <c r="GN444" s="208"/>
      <c r="GO444" s="208"/>
      <c r="GP444" s="208"/>
      <c r="GQ444" s="208"/>
      <c r="GR444" s="208"/>
      <c r="GS444" s="208"/>
      <c r="GT444" s="208"/>
      <c r="GU444" s="213">
        <v>439</v>
      </c>
    </row>
    <row r="445" spans="1:203" s="7" customFormat="1">
      <c r="A445" s="4"/>
      <c r="B445" s="48" t="s">
        <v>42</v>
      </c>
      <c r="C445" s="107">
        <f t="shared" si="388"/>
        <v>3.5269075444999585</v>
      </c>
      <c r="D445" s="191">
        <f>A$409</f>
        <v>0.14000000000000001</v>
      </c>
      <c r="E445" s="8"/>
      <c r="F445" s="124"/>
      <c r="G445" s="173">
        <f t="shared" si="389"/>
        <v>1.5374908064001656E-4</v>
      </c>
      <c r="H445" s="173">
        <f t="shared" ref="H445:V445" si="397">IF(H427&lt;=0, "0.000", H427)</f>
        <v>0.26764652554181145</v>
      </c>
      <c r="I445" s="173">
        <f t="shared" si="397"/>
        <v>2.5818298801350257</v>
      </c>
      <c r="J445" s="173">
        <f t="shared" si="397"/>
        <v>0.55646113461931945</v>
      </c>
      <c r="K445" s="173">
        <f t="shared" si="397"/>
        <v>0.12081625512316176</v>
      </c>
      <c r="L445" s="173" t="str">
        <f t="shared" si="397"/>
        <v>0.000</v>
      </c>
      <c r="M445" s="173" t="str">
        <f t="shared" si="397"/>
        <v>0.000</v>
      </c>
      <c r="N445" s="173" t="str">
        <f t="shared" si="397"/>
        <v>0.000</v>
      </c>
      <c r="O445" s="173" t="str">
        <f t="shared" si="397"/>
        <v>0.000</v>
      </c>
      <c r="P445" s="173" t="str">
        <f t="shared" si="397"/>
        <v>0.000</v>
      </c>
      <c r="Q445" s="173" t="str">
        <f t="shared" si="397"/>
        <v>0.000</v>
      </c>
      <c r="R445" s="173" t="str">
        <f t="shared" si="397"/>
        <v>0.000</v>
      </c>
      <c r="S445" s="173" t="str">
        <f t="shared" si="397"/>
        <v>0.000</v>
      </c>
      <c r="T445" s="173" t="str">
        <f t="shared" si="397"/>
        <v>0.000</v>
      </c>
      <c r="U445" s="173" t="str">
        <f t="shared" si="397"/>
        <v>0.000</v>
      </c>
      <c r="V445" s="173" t="str">
        <f t="shared" si="397"/>
        <v>0.000</v>
      </c>
      <c r="W445" s="173" t="str">
        <f t="shared" ref="W445:AK445" si="398">IF(W427&lt;=0, "0.000", W427)</f>
        <v>0.000</v>
      </c>
      <c r="X445" s="173" t="str">
        <f t="shared" si="398"/>
        <v>0.000</v>
      </c>
      <c r="Y445" s="173" t="str">
        <f t="shared" si="398"/>
        <v>0.000</v>
      </c>
      <c r="Z445" s="173" t="str">
        <f t="shared" si="398"/>
        <v>0.000</v>
      </c>
      <c r="AA445" s="173" t="str">
        <f t="shared" si="398"/>
        <v>0.000</v>
      </c>
      <c r="AB445" s="173" t="str">
        <f t="shared" si="398"/>
        <v>0.000</v>
      </c>
      <c r="AC445" s="173" t="str">
        <f t="shared" si="398"/>
        <v>0.000</v>
      </c>
      <c r="AD445" s="173" t="str">
        <f t="shared" si="398"/>
        <v>0.000</v>
      </c>
      <c r="AE445" s="173" t="str">
        <f t="shared" si="398"/>
        <v>0.000</v>
      </c>
      <c r="AF445" s="173" t="str">
        <f t="shared" si="398"/>
        <v>0.000</v>
      </c>
      <c r="AG445" s="173" t="str">
        <f t="shared" si="398"/>
        <v>0.000</v>
      </c>
      <c r="AH445" s="173" t="str">
        <f t="shared" si="398"/>
        <v>0.000</v>
      </c>
      <c r="AI445" s="173" t="str">
        <f t="shared" si="398"/>
        <v>0.000</v>
      </c>
      <c r="AJ445" s="173" t="str">
        <f t="shared" si="398"/>
        <v>0.000</v>
      </c>
      <c r="AK445" s="173" t="str">
        <f t="shared" si="398"/>
        <v>0.000</v>
      </c>
      <c r="AL445" s="4"/>
      <c r="AM445" s="43">
        <v>429</v>
      </c>
      <c r="AN445">
        <v>269.99070798716787</v>
      </c>
      <c r="AO445">
        <v>29.364571507449387</v>
      </c>
      <c r="AP445">
        <v>36.473958714578586</v>
      </c>
      <c r="AQ445">
        <v>219.15061901983859</v>
      </c>
      <c r="AR445">
        <v>30.098715149363606</v>
      </c>
      <c r="AS445">
        <v>424.33781549191673</v>
      </c>
      <c r="AT445">
        <v>18.114548031899663</v>
      </c>
      <c r="AU445">
        <v>5.893925705899953</v>
      </c>
      <c r="AV445"/>
      <c r="AW445"/>
      <c r="FY445" s="213">
        <v>440</v>
      </c>
      <c r="FZ445">
        <v>52.854159488423406</v>
      </c>
      <c r="GA445">
        <v>34.858313965678981</v>
      </c>
      <c r="GB445">
        <v>34.304755642543043</v>
      </c>
      <c r="GC445">
        <v>17.391183973937096</v>
      </c>
      <c r="GD445">
        <v>2.8226467101785473</v>
      </c>
      <c r="GE445">
        <v>3.5744950535172135</v>
      </c>
      <c r="GF445">
        <v>4.8787373534786802</v>
      </c>
      <c r="GG445">
        <v>6.8375134875668504</v>
      </c>
      <c r="GH445">
        <v>8.1950558935283802</v>
      </c>
      <c r="GI445">
        <v>19.994594596859688</v>
      </c>
      <c r="GJ445"/>
      <c r="GK445"/>
      <c r="GL445"/>
      <c r="GM445"/>
      <c r="GN445" s="208"/>
      <c r="GO445" s="208"/>
      <c r="GP445" s="208"/>
      <c r="GQ445" s="208"/>
      <c r="GR445" s="208"/>
      <c r="GS445" s="208"/>
      <c r="GT445" s="208"/>
      <c r="GU445" s="213">
        <v>440</v>
      </c>
    </row>
    <row r="446" spans="1:203" s="7" customFormat="1">
      <c r="A446" s="4"/>
      <c r="B446" s="48" t="s">
        <v>118</v>
      </c>
      <c r="C446" s="107">
        <f t="shared" si="388"/>
        <v>6.7120032265320209</v>
      </c>
      <c r="D446" s="191">
        <f>A$410</f>
        <v>0.21</v>
      </c>
      <c r="E446" s="8"/>
      <c r="F446" s="124"/>
      <c r="G446" s="173" t="str">
        <f t="shared" si="389"/>
        <v>0.000</v>
      </c>
      <c r="H446" s="173">
        <f t="shared" ref="H446:V446" si="399">IF(H428&lt;=0, "0.000", H428)</f>
        <v>0.45731408904089338</v>
      </c>
      <c r="I446" s="173">
        <f t="shared" si="399"/>
        <v>4.4877760611493969</v>
      </c>
      <c r="J446" s="173">
        <f t="shared" si="399"/>
        <v>1.7669130763417304</v>
      </c>
      <c r="K446" s="173" t="str">
        <f t="shared" si="399"/>
        <v>0.000</v>
      </c>
      <c r="L446" s="173" t="str">
        <f t="shared" si="399"/>
        <v>0.000</v>
      </c>
      <c r="M446" s="173" t="str">
        <f t="shared" si="399"/>
        <v>0.000</v>
      </c>
      <c r="N446" s="173" t="str">
        <f t="shared" si="399"/>
        <v>0.000</v>
      </c>
      <c r="O446" s="173" t="str">
        <f t="shared" si="399"/>
        <v>0.000</v>
      </c>
      <c r="P446" s="173" t="str">
        <f t="shared" si="399"/>
        <v>0.000</v>
      </c>
      <c r="Q446" s="173" t="str">
        <f t="shared" si="399"/>
        <v>0.000</v>
      </c>
      <c r="R446" s="173" t="str">
        <f t="shared" si="399"/>
        <v>0.000</v>
      </c>
      <c r="S446" s="173" t="str">
        <f t="shared" si="399"/>
        <v>0.000</v>
      </c>
      <c r="T446" s="173" t="str">
        <f t="shared" si="399"/>
        <v>0.000</v>
      </c>
      <c r="U446" s="173" t="str">
        <f t="shared" si="399"/>
        <v>0.000</v>
      </c>
      <c r="V446" s="173" t="str">
        <f t="shared" si="399"/>
        <v>0.000</v>
      </c>
      <c r="W446" s="173" t="str">
        <f t="shared" ref="W446:AK446" si="400">IF(W428&lt;=0, "0.000", W428)</f>
        <v>0.000</v>
      </c>
      <c r="X446" s="173" t="str">
        <f t="shared" si="400"/>
        <v>0.000</v>
      </c>
      <c r="Y446" s="173" t="str">
        <f t="shared" si="400"/>
        <v>0.000</v>
      </c>
      <c r="Z446" s="173" t="str">
        <f t="shared" si="400"/>
        <v>0.000</v>
      </c>
      <c r="AA446" s="173" t="str">
        <f t="shared" si="400"/>
        <v>0.000</v>
      </c>
      <c r="AB446" s="173" t="str">
        <f t="shared" si="400"/>
        <v>0.000</v>
      </c>
      <c r="AC446" s="173" t="str">
        <f t="shared" si="400"/>
        <v>0.000</v>
      </c>
      <c r="AD446" s="173" t="str">
        <f t="shared" si="400"/>
        <v>0.000</v>
      </c>
      <c r="AE446" s="173" t="str">
        <f t="shared" si="400"/>
        <v>0.000</v>
      </c>
      <c r="AF446" s="173" t="str">
        <f t="shared" si="400"/>
        <v>0.000</v>
      </c>
      <c r="AG446" s="173" t="str">
        <f t="shared" si="400"/>
        <v>0.000</v>
      </c>
      <c r="AH446" s="173" t="str">
        <f t="shared" si="400"/>
        <v>0.000</v>
      </c>
      <c r="AI446" s="173" t="str">
        <f t="shared" si="400"/>
        <v>0.000</v>
      </c>
      <c r="AJ446" s="173" t="str">
        <f t="shared" si="400"/>
        <v>0.000</v>
      </c>
      <c r="AK446" s="173" t="str">
        <f t="shared" si="400"/>
        <v>0.000</v>
      </c>
      <c r="AL446" s="4"/>
      <c r="AM446" s="43">
        <v>430</v>
      </c>
      <c r="AN446">
        <v>316.68549940229587</v>
      </c>
      <c r="AO446">
        <v>28.925521597196933</v>
      </c>
      <c r="AP446">
        <v>32.922977766553842</v>
      </c>
      <c r="AQ446">
        <v>200.16018962894947</v>
      </c>
      <c r="AR446">
        <v>29.551868018309889</v>
      </c>
      <c r="AS446">
        <v>433.5604757542477</v>
      </c>
      <c r="AT446">
        <v>18.729357698478054</v>
      </c>
      <c r="AU446">
        <v>-20.913642632034176</v>
      </c>
      <c r="AV446"/>
      <c r="AW446"/>
      <c r="FY446" s="213">
        <v>441</v>
      </c>
      <c r="FZ446">
        <v>59.641737764024207</v>
      </c>
      <c r="GA446">
        <v>46.766944032673891</v>
      </c>
      <c r="GB446">
        <v>27.857080544964901</v>
      </c>
      <c r="GC446">
        <v>11.320831143741506</v>
      </c>
      <c r="GD446">
        <v>2.3087293687954071</v>
      </c>
      <c r="GE446">
        <v>3.4027871572614394</v>
      </c>
      <c r="GF446">
        <v>2.2105215870183987</v>
      </c>
      <c r="GG446">
        <v>3.1052954429513173</v>
      </c>
      <c r="GH446">
        <v>4.018392863027521</v>
      </c>
      <c r="GI446">
        <v>17.96601324121972</v>
      </c>
      <c r="GJ446"/>
      <c r="GK446"/>
      <c r="GL446"/>
      <c r="GM446"/>
      <c r="GN446" s="208"/>
      <c r="GO446" s="208"/>
      <c r="GP446" s="208"/>
      <c r="GQ446" s="208"/>
      <c r="GR446" s="208"/>
      <c r="GS446" s="208"/>
      <c r="GT446" s="208"/>
      <c r="GU446" s="213">
        <v>441</v>
      </c>
    </row>
    <row r="447" spans="1:203" s="7" customFormat="1">
      <c r="A447" s="4"/>
      <c r="B447" s="48" t="s">
        <v>119</v>
      </c>
      <c r="C447" s="107">
        <f t="shared" si="388"/>
        <v>8.1499457273288538</v>
      </c>
      <c r="D447" s="191">
        <f>A$411</f>
        <v>1.28</v>
      </c>
      <c r="E447" s="8"/>
      <c r="F447" s="124"/>
      <c r="G447" s="173" t="str">
        <f t="shared" si="389"/>
        <v>0.000</v>
      </c>
      <c r="H447" s="173" t="str">
        <f t="shared" ref="H447:V447" si="401">IF(H429&lt;=0, "0.000", H429)</f>
        <v>0.000</v>
      </c>
      <c r="I447" s="173">
        <f t="shared" si="401"/>
        <v>0.40154713634097533</v>
      </c>
      <c r="J447" s="173">
        <f t="shared" si="401"/>
        <v>2.7527033938746333</v>
      </c>
      <c r="K447" s="173">
        <f t="shared" si="401"/>
        <v>4.9956951971132453</v>
      </c>
      <c r="L447" s="173" t="str">
        <f t="shared" si="401"/>
        <v>0.000</v>
      </c>
      <c r="M447" s="173" t="str">
        <f t="shared" si="401"/>
        <v>0.000</v>
      </c>
      <c r="N447" s="173" t="str">
        <f t="shared" si="401"/>
        <v>0.000</v>
      </c>
      <c r="O447" s="173" t="str">
        <f t="shared" si="401"/>
        <v>0.000</v>
      </c>
      <c r="P447" s="173" t="str">
        <f t="shared" si="401"/>
        <v>0.000</v>
      </c>
      <c r="Q447" s="173" t="str">
        <f t="shared" si="401"/>
        <v>0.000</v>
      </c>
      <c r="R447" s="173" t="str">
        <f t="shared" si="401"/>
        <v>0.000</v>
      </c>
      <c r="S447" s="173" t="str">
        <f t="shared" si="401"/>
        <v>0.000</v>
      </c>
      <c r="T447" s="173" t="str">
        <f t="shared" si="401"/>
        <v>0.000</v>
      </c>
      <c r="U447" s="173" t="str">
        <f t="shared" si="401"/>
        <v>0.000</v>
      </c>
      <c r="V447" s="173" t="str">
        <f t="shared" si="401"/>
        <v>0.000</v>
      </c>
      <c r="W447" s="173" t="str">
        <f t="shared" ref="W447:AK447" si="402">IF(W429&lt;=0, "0.000", W429)</f>
        <v>0.000</v>
      </c>
      <c r="X447" s="173" t="str">
        <f t="shared" si="402"/>
        <v>0.000</v>
      </c>
      <c r="Y447" s="173" t="str">
        <f t="shared" si="402"/>
        <v>0.000</v>
      </c>
      <c r="Z447" s="173" t="str">
        <f t="shared" si="402"/>
        <v>0.000</v>
      </c>
      <c r="AA447" s="173" t="str">
        <f t="shared" si="402"/>
        <v>0.000</v>
      </c>
      <c r="AB447" s="173" t="str">
        <f t="shared" si="402"/>
        <v>0.000</v>
      </c>
      <c r="AC447" s="173" t="str">
        <f t="shared" si="402"/>
        <v>0.000</v>
      </c>
      <c r="AD447" s="173" t="str">
        <f t="shared" si="402"/>
        <v>0.000</v>
      </c>
      <c r="AE447" s="173" t="str">
        <f t="shared" si="402"/>
        <v>0.000</v>
      </c>
      <c r="AF447" s="173" t="str">
        <f t="shared" si="402"/>
        <v>0.000</v>
      </c>
      <c r="AG447" s="173" t="str">
        <f t="shared" si="402"/>
        <v>0.000</v>
      </c>
      <c r="AH447" s="173" t="str">
        <f t="shared" si="402"/>
        <v>0.000</v>
      </c>
      <c r="AI447" s="173" t="str">
        <f t="shared" si="402"/>
        <v>0.000</v>
      </c>
      <c r="AJ447" s="173" t="str">
        <f t="shared" si="402"/>
        <v>0.000</v>
      </c>
      <c r="AK447" s="173" t="str">
        <f t="shared" si="402"/>
        <v>0.000</v>
      </c>
      <c r="AL447" s="4"/>
      <c r="AM447" s="43">
        <v>431</v>
      </c>
      <c r="AN447">
        <v>311.03114564146051</v>
      </c>
      <c r="AO447">
        <v>30.863512947650428</v>
      </c>
      <c r="AP447">
        <v>29.710739297960025</v>
      </c>
      <c r="AQ447">
        <v>223.05963696068252</v>
      </c>
      <c r="AR447">
        <v>31.688365767111449</v>
      </c>
      <c r="AS447">
        <v>448.97052606566228</v>
      </c>
      <c r="AT447">
        <v>20.29815346624822</v>
      </c>
      <c r="AU447">
        <v>-6.0888472257622013</v>
      </c>
      <c r="AV447"/>
      <c r="AW447"/>
      <c r="FY447" s="213">
        <v>442</v>
      </c>
      <c r="FZ447">
        <v>43.898839988527961</v>
      </c>
      <c r="GA447">
        <v>49.580327919873817</v>
      </c>
      <c r="GB447">
        <v>36.293630676881129</v>
      </c>
      <c r="GC447">
        <v>16.948231397913474</v>
      </c>
      <c r="GD447">
        <v>3.7235420305224625</v>
      </c>
      <c r="GE447">
        <v>2.4555593463037999</v>
      </c>
      <c r="GF447">
        <v>7.6854817493625767</v>
      </c>
      <c r="GG447">
        <v>10.65142612666768</v>
      </c>
      <c r="GH447">
        <v>10.644379872243896</v>
      </c>
      <c r="GI447">
        <v>20.616449845786814</v>
      </c>
      <c r="GJ447"/>
      <c r="GK447"/>
      <c r="GL447"/>
      <c r="GM447"/>
      <c r="GN447" s="208"/>
      <c r="GO447" s="208"/>
      <c r="GP447" s="208"/>
      <c r="GQ447" s="208"/>
      <c r="GR447" s="208"/>
      <c r="GS447" s="208"/>
      <c r="GT447" s="208"/>
      <c r="GU447" s="213">
        <v>442</v>
      </c>
    </row>
    <row r="448" spans="1:203" s="7" customFormat="1">
      <c r="A448" s="4"/>
      <c r="B448" s="48" t="s">
        <v>120</v>
      </c>
      <c r="C448" s="107">
        <f t="shared" si="388"/>
        <v>10.112583355229873</v>
      </c>
      <c r="D448" s="191">
        <f>A$412</f>
        <v>4</v>
      </c>
      <c r="E448" s="8"/>
      <c r="F448" s="124"/>
      <c r="G448" s="173" t="str">
        <f t="shared" si="389"/>
        <v>0.000</v>
      </c>
      <c r="H448" s="173">
        <f t="shared" ref="H448:V448" si="403">IF(H430&lt;=0, "0.000", H430)</f>
        <v>6.587836023063183E-2</v>
      </c>
      <c r="I448" s="173">
        <f t="shared" si="403"/>
        <v>2.3482794666267539</v>
      </c>
      <c r="J448" s="173">
        <f t="shared" si="403"/>
        <v>2.8784661782199792</v>
      </c>
      <c r="K448" s="173">
        <f t="shared" si="403"/>
        <v>4.8199593501525078</v>
      </c>
      <c r="L448" s="173" t="str">
        <f t="shared" si="403"/>
        <v>0.000</v>
      </c>
      <c r="M448" s="173" t="str">
        <f t="shared" si="403"/>
        <v>0.000</v>
      </c>
      <c r="N448" s="173" t="str">
        <f t="shared" si="403"/>
        <v>0.000</v>
      </c>
      <c r="O448" s="173" t="str">
        <f t="shared" si="403"/>
        <v>0.000</v>
      </c>
      <c r="P448" s="173" t="str">
        <f t="shared" si="403"/>
        <v>0.000</v>
      </c>
      <c r="Q448" s="173" t="str">
        <f t="shared" si="403"/>
        <v>0.000</v>
      </c>
      <c r="R448" s="173" t="str">
        <f t="shared" si="403"/>
        <v>0.000</v>
      </c>
      <c r="S448" s="173" t="str">
        <f t="shared" si="403"/>
        <v>0.000</v>
      </c>
      <c r="T448" s="173" t="str">
        <f t="shared" si="403"/>
        <v>0.000</v>
      </c>
      <c r="U448" s="173" t="str">
        <f t="shared" si="403"/>
        <v>0.000</v>
      </c>
      <c r="V448" s="173" t="str">
        <f t="shared" si="403"/>
        <v>0.000</v>
      </c>
      <c r="W448" s="173" t="str">
        <f t="shared" ref="W448:AK448" si="404">IF(W430&lt;=0, "0.000", W430)</f>
        <v>0.000</v>
      </c>
      <c r="X448" s="173" t="str">
        <f t="shared" si="404"/>
        <v>0.000</v>
      </c>
      <c r="Y448" s="173" t="str">
        <f t="shared" si="404"/>
        <v>0.000</v>
      </c>
      <c r="Z448" s="173" t="str">
        <f t="shared" si="404"/>
        <v>0.000</v>
      </c>
      <c r="AA448" s="173" t="str">
        <f t="shared" si="404"/>
        <v>0.000</v>
      </c>
      <c r="AB448" s="173" t="str">
        <f t="shared" si="404"/>
        <v>0.000</v>
      </c>
      <c r="AC448" s="173" t="str">
        <f t="shared" si="404"/>
        <v>0.000</v>
      </c>
      <c r="AD448" s="173" t="str">
        <f t="shared" si="404"/>
        <v>0.000</v>
      </c>
      <c r="AE448" s="173" t="str">
        <f t="shared" si="404"/>
        <v>0.000</v>
      </c>
      <c r="AF448" s="173" t="str">
        <f t="shared" si="404"/>
        <v>0.000</v>
      </c>
      <c r="AG448" s="173" t="str">
        <f t="shared" si="404"/>
        <v>0.000</v>
      </c>
      <c r="AH448" s="173" t="str">
        <f t="shared" si="404"/>
        <v>0.000</v>
      </c>
      <c r="AI448" s="173" t="str">
        <f t="shared" si="404"/>
        <v>0.000</v>
      </c>
      <c r="AJ448" s="173" t="str">
        <f t="shared" si="404"/>
        <v>0.000</v>
      </c>
      <c r="AK448" s="173" t="str">
        <f t="shared" si="404"/>
        <v>0.000</v>
      </c>
      <c r="AL448" s="4"/>
      <c r="AM448" s="43">
        <v>432</v>
      </c>
      <c r="AN448">
        <v>316.99135281925976</v>
      </c>
      <c r="AO448">
        <v>32.095515703077517</v>
      </c>
      <c r="AP448">
        <v>18.409040670088224</v>
      </c>
      <c r="AQ448">
        <v>226.3698138017283</v>
      </c>
      <c r="AR448">
        <v>32.463024955788242</v>
      </c>
      <c r="AS448">
        <v>449.06209150558379</v>
      </c>
      <c r="AT448">
        <v>19.504646663457166</v>
      </c>
      <c r="AU448">
        <v>-22.143360468964268</v>
      </c>
      <c r="AV448"/>
      <c r="AW448"/>
      <c r="FY448" s="213">
        <v>443</v>
      </c>
      <c r="FZ448">
        <v>52.895199505505005</v>
      </c>
      <c r="GA448">
        <v>44.539377189459884</v>
      </c>
      <c r="GB448">
        <v>34.544061200573182</v>
      </c>
      <c r="GC448">
        <v>15.838228909942448</v>
      </c>
      <c r="GD448">
        <v>3.1952510140473191</v>
      </c>
      <c r="GE448">
        <v>5.3759137254613245</v>
      </c>
      <c r="GF448">
        <v>7.3635938246663155</v>
      </c>
      <c r="GG448">
        <v>7.4971953447464141</v>
      </c>
      <c r="GH448">
        <v>7.3396336955607184</v>
      </c>
      <c r="GI448">
        <v>20.594382161165679</v>
      </c>
      <c r="GJ448"/>
      <c r="GK448"/>
      <c r="GL448"/>
      <c r="GM448"/>
      <c r="GN448" s="208"/>
      <c r="GO448" s="208"/>
      <c r="GP448" s="208"/>
      <c r="GQ448" s="208"/>
      <c r="GR448" s="208"/>
      <c r="GS448" s="208"/>
      <c r="GT448" s="208"/>
      <c r="GU448" s="213">
        <v>443</v>
      </c>
    </row>
    <row r="449" spans="1:203" s="7" customFormat="1">
      <c r="A449" s="4"/>
      <c r="B449" s="48" t="s">
        <v>121</v>
      </c>
      <c r="C449" s="107">
        <f t="shared" si="388"/>
        <v>8.1973867304122248</v>
      </c>
      <c r="D449" s="191">
        <f>A$413</f>
        <v>7.33</v>
      </c>
      <c r="E449" s="8"/>
      <c r="F449" s="124"/>
      <c r="G449" s="173" t="str">
        <f t="shared" si="389"/>
        <v>0.000</v>
      </c>
      <c r="H449" s="173">
        <f t="shared" ref="H449:V449" si="405">IF(H431&lt;=0, "0.000", H431)</f>
        <v>8.6613801799579421E-2</v>
      </c>
      <c r="I449" s="173">
        <f t="shared" si="405"/>
        <v>2.786428215356556</v>
      </c>
      <c r="J449" s="173">
        <f t="shared" si="405"/>
        <v>2.4421381421340276</v>
      </c>
      <c r="K449" s="173">
        <f t="shared" si="405"/>
        <v>1.1614579360288846</v>
      </c>
      <c r="L449" s="173">
        <f t="shared" si="405"/>
        <v>0.51914000618956957</v>
      </c>
      <c r="M449" s="173" t="str">
        <f t="shared" si="405"/>
        <v>0.000</v>
      </c>
      <c r="N449" s="173">
        <f t="shared" si="405"/>
        <v>1.2016086289036068</v>
      </c>
      <c r="O449" s="173" t="str">
        <f t="shared" si="405"/>
        <v>0.000</v>
      </c>
      <c r="P449" s="173" t="str">
        <f t="shared" si="405"/>
        <v>0.000</v>
      </c>
      <c r="Q449" s="173" t="str">
        <f t="shared" si="405"/>
        <v>0.000</v>
      </c>
      <c r="R449" s="173" t="str">
        <f t="shared" si="405"/>
        <v>0.000</v>
      </c>
      <c r="S449" s="173" t="str">
        <f t="shared" si="405"/>
        <v>0.000</v>
      </c>
      <c r="T449" s="173" t="str">
        <f t="shared" si="405"/>
        <v>0.000</v>
      </c>
      <c r="U449" s="173" t="str">
        <f t="shared" si="405"/>
        <v>0.000</v>
      </c>
      <c r="V449" s="173" t="str">
        <f t="shared" si="405"/>
        <v>0.000</v>
      </c>
      <c r="W449" s="173" t="str">
        <f t="shared" ref="W449:AK449" si="406">IF(W431&lt;=0, "0.000", W431)</f>
        <v>0.000</v>
      </c>
      <c r="X449" s="173" t="str">
        <f t="shared" si="406"/>
        <v>0.000</v>
      </c>
      <c r="Y449" s="173" t="str">
        <f t="shared" si="406"/>
        <v>0.000</v>
      </c>
      <c r="Z449" s="173" t="str">
        <f t="shared" si="406"/>
        <v>0.000</v>
      </c>
      <c r="AA449" s="173" t="str">
        <f t="shared" si="406"/>
        <v>0.000</v>
      </c>
      <c r="AB449" s="173" t="str">
        <f t="shared" si="406"/>
        <v>0.000</v>
      </c>
      <c r="AC449" s="173" t="str">
        <f t="shared" si="406"/>
        <v>0.000</v>
      </c>
      <c r="AD449" s="173" t="str">
        <f t="shared" si="406"/>
        <v>0.000</v>
      </c>
      <c r="AE449" s="173" t="str">
        <f t="shared" si="406"/>
        <v>0.000</v>
      </c>
      <c r="AF449" s="173" t="str">
        <f t="shared" si="406"/>
        <v>0.000</v>
      </c>
      <c r="AG449" s="173" t="str">
        <f t="shared" si="406"/>
        <v>0.000</v>
      </c>
      <c r="AH449" s="173" t="str">
        <f t="shared" si="406"/>
        <v>0.000</v>
      </c>
      <c r="AI449" s="173" t="str">
        <f t="shared" si="406"/>
        <v>0.000</v>
      </c>
      <c r="AJ449" s="173" t="str">
        <f t="shared" si="406"/>
        <v>0.000</v>
      </c>
      <c r="AK449" s="173" t="str">
        <f t="shared" si="406"/>
        <v>0.000</v>
      </c>
      <c r="AL449" s="4"/>
      <c r="AM449" s="43">
        <v>433</v>
      </c>
      <c r="AN449">
        <v>238.90349836561958</v>
      </c>
      <c r="AO449">
        <v>25.263303334191527</v>
      </c>
      <c r="AP449">
        <v>44.630437910238086</v>
      </c>
      <c r="AQ449">
        <v>194.91151676896143</v>
      </c>
      <c r="AR449">
        <v>26.738442026618813</v>
      </c>
      <c r="AS449">
        <v>366.4794863240727</v>
      </c>
      <c r="AT449">
        <v>16.400283456161148</v>
      </c>
      <c r="AU449">
        <v>7.9037856356607605</v>
      </c>
      <c r="AV449"/>
      <c r="AW449"/>
      <c r="FY449" s="213">
        <v>444</v>
      </c>
      <c r="FZ449">
        <v>45.936534247649853</v>
      </c>
      <c r="GA449">
        <v>52.162336379133585</v>
      </c>
      <c r="GB449">
        <v>27.442048947578083</v>
      </c>
      <c r="GC449">
        <v>6.6410483483956053</v>
      </c>
      <c r="GD449">
        <v>3.3335553780256446</v>
      </c>
      <c r="GE449">
        <v>6.574325441915347</v>
      </c>
      <c r="GF449">
        <v>5.5370815427715883</v>
      </c>
      <c r="GG449">
        <v>7.473155251001744</v>
      </c>
      <c r="GH449">
        <v>10.421616157906501</v>
      </c>
      <c r="GI449">
        <v>18.051262266269436</v>
      </c>
      <c r="GJ449"/>
      <c r="GK449"/>
      <c r="GL449"/>
      <c r="GM449"/>
      <c r="GN449" s="208"/>
      <c r="GO449" s="208"/>
      <c r="GP449" s="208"/>
      <c r="GQ449" s="208"/>
      <c r="GR449" s="208"/>
      <c r="GS449" s="208"/>
      <c r="GT449" s="208"/>
      <c r="GU449" s="213">
        <v>444</v>
      </c>
    </row>
    <row r="450" spans="1:203" s="7" customFormat="1">
      <c r="A450" s="13" t="s">
        <v>12</v>
      </c>
      <c r="B450" s="48" t="s">
        <v>122</v>
      </c>
      <c r="C450" s="107">
        <f t="shared" si="388"/>
        <v>17.772926295738213</v>
      </c>
      <c r="D450" s="191">
        <f>A$414</f>
        <v>10.51</v>
      </c>
      <c r="E450" s="8"/>
      <c r="F450" s="124"/>
      <c r="G450" s="173">
        <f t="shared" si="389"/>
        <v>8.6910751390865617E-5</v>
      </c>
      <c r="H450" s="173">
        <f t="shared" ref="H450:V450" si="407">IF(H432&lt;=0, "0.000", H432)</f>
        <v>0.24706321859989139</v>
      </c>
      <c r="I450" s="173">
        <f t="shared" si="407"/>
        <v>4.0514120170090591</v>
      </c>
      <c r="J450" s="173">
        <f t="shared" si="407"/>
        <v>5.3427468572551584</v>
      </c>
      <c r="K450" s="173">
        <f t="shared" si="407"/>
        <v>3.2433627366346891</v>
      </c>
      <c r="L450" s="173">
        <f t="shared" si="407"/>
        <v>1.9188865283860892</v>
      </c>
      <c r="M450" s="173">
        <f t="shared" si="407"/>
        <v>1.8316727825456947</v>
      </c>
      <c r="N450" s="173">
        <f t="shared" si="407"/>
        <v>0.8711919656934981</v>
      </c>
      <c r="O450" s="173">
        <f t="shared" si="407"/>
        <v>0.26650327886274405</v>
      </c>
      <c r="P450" s="173" t="str">
        <f t="shared" si="407"/>
        <v>0.000</v>
      </c>
      <c r="Q450" s="173" t="str">
        <f t="shared" si="407"/>
        <v>0.000</v>
      </c>
      <c r="R450" s="173" t="str">
        <f t="shared" si="407"/>
        <v>0.000</v>
      </c>
      <c r="S450" s="173" t="str">
        <f t="shared" si="407"/>
        <v>0.000</v>
      </c>
      <c r="T450" s="173" t="str">
        <f t="shared" si="407"/>
        <v>0.000</v>
      </c>
      <c r="U450" s="173" t="str">
        <f t="shared" si="407"/>
        <v>0.000</v>
      </c>
      <c r="V450" s="173" t="str">
        <f t="shared" si="407"/>
        <v>0.000</v>
      </c>
      <c r="W450" s="173" t="str">
        <f t="shared" ref="W450:AK450" si="408">IF(W432&lt;=0, "0.000", W432)</f>
        <v>0.000</v>
      </c>
      <c r="X450" s="173" t="str">
        <f t="shared" si="408"/>
        <v>0.000</v>
      </c>
      <c r="Y450" s="173" t="str">
        <f t="shared" si="408"/>
        <v>0.000</v>
      </c>
      <c r="Z450" s="173" t="str">
        <f t="shared" si="408"/>
        <v>0.000</v>
      </c>
      <c r="AA450" s="173" t="str">
        <f t="shared" si="408"/>
        <v>0.000</v>
      </c>
      <c r="AB450" s="173" t="str">
        <f t="shared" si="408"/>
        <v>0.000</v>
      </c>
      <c r="AC450" s="173" t="str">
        <f t="shared" si="408"/>
        <v>0.000</v>
      </c>
      <c r="AD450" s="173" t="str">
        <f t="shared" si="408"/>
        <v>0.000</v>
      </c>
      <c r="AE450" s="173" t="str">
        <f t="shared" si="408"/>
        <v>0.000</v>
      </c>
      <c r="AF450" s="173" t="str">
        <f t="shared" si="408"/>
        <v>0.000</v>
      </c>
      <c r="AG450" s="173" t="str">
        <f t="shared" si="408"/>
        <v>0.000</v>
      </c>
      <c r="AH450" s="173" t="str">
        <f t="shared" si="408"/>
        <v>0.000</v>
      </c>
      <c r="AI450" s="173" t="str">
        <f t="shared" si="408"/>
        <v>0.000</v>
      </c>
      <c r="AJ450" s="173" t="str">
        <f t="shared" si="408"/>
        <v>0.000</v>
      </c>
      <c r="AK450" s="173" t="str">
        <f t="shared" si="408"/>
        <v>0.000</v>
      </c>
      <c r="AL450" s="4"/>
      <c r="AM450" s="43">
        <v>434</v>
      </c>
      <c r="AN450">
        <v>303.32681745578668</v>
      </c>
      <c r="AO450">
        <v>29.72988341931233</v>
      </c>
      <c r="AP450">
        <v>20.968800219194776</v>
      </c>
      <c r="AQ450">
        <v>219.14240718594118</v>
      </c>
      <c r="AR450">
        <v>30.037676394534561</v>
      </c>
      <c r="AS450">
        <v>443.5239507184113</v>
      </c>
      <c r="AT450" t="e">
        <v>#DIV/0!</v>
      </c>
      <c r="AU450" t="e">
        <v>#DIV/0!</v>
      </c>
      <c r="AV450"/>
      <c r="AW450"/>
      <c r="FY450" s="213">
        <v>445</v>
      </c>
      <c r="FZ450">
        <v>49.395536767437832</v>
      </c>
      <c r="GA450">
        <v>32.526553570224188</v>
      </c>
      <c r="GB450">
        <v>27.583635861602762</v>
      </c>
      <c r="GC450">
        <v>13.078677833064427</v>
      </c>
      <c r="GD450">
        <v>3.0279645280394361</v>
      </c>
      <c r="GE450">
        <v>3.9930046248933384</v>
      </c>
      <c r="GF450">
        <v>7.7539655413941144</v>
      </c>
      <c r="GG450">
        <v>8.3716557046283224</v>
      </c>
      <c r="GH450">
        <v>7.2093587160978458</v>
      </c>
      <c r="GI450">
        <v>18.330709960412317</v>
      </c>
      <c r="GJ450"/>
      <c r="GK450"/>
      <c r="GL450"/>
      <c r="GM450"/>
      <c r="GN450" s="208"/>
      <c r="GO450" s="208"/>
      <c r="GP450" s="208"/>
      <c r="GQ450" s="208"/>
      <c r="GR450" s="208"/>
      <c r="GS450" s="208"/>
      <c r="GT450" s="208"/>
      <c r="GU450" s="213">
        <v>445</v>
      </c>
    </row>
    <row r="451" spans="1:203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252.47594316406565</v>
      </c>
      <c r="AO451">
        <v>24.954510628566162</v>
      </c>
      <c r="AP451">
        <v>34.193145793789697</v>
      </c>
      <c r="AQ451">
        <v>182.72676943975216</v>
      </c>
      <c r="AR451">
        <v>25.604809800161146</v>
      </c>
      <c r="AS451">
        <v>342.76503142703649</v>
      </c>
      <c r="AT451">
        <v>15.893923568609262</v>
      </c>
      <c r="AU451">
        <v>10.267508243415936</v>
      </c>
      <c r="AV451"/>
      <c r="AW451"/>
      <c r="FY451" s="213">
        <v>446</v>
      </c>
      <c r="FZ451">
        <v>60.92687854431977</v>
      </c>
      <c r="GA451">
        <v>43.927354146295002</v>
      </c>
      <c r="GB451">
        <v>30.923189784727384</v>
      </c>
      <c r="GC451">
        <v>14.481108541755299</v>
      </c>
      <c r="GD451">
        <v>3.1249826018890832</v>
      </c>
      <c r="GE451">
        <v>3.8266698793753333</v>
      </c>
      <c r="GF451">
        <v>7.7392722859050505</v>
      </c>
      <c r="GG451">
        <v>12.236354642742482</v>
      </c>
      <c r="GH451">
        <v>13.102391410796649</v>
      </c>
      <c r="GI451">
        <v>21.835417628540878</v>
      </c>
      <c r="GJ451"/>
      <c r="GK451"/>
      <c r="GL451"/>
      <c r="GM451"/>
      <c r="GN451" s="208"/>
      <c r="GO451" s="208"/>
      <c r="GP451" s="208"/>
      <c r="GQ451" s="208"/>
      <c r="GR451" s="208"/>
      <c r="GS451" s="208"/>
      <c r="GT451" s="208"/>
      <c r="GU451" s="213">
        <v>446</v>
      </c>
    </row>
    <row r="452" spans="1:203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266.14125066649444</v>
      </c>
      <c r="AO452">
        <v>24.570501476258002</v>
      </c>
      <c r="AP452">
        <v>56.1478963526489</v>
      </c>
      <c r="AQ452">
        <v>181.40418654285639</v>
      </c>
      <c r="AR452">
        <v>24.977032068480494</v>
      </c>
      <c r="AS452">
        <v>342.55268158008914</v>
      </c>
      <c r="AT452">
        <v>15.364980783680942</v>
      </c>
      <c r="AU452">
        <v>-27.005081400558545</v>
      </c>
      <c r="AV452"/>
      <c r="AW452"/>
      <c r="FY452" s="213">
        <v>447</v>
      </c>
      <c r="FZ452">
        <v>52.889012133278307</v>
      </c>
      <c r="GA452">
        <v>52.239298748335564</v>
      </c>
      <c r="GB452">
        <v>28.315310361884656</v>
      </c>
      <c r="GC452">
        <v>12.97128424078271</v>
      </c>
      <c r="GD452">
        <v>3.3723041892037435</v>
      </c>
      <c r="GE452">
        <v>4.3504483895909853</v>
      </c>
      <c r="GF452">
        <v>2.1524331611627345</v>
      </c>
      <c r="GG452">
        <v>3.1933751148959932</v>
      </c>
      <c r="GH452">
        <v>9.758732385644036</v>
      </c>
      <c r="GI452">
        <v>18.614630688568187</v>
      </c>
      <c r="GJ452"/>
      <c r="GK452"/>
      <c r="GL452"/>
      <c r="GM452"/>
      <c r="GN452" s="208"/>
      <c r="GO452" s="208"/>
      <c r="GP452" s="208"/>
      <c r="GQ452" s="208"/>
      <c r="GR452" s="208"/>
      <c r="GS452" s="208"/>
      <c r="GT452" s="208"/>
      <c r="GU452" s="213">
        <v>447</v>
      </c>
    </row>
    <row r="453" spans="1:203" s="7" customFormat="1">
      <c r="A453" s="1">
        <v>1.07207E-2</v>
      </c>
      <c r="B453" s="52" t="s">
        <v>53</v>
      </c>
      <c r="C453" s="53">
        <f>SUM(C441:C452)</f>
        <v>167.00894735343797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271.56461132205806</v>
      </c>
      <c r="AO453">
        <v>22.347472822692602</v>
      </c>
      <c r="AP453">
        <v>10.156239832878013</v>
      </c>
      <c r="AQ453">
        <v>153.67385042804978</v>
      </c>
      <c r="AR453">
        <v>21.743325109787918</v>
      </c>
      <c r="AS453">
        <v>346.5210633288039</v>
      </c>
      <c r="AT453">
        <v>13.961411679529457</v>
      </c>
      <c r="AU453">
        <v>-26.592762036224229</v>
      </c>
      <c r="AV453"/>
      <c r="AW453"/>
      <c r="FY453" s="213">
        <v>448</v>
      </c>
      <c r="FZ453">
        <v>42.577098849327982</v>
      </c>
      <c r="GA453">
        <v>35.730330671800125</v>
      </c>
      <c r="GB453">
        <v>30.391545763634422</v>
      </c>
      <c r="GC453">
        <v>13.498018962325109</v>
      </c>
      <c r="GD453">
        <v>3.6479608842352111</v>
      </c>
      <c r="GE453">
        <v>7.1254550537809269</v>
      </c>
      <c r="GF453">
        <v>8.3807331475398481</v>
      </c>
      <c r="GG453">
        <v>8.8980471390745137</v>
      </c>
      <c r="GH453">
        <v>5.3190370959967295</v>
      </c>
      <c r="GI453">
        <v>18.196766521615707</v>
      </c>
      <c r="GJ453"/>
      <c r="GK453"/>
      <c r="GL453"/>
      <c r="GM453"/>
      <c r="GN453" s="208"/>
      <c r="GO453" s="208"/>
      <c r="GP453" s="208"/>
      <c r="GQ453" s="208"/>
      <c r="GR453" s="208"/>
      <c r="GS453" s="208"/>
      <c r="GT453" s="208"/>
      <c r="GU453" s="213">
        <v>448</v>
      </c>
    </row>
    <row r="454" spans="1:203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291.18426049445821</v>
      </c>
      <c r="AO454">
        <v>27.835736159967659</v>
      </c>
      <c r="AP454">
        <v>24.427813809344499</v>
      </c>
      <c r="AQ454">
        <v>195.3752614638835</v>
      </c>
      <c r="AR454">
        <v>28.697130282917943</v>
      </c>
      <c r="AS454">
        <v>403.70687828146237</v>
      </c>
      <c r="AT454">
        <v>18.081013020327958</v>
      </c>
      <c r="AU454">
        <v>-2.8103047331515469</v>
      </c>
      <c r="AV454"/>
      <c r="AW454"/>
      <c r="FY454" s="213">
        <v>449</v>
      </c>
      <c r="FZ454">
        <v>42.65574632032817</v>
      </c>
      <c r="GA454">
        <v>51.295286402399363</v>
      </c>
      <c r="GB454">
        <v>36.286230066987777</v>
      </c>
      <c r="GC454">
        <v>15.075032565839473</v>
      </c>
      <c r="GD454">
        <v>3.7055674838100456</v>
      </c>
      <c r="GE454">
        <v>5.4531090572193035</v>
      </c>
      <c r="GF454">
        <v>5.0172659829022948</v>
      </c>
      <c r="GG454">
        <v>5.8328032191241226</v>
      </c>
      <c r="GH454">
        <v>8.9646009903075523</v>
      </c>
      <c r="GI454">
        <v>19.639184414302601</v>
      </c>
      <c r="GJ454"/>
      <c r="GK454"/>
      <c r="GL454"/>
      <c r="GM454"/>
      <c r="GN454" s="208"/>
      <c r="GO454" s="208"/>
      <c r="GP454" s="208"/>
      <c r="GQ454" s="208"/>
      <c r="GR454" s="208"/>
      <c r="GS454" s="208"/>
      <c r="GT454" s="208"/>
      <c r="GU454" s="213">
        <v>449</v>
      </c>
    </row>
    <row r="455" spans="1:203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9"/>
      <c r="P455" s="219"/>
      <c r="Q455" s="219"/>
      <c r="R455" s="21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286.03044292291509</v>
      </c>
      <c r="AO455">
        <v>26.44502298843846</v>
      </c>
      <c r="AP455">
        <v>21.765730468230764</v>
      </c>
      <c r="AQ455">
        <v>185.26376928121013</v>
      </c>
      <c r="AR455">
        <v>27.351511036093893</v>
      </c>
      <c r="AS455">
        <v>375.44219359812831</v>
      </c>
      <c r="AT455">
        <v>17.253397070353284</v>
      </c>
      <c r="AU455">
        <v>-8.4250702512364484</v>
      </c>
      <c r="AV455"/>
      <c r="AW455"/>
      <c r="FY455" s="213">
        <v>450</v>
      </c>
      <c r="FZ455">
        <v>47.698182543682769</v>
      </c>
      <c r="GA455">
        <v>52.758274339186883</v>
      </c>
      <c r="GB455">
        <v>36.863392390670235</v>
      </c>
      <c r="GC455">
        <v>15.722050882810734</v>
      </c>
      <c r="GD455">
        <v>5.9451088499002331</v>
      </c>
      <c r="GE455">
        <v>8.681490923571296</v>
      </c>
      <c r="GF455">
        <v>5.1042033793760151</v>
      </c>
      <c r="GG455">
        <v>7.4166499451565766</v>
      </c>
      <c r="GH455">
        <v>8.5125753861959055</v>
      </c>
      <c r="GI455">
        <v>21.73381446307949</v>
      </c>
      <c r="GJ455"/>
      <c r="GK455"/>
      <c r="GL455"/>
      <c r="GM455"/>
      <c r="GN455" s="208"/>
      <c r="GO455" s="208"/>
      <c r="GP455" s="208"/>
      <c r="GQ455" s="208"/>
      <c r="GR455" s="208"/>
      <c r="GS455" s="208"/>
      <c r="GT455" s="208"/>
      <c r="GU455" s="213">
        <v>450</v>
      </c>
    </row>
    <row r="456" spans="1:203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250.60726822148916</v>
      </c>
      <c r="AO456">
        <v>26.466252882690821</v>
      </c>
      <c r="AP456">
        <v>45.704753746297925</v>
      </c>
      <c r="AQ456">
        <v>185.71145616571187</v>
      </c>
      <c r="AR456">
        <v>27.555276792089568</v>
      </c>
      <c r="AS456">
        <v>369.30820656874607</v>
      </c>
      <c r="AT456">
        <v>16.320762544238171</v>
      </c>
      <c r="AU456">
        <v>21.043531567214252</v>
      </c>
      <c r="AV456"/>
      <c r="AW456"/>
      <c r="FY456" s="213">
        <v>451</v>
      </c>
      <c r="FZ456">
        <v>48.029939937868342</v>
      </c>
      <c r="GA456">
        <v>40.166481275520113</v>
      </c>
      <c r="GB456">
        <v>25.805092934169299</v>
      </c>
      <c r="GC456">
        <v>12.627659430298161</v>
      </c>
      <c r="GD456">
        <v>3.9574089224716897</v>
      </c>
      <c r="GE456">
        <v>7.2449703724433459</v>
      </c>
      <c r="GF456">
        <v>6.6787377926649167</v>
      </c>
      <c r="GG456">
        <v>6.7075858881833081</v>
      </c>
      <c r="GH456">
        <v>4.4321203067287644</v>
      </c>
      <c r="GI456">
        <v>17.577470594306998</v>
      </c>
      <c r="GJ456"/>
      <c r="GK456"/>
      <c r="GL456"/>
      <c r="GM456"/>
      <c r="GN456" s="208"/>
      <c r="GO456" s="208"/>
      <c r="GP456" s="208"/>
      <c r="GQ456" s="208"/>
      <c r="GR456" s="208"/>
      <c r="GS456" s="208"/>
      <c r="GT456" s="208"/>
      <c r="GU456" s="213">
        <v>451</v>
      </c>
    </row>
    <row r="457" spans="1:203" s="7" customFormat="1">
      <c r="A457" s="1">
        <v>1.9354999999999999E-3</v>
      </c>
      <c r="B457" s="4"/>
      <c r="C457" s="100">
        <v>0.5</v>
      </c>
      <c r="D457" s="101">
        <f>SUM($E$228:$E$347)/$A$438</f>
        <v>0.10416666666666666</v>
      </c>
      <c r="E457" s="97">
        <f>+G36</f>
        <v>1.1192378560128725E-3</v>
      </c>
      <c r="F457" s="102">
        <f>+D457-D459</f>
        <v>-45.76839888507341</v>
      </c>
      <c r="G457" s="101">
        <f>+D457*E457</f>
        <v>1.1658727666800754E-4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234.57720686491794</v>
      </c>
      <c r="AO457">
        <v>23.469552865133402</v>
      </c>
      <c r="AP457">
        <v>19.933974890139549</v>
      </c>
      <c r="AQ457">
        <v>178.59833314567831</v>
      </c>
      <c r="AR457">
        <v>24.835458715747649</v>
      </c>
      <c r="AS457">
        <v>310.81656891915082</v>
      </c>
      <c r="AT457">
        <v>14.3675256952718</v>
      </c>
      <c r="AU457">
        <v>0.39998763329305831</v>
      </c>
      <c r="AV457"/>
      <c r="AW457"/>
      <c r="FY457" s="213">
        <v>452</v>
      </c>
      <c r="FZ457">
        <v>45.842770503256645</v>
      </c>
      <c r="GA457">
        <v>43.006992500613158</v>
      </c>
      <c r="GB457">
        <v>23.033332356759864</v>
      </c>
      <c r="GC457">
        <v>11.812947071737799</v>
      </c>
      <c r="GD457">
        <v>4.3963218292914368</v>
      </c>
      <c r="GE457">
        <v>5.4624748346209495</v>
      </c>
      <c r="GF457">
        <v>4.2858804153743399</v>
      </c>
      <c r="GG457">
        <v>1.6862100906089099</v>
      </c>
      <c r="GH457">
        <v>4.2153132795825456</v>
      </c>
      <c r="GI457">
        <v>16.360623335600305</v>
      </c>
      <c r="GJ457"/>
      <c r="GK457"/>
      <c r="GL457"/>
      <c r="GM457"/>
      <c r="GN457" s="208"/>
      <c r="GO457" s="208"/>
      <c r="GP457" s="208"/>
      <c r="GQ457" s="208"/>
      <c r="GR457" s="208"/>
      <c r="GS457" s="208"/>
      <c r="GT457" s="208"/>
      <c r="GU457" s="213">
        <v>452</v>
      </c>
    </row>
    <row r="458" spans="1:203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2.8441876745599324E-3</v>
      </c>
      <c r="I458" s="101">
        <f>+H458*F457</f>
        <v>-0.13017391599326836</v>
      </c>
      <c r="J458" s="101">
        <f>+I458*$A$440</f>
        <v>-1.0413913279461469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267.45480765184402</v>
      </c>
      <c r="AO458">
        <v>28.262282929866597</v>
      </c>
      <c r="AP458">
        <v>51.469676465780758</v>
      </c>
      <c r="AQ458">
        <v>202.49786895408357</v>
      </c>
      <c r="AR458">
        <v>28.213885719542851</v>
      </c>
      <c r="AS458">
        <v>426.25772343245796</v>
      </c>
      <c r="AT458">
        <v>17.499192209451277</v>
      </c>
      <c r="AU458">
        <v>5.5347931975470814</v>
      </c>
      <c r="AV458"/>
      <c r="AW458"/>
      <c r="FY458" s="213">
        <v>453</v>
      </c>
      <c r="FZ458">
        <v>61.394551985794209</v>
      </c>
      <c r="GA458">
        <v>67.028390217777982</v>
      </c>
      <c r="GB458">
        <v>32.422955192471868</v>
      </c>
      <c r="GC458">
        <v>13.865448466959982</v>
      </c>
      <c r="GD458">
        <v>5.1617631275450995</v>
      </c>
      <c r="GE458">
        <v>7.8833183588849476</v>
      </c>
      <c r="GF458">
        <v>2.5598374561249413</v>
      </c>
      <c r="GG458">
        <v>2.8257858592823126</v>
      </c>
      <c r="GH458">
        <v>4.7599806396802027</v>
      </c>
      <c r="GI458">
        <v>21.146387611861016</v>
      </c>
      <c r="GJ458"/>
      <c r="GK458"/>
      <c r="GL458"/>
      <c r="GM458"/>
      <c r="GN458" s="208"/>
      <c r="GO458" s="208"/>
      <c r="GP458" s="208"/>
      <c r="GQ458" s="208"/>
      <c r="GR458" s="208"/>
      <c r="GS458" s="208"/>
      <c r="GT458" s="208"/>
      <c r="GU458" s="213">
        <v>453</v>
      </c>
    </row>
    <row r="459" spans="1:203" s="7" customFormat="1">
      <c r="A459" s="4"/>
      <c r="B459" s="4"/>
      <c r="C459" s="63">
        <v>1</v>
      </c>
      <c r="D459" s="101">
        <f>SUM($F$228:$F$347)/$A$438</f>
        <v>45.872565551740074</v>
      </c>
      <c r="E459" s="97">
        <f>+H36</f>
        <v>7.2275999999999998E-3</v>
      </c>
      <c r="F459" s="102">
        <f>+D459-D461</f>
        <v>-70.895282338960897</v>
      </c>
      <c r="G459" s="101">
        <f>+D459*E459</f>
        <v>0.33154855478175654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292.52411742680653</v>
      </c>
      <c r="AO459">
        <v>27.608847777310046</v>
      </c>
      <c r="AP459">
        <v>20.40513024413648</v>
      </c>
      <c r="AQ459">
        <v>199.18283657112826</v>
      </c>
      <c r="AR459">
        <v>28.250188367124927</v>
      </c>
      <c r="AS459">
        <v>430.22567128404233</v>
      </c>
      <c r="AT459">
        <v>17.26215792081323</v>
      </c>
      <c r="AU459">
        <v>4.4857474773297668</v>
      </c>
      <c r="AV459"/>
      <c r="AW459"/>
      <c r="FY459" s="213">
        <v>454</v>
      </c>
      <c r="FZ459">
        <v>42.294871488568511</v>
      </c>
      <c r="GA459">
        <v>28.250403612485911</v>
      </c>
      <c r="GB459">
        <v>31.058927452067941</v>
      </c>
      <c r="GC459">
        <v>17.802075214414373</v>
      </c>
      <c r="GD459">
        <v>4.2346438851570714</v>
      </c>
      <c r="GE459">
        <v>4.2300272263001979</v>
      </c>
      <c r="GF459">
        <v>1.6614718097626211</v>
      </c>
      <c r="GG459">
        <v>4.6976782895221181</v>
      </c>
      <c r="GH459">
        <v>12.031182022911402</v>
      </c>
      <c r="GI459">
        <v>18.488458748576601</v>
      </c>
      <c r="GJ459"/>
      <c r="GK459"/>
      <c r="GL459"/>
      <c r="GM459"/>
      <c r="GN459" s="208"/>
      <c r="GO459" s="208"/>
      <c r="GP459" s="208"/>
      <c r="GQ459" s="208"/>
      <c r="GR459" s="208"/>
      <c r="GS459" s="208"/>
      <c r="GT459" s="208"/>
      <c r="GU459" s="213">
        <v>454</v>
      </c>
    </row>
    <row r="460" spans="1:203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1.8366650775983887E-2</v>
      </c>
      <c r="I460" s="101">
        <f>+H460*F459</f>
        <v>-1.3021088923844728</v>
      </c>
      <c r="J460" s="101">
        <f>+I460*$A$440</f>
        <v>-10.416871139075782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311.35851813293408</v>
      </c>
      <c r="AO460">
        <v>23.61616730555529</v>
      </c>
      <c r="AP460">
        <v>27.913777951085386</v>
      </c>
      <c r="AQ460">
        <v>183.5729639606474</v>
      </c>
      <c r="AR460">
        <v>24.759419869118332</v>
      </c>
      <c r="AS460">
        <v>392.34476088355518</v>
      </c>
      <c r="AT460">
        <v>14.958577805641669</v>
      </c>
      <c r="AU460">
        <v>-4.1130429716717742</v>
      </c>
      <c r="AV460"/>
      <c r="AW460"/>
      <c r="FY460" s="213">
        <v>455</v>
      </c>
      <c r="FZ460">
        <v>38.157347709704602</v>
      </c>
      <c r="GA460">
        <v>29.419328777787641</v>
      </c>
      <c r="GB460">
        <v>21.909792629526954</v>
      </c>
      <c r="GC460">
        <v>11.481691844091751</v>
      </c>
      <c r="GD460">
        <v>3.5722105964455908</v>
      </c>
      <c r="GE460">
        <v>4.7910608530330236</v>
      </c>
      <c r="GF460">
        <v>13.098727918199611</v>
      </c>
      <c r="GG460">
        <v>13.729121383609684</v>
      </c>
      <c r="GH460">
        <v>6.5424182976973686</v>
      </c>
      <c r="GI460">
        <v>16.459971774320511</v>
      </c>
      <c r="GJ460"/>
      <c r="GK460"/>
      <c r="GL460"/>
      <c r="GM460"/>
      <c r="GN460" s="208"/>
      <c r="GO460" s="208"/>
      <c r="GP460" s="208"/>
      <c r="GQ460" s="208"/>
      <c r="GR460" s="208"/>
      <c r="GS460" s="208"/>
      <c r="GT460" s="208"/>
      <c r="GU460" s="213">
        <v>455</v>
      </c>
    </row>
    <row r="461" spans="1:203" s="7" customFormat="1">
      <c r="A461" s="4"/>
      <c r="B461" s="4"/>
      <c r="C461" s="63">
        <v>2</v>
      </c>
      <c r="D461" s="101">
        <f>SUM($G$228:$G$347)/$A$438</f>
        <v>116.76784789070098</v>
      </c>
      <c r="E461" s="97">
        <f>+I36</f>
        <v>4.6673011888725101E-2</v>
      </c>
      <c r="F461" s="102">
        <f>+D461-D463</f>
        <v>64.759653409613179</v>
      </c>
      <c r="G461" s="101">
        <f>+D461*E461</f>
        <v>5.4499071528235312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243.4139138138124</v>
      </c>
      <c r="AO461">
        <v>23.803747695902576</v>
      </c>
      <c r="AP461">
        <v>28.438634367966884</v>
      </c>
      <c r="AQ461">
        <v>171.27106310779459</v>
      </c>
      <c r="AR461">
        <v>25.195748103008629</v>
      </c>
      <c r="AS461">
        <v>395.17376626675713</v>
      </c>
      <c r="AT461">
        <v>15.104907604028556</v>
      </c>
      <c r="AU461">
        <v>14.381215596611</v>
      </c>
      <c r="AV461"/>
      <c r="AW461"/>
      <c r="FY461" s="213">
        <v>456</v>
      </c>
      <c r="FZ461">
        <v>37.186351751674202</v>
      </c>
      <c r="GA461">
        <v>51.838251856975653</v>
      </c>
      <c r="GB461">
        <v>32.404757513099931</v>
      </c>
      <c r="GC461">
        <v>12.154876253893379</v>
      </c>
      <c r="GD461">
        <v>3.0392804048129767</v>
      </c>
      <c r="GE461">
        <v>3.3626504408413367</v>
      </c>
      <c r="GF461">
        <v>9.0802824350303091</v>
      </c>
      <c r="GG461">
        <v>8.9088358696703001</v>
      </c>
      <c r="GH461">
        <v>6.0789666511475318</v>
      </c>
      <c r="GI461">
        <v>17.782154893059865</v>
      </c>
      <c r="GJ461"/>
      <c r="GK461"/>
      <c r="GL461"/>
      <c r="GM461"/>
      <c r="GN461" s="208"/>
      <c r="GO461" s="208"/>
      <c r="GP461" s="208"/>
      <c r="GQ461" s="208"/>
      <c r="GR461" s="208"/>
      <c r="GS461" s="208"/>
      <c r="GT461" s="208"/>
      <c r="GU461" s="213">
        <v>456</v>
      </c>
    </row>
    <row r="462" spans="1:203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8.0537216688670824E-2</v>
      </c>
      <c r="I462" s="101">
        <f>+H462*F461</f>
        <v>5.215562239333237</v>
      </c>
      <c r="J462" s="101">
        <f>+I462*$A$440</f>
        <v>41.724497914665896</v>
      </c>
      <c r="K462" s="61">
        <f>IF(AND(J462&lt;0, J460&lt;0), 0, J462)</f>
        <v>41.724497914665896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284.83972983349622</v>
      </c>
      <c r="AO462">
        <v>28.558786485438482</v>
      </c>
      <c r="AP462">
        <v>35.565791547933614</v>
      </c>
      <c r="AQ462">
        <v>212.12361946634695</v>
      </c>
      <c r="AR462">
        <v>29.956567925671788</v>
      </c>
      <c r="AS462">
        <v>410.32196897294352</v>
      </c>
      <c r="AT462">
        <v>18.454037187458312</v>
      </c>
      <c r="AU462">
        <v>18.310097654381288</v>
      </c>
      <c r="AV462"/>
      <c r="AW462"/>
      <c r="FY462" s="213">
        <v>457</v>
      </c>
      <c r="FZ462">
        <v>45.006182570903796</v>
      </c>
      <c r="GA462">
        <v>38.54145468677099</v>
      </c>
      <c r="GB462">
        <v>33.837707622073054</v>
      </c>
      <c r="GC462">
        <v>20.021981516518611</v>
      </c>
      <c r="GD462">
        <v>8.1097276109047449</v>
      </c>
      <c r="GE462">
        <v>10.140820344246137</v>
      </c>
      <c r="GF462">
        <v>8.3242057670447238</v>
      </c>
      <c r="GG462">
        <v>7.4795872128732226</v>
      </c>
      <c r="GH462">
        <v>2.4653071347527034</v>
      </c>
      <c r="GI462">
        <v>21.478849504344424</v>
      </c>
      <c r="GJ462"/>
      <c r="GK462"/>
      <c r="GL462"/>
      <c r="GM462"/>
      <c r="GN462" s="208"/>
      <c r="GO462" s="208"/>
      <c r="GP462" s="208"/>
      <c r="GQ462" s="208"/>
      <c r="GR462" s="208"/>
      <c r="GS462" s="208"/>
      <c r="GT462" s="208"/>
      <c r="GU462" s="213">
        <v>457</v>
      </c>
    </row>
    <row r="463" spans="1:203" s="7" customFormat="1">
      <c r="A463" s="4"/>
      <c r="B463" s="4"/>
      <c r="C463" s="63">
        <v>3</v>
      </c>
      <c r="D463" s="101">
        <f>SUM($H$228:$H$347)/$A$438</f>
        <v>52.008194481087806</v>
      </c>
      <c r="E463" s="97">
        <f>+J36</f>
        <v>0.13897203136197886</v>
      </c>
      <c r="F463" s="102">
        <f>+D463-D465</f>
        <v>37.304001105019424</v>
      </c>
      <c r="G463" s="101">
        <f>+D463*E463</f>
        <v>7.2276844345056306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225.62429882438715</v>
      </c>
      <c r="AO463">
        <v>25.072439806998524</v>
      </c>
      <c r="AP463">
        <v>37.910204939775497</v>
      </c>
      <c r="AQ463">
        <v>187.8568294133469</v>
      </c>
      <c r="AR463">
        <v>25.579834567858079</v>
      </c>
      <c r="AS463">
        <v>302.9686858575779</v>
      </c>
      <c r="AT463">
        <v>15.931211257400676</v>
      </c>
      <c r="AU463">
        <v>7.9995734081468655</v>
      </c>
      <c r="AV463"/>
      <c r="AW463"/>
      <c r="FY463" s="213">
        <v>458</v>
      </c>
      <c r="FZ463">
        <v>58.655248926054149</v>
      </c>
      <c r="GA463">
        <v>71.704728016930176</v>
      </c>
      <c r="GB463">
        <v>35.384229814366037</v>
      </c>
      <c r="GC463">
        <v>15.522820419681871</v>
      </c>
      <c r="GD463">
        <v>4.5173521192860937</v>
      </c>
      <c r="GE463">
        <v>4.2878602990214008</v>
      </c>
      <c r="GF463">
        <v>10.673255983486737</v>
      </c>
      <c r="GG463">
        <v>12.2353888048487</v>
      </c>
      <c r="GH463">
        <v>12.141960218106949</v>
      </c>
      <c r="GI463">
        <v>23.763846085753944</v>
      </c>
      <c r="GJ463"/>
      <c r="GK463"/>
      <c r="GL463"/>
      <c r="GM463"/>
      <c r="GN463" s="208"/>
      <c r="GO463" s="208"/>
      <c r="GP463" s="208"/>
      <c r="GQ463" s="208"/>
      <c r="GR463" s="208"/>
      <c r="GS463" s="208"/>
      <c r="GT463" s="208"/>
      <c r="GU463" s="213">
        <v>458</v>
      </c>
    </row>
    <row r="464" spans="1:203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0.20465976719665702</v>
      </c>
      <c r="I464" s="101">
        <f>+H464*F463</f>
        <v>7.6346281816571118</v>
      </c>
      <c r="J464" s="101">
        <f>+I464*$A$440</f>
        <v>61.077025453256894</v>
      </c>
      <c r="K464" s="61">
        <f>IF(AND(J464&lt;0, J462&lt;0), 0, J464)</f>
        <v>61.077025453256894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258.41538051497594</v>
      </c>
      <c r="AO464">
        <v>24.670557402800384</v>
      </c>
      <c r="AP464">
        <v>41.891105100688705</v>
      </c>
      <c r="AQ464">
        <v>173.76499408933057</v>
      </c>
      <c r="AR464">
        <v>24.872291048053093</v>
      </c>
      <c r="AS464">
        <v>345.90423565249512</v>
      </c>
      <c r="AT464">
        <v>15.607247475246162</v>
      </c>
      <c r="AU464">
        <v>27.929847125985244</v>
      </c>
      <c r="AV464"/>
      <c r="AW464"/>
      <c r="FY464" s="213">
        <v>459</v>
      </c>
      <c r="FZ464">
        <v>51.273764286714929</v>
      </c>
      <c r="GA464">
        <v>40.023342988445989</v>
      </c>
      <c r="GB464">
        <v>38.787262230774317</v>
      </c>
      <c r="GC464">
        <v>18.969184979286155</v>
      </c>
      <c r="GD464">
        <v>5.5331481232976829</v>
      </c>
      <c r="GE464">
        <v>7.1472786842773477</v>
      </c>
      <c r="GF464">
        <v>1.5994707413621971</v>
      </c>
      <c r="GG464">
        <v>3.2086294961933715</v>
      </c>
      <c r="GH464">
        <v>9.9620219058851305</v>
      </c>
      <c r="GI464">
        <v>22.101720357447359</v>
      </c>
      <c r="GJ464"/>
      <c r="GK464"/>
      <c r="GL464"/>
      <c r="GM464"/>
      <c r="GN464" s="208"/>
      <c r="GO464" s="208"/>
      <c r="GP464" s="208"/>
      <c r="GQ464" s="208"/>
      <c r="GR464" s="208"/>
      <c r="GS464" s="208"/>
      <c r="GT464" s="208"/>
      <c r="GU464" s="213">
        <v>459</v>
      </c>
    </row>
    <row r="465" spans="1:203" s="7" customFormat="1">
      <c r="A465" s="4"/>
      <c r="B465" s="4"/>
      <c r="C465" s="63">
        <v>4</v>
      </c>
      <c r="D465" s="101">
        <f>SUM($I$228:$I$347)/$A$438</f>
        <v>14.704193376068382</v>
      </c>
      <c r="E465" s="97">
        <f>+K36</f>
        <v>0.30139604277562043</v>
      </c>
      <c r="F465" s="102">
        <f>+D465-D467</f>
        <v>9.8576024669774736</v>
      </c>
      <c r="G465" s="101">
        <f>+D465*E465</f>
        <v>4.4317856957545008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275.76025975262502</v>
      </c>
      <c r="AO465">
        <v>26.952674146531052</v>
      </c>
      <c r="AP465">
        <v>20.84723619298866</v>
      </c>
      <c r="AQ465">
        <v>193.92482650322074</v>
      </c>
      <c r="AR465">
        <v>26.896376205799253</v>
      </c>
      <c r="AS465">
        <v>361.39999576680901</v>
      </c>
      <c r="AT465">
        <v>16.872098857361319</v>
      </c>
      <c r="AU465">
        <v>-24.44528956891762</v>
      </c>
      <c r="AV465"/>
      <c r="AW465"/>
      <c r="FY465" s="213">
        <v>460</v>
      </c>
      <c r="FZ465">
        <v>55.342952597207699</v>
      </c>
      <c r="GA465">
        <v>32.308764658934273</v>
      </c>
      <c r="GB465">
        <v>28.898813132313091</v>
      </c>
      <c r="GC465">
        <v>14.066657367331576</v>
      </c>
      <c r="GD465">
        <v>3.2637050577069164</v>
      </c>
      <c r="GE465">
        <v>6.9638175526073898</v>
      </c>
      <c r="GF465">
        <v>8.0284352068649927</v>
      </c>
      <c r="GG465">
        <v>6.2366929614327287</v>
      </c>
      <c r="GH465">
        <v>4.745155098500498</v>
      </c>
      <c r="GI465">
        <v>19.300665600696611</v>
      </c>
      <c r="GJ465"/>
      <c r="GK465"/>
      <c r="GL465"/>
      <c r="GM465"/>
      <c r="GN465" s="208"/>
      <c r="GO465" s="208"/>
      <c r="GP465" s="208"/>
      <c r="GQ465" s="208"/>
      <c r="GR465" s="208"/>
      <c r="GS465" s="208"/>
      <c r="GT465" s="208"/>
      <c r="GU465" s="213">
        <v>460</v>
      </c>
    </row>
    <row r="466" spans="1:203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0.40693961360848696</v>
      </c>
      <c r="I466" s="101">
        <f>+H466*F465</f>
        <v>4.0114489390178809</v>
      </c>
      <c r="J466" s="101">
        <f>+I466*$A$440</f>
        <v>32.091591512143047</v>
      </c>
      <c r="K466" s="61">
        <f>IF(AND(J466&lt;0, J464&lt;0), 0, J466)</f>
        <v>32.091591512143047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378.03847849879276</v>
      </c>
      <c r="AO466">
        <v>29.771721752182412</v>
      </c>
      <c r="AP466">
        <v>50.035781637795367</v>
      </c>
      <c r="AQ466">
        <v>210.43574310363007</v>
      </c>
      <c r="AR466">
        <v>29.724445514711377</v>
      </c>
      <c r="AS466">
        <v>422.63973364902586</v>
      </c>
      <c r="AT466">
        <v>18.343754288283801</v>
      </c>
      <c r="AU466">
        <v>21.405458696324541</v>
      </c>
      <c r="AV466"/>
      <c r="AW466"/>
      <c r="FY466" s="213">
        <v>461</v>
      </c>
      <c r="FZ466">
        <v>48.696109887803139</v>
      </c>
      <c r="GA466">
        <v>56.98961671014434</v>
      </c>
      <c r="GB466">
        <v>35.080255152519676</v>
      </c>
      <c r="GC466">
        <v>12.720417329395813</v>
      </c>
      <c r="GD466">
        <v>2.6198441360310438</v>
      </c>
      <c r="GE466">
        <v>3.3626504408413358</v>
      </c>
      <c r="GF466">
        <v>8.8440213269140155</v>
      </c>
      <c r="GG466">
        <v>6.7805167111102893</v>
      </c>
      <c r="GH466">
        <v>1.9525514493933334</v>
      </c>
      <c r="GI466">
        <v>19.203564341359513</v>
      </c>
      <c r="GJ466"/>
      <c r="GK466"/>
      <c r="GL466"/>
      <c r="GM466"/>
      <c r="GN466" s="208"/>
      <c r="GO466" s="208"/>
      <c r="GP466" s="208"/>
      <c r="GQ466" s="208"/>
      <c r="GR466" s="208"/>
      <c r="GS466" s="208"/>
      <c r="GT466" s="208"/>
      <c r="GU466" s="213">
        <v>461</v>
      </c>
    </row>
    <row r="467" spans="1:203" s="7" customFormat="1">
      <c r="A467" s="4"/>
      <c r="B467" s="4"/>
      <c r="C467" s="63">
        <v>5</v>
      </c>
      <c r="D467" s="101">
        <f>SUM($J$228:$J$347)/$A$438</f>
        <v>4.8465909090909083</v>
      </c>
      <c r="E467" s="97">
        <f>L36</f>
        <v>0.54944267880487196</v>
      </c>
      <c r="F467" s="102">
        <f>+D467-D469</f>
        <v>1.9507575757575752</v>
      </c>
      <c r="G467" s="101">
        <f>+D467*E467</f>
        <v>2.6629238921622482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270.68558742176765</v>
      </c>
      <c r="AO467">
        <v>24.182393932725866</v>
      </c>
      <c r="AP467">
        <v>34.717796940309753</v>
      </c>
      <c r="AQ467">
        <v>173.22746745465491</v>
      </c>
      <c r="AR467">
        <v>24.185603339185565</v>
      </c>
      <c r="AS467">
        <v>362.57673680111577</v>
      </c>
      <c r="AT467">
        <v>13.864708771433149</v>
      </c>
      <c r="AU467">
        <v>3.4319785702793553</v>
      </c>
      <c r="AV467"/>
      <c r="AW467"/>
      <c r="FY467" s="213">
        <v>462</v>
      </c>
      <c r="FZ467">
        <v>36.810336403347421</v>
      </c>
      <c r="GA467">
        <v>47.36921187660613</v>
      </c>
      <c r="GB467">
        <v>35.263877528610486</v>
      </c>
      <c r="GC467">
        <v>13.253887873701544</v>
      </c>
      <c r="GD467">
        <v>2.9192320768215723</v>
      </c>
      <c r="GE467">
        <v>3.9278475629894514</v>
      </c>
      <c r="GF467">
        <v>9.089502002614072</v>
      </c>
      <c r="GG467">
        <v>8.877045643464605</v>
      </c>
      <c r="GH467">
        <v>8.9240111988202901</v>
      </c>
      <c r="GI467">
        <v>18.819310416474444</v>
      </c>
      <c r="GJ467"/>
      <c r="GK467"/>
      <c r="GL467"/>
      <c r="GM467"/>
      <c r="GN467" s="208"/>
      <c r="GO467" s="208"/>
      <c r="GP467" s="208"/>
      <c r="GQ467" s="208"/>
      <c r="GR467" s="208"/>
      <c r="GS467" s="208"/>
      <c r="GT467" s="208"/>
      <c r="GU467" s="213">
        <v>462</v>
      </c>
    </row>
    <row r="468" spans="1:203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0.70219989056047882</v>
      </c>
      <c r="I468" s="101">
        <f>+H468*F467</f>
        <v>1.3698217562069943</v>
      </c>
      <c r="J468" s="101">
        <f>+I468*$A$440</f>
        <v>10.958574049655954</v>
      </c>
      <c r="K468" s="61">
        <f>IF(AND(J468&lt;0, J466&lt;0), 0, J468)</f>
        <v>10.958574049655954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266.86642613370134</v>
      </c>
      <c r="AO468">
        <v>22.030375446824582</v>
      </c>
      <c r="AP468">
        <v>17.173039901548396</v>
      </c>
      <c r="AQ468">
        <v>160.10286621744598</v>
      </c>
      <c r="AR468">
        <v>22.484219637150609</v>
      </c>
      <c r="AS468">
        <v>322.96532880558345</v>
      </c>
      <c r="AT468">
        <v>13.100786555433332</v>
      </c>
      <c r="AU468">
        <v>-4.5396555367966229</v>
      </c>
      <c r="AV468"/>
      <c r="AW468"/>
      <c r="FY468" s="213">
        <v>463</v>
      </c>
      <c r="FZ468">
        <v>52.762215927054399</v>
      </c>
      <c r="GA468">
        <v>43.846346871657204</v>
      </c>
      <c r="GB468">
        <v>29.312244395319468</v>
      </c>
      <c r="GC468">
        <v>15.250769437941743</v>
      </c>
      <c r="GD468">
        <v>4.2163384143916387</v>
      </c>
      <c r="GE468">
        <v>7.1767845015023708</v>
      </c>
      <c r="GF468">
        <v>6.4658572051125027</v>
      </c>
      <c r="GG468">
        <v>6.091398378300843</v>
      </c>
      <c r="GH468">
        <v>6.205650952722662</v>
      </c>
      <c r="GI468">
        <v>19.53878951726028</v>
      </c>
      <c r="GJ468"/>
      <c r="GK468"/>
      <c r="GL468"/>
      <c r="GM468"/>
      <c r="GN468" s="208"/>
      <c r="GO468" s="208"/>
      <c r="GP468" s="208"/>
      <c r="GQ468" s="208"/>
      <c r="GR468" s="208"/>
      <c r="GS468" s="208"/>
      <c r="GT468" s="208"/>
      <c r="GU468" s="213">
        <v>463</v>
      </c>
    </row>
    <row r="469" spans="1:203" s="7" customFormat="1">
      <c r="A469" s="4"/>
      <c r="B469" s="4"/>
      <c r="C469" s="63">
        <v>6</v>
      </c>
      <c r="D469" s="101">
        <f>SUM($K$228:$K$347)/$A$438</f>
        <v>2.895833333333333</v>
      </c>
      <c r="E469" s="97">
        <f>M36</f>
        <v>0.89742698433199364</v>
      </c>
      <c r="F469" s="102">
        <f>+D469-D471</f>
        <v>1.958333333333333</v>
      </c>
      <c r="G469" s="101">
        <f>+D469*E469</f>
        <v>2.5987989754613978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297.48005066914641</v>
      </c>
      <c r="AO469">
        <v>29.381740589255372</v>
      </c>
      <c r="AP469">
        <v>26.70345588870742</v>
      </c>
      <c r="AQ469">
        <v>219.04841891638256</v>
      </c>
      <c r="AR469">
        <v>29.132400403293946</v>
      </c>
      <c r="AS469">
        <v>381.86251299200302</v>
      </c>
      <c r="AT469">
        <v>18.037482112622584</v>
      </c>
      <c r="AU469">
        <v>-42.968788563543406</v>
      </c>
      <c r="AV469"/>
      <c r="AW469"/>
      <c r="FY469" s="213">
        <v>464</v>
      </c>
      <c r="FZ469">
        <v>43.959296734407189</v>
      </c>
      <c r="GA469">
        <v>29.807092262017946</v>
      </c>
      <c r="GB469">
        <v>20.546669250251735</v>
      </c>
      <c r="GC469">
        <v>10.373974996278962</v>
      </c>
      <c r="GD469">
        <v>2.6093287667083866</v>
      </c>
      <c r="GE469">
        <v>3.4550051233106251</v>
      </c>
      <c r="GF469">
        <v>8.3622795430976655</v>
      </c>
      <c r="GG469">
        <v>6.2399737227184833</v>
      </c>
      <c r="GH469">
        <v>4.5623230106696058</v>
      </c>
      <c r="GI469">
        <v>15.253710544867388</v>
      </c>
      <c r="GJ469"/>
      <c r="GK469"/>
      <c r="GL469"/>
      <c r="GM469"/>
      <c r="GN469" s="208"/>
      <c r="GO469" s="208"/>
      <c r="GP469" s="208"/>
      <c r="GQ469" s="208"/>
      <c r="GR469" s="208"/>
      <c r="GS469" s="208"/>
      <c r="GT469" s="208"/>
      <c r="GU469" s="213">
        <v>464</v>
      </c>
    </row>
    <row r="470" spans="1:203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1.1042719215447432</v>
      </c>
      <c r="I470" s="101">
        <f>+H470*F469</f>
        <v>2.1625325130251216</v>
      </c>
      <c r="J470" s="101">
        <f>+I470*$A$440</f>
        <v>17.300260104200973</v>
      </c>
      <c r="K470" s="61">
        <f>IF(AND(J470&lt;0, J468&lt;0), 0, J470)</f>
        <v>17.300260104200973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263.6245710666368</v>
      </c>
      <c r="AO470">
        <v>24.386872579689062</v>
      </c>
      <c r="AP470">
        <v>49.489634817408508</v>
      </c>
      <c r="AQ470">
        <v>164.74973974976672</v>
      </c>
      <c r="AR470">
        <v>25.276889672402554</v>
      </c>
      <c r="AS470">
        <v>401.66777840462845</v>
      </c>
      <c r="AT470">
        <v>15.92707255282477</v>
      </c>
      <c r="AU470">
        <v>33.715854968982327</v>
      </c>
      <c r="AV470"/>
      <c r="AW470"/>
      <c r="FY470" s="213">
        <v>465</v>
      </c>
      <c r="FZ470">
        <v>40.063105039954493</v>
      </c>
      <c r="GA470">
        <v>28.709379763385925</v>
      </c>
      <c r="GB470">
        <v>26.444908629479265</v>
      </c>
      <c r="GC470">
        <v>13.411528988364164</v>
      </c>
      <c r="GD470">
        <v>5.2001693241719193</v>
      </c>
      <c r="GE470">
        <v>7.282044378155307</v>
      </c>
      <c r="GF470">
        <v>2.2105215870183987</v>
      </c>
      <c r="GG470">
        <v>3.5079697554571956</v>
      </c>
      <c r="GH470">
        <v>9.0567816518696524</v>
      </c>
      <c r="GI470">
        <v>17.20639161677434</v>
      </c>
      <c r="GJ470"/>
      <c r="GK470"/>
      <c r="GL470"/>
      <c r="GM470"/>
      <c r="GN470" s="208"/>
      <c r="GO470" s="208"/>
      <c r="GP470" s="208"/>
      <c r="GQ470" s="208"/>
      <c r="GR470" s="208"/>
      <c r="GS470" s="208"/>
      <c r="GT470" s="208"/>
      <c r="GU470" s="213">
        <v>465</v>
      </c>
    </row>
    <row r="471" spans="1:203" s="7" customFormat="1">
      <c r="A471" s="4"/>
      <c r="B471" s="4"/>
      <c r="C471" s="63">
        <v>7</v>
      </c>
      <c r="D471" s="101">
        <f>SUM($L$228:$L$347)/$A$438</f>
        <v>0.9375</v>
      </c>
      <c r="E471" s="97">
        <f>+N36</f>
        <v>1.3587918549382612</v>
      </c>
      <c r="F471" s="102">
        <f>+D471-D473</f>
        <v>0.72916666666666674</v>
      </c>
      <c r="G471" s="101">
        <f>+D471*E471</f>
        <v>1.2738673640046199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254.95543078235124</v>
      </c>
      <c r="AO471">
        <v>22.4269689185601</v>
      </c>
      <c r="AP471">
        <v>30.294251404550131</v>
      </c>
      <c r="AQ471">
        <v>159.16167178441674</v>
      </c>
      <c r="AR471">
        <v>22.579365809802667</v>
      </c>
      <c r="AS471">
        <v>345.21837728876039</v>
      </c>
      <c r="AT471">
        <v>13.311530557210867</v>
      </c>
      <c r="AU471">
        <v>8.1615388081659717</v>
      </c>
      <c r="AV471"/>
      <c r="AW471"/>
      <c r="FY471" s="213">
        <v>466</v>
      </c>
      <c r="FZ471">
        <v>50.779455919438128</v>
      </c>
      <c r="GA471">
        <v>51.534553505313838</v>
      </c>
      <c r="GB471">
        <v>39.917521820178145</v>
      </c>
      <c r="GC471">
        <v>17.828793558600815</v>
      </c>
      <c r="GD471">
        <v>3.8200930073576247</v>
      </c>
      <c r="GE471">
        <v>3.8835717877358116</v>
      </c>
      <c r="GF471">
        <v>3.779447531100359</v>
      </c>
      <c r="GG471">
        <v>3.5130257255897428</v>
      </c>
      <c r="GH471">
        <v>3.9292107552198225</v>
      </c>
      <c r="GI471">
        <v>20.793619669256817</v>
      </c>
      <c r="GJ471"/>
      <c r="GK471"/>
      <c r="GL471"/>
      <c r="GM471"/>
      <c r="GN471" s="208"/>
      <c r="GO471" s="208"/>
      <c r="GP471" s="208"/>
      <c r="GQ471" s="208"/>
      <c r="GR471" s="208"/>
      <c r="GS471" s="208"/>
      <c r="GT471" s="208"/>
      <c r="GU471" s="213">
        <v>466</v>
      </c>
    </row>
    <row r="472" spans="1:203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1.6262267462759648</v>
      </c>
      <c r="I472" s="101">
        <f>+H472*F471</f>
        <v>1.1857903358262245</v>
      </c>
      <c r="J472" s="101">
        <f>+I472*$A$440</f>
        <v>9.4863226866097961</v>
      </c>
      <c r="K472" s="61">
        <f>IF(AND(J472&lt;0, J470&lt;0), 0, J472)</f>
        <v>9.4863226866097961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285.2984306207232</v>
      </c>
      <c r="AO472">
        <v>24.584940345768452</v>
      </c>
      <c r="AP472">
        <v>20.755340199199804</v>
      </c>
      <c r="AQ472">
        <v>181.83640807020552</v>
      </c>
      <c r="AR472">
        <v>24.307967203366502</v>
      </c>
      <c r="AS472">
        <v>371.48236341388912</v>
      </c>
      <c r="AT472">
        <v>14.800309509235285</v>
      </c>
      <c r="AU472">
        <v>-29.539140876422593</v>
      </c>
      <c r="AV472"/>
      <c r="AW472"/>
      <c r="FY472" s="213">
        <v>467</v>
      </c>
      <c r="FZ472">
        <v>56.983607853696306</v>
      </c>
      <c r="GA472">
        <v>42.652450456627129</v>
      </c>
      <c r="GB472">
        <v>36.319853441313356</v>
      </c>
      <c r="GC472">
        <v>17.310756767880861</v>
      </c>
      <c r="GD472">
        <v>3.0450901847574281</v>
      </c>
      <c r="GE472">
        <v>5.4468590542941495</v>
      </c>
      <c r="GF472">
        <v>2.6483358979592007</v>
      </c>
      <c r="GG472">
        <v>3.1341700224002849</v>
      </c>
      <c r="GH472">
        <v>6.3351236048941413</v>
      </c>
      <c r="GI472">
        <v>20.536264471506499</v>
      </c>
      <c r="GJ472"/>
      <c r="GK472"/>
      <c r="GL472"/>
      <c r="GM472"/>
      <c r="GN472" s="208"/>
      <c r="GO472" s="208"/>
      <c r="GP472" s="208"/>
      <c r="GQ472" s="208"/>
      <c r="GR472" s="208"/>
      <c r="GS472" s="208"/>
      <c r="GT472" s="208"/>
      <c r="GU472" s="213">
        <v>467</v>
      </c>
    </row>
    <row r="473" spans="1:203" s="7" customFormat="1">
      <c r="A473" s="4"/>
      <c r="B473" s="16"/>
      <c r="C473" s="63">
        <v>8</v>
      </c>
      <c r="D473" s="101">
        <f>SUM($M$228:$M$347)/$A$438</f>
        <v>0.20833333333333331</v>
      </c>
      <c r="E473" s="97">
        <f>O36</f>
        <v>1.9462976766397186</v>
      </c>
      <c r="F473" s="102">
        <f>+D473-D475</f>
        <v>0.20833333333333331</v>
      </c>
      <c r="G473" s="101">
        <f>+D473*E473</f>
        <v>0.40547868263327469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363.61357776517309</v>
      </c>
      <c r="AO473">
        <v>29.937018897706849</v>
      </c>
      <c r="AP473">
        <v>38.822208778943057</v>
      </c>
      <c r="AQ473">
        <v>195.40582397043238</v>
      </c>
      <c r="AR473">
        <v>29.363706582406394</v>
      </c>
      <c r="AS473">
        <v>520.2898872765636</v>
      </c>
      <c r="AT473">
        <v>17.666007925845726</v>
      </c>
      <c r="AU473">
        <v>-13.09384195799386</v>
      </c>
      <c r="AV473"/>
      <c r="AW473"/>
      <c r="FY473" s="213">
        <v>468</v>
      </c>
      <c r="FZ473">
        <v>65.036566861311115</v>
      </c>
      <c r="GA473">
        <v>42.999793313984476</v>
      </c>
      <c r="GB473">
        <v>25.510472197245146</v>
      </c>
      <c r="GC473">
        <v>13.56317135942616</v>
      </c>
      <c r="GD473">
        <v>4.9969374086828351</v>
      </c>
      <c r="GE473">
        <v>5.9432123017721743</v>
      </c>
      <c r="GF473">
        <v>1.3659464771985537</v>
      </c>
      <c r="GG473">
        <v>3.0324539657664213</v>
      </c>
      <c r="GH473">
        <v>6.8908256654397224</v>
      </c>
      <c r="GI473">
        <v>20.03067389095877</v>
      </c>
      <c r="GJ473"/>
      <c r="GK473"/>
      <c r="GL473"/>
      <c r="GM473"/>
      <c r="GN473" s="208"/>
      <c r="GO473" s="208"/>
      <c r="GP473" s="208"/>
      <c r="GQ473" s="208"/>
      <c r="GR473" s="208"/>
      <c r="GS473" s="208"/>
      <c r="GT473" s="208"/>
      <c r="GU473" s="213">
        <v>468</v>
      </c>
    </row>
    <row r="474" spans="1:203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2.280525764869402</v>
      </c>
      <c r="I474" s="101">
        <f>+H474*F473</f>
        <v>0.47510953434779202</v>
      </c>
      <c r="J474" s="101">
        <f>+I474*$A$440</f>
        <v>3.8008762747823361</v>
      </c>
      <c r="K474" s="61">
        <f>IF(AND(J474&lt;0, J472&lt;0), 0, J474)</f>
        <v>3.8008762747823361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334.12013524849374</v>
      </c>
      <c r="AO474">
        <v>32.953672405804539</v>
      </c>
      <c r="AP474">
        <v>50.439308935476909</v>
      </c>
      <c r="AQ474">
        <v>248.88669068753606</v>
      </c>
      <c r="AR474">
        <v>32.616013105451756</v>
      </c>
      <c r="AS474">
        <v>438.5899536523807</v>
      </c>
      <c r="AT474">
        <v>20.524357953307021</v>
      </c>
      <c r="AU474">
        <v>-37.656089420123052</v>
      </c>
      <c r="AV474"/>
      <c r="AW474"/>
      <c r="FY474" s="213">
        <v>469</v>
      </c>
      <c r="FZ474">
        <v>43.900314469063076</v>
      </c>
      <c r="GA474">
        <v>60.34882637596607</v>
      </c>
      <c r="GB474">
        <v>39.698324443644097</v>
      </c>
      <c r="GC474">
        <v>12.792907944754772</v>
      </c>
      <c r="GD474">
        <v>6.0894609005815434</v>
      </c>
      <c r="GE474">
        <v>10.531939757340316</v>
      </c>
      <c r="GF474">
        <v>10.941996867723685</v>
      </c>
      <c r="GG474">
        <v>9.3600016942506272</v>
      </c>
      <c r="GH474">
        <v>7.1292324911744434</v>
      </c>
      <c r="GI474">
        <v>22.808543661281618</v>
      </c>
      <c r="GJ474"/>
      <c r="GK474"/>
      <c r="GL474"/>
      <c r="GM474"/>
      <c r="GN474" s="208"/>
      <c r="GO474" s="208"/>
      <c r="GP474" s="208"/>
      <c r="GQ474" s="208"/>
      <c r="GR474" s="208"/>
      <c r="GS474" s="208"/>
      <c r="GT474" s="208"/>
      <c r="GU474" s="213">
        <v>469</v>
      </c>
    </row>
    <row r="475" spans="1:203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2.6721491921073159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326.07861728302305</v>
      </c>
      <c r="AO475">
        <v>29.048197748897838</v>
      </c>
      <c r="AP475">
        <v>43.85586835725762</v>
      </c>
      <c r="AQ475">
        <v>198.60582379368449</v>
      </c>
      <c r="AR475">
        <v>30.200487748716274</v>
      </c>
      <c r="AS475">
        <v>481.88770487152061</v>
      </c>
      <c r="AT475">
        <v>19.296274831208887</v>
      </c>
      <c r="AU475">
        <v>2.0520043899676423</v>
      </c>
      <c r="AV475"/>
      <c r="AW475"/>
      <c r="FY475" s="213">
        <v>470</v>
      </c>
      <c r="FZ475">
        <v>64.993956712990311</v>
      </c>
      <c r="GA475">
        <v>48.570376032919889</v>
      </c>
      <c r="GB475">
        <v>31.882535649933864</v>
      </c>
      <c r="GC475">
        <v>14.085616669277146</v>
      </c>
      <c r="GD475">
        <v>4.207667949337603</v>
      </c>
      <c r="GE475">
        <v>7.8904919222268113</v>
      </c>
      <c r="GF475">
        <v>4.3622876643705446</v>
      </c>
      <c r="GG475">
        <v>7.3094310575664085</v>
      </c>
      <c r="GH475">
        <v>11.500308277678279</v>
      </c>
      <c r="GI475">
        <v>22.407587016642101</v>
      </c>
      <c r="GJ475"/>
      <c r="GK475"/>
      <c r="GL475"/>
      <c r="GM475"/>
      <c r="GN475" s="208"/>
      <c r="GO475" s="208"/>
      <c r="GP475" s="208"/>
      <c r="GQ475" s="208"/>
      <c r="GR475" s="208"/>
      <c r="GS475" s="208"/>
      <c r="GT475" s="208"/>
      <c r="GU475" s="213">
        <v>470</v>
      </c>
    </row>
    <row r="476" spans="1:203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3.079125608397741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282.7736869159566</v>
      </c>
      <c r="AO476">
        <v>25.244718138851518</v>
      </c>
      <c r="AP476">
        <v>25.014673542169763</v>
      </c>
      <c r="AQ476">
        <v>179.15565923359583</v>
      </c>
      <c r="AR476">
        <v>26.648848698839007</v>
      </c>
      <c r="AS476">
        <v>418.4045936579551</v>
      </c>
      <c r="AT476">
        <v>15.453149414609499</v>
      </c>
      <c r="AU476">
        <v>16.716903921255685</v>
      </c>
      <c r="AV476"/>
      <c r="AW476"/>
      <c r="FY476" s="213">
        <v>471</v>
      </c>
      <c r="FZ476">
        <v>46.231799004772959</v>
      </c>
      <c r="GA476">
        <v>50.912546376914804</v>
      </c>
      <c r="GB476">
        <v>34.052640866236551</v>
      </c>
      <c r="GC476">
        <v>13.715758960158793</v>
      </c>
      <c r="GD476">
        <v>3.1875045663797281</v>
      </c>
      <c r="GE476">
        <v>3.8446469803820786</v>
      </c>
      <c r="GF476">
        <v>3.5785378243590142</v>
      </c>
      <c r="GG476">
        <v>3.3023693696146879</v>
      </c>
      <c r="GH476">
        <v>2.9181680830468837</v>
      </c>
      <c r="GI476">
        <v>18.106447630727864</v>
      </c>
      <c r="GJ476"/>
      <c r="GK476"/>
      <c r="GL476"/>
      <c r="GM476"/>
      <c r="GN476" s="208"/>
      <c r="GO476" s="208"/>
      <c r="GP476" s="208"/>
      <c r="GQ476" s="208"/>
      <c r="GR476" s="208"/>
      <c r="GS476" s="208"/>
      <c r="GT476" s="208"/>
      <c r="GU476" s="213">
        <v>471</v>
      </c>
    </row>
    <row r="477" spans="1:203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3.5480857656805531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264.32639832248026</v>
      </c>
      <c r="AO477">
        <v>26.145730658637451</v>
      </c>
      <c r="AP477">
        <v>19.843127033074651</v>
      </c>
      <c r="AQ477">
        <v>196.24954748551249</v>
      </c>
      <c r="AR477">
        <v>26.3424805561109</v>
      </c>
      <c r="AS477">
        <v>393.55156417120384</v>
      </c>
      <c r="AT477">
        <v>15.777757705717866</v>
      </c>
      <c r="AU477">
        <v>-20.381922301723606</v>
      </c>
      <c r="AV477"/>
      <c r="AW477"/>
      <c r="FY477" s="213">
        <v>472</v>
      </c>
      <c r="FZ477">
        <v>53.027092039343266</v>
      </c>
      <c r="GA477">
        <v>47.64091058200799</v>
      </c>
      <c r="GB477">
        <v>41.708107870423255</v>
      </c>
      <c r="GC477">
        <v>18.841946570796239</v>
      </c>
      <c r="GD477">
        <v>3.0531091742578824</v>
      </c>
      <c r="GE477">
        <v>2.9273406354358662</v>
      </c>
      <c r="GF477">
        <v>4.6424762453623867</v>
      </c>
      <c r="GG477">
        <v>6.7075858881833081</v>
      </c>
      <c r="GH477">
        <v>11.973194253115587</v>
      </c>
      <c r="GI477">
        <v>22.540331373198285</v>
      </c>
      <c r="GJ477"/>
      <c r="GK477"/>
      <c r="GL477"/>
      <c r="GM477"/>
      <c r="GN477" s="208"/>
      <c r="GO477" s="208"/>
      <c r="GP477" s="208"/>
      <c r="GQ477" s="208"/>
      <c r="GR477" s="208"/>
      <c r="GS477" s="208"/>
      <c r="GT477" s="208"/>
      <c r="GU477" s="213">
        <v>472</v>
      </c>
    </row>
    <row r="478" spans="1:203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4.0335548505366168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244.24930577654771</v>
      </c>
      <c r="AO478">
        <v>25.553033408894969</v>
      </c>
      <c r="AP478">
        <v>25.928684777018248</v>
      </c>
      <c r="AQ478">
        <v>185.25426258345004</v>
      </c>
      <c r="AR478">
        <v>25.770757308875012</v>
      </c>
      <c r="AS478">
        <v>360.53302734450199</v>
      </c>
      <c r="AT478">
        <v>15.953801014168825</v>
      </c>
      <c r="AU478">
        <v>-13.43034863969951</v>
      </c>
      <c r="AV478"/>
      <c r="AW478"/>
      <c r="FY478" s="213">
        <v>473</v>
      </c>
      <c r="FZ478">
        <v>53.127694727383378</v>
      </c>
      <c r="GA478">
        <v>48.642940806507035</v>
      </c>
      <c r="GB478">
        <v>29.012763796262604</v>
      </c>
      <c r="GC478">
        <v>15.626992437402112</v>
      </c>
      <c r="GD478">
        <v>4.2547993452749795</v>
      </c>
      <c r="GE478">
        <v>2.8038955556646017</v>
      </c>
      <c r="GF478">
        <v>5.1650286491843289</v>
      </c>
      <c r="GG478">
        <v>3.7349624410537121</v>
      </c>
      <c r="GH478">
        <v>9.0330302456837792</v>
      </c>
      <c r="GI478">
        <v>19.76885003009739</v>
      </c>
      <c r="GJ478"/>
      <c r="GK478"/>
      <c r="GL478"/>
      <c r="GM478"/>
      <c r="GN478" s="208"/>
      <c r="GO478" s="208"/>
      <c r="GP478" s="208"/>
      <c r="GQ478" s="208"/>
      <c r="GR478" s="208"/>
      <c r="GS478" s="208"/>
      <c r="GT478" s="208"/>
      <c r="GU478" s="213">
        <v>473</v>
      </c>
    </row>
    <row r="479" spans="1:203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4.5854485507812486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298.21763541688244</v>
      </c>
      <c r="AO479">
        <v>26.704275782771049</v>
      </c>
      <c r="AP479">
        <v>24.82406320487237</v>
      </c>
      <c r="AQ479">
        <v>190.86639560126312</v>
      </c>
      <c r="AR479">
        <v>26.804126359748381</v>
      </c>
      <c r="AS479">
        <v>393.40867762135684</v>
      </c>
      <c r="AT479">
        <v>15.512258151201507</v>
      </c>
      <c r="AU479">
        <v>-2.5538014316034463</v>
      </c>
      <c r="AV479"/>
      <c r="AW479"/>
      <c r="FY479" s="213">
        <v>474</v>
      </c>
      <c r="FZ479">
        <v>48.621864688659663</v>
      </c>
      <c r="GA479">
        <v>43.189229213204037</v>
      </c>
      <c r="GB479">
        <v>33.556693497241824</v>
      </c>
      <c r="GC479">
        <v>17.660447727207444</v>
      </c>
      <c r="GD479">
        <v>5.0273959839057838</v>
      </c>
      <c r="GE479">
        <v>4.9101851618468251</v>
      </c>
      <c r="GF479">
        <v>1.7287798032020487</v>
      </c>
      <c r="GG479">
        <v>1.2446975677679841</v>
      </c>
      <c r="GH479">
        <v>7.5775296052783192</v>
      </c>
      <c r="GI479">
        <v>19.794898738608364</v>
      </c>
      <c r="GJ479"/>
      <c r="GK479"/>
      <c r="GL479"/>
      <c r="GM479"/>
      <c r="GN479" s="208"/>
      <c r="GO479" s="208"/>
      <c r="GP479" s="208"/>
      <c r="GQ479" s="208"/>
      <c r="GR479" s="208"/>
      <c r="GS479" s="208"/>
      <c r="GT479" s="208"/>
      <c r="GU479" s="213">
        <v>474</v>
      </c>
    </row>
    <row r="480" spans="1:203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5.1549722725896592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216.74240885518958</v>
      </c>
      <c r="AO480">
        <v>19.902183198530629</v>
      </c>
      <c r="AP480">
        <v>34.807782770560607</v>
      </c>
      <c r="AQ480">
        <v>145.169653954328</v>
      </c>
      <c r="AR480">
        <v>21.041071504254962</v>
      </c>
      <c r="AS480">
        <v>289.83101194728027</v>
      </c>
      <c r="AT480">
        <v>12.3269847934108</v>
      </c>
      <c r="AU480">
        <v>7.4803139680306643</v>
      </c>
      <c r="AV480"/>
      <c r="AW480"/>
      <c r="FY480" s="213">
        <v>475</v>
      </c>
      <c r="FZ480">
        <v>53.078903269887064</v>
      </c>
      <c r="GA480">
        <v>55.069745831389206</v>
      </c>
      <c r="GB480">
        <v>38.702008954887717</v>
      </c>
      <c r="GC480">
        <v>16.313352566257215</v>
      </c>
      <c r="GD480">
        <v>3.311748224257745</v>
      </c>
      <c r="GE480">
        <v>4.6296058990630105</v>
      </c>
      <c r="GF480">
        <v>2.1192863012314893</v>
      </c>
      <c r="GG480">
        <v>3.2961283517845685</v>
      </c>
      <c r="GH480">
        <v>8.1573608585597981</v>
      </c>
      <c r="GI480">
        <v>20.884697599926014</v>
      </c>
      <c r="GJ480"/>
      <c r="GK480"/>
      <c r="GL480"/>
      <c r="GM480"/>
      <c r="GN480" s="208"/>
      <c r="GO480" s="208"/>
      <c r="GP480" s="208"/>
      <c r="GQ480" s="208"/>
      <c r="GR480" s="208"/>
      <c r="GS480" s="208"/>
      <c r="GT480" s="208"/>
      <c r="GU480" s="213">
        <v>475</v>
      </c>
    </row>
    <row r="481" spans="1:203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5.7952322083388497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287.65135362097215</v>
      </c>
      <c r="AO481">
        <v>22.475361623466991</v>
      </c>
      <c r="AP481">
        <v>25.368103345756449</v>
      </c>
      <c r="AQ481">
        <v>153.09280073463066</v>
      </c>
      <c r="AR481">
        <v>23.558260028071359</v>
      </c>
      <c r="AS481">
        <v>350.24075692925487</v>
      </c>
      <c r="AT481">
        <v>14.257001067221339</v>
      </c>
      <c r="AU481">
        <v>-4.762364240293401</v>
      </c>
      <c r="AV481"/>
      <c r="AW481"/>
      <c r="FY481" s="213">
        <v>476</v>
      </c>
      <c r="FZ481">
        <v>63.375486888779513</v>
      </c>
      <c r="GA481">
        <v>52.356426404644729</v>
      </c>
      <c r="GB481">
        <v>24.0845572591817</v>
      </c>
      <c r="GC481">
        <v>11.444603934106409</v>
      </c>
      <c r="GD481">
        <v>2.0017539173159897</v>
      </c>
      <c r="GE481">
        <v>1.9753264078038724</v>
      </c>
      <c r="GF481">
        <v>8.4535148288845754</v>
      </c>
      <c r="GG481">
        <v>8.2559453062874457</v>
      </c>
      <c r="GH481">
        <v>10.549092770051313</v>
      </c>
      <c r="GI481">
        <v>19.623860407139489</v>
      </c>
      <c r="GJ481"/>
      <c r="GK481"/>
      <c r="GL481"/>
      <c r="GM481"/>
      <c r="GN481" s="208"/>
      <c r="GO481" s="208"/>
      <c r="GP481" s="208"/>
      <c r="GQ481" s="208"/>
      <c r="GR481" s="208"/>
      <c r="GS481" s="208"/>
      <c r="GT481" s="208"/>
      <c r="GU481" s="213">
        <v>476</v>
      </c>
    </row>
    <row r="482" spans="1:203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6.4542124433467105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274.37329838664709</v>
      </c>
      <c r="AO482">
        <v>28.11617803093862</v>
      </c>
      <c r="AP482">
        <v>62.962914589725358</v>
      </c>
      <c r="AQ482">
        <v>199.77929327979109</v>
      </c>
      <c r="AR482">
        <v>28.489566390352518</v>
      </c>
      <c r="AS482">
        <v>402.15886106853128</v>
      </c>
      <c r="AT482" t="e">
        <v>#DIV/0!</v>
      </c>
      <c r="AU482" t="e">
        <v>#DIV/0!</v>
      </c>
      <c r="AV482"/>
      <c r="AW482"/>
      <c r="FY482" s="213">
        <v>477</v>
      </c>
      <c r="FZ482">
        <v>43.312558963333345</v>
      </c>
      <c r="GA482">
        <v>42.682642269131406</v>
      </c>
      <c r="GB482">
        <v>31.672116905497237</v>
      </c>
      <c r="GC482">
        <v>12.439680728656073</v>
      </c>
      <c r="GD482">
        <v>2.6396664874801021</v>
      </c>
      <c r="GE482">
        <v>3.4544544018603625</v>
      </c>
      <c r="GF482">
        <v>1.2682284677805309</v>
      </c>
      <c r="GG482">
        <v>0.62634162702900364</v>
      </c>
      <c r="GH482">
        <v>3.9418070207515372</v>
      </c>
      <c r="GI482">
        <v>16.52829623639423</v>
      </c>
      <c r="GJ482"/>
      <c r="GK482"/>
      <c r="GL482"/>
      <c r="GM482"/>
      <c r="GN482" s="208"/>
      <c r="GO482" s="208"/>
      <c r="GP482" s="208"/>
      <c r="GQ482" s="208"/>
      <c r="GR482" s="208"/>
      <c r="GS482" s="208"/>
      <c r="GT482" s="208"/>
      <c r="GU482" s="213">
        <v>477</v>
      </c>
    </row>
    <row r="483" spans="1:203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7.1881258189983859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263.96442260115543</v>
      </c>
      <c r="AO483">
        <v>27.216105933043263</v>
      </c>
      <c r="AP483">
        <v>9.0266525424413313</v>
      </c>
      <c r="AQ483">
        <v>194.41251175532938</v>
      </c>
      <c r="AR483">
        <v>28.106766816941111</v>
      </c>
      <c r="AS483">
        <v>363.06524287299953</v>
      </c>
      <c r="AT483">
        <v>17.852106379249374</v>
      </c>
      <c r="AU483">
        <v>-11.437146662673328</v>
      </c>
      <c r="AV483"/>
      <c r="AW483"/>
      <c r="FY483" s="213">
        <v>478</v>
      </c>
      <c r="FZ483">
        <v>39.53671005332783</v>
      </c>
      <c r="GA483">
        <v>30.772150065642439</v>
      </c>
      <c r="GB483">
        <v>26.627639150847411</v>
      </c>
      <c r="GC483">
        <v>14.859257941763055</v>
      </c>
      <c r="GD483">
        <v>3.8703477220145803</v>
      </c>
      <c r="GE483">
        <v>5.0042042561124234</v>
      </c>
      <c r="GF483">
        <v>5.2519660456580493</v>
      </c>
      <c r="GG483">
        <v>3.5181544129906235</v>
      </c>
      <c r="GH483">
        <v>6.4815604401189644</v>
      </c>
      <c r="GI483">
        <v>16.54958491984527</v>
      </c>
      <c r="GJ483"/>
      <c r="GK483"/>
      <c r="GL483"/>
      <c r="GM483"/>
      <c r="GN483" s="208"/>
      <c r="GO483" s="208"/>
      <c r="GP483" s="208"/>
      <c r="GQ483" s="208"/>
      <c r="GR483" s="208"/>
      <c r="GS483" s="208"/>
      <c r="GT483" s="208"/>
      <c r="GU483" s="213">
        <v>478</v>
      </c>
    </row>
    <row r="484" spans="1:203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7.9418222332345509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280.10796741635863</v>
      </c>
      <c r="AO484">
        <v>25.931501974928047</v>
      </c>
      <c r="AP484">
        <v>33.528541889425171</v>
      </c>
      <c r="AQ484">
        <v>189.37005344178539</v>
      </c>
      <c r="AR484">
        <v>27.620811756867738</v>
      </c>
      <c r="AS484">
        <v>379.22302279983364</v>
      </c>
      <c r="AT484">
        <v>16.481612307760944</v>
      </c>
      <c r="AU484">
        <v>38.312473523011491</v>
      </c>
      <c r="AV484"/>
      <c r="AW484"/>
      <c r="FY484" s="213">
        <v>479</v>
      </c>
      <c r="FZ484">
        <v>51.642971137204867</v>
      </c>
      <c r="GA484">
        <v>29.928103081450999</v>
      </c>
      <c r="GB484">
        <v>22.26332318799124</v>
      </c>
      <c r="GC484">
        <v>13.479531389003821</v>
      </c>
      <c r="GD484">
        <v>1.9755067092150702</v>
      </c>
      <c r="GE484">
        <v>0.86067524397119044</v>
      </c>
      <c r="GF484">
        <v>1.3567269096147903</v>
      </c>
      <c r="GG484">
        <v>3.2645539856850601</v>
      </c>
      <c r="GH484">
        <v>6.3006414870453735</v>
      </c>
      <c r="GI484">
        <v>15.458269762348825</v>
      </c>
      <c r="GJ484"/>
      <c r="GK484"/>
      <c r="GL484"/>
      <c r="GM484"/>
      <c r="GN484" s="208"/>
      <c r="GO484" s="208"/>
      <c r="GP484" s="208"/>
      <c r="GQ484" s="208"/>
      <c r="GR484" s="208"/>
      <c r="GS484" s="208"/>
      <c r="GT484" s="208"/>
      <c r="GU484" s="213">
        <v>479</v>
      </c>
    </row>
    <row r="485" spans="1:203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8.7745459626758926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368.14891256772853</v>
      </c>
      <c r="AO485">
        <v>31.094754317039804</v>
      </c>
      <c r="AP485">
        <v>43.866962839009247</v>
      </c>
      <c r="AQ485">
        <v>223.60154860578024</v>
      </c>
      <c r="AR485">
        <v>31.211417075563052</v>
      </c>
      <c r="AS485">
        <v>501.17230636222553</v>
      </c>
      <c r="AT485">
        <v>19.945983378647178</v>
      </c>
      <c r="AU485">
        <v>-33.544784976890654</v>
      </c>
      <c r="AV485"/>
      <c r="AW485"/>
      <c r="FY485" s="213">
        <v>480</v>
      </c>
      <c r="FZ485">
        <v>59.8057255832504</v>
      </c>
      <c r="GA485">
        <v>62.541376169739024</v>
      </c>
      <c r="GB485">
        <v>30.257079978690872</v>
      </c>
      <c r="GC485">
        <v>9.4994061027428351</v>
      </c>
      <c r="GD485">
        <v>2.8750014710094467</v>
      </c>
      <c r="GE485">
        <v>5.0222023746382281</v>
      </c>
      <c r="GF485">
        <v>2.4560022627184557</v>
      </c>
      <c r="GG485">
        <v>5.2138123491665489</v>
      </c>
      <c r="GH485">
        <v>9.3499669964259091</v>
      </c>
      <c r="GI485">
        <v>19.795772106382728</v>
      </c>
      <c r="GJ485"/>
      <c r="GK485"/>
      <c r="GL485"/>
      <c r="GM485"/>
      <c r="GN485" s="208"/>
      <c r="GO485" s="208"/>
      <c r="GP485" s="208"/>
      <c r="GQ485" s="208"/>
      <c r="GR485" s="208"/>
      <c r="GS485" s="208"/>
      <c r="GT485" s="208"/>
      <c r="GU485" s="213">
        <v>480</v>
      </c>
    </row>
    <row r="486" spans="1:203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9.6280906435497275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300.95008283038698</v>
      </c>
      <c r="AO486">
        <v>29.595869887809972</v>
      </c>
      <c r="AP486">
        <v>64.590901109517048</v>
      </c>
      <c r="AQ486">
        <v>217.21025895294295</v>
      </c>
      <c r="AR486">
        <v>30.953300942120904</v>
      </c>
      <c r="AS486">
        <v>437.21860053623777</v>
      </c>
      <c r="AT486">
        <v>18.660159974208167</v>
      </c>
      <c r="AU486">
        <v>19.230471692451033</v>
      </c>
      <c r="AV486"/>
      <c r="AW486"/>
      <c r="FY486" s="213">
        <v>481</v>
      </c>
      <c r="FZ486">
        <v>50.601432398248555</v>
      </c>
      <c r="GA486">
        <v>42.997607706856257</v>
      </c>
      <c r="GB486">
        <v>31.426316976820289</v>
      </c>
      <c r="GC486">
        <v>16.359673468357446</v>
      </c>
      <c r="GD486">
        <v>3.4416493578471585</v>
      </c>
      <c r="GE486">
        <v>5.6866557471714003</v>
      </c>
      <c r="GF486">
        <v>4.6198595329086558</v>
      </c>
      <c r="GG486">
        <v>4.326827935024693</v>
      </c>
      <c r="GH486">
        <v>8.3744603389995795</v>
      </c>
      <c r="GI486">
        <v>19.296157723132048</v>
      </c>
      <c r="GJ486"/>
      <c r="GK486"/>
      <c r="GL486"/>
      <c r="GM486"/>
      <c r="GN486" s="208"/>
      <c r="GO486" s="208"/>
      <c r="GP486" s="208"/>
      <c r="GQ486" s="208"/>
      <c r="GR486" s="208"/>
      <c r="GS486" s="208"/>
      <c r="GT486" s="208"/>
      <c r="GU486" s="213">
        <v>481</v>
      </c>
    </row>
    <row r="487" spans="1:203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10.564663953522661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251.91547395377484</v>
      </c>
      <c r="AO487">
        <v>24.638951765541272</v>
      </c>
      <c r="AP487">
        <v>10.906033220547615</v>
      </c>
      <c r="AQ487">
        <v>179.85041966259334</v>
      </c>
      <c r="AR487">
        <v>24.854796060053172</v>
      </c>
      <c r="AS487">
        <v>381.29759137415209</v>
      </c>
      <c r="AT487">
        <v>15.063945958837868</v>
      </c>
      <c r="AU487">
        <v>-19.552944609375743</v>
      </c>
      <c r="AV487"/>
      <c r="AW487"/>
      <c r="FY487" s="213">
        <v>482</v>
      </c>
      <c r="FZ487">
        <v>51.610418186583971</v>
      </c>
      <c r="GA487">
        <v>38.457190010788615</v>
      </c>
      <c r="GB487">
        <v>32.942799187393597</v>
      </c>
      <c r="GC487">
        <v>16.863468868151536</v>
      </c>
      <c r="GD487">
        <v>4.4153105177102736</v>
      </c>
      <c r="GE487">
        <v>8.3623782248651164</v>
      </c>
      <c r="GF487">
        <v>14.117168589543363</v>
      </c>
      <c r="GG487">
        <v>13.251809347762705</v>
      </c>
      <c r="GH487">
        <v>11.21290980812751</v>
      </c>
      <c r="GI487">
        <v>22.571933029557187</v>
      </c>
      <c r="GJ487"/>
      <c r="GK487"/>
      <c r="GL487"/>
      <c r="GM487"/>
      <c r="GN487" s="208"/>
      <c r="GO487" s="208"/>
      <c r="GP487" s="208"/>
      <c r="GQ487" s="208"/>
      <c r="GR487" s="208"/>
      <c r="GS487" s="208"/>
      <c r="GT487" s="208"/>
      <c r="GU487" s="213">
        <v>482</v>
      </c>
    </row>
    <row r="488" spans="1:203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11.523073576873449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272.05251878390754</v>
      </c>
      <c r="AO488">
        <v>29.886541571393366</v>
      </c>
      <c r="AP488">
        <v>28.184110750603818</v>
      </c>
      <c r="AQ488">
        <v>213.06209463212406</v>
      </c>
      <c r="AR488">
        <v>30.982008857071659</v>
      </c>
      <c r="AS488">
        <v>413.75082966598541</v>
      </c>
      <c r="AT488">
        <v>19.573258019170584</v>
      </c>
      <c r="AU488">
        <v>-13.422841894327149</v>
      </c>
      <c r="AV488"/>
      <c r="AW488"/>
      <c r="FY488" s="213">
        <v>483</v>
      </c>
      <c r="FZ488">
        <v>50.876082895133514</v>
      </c>
      <c r="GA488">
        <v>44.549693872371407</v>
      </c>
      <c r="GB488">
        <v>28.758224960262034</v>
      </c>
      <c r="GC488">
        <v>12.96146113159193</v>
      </c>
      <c r="GD488">
        <v>5.3348555405235709</v>
      </c>
      <c r="GE488">
        <v>8.2962195693692529</v>
      </c>
      <c r="GF488">
        <v>8.365151168351959</v>
      </c>
      <c r="GG488">
        <v>5.2226286020007304</v>
      </c>
      <c r="GH488">
        <v>3.7690054638922716</v>
      </c>
      <c r="GI488">
        <v>19.720176678796719</v>
      </c>
      <c r="GJ488"/>
      <c r="GK488"/>
      <c r="GL488"/>
      <c r="GM488"/>
      <c r="GN488" s="208"/>
      <c r="GO488" s="208"/>
      <c r="GP488" s="208"/>
      <c r="GQ488" s="208"/>
      <c r="GR488" s="208"/>
      <c r="GS488" s="208"/>
      <c r="GT488" s="208"/>
      <c r="GU488" s="213">
        <v>483</v>
      </c>
    </row>
    <row r="489" spans="1:203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12.568428607117669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246.37745822535598</v>
      </c>
      <c r="AO489">
        <v>26.221690559558709</v>
      </c>
      <c r="AP489">
        <v>13.553912477344785</v>
      </c>
      <c r="AQ489">
        <v>191.17095803451397</v>
      </c>
      <c r="AR489">
        <v>27.125501391295806</v>
      </c>
      <c r="AS489">
        <v>373.04487898917279</v>
      </c>
      <c r="AT489">
        <v>16.608638767305546</v>
      </c>
      <c r="AU489">
        <v>-13.689088747844764</v>
      </c>
      <c r="AV489"/>
      <c r="AW489"/>
      <c r="FY489" s="213">
        <v>484</v>
      </c>
      <c r="FZ489">
        <v>57.871707518479035</v>
      </c>
      <c r="GA489">
        <v>49.490513032535652</v>
      </c>
      <c r="GB489">
        <v>38.357841315042485</v>
      </c>
      <c r="GC489">
        <v>17.85247805287414</v>
      </c>
      <c r="GD489">
        <v>2.8791153232546578</v>
      </c>
      <c r="GE489">
        <v>2.8608993680312897</v>
      </c>
      <c r="GF489">
        <v>4.1726908730824501</v>
      </c>
      <c r="GG489">
        <v>5.8999400433264739</v>
      </c>
      <c r="GH489">
        <v>6.5235860736565243</v>
      </c>
      <c r="GI489">
        <v>21.379750293304689</v>
      </c>
      <c r="GJ489"/>
      <c r="GK489"/>
      <c r="GL489"/>
      <c r="GM489"/>
      <c r="GN489" s="208"/>
      <c r="GO489" s="208"/>
      <c r="GP489" s="208"/>
      <c r="GQ489" s="208"/>
      <c r="GR489" s="208"/>
      <c r="GS489" s="208"/>
      <c r="GT489" s="208"/>
      <c r="GU489" s="213">
        <v>484</v>
      </c>
    </row>
    <row r="490" spans="1:203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13.636614694721723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306.17413155614292</v>
      </c>
      <c r="AO490">
        <v>26.449516633914179</v>
      </c>
      <c r="AP490">
        <v>26.728859856083439</v>
      </c>
      <c r="AQ490">
        <v>183.31172198692232</v>
      </c>
      <c r="AR490">
        <v>27.16904744330726</v>
      </c>
      <c r="AS490">
        <v>427.62022457976303</v>
      </c>
      <c r="AT490">
        <v>16.70019497910468</v>
      </c>
      <c r="AU490">
        <v>-18.251264456044986</v>
      </c>
      <c r="AV490"/>
      <c r="AW490"/>
      <c r="FY490" s="213">
        <v>485</v>
      </c>
      <c r="FZ490">
        <v>63.601546763965985</v>
      </c>
      <c r="GA490">
        <v>55.388968695501362</v>
      </c>
      <c r="GB490">
        <v>26.627382687342354</v>
      </c>
      <c r="GC490">
        <v>13.778193325825933</v>
      </c>
      <c r="GD490">
        <v>3.6331412827898912</v>
      </c>
      <c r="GE490">
        <v>4.9555401610152501</v>
      </c>
      <c r="GF490">
        <v>4.1168069886704881</v>
      </c>
      <c r="GG490">
        <v>6.8785452023108515</v>
      </c>
      <c r="GH490">
        <v>8.071315031768334</v>
      </c>
      <c r="GI490">
        <v>20.014026457281041</v>
      </c>
      <c r="GJ490"/>
      <c r="GK490"/>
      <c r="GL490"/>
      <c r="GM490"/>
      <c r="GN490" s="208"/>
      <c r="GO490" s="208"/>
      <c r="GP490" s="208"/>
      <c r="GQ490" s="208"/>
      <c r="GR490" s="208"/>
      <c r="GS490" s="208"/>
      <c r="GT490" s="208"/>
      <c r="GU490" s="213">
        <v>485</v>
      </c>
    </row>
    <row r="491" spans="1:203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14.795585521883805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286.80375837151774</v>
      </c>
      <c r="AO491">
        <v>28.189972946571864</v>
      </c>
      <c r="AP491">
        <v>23.878633070716013</v>
      </c>
      <c r="AQ491">
        <v>205.56283785724384</v>
      </c>
      <c r="AR491">
        <v>28.622580928577818</v>
      </c>
      <c r="AS491">
        <v>405.29601382278383</v>
      </c>
      <c r="AT491">
        <v>17.544934820644311</v>
      </c>
      <c r="AU491">
        <v>-15.408931671695086</v>
      </c>
      <c r="AV491"/>
      <c r="AW491"/>
      <c r="FY491" s="213">
        <v>486</v>
      </c>
      <c r="FZ491">
        <v>46.470052115708782</v>
      </c>
      <c r="GA491">
        <v>40.648863247204197</v>
      </c>
      <c r="GB491">
        <v>38.87502482887411</v>
      </c>
      <c r="GC491">
        <v>17.173007108805983</v>
      </c>
      <c r="GD491">
        <v>4.0924565629220409</v>
      </c>
      <c r="GE491">
        <v>5.1962628130042825</v>
      </c>
      <c r="GF491">
        <v>4.4062151372460931</v>
      </c>
      <c r="GG491">
        <v>4.4420914725418132</v>
      </c>
      <c r="GH491">
        <v>2.4812032506936021</v>
      </c>
      <c r="GI491">
        <v>19.928049679045181</v>
      </c>
      <c r="GJ491"/>
      <c r="GK491"/>
      <c r="GL491"/>
      <c r="GM491"/>
      <c r="GN491" s="208"/>
      <c r="GO491" s="208"/>
      <c r="GP491" s="208"/>
      <c r="GQ491" s="208"/>
      <c r="GR491" s="208"/>
      <c r="GS491" s="208"/>
      <c r="GT491" s="208"/>
      <c r="GU491" s="213">
        <v>486</v>
      </c>
    </row>
    <row r="492" spans="1:203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15.978363191904624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203.86690144988029</v>
      </c>
      <c r="AO492">
        <v>25.802192982295537</v>
      </c>
      <c r="AP492">
        <v>36.048128127474989</v>
      </c>
      <c r="AQ492">
        <v>202.12056812419505</v>
      </c>
      <c r="AR492">
        <v>27.076492537794991</v>
      </c>
      <c r="AS492">
        <v>326.04569852403375</v>
      </c>
      <c r="AT492">
        <v>15.905641941329684</v>
      </c>
      <c r="AU492">
        <v>1.9765824692903209</v>
      </c>
      <c r="AV492"/>
      <c r="AW492"/>
      <c r="FY492" s="213">
        <v>487</v>
      </c>
      <c r="FZ492">
        <v>51.755886050596182</v>
      </c>
      <c r="GA492">
        <v>43.513433570895685</v>
      </c>
      <c r="GB492">
        <v>29.208165816534812</v>
      </c>
      <c r="GC492">
        <v>13.104300748010971</v>
      </c>
      <c r="GD492">
        <v>3.5089955755620088</v>
      </c>
      <c r="GE492">
        <v>4.2915651658752942</v>
      </c>
      <c r="GF492">
        <v>2.9758178225877479</v>
      </c>
      <c r="GG492">
        <v>3.2210058412921931</v>
      </c>
      <c r="GH492">
        <v>8.2164187348370881</v>
      </c>
      <c r="GI492">
        <v>18.638876064494525</v>
      </c>
      <c r="GJ492"/>
      <c r="GK492"/>
      <c r="GL492"/>
      <c r="GM492"/>
      <c r="GN492" s="208"/>
      <c r="GO492" s="208"/>
      <c r="GP492" s="208"/>
      <c r="GQ492" s="208"/>
      <c r="GR492" s="208"/>
      <c r="GS492" s="208"/>
      <c r="GT492" s="208"/>
      <c r="GU492" s="213">
        <v>487</v>
      </c>
    </row>
    <row r="493" spans="1:203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17.255693592848509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217.37383567427432</v>
      </c>
      <c r="AO493">
        <v>21.782509361929367</v>
      </c>
      <c r="AP493">
        <v>18.173242898317472</v>
      </c>
      <c r="AQ493">
        <v>158.56579310791381</v>
      </c>
      <c r="AR493">
        <v>22.701719412590613</v>
      </c>
      <c r="AS493">
        <v>313.2972838108065</v>
      </c>
      <c r="AT493">
        <v>13.441505402217585</v>
      </c>
      <c r="AU493">
        <v>4.1383330700464001</v>
      </c>
      <c r="AV493"/>
      <c r="AW493"/>
      <c r="FY493" s="213">
        <v>488</v>
      </c>
      <c r="FZ493">
        <v>47.723735775131921</v>
      </c>
      <c r="GA493">
        <v>38.544787477598142</v>
      </c>
      <c r="GB493">
        <v>35.230350432449825</v>
      </c>
      <c r="GC493">
        <v>18.081375267635959</v>
      </c>
      <c r="GD493">
        <v>3.6782258086595498</v>
      </c>
      <c r="GE493">
        <v>8.2853223144780639</v>
      </c>
      <c r="GF493">
        <v>5.8723712401996551</v>
      </c>
      <c r="GG493">
        <v>5.8469452699922613</v>
      </c>
      <c r="GH493">
        <v>6.4279618821324638</v>
      </c>
      <c r="GI493">
        <v>19.865951363961845</v>
      </c>
      <c r="GJ493"/>
      <c r="GK493"/>
      <c r="GL493"/>
      <c r="GM493"/>
      <c r="GN493" s="208"/>
      <c r="GO493" s="208"/>
      <c r="GP493" s="208"/>
      <c r="GQ493" s="208"/>
      <c r="GR493" s="208"/>
      <c r="GS493" s="208"/>
      <c r="GT493" s="208"/>
      <c r="GU493" s="213">
        <v>488</v>
      </c>
    </row>
    <row r="494" spans="1:203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18.557789101779392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242.45083111249238</v>
      </c>
      <c r="AO494">
        <v>22.219386824625239</v>
      </c>
      <c r="AP494">
        <v>24.981372196534689</v>
      </c>
      <c r="AQ494">
        <v>152.47157500832066</v>
      </c>
      <c r="AR494">
        <v>22.742724183899114</v>
      </c>
      <c r="AS494">
        <v>344.98791303038922</v>
      </c>
      <c r="AT494">
        <v>13.623234159579988</v>
      </c>
      <c r="AU494">
        <v>-11.458133123560675</v>
      </c>
      <c r="AV494"/>
      <c r="AW494"/>
      <c r="FY494" s="213">
        <v>489</v>
      </c>
      <c r="FZ494">
        <v>46.812343039726102</v>
      </c>
      <c r="GA494">
        <v>44.442306632046531</v>
      </c>
      <c r="GB494">
        <v>34.173952588886934</v>
      </c>
      <c r="GC494">
        <v>15.007802867064987</v>
      </c>
      <c r="GD494">
        <v>3.555948609436419</v>
      </c>
      <c r="GE494">
        <v>5.1640502880900208</v>
      </c>
      <c r="GF494">
        <v>6.9383794213450898</v>
      </c>
      <c r="GG494">
        <v>4.4381478328385047</v>
      </c>
      <c r="GH494">
        <v>4.3833440324430635</v>
      </c>
      <c r="GI494">
        <v>19.276472098742556</v>
      </c>
      <c r="GJ494"/>
      <c r="GK494"/>
      <c r="GL494"/>
      <c r="GM494"/>
      <c r="GN494" s="208"/>
      <c r="GO494" s="208"/>
      <c r="GP494" s="208"/>
      <c r="GQ494" s="208"/>
      <c r="GR494" s="208"/>
      <c r="GS494" s="208"/>
      <c r="GT494" s="208"/>
      <c r="GU494" s="213">
        <v>489</v>
      </c>
    </row>
    <row r="495" spans="1:203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19.958139294316886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173.40860721717797</v>
      </c>
      <c r="AO495">
        <v>20.054803409488489</v>
      </c>
      <c r="AP495">
        <v>14.998015734034242</v>
      </c>
      <c r="AQ495">
        <v>146.53030289353123</v>
      </c>
      <c r="AR495">
        <v>21.267592693274956</v>
      </c>
      <c r="AS495">
        <v>275.57624520218047</v>
      </c>
      <c r="AT495">
        <v>12.544180202730757</v>
      </c>
      <c r="AU495">
        <v>10.618070383622388</v>
      </c>
      <c r="AV495"/>
      <c r="AW495"/>
      <c r="FY495" s="213">
        <v>490</v>
      </c>
      <c r="FZ495">
        <v>44.710410570008655</v>
      </c>
      <c r="GA495">
        <v>47.667880142186455</v>
      </c>
      <c r="GB495">
        <v>33.951598514912746</v>
      </c>
      <c r="GC495">
        <v>15.405331048492684</v>
      </c>
      <c r="GD495">
        <v>3.6016903022969391</v>
      </c>
      <c r="GE495">
        <v>3.6921276927971545</v>
      </c>
      <c r="GF495">
        <v>4.9352647339738045</v>
      </c>
      <c r="GG495">
        <v>7.9097457592398461</v>
      </c>
      <c r="GH495">
        <v>8.7316802821558319</v>
      </c>
      <c r="GI495">
        <v>19.258011837281224</v>
      </c>
      <c r="GJ495"/>
      <c r="GK495"/>
      <c r="GL495"/>
      <c r="GM495"/>
      <c r="GN495" s="208"/>
      <c r="GO495" s="208"/>
      <c r="GP495" s="208"/>
      <c r="GQ495" s="208"/>
      <c r="GR495" s="208"/>
      <c r="GS495" s="208"/>
      <c r="GT495" s="208"/>
      <c r="GU495" s="213">
        <v>490</v>
      </c>
    </row>
    <row r="496" spans="1:203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21.384196596249993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281.81807761668688</v>
      </c>
      <c r="AO496">
        <v>26.224257898103737</v>
      </c>
      <c r="AP496">
        <v>39.086729983578316</v>
      </c>
      <c r="AQ496">
        <v>206.81634539476443</v>
      </c>
      <c r="AR496">
        <v>27.166487280423414</v>
      </c>
      <c r="AS496">
        <v>372.79049276210134</v>
      </c>
      <c r="AT496">
        <v>16.773395850827949</v>
      </c>
      <c r="AU496">
        <v>-12.678140437768661</v>
      </c>
      <c r="AV496"/>
      <c r="AW496"/>
      <c r="FY496" s="213">
        <v>491</v>
      </c>
      <c r="FZ496">
        <v>44.948260128999756</v>
      </c>
      <c r="GA496">
        <v>58.368225353286746</v>
      </c>
      <c r="GB496">
        <v>41.010782370522449</v>
      </c>
      <c r="GC496">
        <v>15.497550251717989</v>
      </c>
      <c r="GD496">
        <v>2.5447882874425738</v>
      </c>
      <c r="GE496">
        <v>2.589385819417882</v>
      </c>
      <c r="GF496">
        <v>5.8010158229138256</v>
      </c>
      <c r="GG496">
        <v>7.8345786389598331</v>
      </c>
      <c r="GH496">
        <v>9.2041774438371657</v>
      </c>
      <c r="GI496">
        <v>20.660241253891098</v>
      </c>
      <c r="GJ496"/>
      <c r="GK496"/>
      <c r="GL496"/>
      <c r="GM496"/>
      <c r="GN496" s="208"/>
      <c r="GO496" s="208"/>
      <c r="GP496" s="208"/>
      <c r="GQ496" s="208"/>
      <c r="GR496" s="208"/>
      <c r="GS496" s="208"/>
      <c r="GT496" s="208"/>
      <c r="GU496" s="213">
        <v>491</v>
      </c>
    </row>
    <row r="497" spans="1:203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22.912149139939221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285.79043658149612</v>
      </c>
      <c r="AO497">
        <v>26.303613882499661</v>
      </c>
      <c r="AP497">
        <v>36.590936781819629</v>
      </c>
      <c r="AQ497">
        <v>187.13064118536604</v>
      </c>
      <c r="AR497">
        <v>26.544096743765593</v>
      </c>
      <c r="AS497">
        <v>398.42496466089216</v>
      </c>
      <c r="AT497">
        <v>15.842351276757951</v>
      </c>
      <c r="AU497">
        <v>3.8609310997975932</v>
      </c>
      <c r="AV497"/>
      <c r="AW497"/>
      <c r="FY497" s="213">
        <v>492</v>
      </c>
      <c r="FZ497">
        <v>45.933388012321359</v>
      </c>
      <c r="GA497">
        <v>32.334313552540152</v>
      </c>
      <c r="GB497">
        <v>24.978052459169234</v>
      </c>
      <c r="GC497">
        <v>11.838348103342636</v>
      </c>
      <c r="GD497">
        <v>2.1598986620744722</v>
      </c>
      <c r="GE497">
        <v>3.1195193048492103</v>
      </c>
      <c r="GF497">
        <v>2.8053181318249978</v>
      </c>
      <c r="GG497">
        <v>4.7162954941693247</v>
      </c>
      <c r="GH497">
        <v>7.8946266771966593</v>
      </c>
      <c r="GI497">
        <v>15.893207125660616</v>
      </c>
      <c r="GJ497"/>
      <c r="GK497"/>
      <c r="GL497"/>
      <c r="GM497"/>
      <c r="GN497" s="208"/>
      <c r="GO497" s="208"/>
      <c r="GP497" s="208"/>
      <c r="GQ497" s="208"/>
      <c r="GR497" s="208"/>
      <c r="GS497" s="208"/>
      <c r="GT497" s="208"/>
      <c r="GU497" s="213">
        <v>492</v>
      </c>
    </row>
    <row r="498" spans="1:203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24.466735636946694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315.82616128682218</v>
      </c>
      <c r="AO498">
        <v>30.498053041426811</v>
      </c>
      <c r="AP498">
        <v>77.724052331586648</v>
      </c>
      <c r="AQ498">
        <v>213.80538577048387</v>
      </c>
      <c r="AR498">
        <v>31.009191423654389</v>
      </c>
      <c r="AS498">
        <v>402.6382927551594</v>
      </c>
      <c r="AT498">
        <v>19.006828318091056</v>
      </c>
      <c r="AU498">
        <v>27.772970791577514</v>
      </c>
      <c r="AV498"/>
      <c r="AW498"/>
      <c r="FY498" s="213">
        <v>493</v>
      </c>
      <c r="FZ498">
        <v>55.615236956482384</v>
      </c>
      <c r="GA498">
        <v>38.205449007655538</v>
      </c>
      <c r="GB498">
        <v>15.696613366785606</v>
      </c>
      <c r="GC498">
        <v>7.436359714906013</v>
      </c>
      <c r="GD498">
        <v>4.856367991950564</v>
      </c>
      <c r="GE498">
        <v>8.5854572628368775</v>
      </c>
      <c r="GF498">
        <v>2.6418387050534315</v>
      </c>
      <c r="GG498">
        <v>0.72509742711850156</v>
      </c>
      <c r="GH498">
        <v>6.1725722280035598</v>
      </c>
      <c r="GI498">
        <v>16.26599672019681</v>
      </c>
      <c r="GJ498"/>
      <c r="GK498"/>
      <c r="GL498"/>
      <c r="GM498"/>
      <c r="GN498" s="208"/>
      <c r="GO498" s="208"/>
      <c r="GP498" s="208"/>
      <c r="GQ498" s="208"/>
      <c r="GR498" s="208"/>
      <c r="GS498" s="208"/>
      <c r="GT498" s="208"/>
      <c r="GU498" s="213">
        <v>493</v>
      </c>
    </row>
    <row r="499" spans="1:203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26.126800636294448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309.83063401722063</v>
      </c>
      <c r="AO499">
        <v>26.231247168664215</v>
      </c>
      <c r="AP499">
        <v>26.751345664275508</v>
      </c>
      <c r="AQ499">
        <v>187.85349988229336</v>
      </c>
      <c r="AR499">
        <v>26.984209997438896</v>
      </c>
      <c r="AS499">
        <v>372.01039124223541</v>
      </c>
      <c r="AT499">
        <v>16.179171423603886</v>
      </c>
      <c r="AU499">
        <v>-13.843196614581565</v>
      </c>
      <c r="AV499"/>
      <c r="AW499"/>
      <c r="FY499" s="213">
        <v>494</v>
      </c>
      <c r="FZ499">
        <v>56.898377747809455</v>
      </c>
      <c r="GA499">
        <v>47.311465268582317</v>
      </c>
      <c r="GB499">
        <v>25.335067227757225</v>
      </c>
      <c r="GC499">
        <v>12.302949942937085</v>
      </c>
      <c r="GD499">
        <v>4.3763013238642738</v>
      </c>
      <c r="GE499">
        <v>5.8862949328136933</v>
      </c>
      <c r="GF499">
        <v>10.983187496646583</v>
      </c>
      <c r="GG499">
        <v>9.910557774087966</v>
      </c>
      <c r="GH499">
        <v>1.1580354805715534</v>
      </c>
      <c r="GI499">
        <v>19.277703588399188</v>
      </c>
      <c r="GJ499"/>
      <c r="GK499"/>
      <c r="GL499"/>
      <c r="GM499"/>
      <c r="GN499" s="208"/>
      <c r="GO499" s="208"/>
      <c r="GP499" s="208"/>
      <c r="GQ499" s="208"/>
      <c r="GR499" s="208"/>
      <c r="GS499" s="208"/>
      <c r="GT499" s="208"/>
      <c r="GU499" s="213">
        <v>494</v>
      </c>
    </row>
    <row r="500" spans="1:203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27.81441225569537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272.02221850308587</v>
      </c>
      <c r="AO500">
        <v>28.658373457943576</v>
      </c>
      <c r="AP500">
        <v>24.940986034397469</v>
      </c>
      <c r="AQ500">
        <v>207.28852189358739</v>
      </c>
      <c r="AR500">
        <v>29.368974337269659</v>
      </c>
      <c r="AS500">
        <v>416.03749882926445</v>
      </c>
      <c r="AT500">
        <v>17.855069971705309</v>
      </c>
      <c r="AU500">
        <v>7.5395510169228785</v>
      </c>
      <c r="AV500"/>
      <c r="AW500"/>
      <c r="FY500" s="213">
        <v>495</v>
      </c>
      <c r="FZ500">
        <v>40.73376243606301</v>
      </c>
      <c r="GA500">
        <v>38.844290379038839</v>
      </c>
      <c r="GB500">
        <v>38.060730652188191</v>
      </c>
      <c r="GC500">
        <v>15.854329300633522</v>
      </c>
      <c r="GD500">
        <v>3.888717247179633</v>
      </c>
      <c r="GE500">
        <v>6.3355667650014222</v>
      </c>
      <c r="GF500">
        <v>5.4077724809317349</v>
      </c>
      <c r="GG500">
        <v>4.6926960946566938</v>
      </c>
      <c r="GH500">
        <v>3.2890413768118272</v>
      </c>
      <c r="GI500">
        <v>19.069100558587255</v>
      </c>
      <c r="GJ500"/>
      <c r="GK500"/>
      <c r="GL500"/>
      <c r="GM500"/>
      <c r="GN500" s="208"/>
      <c r="GO500" s="208"/>
      <c r="GP500" s="208"/>
      <c r="GQ500" s="208"/>
      <c r="GR500" s="208"/>
      <c r="GS500" s="208"/>
      <c r="GT500" s="208"/>
      <c r="GU500" s="213">
        <v>495</v>
      </c>
    </row>
    <row r="501" spans="1:203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29.611031978215532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260.78810072679602</v>
      </c>
      <c r="AO501">
        <v>27.41553546644743</v>
      </c>
      <c r="AP501">
        <v>45.58223300891116</v>
      </c>
      <c r="AQ501">
        <v>207.06546659647145</v>
      </c>
      <c r="AR501">
        <v>27.553306892836058</v>
      </c>
      <c r="AS501">
        <v>392.40250950353351</v>
      </c>
      <c r="AT501">
        <v>16.903265546209155</v>
      </c>
      <c r="AU501">
        <v>-6.5015811359602296</v>
      </c>
      <c r="AV501"/>
      <c r="AW501"/>
      <c r="FY501" s="213">
        <v>496</v>
      </c>
      <c r="FZ501">
        <v>49.026698642402671</v>
      </c>
      <c r="GA501">
        <v>60.276957133195609</v>
      </c>
      <c r="GB501">
        <v>33.180969466201169</v>
      </c>
      <c r="GC501">
        <v>12.316010792143835</v>
      </c>
      <c r="GD501">
        <v>5.037800666747037</v>
      </c>
      <c r="GE501">
        <v>7.6094718901746718</v>
      </c>
      <c r="GF501">
        <v>4.7717853072022383</v>
      </c>
      <c r="GG501">
        <v>9.3055415834353958</v>
      </c>
      <c r="GH501">
        <v>14.782169305841069</v>
      </c>
      <c r="GI501">
        <v>21.451472864068467</v>
      </c>
      <c r="GJ501"/>
      <c r="GK501"/>
      <c r="GL501"/>
      <c r="GM501"/>
      <c r="GN501" s="208"/>
      <c r="GO501" s="208"/>
      <c r="GP501" s="208"/>
      <c r="GQ501" s="208"/>
      <c r="GR501" s="208"/>
      <c r="GS501" s="208"/>
      <c r="GT501" s="208"/>
      <c r="GU501" s="213">
        <v>496</v>
      </c>
    </row>
    <row r="502" spans="1:203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31.436097684244807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287.66557301713129</v>
      </c>
      <c r="AO502">
        <v>26.576478912484067</v>
      </c>
      <c r="AP502">
        <v>8.763654120917117</v>
      </c>
      <c r="AQ502">
        <v>183.71322621604614</v>
      </c>
      <c r="AR502">
        <v>27.223186156342742</v>
      </c>
      <c r="AS502">
        <v>388.26428107632802</v>
      </c>
      <c r="AT502">
        <v>17.215343291256158</v>
      </c>
      <c r="AU502">
        <v>-12.055552648164415</v>
      </c>
      <c r="AV502"/>
      <c r="AW502"/>
      <c r="FY502" s="213">
        <v>497</v>
      </c>
      <c r="FZ502">
        <v>51.564577707167587</v>
      </c>
      <c r="GA502">
        <v>52.776511349891777</v>
      </c>
      <c r="GB502">
        <v>28.753607022645159</v>
      </c>
      <c r="GC502">
        <v>10.98230710122998</v>
      </c>
      <c r="GD502">
        <v>3.8538495148792622</v>
      </c>
      <c r="GE502">
        <v>6.368258138935083</v>
      </c>
      <c r="GF502">
        <v>9.3638368867833073</v>
      </c>
      <c r="GG502">
        <v>8.5659170839084542</v>
      </c>
      <c r="GH502">
        <v>5.5380362060699557</v>
      </c>
      <c r="GI502">
        <v>19.436721574130516</v>
      </c>
      <c r="GJ502"/>
      <c r="GK502"/>
      <c r="GL502"/>
      <c r="GM502"/>
      <c r="GN502" s="208"/>
      <c r="GO502" s="208"/>
      <c r="GP502" s="208"/>
      <c r="GQ502" s="208"/>
      <c r="GR502" s="208"/>
      <c r="GS502" s="208"/>
      <c r="GT502" s="208"/>
      <c r="GU502" s="213">
        <v>497</v>
      </c>
    </row>
    <row r="503" spans="1:203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33.373650683313194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290.58812921070205</v>
      </c>
      <c r="AO503">
        <v>24.325968332271181</v>
      </c>
      <c r="AP503">
        <v>24.922736635449141</v>
      </c>
      <c r="AQ503">
        <v>178.43446539068648</v>
      </c>
      <c r="AR503">
        <v>25.616146454686753</v>
      </c>
      <c r="AS503">
        <v>363.23224134309362</v>
      </c>
      <c r="AT503">
        <v>14.855048849425183</v>
      </c>
      <c r="AU503">
        <v>13.46472929072587</v>
      </c>
      <c r="AV503"/>
      <c r="AW503"/>
      <c r="FY503" s="213">
        <v>498</v>
      </c>
      <c r="FZ503">
        <v>47.522855780293511</v>
      </c>
      <c r="GA503">
        <v>78.343576096648036</v>
      </c>
      <c r="GB503">
        <v>51.456444196203492</v>
      </c>
      <c r="GC503">
        <v>16.879428126618578</v>
      </c>
      <c r="GD503">
        <v>4.6385337197271657</v>
      </c>
      <c r="GE503">
        <v>5.78444212944465</v>
      </c>
      <c r="GF503">
        <v>1.5017527319441746</v>
      </c>
      <c r="GG503">
        <v>1.3412849370009672</v>
      </c>
      <c r="GH503">
        <v>5.1681145729841926</v>
      </c>
      <c r="GI503">
        <v>23.352010143429396</v>
      </c>
      <c r="GJ503"/>
      <c r="GK503"/>
      <c r="GL503"/>
      <c r="GM503"/>
      <c r="GN503" s="208"/>
      <c r="GO503" s="208"/>
      <c r="GP503" s="208"/>
      <c r="GQ503" s="208"/>
      <c r="GR503" s="208"/>
      <c r="GS503" s="208"/>
      <c r="GT503" s="208"/>
      <c r="GU503" s="213">
        <v>498</v>
      </c>
    </row>
    <row r="504" spans="1:203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35.340536509365528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316.80511468020961</v>
      </c>
      <c r="AO504">
        <v>27.468514597774913</v>
      </c>
      <c r="AP504">
        <v>61.126537459131242</v>
      </c>
      <c r="AQ504">
        <v>189.55702683223967</v>
      </c>
      <c r="AR504">
        <v>27.153523997456585</v>
      </c>
      <c r="AS504">
        <v>392.22442928167516</v>
      </c>
      <c r="AT504">
        <v>16.769040820108685</v>
      </c>
      <c r="AU504">
        <v>9.407630858495331</v>
      </c>
      <c r="AV504"/>
      <c r="AW504"/>
      <c r="FY504" s="213">
        <v>499</v>
      </c>
      <c r="FZ504">
        <v>70.201986071252833</v>
      </c>
      <c r="GA504">
        <v>76.70872044200793</v>
      </c>
      <c r="GB504">
        <v>43.552431402340382</v>
      </c>
      <c r="GC504">
        <v>13.40565981748737</v>
      </c>
      <c r="GD504">
        <v>2.1357921318245991</v>
      </c>
      <c r="GE504">
        <v>2.9432607541988927</v>
      </c>
      <c r="GF504">
        <v>1.6283249498313763</v>
      </c>
      <c r="GG504">
        <v>1.117617622477842</v>
      </c>
      <c r="GH504">
        <v>9.7003573833438317</v>
      </c>
      <c r="GI504">
        <v>24.076707511666331</v>
      </c>
      <c r="GJ504"/>
      <c r="GK504"/>
      <c r="GL504"/>
      <c r="GM504"/>
      <c r="GN504" s="208"/>
      <c r="GO504" s="208"/>
      <c r="GP504" s="208"/>
      <c r="GQ504" s="208"/>
      <c r="GR504" s="208"/>
      <c r="GS504" s="208"/>
      <c r="GT504" s="208"/>
      <c r="GU504" s="213">
        <v>499</v>
      </c>
    </row>
    <row r="505" spans="1:203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37.423341324605943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265.90957441404504</v>
      </c>
      <c r="AO505">
        <v>25.775507240327482</v>
      </c>
      <c r="AP505">
        <v>13.545035268630279</v>
      </c>
      <c r="AQ505">
        <v>184.19274741062017</v>
      </c>
      <c r="AR505">
        <v>26.421077723821519</v>
      </c>
      <c r="AS505">
        <v>386.05311180898502</v>
      </c>
      <c r="AT505">
        <v>16.325957375396566</v>
      </c>
      <c r="AU505">
        <v>-10.948101239088267</v>
      </c>
      <c r="AV505"/>
      <c r="AW505"/>
      <c r="FY505" s="213">
        <v>500</v>
      </c>
      <c r="FZ505">
        <v>49.982813139730752</v>
      </c>
      <c r="GA505">
        <v>48.352913722193421</v>
      </c>
      <c r="GB505">
        <v>28.211383857554448</v>
      </c>
      <c r="GC505">
        <v>13.543072907582951</v>
      </c>
      <c r="GD505">
        <v>3.4792522751287196</v>
      </c>
      <c r="GE505">
        <v>1.9991017734240932</v>
      </c>
      <c r="GF505">
        <v>2.2643121235608734</v>
      </c>
      <c r="GG505">
        <v>6.8513613367384076</v>
      </c>
      <c r="GH505">
        <v>10.365177886388066</v>
      </c>
      <c r="GI505">
        <v>18.325366209530518</v>
      </c>
      <c r="GJ505"/>
      <c r="GK505"/>
      <c r="GL505"/>
      <c r="GM505"/>
      <c r="GN505" s="208"/>
      <c r="GO505" s="208"/>
      <c r="GP505" s="208"/>
      <c r="GQ505" s="208"/>
      <c r="GR505" s="208"/>
      <c r="GS505" s="208"/>
      <c r="GT505" s="208"/>
      <c r="GU505" s="213">
        <v>500</v>
      </c>
    </row>
    <row r="506" spans="1:203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39.53635399587737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296.27725130731284</v>
      </c>
      <c r="AO506">
        <v>26.358737841500027</v>
      </c>
      <c r="AP506">
        <v>17.181469228603959</v>
      </c>
      <c r="AQ506">
        <v>189.86374088334534</v>
      </c>
      <c r="AR506">
        <v>26.36800546314603</v>
      </c>
      <c r="AS506">
        <v>413.03641442123774</v>
      </c>
      <c r="AT506">
        <v>15.955017817801185</v>
      </c>
      <c r="AU506">
        <v>-17.56518429448758</v>
      </c>
      <c r="AV506"/>
      <c r="AW506"/>
      <c r="FY506" s="213">
        <v>501</v>
      </c>
      <c r="FZ506">
        <v>45.855303685306581</v>
      </c>
      <c r="GA506">
        <v>66.578541472286346</v>
      </c>
      <c r="GB506">
        <v>49.157073120549597</v>
      </c>
      <c r="GC506">
        <v>19.07873371568542</v>
      </c>
      <c r="GD506">
        <v>3.0018134861670225</v>
      </c>
      <c r="GE506">
        <v>2.6916385294731393</v>
      </c>
      <c r="GF506">
        <v>6.0938043115252434</v>
      </c>
      <c r="GG506">
        <v>3.7762437477066575</v>
      </c>
      <c r="GH506">
        <v>6.8957154709416884</v>
      </c>
      <c r="GI506">
        <v>22.74702844552689</v>
      </c>
      <c r="GJ506"/>
      <c r="GK506"/>
      <c r="GL506"/>
      <c r="GM506"/>
      <c r="GN506" s="208"/>
      <c r="GO506" s="208"/>
      <c r="GP506" s="208"/>
      <c r="GQ506" s="208"/>
      <c r="GR506" s="208"/>
      <c r="GS506" s="208"/>
      <c r="GT506" s="208"/>
      <c r="GU506" s="213">
        <v>501</v>
      </c>
    </row>
    <row r="507" spans="1:203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41.768672490491134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290.43098216162826</v>
      </c>
      <c r="AO507">
        <v>28.32579830595667</v>
      </c>
      <c r="AP507">
        <v>45.0397927167039</v>
      </c>
      <c r="AQ507">
        <v>208.45900537098933</v>
      </c>
      <c r="AR507">
        <v>28.332076405930373</v>
      </c>
      <c r="AS507">
        <v>418.32672829644935</v>
      </c>
      <c r="AT507">
        <v>16.810405786533757</v>
      </c>
      <c r="AU507">
        <v>-7.8590431952669775</v>
      </c>
      <c r="AV507"/>
      <c r="AW507"/>
      <c r="FY507" s="213">
        <v>502</v>
      </c>
      <c r="FZ507">
        <v>44.850399934798197</v>
      </c>
      <c r="GA507">
        <v>55.735023417724712</v>
      </c>
      <c r="GB507">
        <v>42.014063343329028</v>
      </c>
      <c r="GC507">
        <v>14.299551438878542</v>
      </c>
      <c r="GD507">
        <v>4.7586527891595409</v>
      </c>
      <c r="GE507">
        <v>8.6190099273414305</v>
      </c>
      <c r="GF507">
        <v>6.0753507070830626</v>
      </c>
      <c r="GG507">
        <v>3.4638713350977395</v>
      </c>
      <c r="GH507">
        <v>3.2243390906865392</v>
      </c>
      <c r="GI507">
        <v>21.241199101955402</v>
      </c>
      <c r="GJ507"/>
      <c r="GK507"/>
      <c r="GL507"/>
      <c r="GM507"/>
      <c r="GN507" s="208"/>
      <c r="GO507" s="208"/>
      <c r="GP507" s="208"/>
      <c r="GQ507" s="208"/>
      <c r="GR507" s="208"/>
      <c r="GS507" s="208"/>
      <c r="GT507" s="208"/>
      <c r="GU507" s="213">
        <v>502</v>
      </c>
    </row>
    <row r="508" spans="1:203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44.032062694153204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211.96284499539541</v>
      </c>
      <c r="AO508">
        <v>20.709146798077136</v>
      </c>
      <c r="AP508">
        <v>33.352124560523386</v>
      </c>
      <c r="AQ508">
        <v>151.67296752314866</v>
      </c>
      <c r="AR508">
        <v>21.816889562370797</v>
      </c>
      <c r="AS508">
        <v>320.3903193804278</v>
      </c>
      <c r="AT508">
        <v>12.837093725229499</v>
      </c>
      <c r="AU508">
        <v>21.769121306883221</v>
      </c>
      <c r="AV508"/>
      <c r="AW508"/>
      <c r="FY508" s="213">
        <v>503</v>
      </c>
      <c r="FZ508">
        <v>41.141507163829644</v>
      </c>
      <c r="GA508">
        <v>59.847894161271185</v>
      </c>
      <c r="GB508">
        <v>40.225613340272055</v>
      </c>
      <c r="GC508">
        <v>14.55890947001814</v>
      </c>
      <c r="GD508">
        <v>2.7529713879563658</v>
      </c>
      <c r="GE508">
        <v>4.958049951327224</v>
      </c>
      <c r="GF508">
        <v>11.769674180610764</v>
      </c>
      <c r="GG508">
        <v>11.646356737288636</v>
      </c>
      <c r="GH508">
        <v>6.9278792435976655</v>
      </c>
      <c r="GI508">
        <v>20.742406933565608</v>
      </c>
      <c r="GJ508"/>
      <c r="GK508"/>
      <c r="GL508"/>
      <c r="GM508"/>
      <c r="GN508" s="208"/>
      <c r="GO508" s="208"/>
      <c r="GP508" s="208"/>
      <c r="GQ508" s="208"/>
      <c r="GR508" s="208"/>
      <c r="GS508" s="208"/>
      <c r="GT508" s="208"/>
      <c r="GU508" s="213">
        <v>503</v>
      </c>
    </row>
    <row r="509" spans="1:203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46.418103078167533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238.78716896310326</v>
      </c>
      <c r="AO509">
        <v>20.75246710121467</v>
      </c>
      <c r="AP509">
        <v>23.122514302492775</v>
      </c>
      <c r="AQ509">
        <v>156.20098938098926</v>
      </c>
      <c r="AR509">
        <v>22.455930240187183</v>
      </c>
      <c r="AS509">
        <v>335.12272630223504</v>
      </c>
      <c r="AT509">
        <v>13.728936411069961</v>
      </c>
      <c r="AU509">
        <v>-2.2790985025515766</v>
      </c>
      <c r="AV509"/>
      <c r="AW509"/>
      <c r="FY509" s="213">
        <v>504</v>
      </c>
      <c r="FZ509">
        <v>37.210366690268536</v>
      </c>
      <c r="GA509">
        <v>27.020934719230326</v>
      </c>
      <c r="GB509">
        <v>31.450178501626109</v>
      </c>
      <c r="GC509">
        <v>15.705381625225018</v>
      </c>
      <c r="GD509">
        <v>2.7296258470650638</v>
      </c>
      <c r="GE509">
        <v>4.2144567218112305</v>
      </c>
      <c r="GF509">
        <v>3.6645864971339064</v>
      </c>
      <c r="GG509">
        <v>4.2092053383790429</v>
      </c>
      <c r="GH509">
        <v>11.799716604304262</v>
      </c>
      <c r="GI509">
        <v>17.300272663101744</v>
      </c>
      <c r="GJ509"/>
      <c r="GK509"/>
      <c r="GL509"/>
      <c r="GM509"/>
      <c r="GN509" s="208"/>
      <c r="GO509" s="208"/>
      <c r="GP509" s="208"/>
      <c r="GQ509" s="208"/>
      <c r="GR509" s="208"/>
      <c r="GS509" s="208"/>
      <c r="GT509" s="208"/>
      <c r="GU509" s="213">
        <v>504</v>
      </c>
    </row>
    <row r="510" spans="1:203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48.836068428246357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268.70494578350093</v>
      </c>
      <c r="AO510">
        <v>26.271385052827632</v>
      </c>
      <c r="AP510">
        <v>21.68242305815005</v>
      </c>
      <c r="AQ510">
        <v>193.43994078346938</v>
      </c>
      <c r="AR510">
        <v>26.547741732648134</v>
      </c>
      <c r="AS510">
        <v>395.73700980844114</v>
      </c>
      <c r="AT510">
        <v>15.952120051633237</v>
      </c>
      <c r="AU510">
        <v>-7.163547684349588</v>
      </c>
      <c r="AV510"/>
      <c r="AW510"/>
      <c r="FY510" s="213">
        <v>505</v>
      </c>
      <c r="FZ510">
        <v>66.421313474312399</v>
      </c>
      <c r="GA510">
        <v>73.728502913861035</v>
      </c>
      <c r="GB510">
        <v>37.581907922364749</v>
      </c>
      <c r="GC510">
        <v>12.549281546239467</v>
      </c>
      <c r="GD510">
        <v>3.0629632342880244</v>
      </c>
      <c r="GE510">
        <v>4.4775861588660328</v>
      </c>
      <c r="GF510">
        <v>7.9847529616051078</v>
      </c>
      <c r="GG510">
        <v>9.3051871022819839</v>
      </c>
      <c r="GH510">
        <v>8.9821311111912721</v>
      </c>
      <c r="GI510">
        <v>23.618558649977366</v>
      </c>
      <c r="GJ510"/>
      <c r="GK510"/>
      <c r="GL510"/>
      <c r="GM510"/>
      <c r="GN510" s="208"/>
      <c r="GO510" s="208"/>
      <c r="GP510" s="208"/>
      <c r="GQ510" s="208"/>
      <c r="GR510" s="208"/>
      <c r="GS510" s="208"/>
      <c r="GT510" s="208"/>
      <c r="GU510" s="213">
        <v>505</v>
      </c>
    </row>
    <row r="511" spans="1:203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51.37998800838789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283.70001508104986</v>
      </c>
      <c r="AO511">
        <v>25.729923691707654</v>
      </c>
      <c r="AP511">
        <v>33.376922616955099</v>
      </c>
      <c r="AQ511">
        <v>176.17600729109213</v>
      </c>
      <c r="AR511">
        <v>26.189813283600213</v>
      </c>
      <c r="AS511">
        <v>371.63604937895201</v>
      </c>
      <c r="AT511">
        <v>15.390305705477076</v>
      </c>
      <c r="AU511">
        <v>-7.0597604088977164</v>
      </c>
      <c r="AV511"/>
      <c r="AW511"/>
      <c r="FY511" s="213">
        <v>506</v>
      </c>
      <c r="FZ511">
        <v>45.595333973561182</v>
      </c>
      <c r="GA511">
        <v>53.518742640097507</v>
      </c>
      <c r="GB511">
        <v>39.7439667085251</v>
      </c>
      <c r="GC511">
        <v>15.910245798282624</v>
      </c>
      <c r="GD511">
        <v>2.8691785193482313</v>
      </c>
      <c r="GE511">
        <v>1.764512538591168</v>
      </c>
      <c r="GF511">
        <v>2.2317120354132309</v>
      </c>
      <c r="GG511">
        <v>3.6378973548407383</v>
      </c>
      <c r="GH511">
        <v>5.5690077762896673</v>
      </c>
      <c r="GI511">
        <v>19.401781895606749</v>
      </c>
      <c r="GJ511"/>
      <c r="GK511"/>
      <c r="GL511"/>
      <c r="GM511"/>
      <c r="GN511" s="208"/>
      <c r="GO511" s="208"/>
      <c r="GP511" s="208"/>
      <c r="GQ511" s="208"/>
      <c r="GR511" s="208"/>
      <c r="GS511" s="208"/>
      <c r="GT511" s="208"/>
      <c r="GU511" s="213">
        <v>506</v>
      </c>
    </row>
    <row r="512" spans="1:203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53.956675744617755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350.39070201638185</v>
      </c>
      <c r="AO512">
        <v>29.300579494549964</v>
      </c>
      <c r="AP512">
        <v>37.516920854672605</v>
      </c>
      <c r="AQ512">
        <v>217.75887765141218</v>
      </c>
      <c r="AR512">
        <v>29.418555140020043</v>
      </c>
      <c r="AS512">
        <v>462.43658817414058</v>
      </c>
      <c r="AT512">
        <v>17.692283301439204</v>
      </c>
      <c r="AU512">
        <v>-6.6201260849588159</v>
      </c>
      <c r="AV512"/>
      <c r="AW512"/>
      <c r="FY512" s="213">
        <v>507</v>
      </c>
      <c r="FZ512">
        <v>29.685602179878707</v>
      </c>
      <c r="GA512">
        <v>27.373164753471144</v>
      </c>
      <c r="GB512">
        <v>28.383606190617837</v>
      </c>
      <c r="GC512">
        <v>11.940255785443192</v>
      </c>
      <c r="GD512">
        <v>2.7884920190220042</v>
      </c>
      <c r="GE512">
        <v>4.8387107055619261</v>
      </c>
      <c r="GF512">
        <v>1.5137091434805874</v>
      </c>
      <c r="GG512">
        <v>3.0081272573648548</v>
      </c>
      <c r="GH512">
        <v>4.5212395303331201</v>
      </c>
      <c r="GI512">
        <v>13.912826526949585</v>
      </c>
      <c r="GJ512"/>
      <c r="GK512"/>
      <c r="GL512"/>
      <c r="GM512"/>
      <c r="GN512" s="208"/>
      <c r="GO512" s="208"/>
      <c r="GP512" s="208"/>
      <c r="GQ512" s="208"/>
      <c r="GR512" s="208"/>
      <c r="GS512" s="208"/>
      <c r="GT512" s="208"/>
      <c r="GU512" s="213">
        <v>507</v>
      </c>
    </row>
    <row r="513" spans="1:203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56.662583434907432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267.51311792656895</v>
      </c>
      <c r="AO513">
        <v>26.1983310261386</v>
      </c>
      <c r="AP513">
        <v>23.677829138335305</v>
      </c>
      <c r="AQ513">
        <v>197.20362258564114</v>
      </c>
      <c r="AR513">
        <v>26.602229544193328</v>
      </c>
      <c r="AS513">
        <v>422.92204269094611</v>
      </c>
      <c r="AT513">
        <v>16.980284305063236</v>
      </c>
      <c r="AU513">
        <v>-10.589968318655231</v>
      </c>
      <c r="AV513"/>
      <c r="AW513"/>
      <c r="FY513" s="213">
        <v>508</v>
      </c>
      <c r="FZ513">
        <v>65.799864897675761</v>
      </c>
      <c r="GA513">
        <v>71.161424873288567</v>
      </c>
      <c r="GB513">
        <v>44.123905746740526</v>
      </c>
      <c r="GC513">
        <v>16.152399111219449</v>
      </c>
      <c r="GD513">
        <v>3.3413793375403409</v>
      </c>
      <c r="GE513">
        <v>5.6632141675222085</v>
      </c>
      <c r="GF513">
        <v>10.353437818932537</v>
      </c>
      <c r="GG513">
        <v>8.7050296128471487</v>
      </c>
      <c r="GH513">
        <v>8.4338934079012908</v>
      </c>
      <c r="GI513">
        <v>25.655071186678512</v>
      </c>
      <c r="GJ513"/>
      <c r="GK513"/>
      <c r="GL513"/>
      <c r="GM513"/>
      <c r="GN513" s="208"/>
      <c r="GO513" s="208"/>
      <c r="GP513" s="208"/>
      <c r="GQ513" s="208"/>
      <c r="GR513" s="208"/>
      <c r="GS513" s="208"/>
      <c r="GT513" s="208"/>
      <c r="GU513" s="213">
        <v>508</v>
      </c>
    </row>
    <row r="514" spans="1:203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59.402092888494316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340.84790754478047</v>
      </c>
      <c r="AO514">
        <v>32.322693151671402</v>
      </c>
      <c r="AP514">
        <v>17.794204132000878</v>
      </c>
      <c r="AQ514">
        <v>235.98844243429417</v>
      </c>
      <c r="AR514">
        <v>32.006758780429095</v>
      </c>
      <c r="AS514">
        <v>430.79206140123688</v>
      </c>
      <c r="AT514">
        <v>20.119697988548491</v>
      </c>
      <c r="AU514">
        <v>-39.771669319939178</v>
      </c>
      <c r="AV514"/>
      <c r="AW514"/>
      <c r="FY514" s="213">
        <v>509</v>
      </c>
      <c r="FZ514">
        <v>52.200995220484501</v>
      </c>
      <c r="GA514">
        <v>55.726453849986029</v>
      </c>
      <c r="GB514">
        <v>36.84036796128818</v>
      </c>
      <c r="GC514">
        <v>12.906143299087809</v>
      </c>
      <c r="GD514">
        <v>5.3611328381356609</v>
      </c>
      <c r="GE514">
        <v>8.195441798798111</v>
      </c>
      <c r="GF514">
        <v>2.4093379458902575</v>
      </c>
      <c r="GG514">
        <v>3.5564307271447553</v>
      </c>
      <c r="GH514">
        <v>4.9882619946613582</v>
      </c>
      <c r="GI514">
        <v>20.987837627740006</v>
      </c>
      <c r="GJ514"/>
      <c r="GK514"/>
      <c r="GL514"/>
      <c r="GM514"/>
      <c r="GN514" s="208"/>
      <c r="GO514" s="208"/>
      <c r="GP514" s="208"/>
      <c r="GQ514" s="208"/>
      <c r="GR514" s="208"/>
      <c r="GS514" s="208"/>
      <c r="GT514" s="208"/>
      <c r="GU514" s="213">
        <v>509</v>
      </c>
    </row>
    <row r="515" spans="1:203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62.274051510321357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274.47384240321128</v>
      </c>
      <c r="AO515">
        <v>31.268781285761786</v>
      </c>
      <c r="AP515">
        <v>13.837425285774113</v>
      </c>
      <c r="AQ515">
        <v>245.47085808643138</v>
      </c>
      <c r="AR515">
        <v>33.167499106738717</v>
      </c>
      <c r="AS515">
        <v>437.34275429201352</v>
      </c>
      <c r="AT515">
        <v>20.186133055070414</v>
      </c>
      <c r="AU515">
        <v>-22.29900238622178</v>
      </c>
      <c r="AV515"/>
      <c r="AW515"/>
      <c r="FY515" s="213">
        <v>510</v>
      </c>
      <c r="FZ515">
        <v>64.772262474079625</v>
      </c>
      <c r="GA515">
        <v>65.045416635034869</v>
      </c>
      <c r="GB515">
        <v>35.820262274906007</v>
      </c>
      <c r="GC515">
        <v>10.678267759559475</v>
      </c>
      <c r="GD515">
        <v>3.8761515790304339</v>
      </c>
      <c r="GE515">
        <v>7.0579845135702968</v>
      </c>
      <c r="GF515">
        <v>1.7379993707858121</v>
      </c>
      <c r="GG515">
        <v>2.9645791129719878</v>
      </c>
      <c r="GH515">
        <v>8.5133074975688139</v>
      </c>
      <c r="GI515">
        <v>22.202341323238358</v>
      </c>
      <c r="GJ515"/>
      <c r="GK515"/>
      <c r="GL515"/>
      <c r="GM515"/>
      <c r="GN515" s="208"/>
      <c r="GO515" s="208"/>
      <c r="GP515" s="208"/>
      <c r="GQ515" s="208"/>
      <c r="GR515" s="208"/>
      <c r="GS515" s="208"/>
      <c r="GT515" s="208"/>
      <c r="GU515" s="213">
        <v>510</v>
      </c>
    </row>
    <row r="516" spans="1:203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65.180436364432481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265.1493233699689</v>
      </c>
      <c r="AO516">
        <v>24.609068943561777</v>
      </c>
      <c r="AP516">
        <v>34.895473653123744</v>
      </c>
      <c r="AQ516">
        <v>183.37475523183227</v>
      </c>
      <c r="AR516">
        <v>25.089180099262233</v>
      </c>
      <c r="AS516">
        <v>373.41680228379397</v>
      </c>
      <c r="AT516">
        <v>15.81414003801769</v>
      </c>
      <c r="AU516">
        <v>44.552311483107182</v>
      </c>
      <c r="AV516"/>
      <c r="AW516"/>
      <c r="FY516" s="213">
        <v>511</v>
      </c>
      <c r="FZ516">
        <v>59.043243855171973</v>
      </c>
      <c r="GA516">
        <v>65.286783402045415</v>
      </c>
      <c r="GB516">
        <v>35.893474879359573</v>
      </c>
      <c r="GC516">
        <v>12.742515490145186</v>
      </c>
      <c r="GD516">
        <v>2.1818798716361769</v>
      </c>
      <c r="GE516">
        <v>2.704042420720016</v>
      </c>
      <c r="GF516">
        <v>2.6222185334426715</v>
      </c>
      <c r="GG516">
        <v>2.2138453781078695</v>
      </c>
      <c r="GH516">
        <v>9.3671099059787277</v>
      </c>
      <c r="GI516">
        <v>20.70917415436006</v>
      </c>
      <c r="GJ516"/>
      <c r="GK516"/>
      <c r="GL516"/>
      <c r="GM516"/>
      <c r="GN516" s="208"/>
      <c r="GO516" s="208"/>
      <c r="GP516" s="208"/>
      <c r="GQ516" s="208"/>
      <c r="GR516" s="208"/>
      <c r="GS516" s="208"/>
      <c r="GT516" s="208"/>
      <c r="GU516" s="213">
        <v>511</v>
      </c>
    </row>
    <row r="517" spans="1:203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68.222464760522016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320.46250800189557</v>
      </c>
      <c r="AO517">
        <v>31.157358706893461</v>
      </c>
      <c r="AP517">
        <v>25.922442285038429</v>
      </c>
      <c r="AQ517">
        <v>225.87589598516857</v>
      </c>
      <c r="AR517">
        <v>31.102564554662916</v>
      </c>
      <c r="AS517">
        <v>489.3183295065844</v>
      </c>
      <c r="AT517">
        <v>18.792000648569896</v>
      </c>
      <c r="AU517">
        <v>-22.884523863234108</v>
      </c>
      <c r="AV517"/>
      <c r="AW517"/>
      <c r="FY517" s="213">
        <v>512</v>
      </c>
      <c r="FZ517">
        <v>55.320368097621973</v>
      </c>
      <c r="GA517">
        <v>45.694885877604783</v>
      </c>
      <c r="GB517">
        <v>31.663956461584991</v>
      </c>
      <c r="GC517">
        <v>13.748741189435624</v>
      </c>
      <c r="GD517">
        <v>4.2011719422932625</v>
      </c>
      <c r="GE517">
        <v>7.266887975510735</v>
      </c>
      <c r="GF517">
        <v>6.2203765294124462</v>
      </c>
      <c r="GG517">
        <v>3.2182333373733201</v>
      </c>
      <c r="GH517">
        <v>10.216104759022189</v>
      </c>
      <c r="GI517">
        <v>21.067995672736576</v>
      </c>
      <c r="GJ517"/>
      <c r="GK517"/>
      <c r="GL517"/>
      <c r="GM517"/>
      <c r="GN517" s="208"/>
      <c r="GO517" s="208"/>
      <c r="GP517" s="208"/>
      <c r="GQ517" s="208"/>
      <c r="GR517" s="208"/>
      <c r="GS517" s="208"/>
      <c r="GT517" s="208"/>
      <c r="GU517" s="213">
        <v>512</v>
      </c>
    </row>
    <row r="518" spans="1:203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68.222464760522016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359.68507841888351</v>
      </c>
      <c r="AO518">
        <v>28.649101245355119</v>
      </c>
      <c r="AP518">
        <v>12.467893809174011</v>
      </c>
      <c r="AQ518">
        <v>204.28146108605418</v>
      </c>
      <c r="AR518">
        <v>29.103448906414283</v>
      </c>
      <c r="AS518">
        <v>473.26056479578239</v>
      </c>
      <c r="AT518">
        <v>17.836804606299989</v>
      </c>
      <c r="AU518">
        <v>-29.469372295139301</v>
      </c>
      <c r="AV518"/>
      <c r="AW518"/>
      <c r="FY518" s="213">
        <v>513</v>
      </c>
      <c r="FZ518">
        <v>54.459411356543171</v>
      </c>
      <c r="GA518">
        <v>49.365616488171241</v>
      </c>
      <c r="GB518">
        <v>26.586485790438374</v>
      </c>
      <c r="GC518">
        <v>9.9063778001040923</v>
      </c>
      <c r="GD518">
        <v>2.1966670383206135</v>
      </c>
      <c r="GE518">
        <v>1.8000564401864865</v>
      </c>
      <c r="GF518">
        <v>6.1349949404481414</v>
      </c>
      <c r="GG518">
        <v>6.9210452884641249</v>
      </c>
      <c r="GH518">
        <v>7.280493019457813</v>
      </c>
      <c r="GI518">
        <v>18.06230246684127</v>
      </c>
      <c r="GJ518"/>
      <c r="GK518"/>
      <c r="GL518"/>
      <c r="GM518"/>
      <c r="GN518" s="208"/>
      <c r="GO518" s="208"/>
      <c r="GP518" s="208"/>
      <c r="GQ518" s="208"/>
      <c r="GR518" s="208"/>
      <c r="GS518" s="208"/>
      <c r="GT518" s="208"/>
      <c r="GU518" s="213">
        <v>513</v>
      </c>
    </row>
    <row r="519" spans="1:203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294.31500642924971</v>
      </c>
      <c r="AO519">
        <v>29.29947091000464</v>
      </c>
      <c r="AP519">
        <v>47.292063464045313</v>
      </c>
      <c r="AQ519">
        <v>214.57126256973726</v>
      </c>
      <c r="AR519">
        <v>28.501047318881859</v>
      </c>
      <c r="AS519">
        <v>391.61276032611551</v>
      </c>
      <c r="AT519">
        <v>17.188813943807371</v>
      </c>
      <c r="AU519">
        <v>-19.940903693277445</v>
      </c>
      <c r="AV519"/>
      <c r="AW519"/>
      <c r="FY519" s="213">
        <v>514</v>
      </c>
      <c r="FZ519">
        <v>59.372488384339526</v>
      </c>
      <c r="GA519">
        <v>69.434854004883704</v>
      </c>
      <c r="GB519">
        <v>37.15520403660917</v>
      </c>
      <c r="GC519">
        <v>14.691035425662786</v>
      </c>
      <c r="GD519">
        <v>3.123462445729511</v>
      </c>
      <c r="GE519">
        <v>1.9230193127959172</v>
      </c>
      <c r="GF519">
        <v>9.8654585391007359</v>
      </c>
      <c r="GG519">
        <v>9.0629870780819211</v>
      </c>
      <c r="GH519">
        <v>7.5047387932867373</v>
      </c>
      <c r="GI519">
        <v>22.640240674596672</v>
      </c>
      <c r="GJ519"/>
      <c r="GK519"/>
      <c r="GL519"/>
      <c r="GM519"/>
      <c r="GN519" s="208"/>
      <c r="GO519" s="208"/>
      <c r="GP519" s="208"/>
      <c r="GQ519" s="208"/>
      <c r="GR519" s="208"/>
      <c r="GS519" s="208"/>
      <c r="GT519" s="208"/>
      <c r="GU519" s="213">
        <v>514</v>
      </c>
    </row>
    <row r="520" spans="1:203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24.382111339403625</v>
      </c>
      <c r="H520" s="63" t="s">
        <v>30</v>
      </c>
      <c r="I520" s="101">
        <f>SUM(K458:K518)</f>
        <v>176.43914799531493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228.86989446635516</v>
      </c>
      <c r="AO520">
        <v>22.688688990638092</v>
      </c>
      <c r="AP520">
        <v>29.050272971942473</v>
      </c>
      <c r="AQ520">
        <v>155.30472520814521</v>
      </c>
      <c r="AR520">
        <v>23.735892344344574</v>
      </c>
      <c r="AS520">
        <v>328.72417090572731</v>
      </c>
      <c r="AT520">
        <v>15.074850716144743</v>
      </c>
      <c r="AU520">
        <v>7.0106584165331327</v>
      </c>
      <c r="AV520"/>
      <c r="AW520"/>
      <c r="FY520" s="213">
        <v>515</v>
      </c>
      <c r="FZ520">
        <v>48.030075113384065</v>
      </c>
      <c r="GA520">
        <v>29.155713840106593</v>
      </c>
      <c r="GB520">
        <v>25.834769303832175</v>
      </c>
      <c r="GC520">
        <v>15.30752052742908</v>
      </c>
      <c r="GD520">
        <v>4.4238069387145416</v>
      </c>
      <c r="GE520">
        <v>7.341848121905441</v>
      </c>
      <c r="GF520">
        <v>13.241016896576344</v>
      </c>
      <c r="GG520">
        <v>14.590312277767321</v>
      </c>
      <c r="GH520">
        <v>7.6230467715438568</v>
      </c>
      <c r="GI520">
        <v>19.565773150224121</v>
      </c>
      <c r="GJ520"/>
      <c r="GK520"/>
      <c r="GL520"/>
      <c r="GM520"/>
      <c r="GN520" s="208"/>
      <c r="GO520" s="208"/>
      <c r="GP520" s="208"/>
      <c r="GQ520" s="208"/>
      <c r="GR520" s="208"/>
      <c r="GS520" s="208"/>
      <c r="GT520" s="208"/>
      <c r="GU520" s="213">
        <v>515</v>
      </c>
    </row>
    <row r="521" spans="1:203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334.42447899072585</v>
      </c>
      <c r="AO521">
        <v>31.902686175478571</v>
      </c>
      <c r="AP521">
        <v>62.004758588851487</v>
      </c>
      <c r="AQ521">
        <v>247.71218507498745</v>
      </c>
      <c r="AR521">
        <v>32.596481275250852</v>
      </c>
      <c r="AS521">
        <v>506.90332675381762</v>
      </c>
      <c r="AT521">
        <v>19.627777990688255</v>
      </c>
      <c r="AU521">
        <v>-37.658919399515042</v>
      </c>
      <c r="AV521"/>
      <c r="AW521"/>
      <c r="FY521" s="213">
        <v>516</v>
      </c>
      <c r="FZ521">
        <v>48.359435240182464</v>
      </c>
      <c r="GA521">
        <v>68.815320573167639</v>
      </c>
      <c r="GB521">
        <v>44.24921978435475</v>
      </c>
      <c r="GC521">
        <v>12.764851529883584</v>
      </c>
      <c r="GD521">
        <v>4.0205781599455381</v>
      </c>
      <c r="GE521">
        <v>6.703417125979767</v>
      </c>
      <c r="GF521">
        <v>2.9823150154935174</v>
      </c>
      <c r="GG521">
        <v>5.6882463488149737</v>
      </c>
      <c r="GH521">
        <v>6.2567764587576562</v>
      </c>
      <c r="GI521">
        <v>21.798062558739442</v>
      </c>
      <c r="GJ521"/>
      <c r="GK521"/>
      <c r="GL521"/>
      <c r="GM521"/>
      <c r="GN521" s="208"/>
      <c r="GO521" s="208"/>
      <c r="GP521" s="208"/>
      <c r="GQ521" s="208"/>
      <c r="GR521" s="208"/>
      <c r="GS521" s="208"/>
      <c r="GT521" s="208"/>
      <c r="GU521" s="213">
        <v>516</v>
      </c>
    </row>
    <row r="522" spans="1:203" s="7" customFormat="1">
      <c r="A522" s="4"/>
      <c r="B522" s="4"/>
      <c r="C522" s="63"/>
      <c r="D522" s="63"/>
      <c r="E522" s="63" t="s">
        <v>100</v>
      </c>
      <c r="F522" s="101">
        <f>+I520/G520</f>
        <v>7.236417943436007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246.26998196199298</v>
      </c>
      <c r="AO522">
        <v>26.197765236049793</v>
      </c>
      <c r="AP522">
        <v>30.45502423585387</v>
      </c>
      <c r="AQ522">
        <v>190.2423792405562</v>
      </c>
      <c r="AR522">
        <v>26.597437862911836</v>
      </c>
      <c r="AS522">
        <v>408.46369550627122</v>
      </c>
      <c r="AT522">
        <v>16.798793750678637</v>
      </c>
      <c r="AU522">
        <v>-15.261690379201653</v>
      </c>
      <c r="AV522"/>
      <c r="AW522"/>
      <c r="FY522" s="213">
        <v>517</v>
      </c>
      <c r="FZ522">
        <v>39.36776562866325</v>
      </c>
      <c r="GA522">
        <v>38.92730137519365</v>
      </c>
      <c r="GB522">
        <v>35.283281226904222</v>
      </c>
      <c r="GC522">
        <v>13.582984144880834</v>
      </c>
      <c r="GD522">
        <v>1.8182774353982534</v>
      </c>
      <c r="GE522">
        <v>2.0981560550977525</v>
      </c>
      <c r="GF522">
        <v>2.021568291813467</v>
      </c>
      <c r="GG522">
        <v>1.0318189838406455</v>
      </c>
      <c r="GH522">
        <v>3.1164258068290378</v>
      </c>
      <c r="GI522">
        <v>16.350035471065919</v>
      </c>
      <c r="GJ522"/>
      <c r="GK522"/>
      <c r="GL522"/>
      <c r="GM522"/>
      <c r="GN522" s="208"/>
      <c r="GO522" s="208"/>
      <c r="GP522" s="208"/>
      <c r="GQ522" s="208"/>
      <c r="GR522" s="208"/>
      <c r="GS522" s="208"/>
      <c r="GT522" s="208"/>
      <c r="GU522" s="213">
        <v>517</v>
      </c>
    </row>
    <row r="523" spans="1:203" s="7" customFormat="1">
      <c r="A523" s="4"/>
      <c r="B523" s="4"/>
      <c r="C523" s="63"/>
      <c r="D523" s="63"/>
      <c r="E523" s="63" t="s">
        <v>102</v>
      </c>
      <c r="F523" s="101">
        <f>+I523/G520</f>
        <v>15.552669403899106</v>
      </c>
      <c r="G523" s="63"/>
      <c r="H523" s="63" t="s">
        <v>103</v>
      </c>
      <c r="I523" s="123">
        <f>+I520*(365/I522)</f>
        <v>379.20691703080422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238.33598284641693</v>
      </c>
      <c r="AO523">
        <v>18.676512546628196</v>
      </c>
      <c r="AP523">
        <v>39.262869015091674</v>
      </c>
      <c r="AQ523">
        <v>127.96573409212294</v>
      </c>
      <c r="AR523">
        <v>19.00047938819753</v>
      </c>
      <c r="AS523">
        <v>313.78935536974728</v>
      </c>
      <c r="AT523">
        <v>12.267817231752971</v>
      </c>
      <c r="AU523">
        <v>11.950638104634848</v>
      </c>
      <c r="AV523"/>
      <c r="AW523"/>
      <c r="FY523" s="213">
        <v>518</v>
      </c>
      <c r="FZ523">
        <v>43.290674949431022</v>
      </c>
      <c r="GA523">
        <v>52.352729701320783</v>
      </c>
      <c r="GB523">
        <v>28.755259828220559</v>
      </c>
      <c r="GC523">
        <v>11.536644269873229</v>
      </c>
      <c r="GD523">
        <v>5.5748381100217195</v>
      </c>
      <c r="GE523">
        <v>8.8770079629850631</v>
      </c>
      <c r="GF523">
        <v>7.8240103787861912</v>
      </c>
      <c r="GG523">
        <v>10.164540790027639</v>
      </c>
      <c r="GH523">
        <v>8.0677248931128833</v>
      </c>
      <c r="GI523">
        <v>19.32359802514685</v>
      </c>
      <c r="GJ523"/>
      <c r="GK523"/>
      <c r="GL523"/>
      <c r="GM523"/>
      <c r="GN523" s="208"/>
      <c r="GO523" s="208"/>
      <c r="GP523" s="208"/>
      <c r="GQ523" s="208"/>
      <c r="GR523" s="208"/>
      <c r="GS523" s="208"/>
      <c r="GT523" s="208"/>
      <c r="GU523" s="213">
        <v>518</v>
      </c>
    </row>
    <row r="524" spans="1:203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309.09568736067087</v>
      </c>
      <c r="AO524">
        <v>34.473859368065213</v>
      </c>
      <c r="AP524">
        <v>41.965528558097496</v>
      </c>
      <c r="AQ524">
        <v>259.38962016034628</v>
      </c>
      <c r="AR524">
        <v>35.274245956377754</v>
      </c>
      <c r="AS524">
        <v>479.34433417490555</v>
      </c>
      <c r="AT524">
        <v>22.134826444017012</v>
      </c>
      <c r="AU524">
        <v>-2.5566620169028837</v>
      </c>
      <c r="AV524"/>
      <c r="AW524"/>
      <c r="FY524" s="213">
        <v>519</v>
      </c>
      <c r="FZ524">
        <v>53.014735291465691</v>
      </c>
      <c r="GA524">
        <v>51.073276546865117</v>
      </c>
      <c r="GB524">
        <v>25.101434164584827</v>
      </c>
      <c r="GC524">
        <v>10.148233855185133</v>
      </c>
      <c r="GD524">
        <v>2.636863934734861</v>
      </c>
      <c r="GE524">
        <v>2.7719965962633664</v>
      </c>
      <c r="GF524">
        <v>4.7994584792281838</v>
      </c>
      <c r="GG524">
        <v>7.7832020205155441</v>
      </c>
      <c r="GH524">
        <v>8.2309659566979185</v>
      </c>
      <c r="GI524">
        <v>17.640846769713708</v>
      </c>
      <c r="GJ524"/>
      <c r="GK524"/>
      <c r="GL524"/>
      <c r="GM524"/>
      <c r="GN524" s="208"/>
      <c r="GO524" s="208"/>
      <c r="GP524" s="208"/>
      <c r="GQ524" s="208"/>
      <c r="GR524" s="208"/>
      <c r="GS524" s="208"/>
      <c r="GT524" s="208"/>
      <c r="GU524" s="213">
        <v>519</v>
      </c>
    </row>
    <row r="525" spans="1:203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320.69400370271393</v>
      </c>
      <c r="AO525">
        <v>28.082529864217566</v>
      </c>
      <c r="AP525">
        <v>9.5970727596814474</v>
      </c>
      <c r="AQ525">
        <v>203.17240326321667</v>
      </c>
      <c r="AR525">
        <v>28.884534609991832</v>
      </c>
      <c r="AS525">
        <v>410.3603560054774</v>
      </c>
      <c r="AT525">
        <v>18.037720857728409</v>
      </c>
      <c r="AU525">
        <v>-27.951721312124754</v>
      </c>
      <c r="AV525"/>
      <c r="AW525"/>
      <c r="FY525" s="213">
        <v>520</v>
      </c>
      <c r="FZ525">
        <v>44.151349535710125</v>
      </c>
      <c r="GA525">
        <v>48.052712230808453</v>
      </c>
      <c r="GB525">
        <v>33.613718683150182</v>
      </c>
      <c r="GC525">
        <v>15.772718053809779</v>
      </c>
      <c r="GD525">
        <v>4.7969025007204324</v>
      </c>
      <c r="GE525">
        <v>5.2977593361038426</v>
      </c>
      <c r="GF525">
        <v>11.275975985258002</v>
      </c>
      <c r="GG525">
        <v>11.886447294269114</v>
      </c>
      <c r="GH525">
        <v>10.700484847041889</v>
      </c>
      <c r="GI525">
        <v>21.258715000962088</v>
      </c>
      <c r="GJ525"/>
      <c r="GK525"/>
      <c r="GL525"/>
      <c r="GM525"/>
      <c r="GN525" s="208"/>
      <c r="GO525" s="208"/>
      <c r="GP525" s="208"/>
      <c r="GQ525" s="208"/>
      <c r="GR525" s="208"/>
      <c r="GS525" s="208"/>
      <c r="GT525" s="208"/>
      <c r="GU525" s="213">
        <v>520</v>
      </c>
    </row>
    <row r="526" spans="1:203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312.55323368639222</v>
      </c>
      <c r="AO526">
        <v>28.806583340846721</v>
      </c>
      <c r="AP526">
        <v>17.699350007491361</v>
      </c>
      <c r="AQ526">
        <v>222.66857254074566</v>
      </c>
      <c r="AR526">
        <v>30.465693732651747</v>
      </c>
      <c r="AS526">
        <v>431.34632052572977</v>
      </c>
      <c r="AT526">
        <v>18.821384971303356</v>
      </c>
      <c r="AU526">
        <v>-7.886243215728868</v>
      </c>
      <c r="AV526"/>
      <c r="AW526"/>
      <c r="FY526" s="213">
        <v>521</v>
      </c>
      <c r="FZ526">
        <v>58.167847986157732</v>
      </c>
      <c r="GA526">
        <v>35.098331204520804</v>
      </c>
      <c r="GB526">
        <v>30.44736529372614</v>
      </c>
      <c r="GC526">
        <v>14.80119036216974</v>
      </c>
      <c r="GD526">
        <v>1.6065619814950369</v>
      </c>
      <c r="GE526">
        <v>1.8866042957541587</v>
      </c>
      <c r="GF526">
        <v>4.6452130893150372</v>
      </c>
      <c r="GG526">
        <v>7.9086639691974963</v>
      </c>
      <c r="GH526">
        <v>11.570811125124109</v>
      </c>
      <c r="GI526">
        <v>19.651524452043322</v>
      </c>
      <c r="GJ526"/>
      <c r="GK526"/>
      <c r="GL526"/>
      <c r="GM526"/>
      <c r="GN526" s="208"/>
      <c r="GO526" s="208"/>
      <c r="GP526" s="208"/>
      <c r="GQ526" s="208"/>
      <c r="GR526" s="208"/>
      <c r="GS526" s="208"/>
      <c r="GT526" s="208"/>
      <c r="GU526" s="213">
        <v>521</v>
      </c>
    </row>
    <row r="527" spans="1:203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255.76014353487659</v>
      </c>
      <c r="AO527">
        <v>27.368599980727321</v>
      </c>
      <c r="AP527">
        <v>37.316126542057688</v>
      </c>
      <c r="AQ527">
        <v>212.76428789096764</v>
      </c>
      <c r="AR527">
        <v>28.465730808992966</v>
      </c>
      <c r="AS527">
        <v>388.12388949491049</v>
      </c>
      <c r="AT527">
        <v>17.747583958412026</v>
      </c>
      <c r="AU527">
        <v>-21.981259098406369</v>
      </c>
      <c r="AV527"/>
      <c r="AW527"/>
      <c r="FY527" s="213">
        <v>522</v>
      </c>
      <c r="FZ527">
        <v>60.044674505757982</v>
      </c>
      <c r="GA527">
        <v>65.15942160884245</v>
      </c>
      <c r="GB527">
        <v>41.351206740981212</v>
      </c>
      <c r="GC527">
        <v>18.524922904489838</v>
      </c>
      <c r="GD527">
        <v>4.7655385776669004</v>
      </c>
      <c r="GE527">
        <v>6.7862579076874958</v>
      </c>
      <c r="GF527">
        <v>2.6483358979592007</v>
      </c>
      <c r="GG527">
        <v>4.8965179219548061</v>
      </c>
      <c r="GH527">
        <v>13.640925572010921</v>
      </c>
      <c r="GI527">
        <v>24.34749048099258</v>
      </c>
      <c r="GJ527"/>
      <c r="GK527"/>
      <c r="GL527"/>
      <c r="GM527"/>
      <c r="GN527" s="208"/>
      <c r="GO527" s="208"/>
      <c r="GP527" s="208"/>
      <c r="GQ527" s="208"/>
      <c r="GR527" s="208"/>
      <c r="GS527" s="208"/>
      <c r="GT527" s="208"/>
      <c r="GU527" s="213">
        <v>522</v>
      </c>
    </row>
    <row r="528" spans="1:203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289.10770733306435</v>
      </c>
      <c r="AO528">
        <v>27.293523349371281</v>
      </c>
      <c r="AP528">
        <v>38.3988797260212</v>
      </c>
      <c r="AQ528">
        <v>198.6187218425959</v>
      </c>
      <c r="AR528">
        <v>28.982999927231084</v>
      </c>
      <c r="AS528">
        <v>413.55527913238717</v>
      </c>
      <c r="AT528">
        <v>17.736893366030454</v>
      </c>
      <c r="AU528">
        <v>-12.360252823632592</v>
      </c>
      <c r="AV528"/>
      <c r="AW528"/>
      <c r="FY528" s="213">
        <v>523</v>
      </c>
      <c r="FZ528">
        <v>35.840033558910683</v>
      </c>
      <c r="GA528">
        <v>74.581792114120432</v>
      </c>
      <c r="GB528">
        <v>41.387765657384151</v>
      </c>
      <c r="GC528">
        <v>12.5013915398621</v>
      </c>
      <c r="GD528">
        <v>3.9446197856091665</v>
      </c>
      <c r="GE528">
        <v>4.747540204269221</v>
      </c>
      <c r="GF528">
        <v>16.062454547949304</v>
      </c>
      <c r="GG528">
        <v>16.254382094212339</v>
      </c>
      <c r="GH528">
        <v>7.839592348112431</v>
      </c>
      <c r="GI528">
        <v>21.870169555626077</v>
      </c>
      <c r="GJ528"/>
      <c r="GK528"/>
      <c r="GL528"/>
      <c r="GM528"/>
      <c r="GN528" s="208"/>
      <c r="GO528" s="208"/>
      <c r="GP528" s="208"/>
      <c r="GQ528" s="208"/>
      <c r="GR528" s="208"/>
      <c r="GS528" s="208"/>
      <c r="GT528" s="208"/>
      <c r="GU528" s="213">
        <v>523</v>
      </c>
    </row>
    <row r="529" spans="1:203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246.70225339715154</v>
      </c>
      <c r="AO529">
        <v>23.552948043263108</v>
      </c>
      <c r="AP529">
        <v>23.783816707445208</v>
      </c>
      <c r="AQ529">
        <v>182.71345062897532</v>
      </c>
      <c r="AR529">
        <v>24.972394942388135</v>
      </c>
      <c r="AS529">
        <v>329.80169562074491</v>
      </c>
      <c r="AT529">
        <v>14.124527847895719</v>
      </c>
      <c r="AU529">
        <v>6.4158231795565115</v>
      </c>
      <c r="AV529"/>
      <c r="AW529"/>
      <c r="FY529" s="213">
        <v>524</v>
      </c>
      <c r="FZ529">
        <v>50.410827850588092</v>
      </c>
      <c r="GA529">
        <v>50.854816703433485</v>
      </c>
      <c r="GB529">
        <v>38.70188225079589</v>
      </c>
      <c r="GC529">
        <v>18.391389907822056</v>
      </c>
      <c r="GD529">
        <v>4.1304578773793441</v>
      </c>
      <c r="GE529">
        <v>4.0312287350952687</v>
      </c>
      <c r="GF529">
        <v>5.7005609695431527</v>
      </c>
      <c r="GG529">
        <v>5.6718820699945507</v>
      </c>
      <c r="GH529">
        <v>4.5158523859194561</v>
      </c>
      <c r="GI529">
        <v>21.038093127086142</v>
      </c>
      <c r="GJ529"/>
      <c r="GK529"/>
      <c r="GL529"/>
      <c r="GM529"/>
      <c r="GN529" s="208"/>
      <c r="GO529" s="208"/>
      <c r="GP529" s="208"/>
      <c r="GQ529" s="208"/>
      <c r="GR529" s="208"/>
      <c r="GS529" s="208"/>
      <c r="GT529" s="208"/>
      <c r="GU529" s="213">
        <v>524</v>
      </c>
    </row>
    <row r="530" spans="1:203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276.15866949063479</v>
      </c>
      <c r="AO530">
        <v>30.736864917344178</v>
      </c>
      <c r="AP530">
        <v>167.80801200761681</v>
      </c>
      <c r="AQ530">
        <v>234.77348869508671</v>
      </c>
      <c r="AR530">
        <v>31.10436398152914</v>
      </c>
      <c r="AS530">
        <v>449.19643722590013</v>
      </c>
      <c r="AT530" t="e">
        <v>#DIV/0!</v>
      </c>
      <c r="AU530" t="e">
        <v>#DIV/0!</v>
      </c>
      <c r="AV530"/>
      <c r="AW530"/>
      <c r="FY530" s="213">
        <v>525</v>
      </c>
      <c r="FZ530">
        <v>42.583360539965014</v>
      </c>
      <c r="GA530">
        <v>40.208738730423228</v>
      </c>
      <c r="GB530">
        <v>37.42045942734142</v>
      </c>
      <c r="GC530">
        <v>15.309963019695727</v>
      </c>
      <c r="GD530">
        <v>3.3849594604507689</v>
      </c>
      <c r="GE530">
        <v>3.9479114706548986</v>
      </c>
      <c r="GF530">
        <v>1.1177289575458471</v>
      </c>
      <c r="GG530">
        <v>1.1368156434785288</v>
      </c>
      <c r="GH530">
        <v>4.4885061425999897</v>
      </c>
      <c r="GI530">
        <v>18.321335003556182</v>
      </c>
      <c r="GJ530"/>
      <c r="GK530"/>
      <c r="GL530"/>
      <c r="GM530"/>
      <c r="GN530" s="208"/>
      <c r="GO530" s="208"/>
      <c r="GP530" s="208"/>
      <c r="GQ530" s="208"/>
      <c r="GR530" s="208"/>
      <c r="GS530" s="208"/>
      <c r="GT530" s="208"/>
      <c r="GU530" s="213">
        <v>525</v>
      </c>
    </row>
    <row r="531" spans="1:203" s="7" customFormat="1">
      <c r="A531" s="4"/>
      <c r="B531" s="4"/>
      <c r="C531" s="116">
        <f>C4</f>
        <v>39646</v>
      </c>
      <c r="D531" s="101">
        <f>D70</f>
        <v>180.20833333333334</v>
      </c>
      <c r="E531" s="108">
        <f>E405</f>
        <v>0.19623424964568373</v>
      </c>
      <c r="F531" s="102"/>
      <c r="G531" s="101">
        <f>D531*E531</f>
        <v>35.363047071565923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295.20385855300293</v>
      </c>
      <c r="AO531">
        <v>26.778620901347828</v>
      </c>
      <c r="AP531">
        <v>33.808567965307759</v>
      </c>
      <c r="AQ531">
        <v>185.11388294148352</v>
      </c>
      <c r="AR531">
        <v>26.863018520787982</v>
      </c>
      <c r="AS531">
        <v>373.55152091131492</v>
      </c>
      <c r="AT531">
        <v>15.096178015095665</v>
      </c>
      <c r="AU531">
        <v>5.3067396286955599</v>
      </c>
      <c r="AV531"/>
      <c r="AW531"/>
      <c r="FY531" s="213">
        <v>526</v>
      </c>
      <c r="FZ531">
        <v>33.424546074987852</v>
      </c>
      <c r="GA531">
        <v>43.202035727521796</v>
      </c>
      <c r="GB531">
        <v>33.755408142764459</v>
      </c>
      <c r="GC531">
        <v>13.909264776763942</v>
      </c>
      <c r="GD531">
        <v>4.0611023875259544</v>
      </c>
      <c r="GE531">
        <v>7.1570603753166537</v>
      </c>
      <c r="GF531">
        <v>6.7998363226468186</v>
      </c>
      <c r="GG531">
        <v>6.2851093233326498</v>
      </c>
      <c r="GH531">
        <v>3.0979021398199711</v>
      </c>
      <c r="GI531">
        <v>17.234908369602994</v>
      </c>
      <c r="GJ531"/>
      <c r="GK531"/>
      <c r="GL531"/>
      <c r="GM531"/>
      <c r="GN531" s="208"/>
      <c r="GO531" s="208"/>
      <c r="GP531" s="208"/>
      <c r="GQ531" s="208"/>
      <c r="GR531" s="208"/>
      <c r="GS531" s="208"/>
      <c r="GT531" s="208"/>
      <c r="GU531" s="213">
        <v>526</v>
      </c>
    </row>
    <row r="532" spans="1:203" s="7" customFormat="1">
      <c r="A532" s="4"/>
      <c r="B532" s="4"/>
      <c r="C532" s="63"/>
      <c r="D532" s="101"/>
      <c r="E532" s="63"/>
      <c r="F532" s="63"/>
      <c r="G532" s="101"/>
      <c r="H532" s="101">
        <f>E533-E531</f>
        <v>-4.7394755636161828E-2</v>
      </c>
      <c r="I532" s="101">
        <f>AVERAGE(D531:D533)</f>
        <v>174.50440592903828</v>
      </c>
      <c r="J532" s="101">
        <f>I532*H532</f>
        <v>-8.2705936764403596</v>
      </c>
      <c r="K532" s="61">
        <f>J532/(C533-C531)</f>
        <v>-0.30631828431260594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353.90973043874828</v>
      </c>
      <c r="AO532">
        <v>29.758215171903839</v>
      </c>
      <c r="AP532">
        <v>7.1193903339063391</v>
      </c>
      <c r="AQ532">
        <v>221.63822279531931</v>
      </c>
      <c r="AR532">
        <v>29.864342087898194</v>
      </c>
      <c r="AS532">
        <v>506.51927026317969</v>
      </c>
      <c r="AT532">
        <v>18.098507175761508</v>
      </c>
      <c r="AU532">
        <v>-22.763462291670876</v>
      </c>
      <c r="AV532"/>
      <c r="AW532"/>
      <c r="FY532" s="213">
        <v>527</v>
      </c>
      <c r="FZ532">
        <v>40.03812882230735</v>
      </c>
      <c r="GA532">
        <v>54.69060940007693</v>
      </c>
      <c r="GB532">
        <v>48.530173591302919</v>
      </c>
      <c r="GC532">
        <v>20.915176647288856</v>
      </c>
      <c r="GD532">
        <v>4.9746585565031651</v>
      </c>
      <c r="GE532">
        <v>3.597545234227276</v>
      </c>
      <c r="GF532">
        <v>4.024928206800416</v>
      </c>
      <c r="GG532">
        <v>7.6029795927300645</v>
      </c>
      <c r="GH532">
        <v>9.3341557642430821</v>
      </c>
      <c r="GI532">
        <v>22.873155507037833</v>
      </c>
      <c r="GJ532"/>
      <c r="GK532"/>
      <c r="GL532"/>
      <c r="GM532"/>
      <c r="GN532" s="208"/>
      <c r="GO532" s="208"/>
      <c r="GP532" s="208"/>
      <c r="GQ532" s="208"/>
      <c r="GR532" s="208"/>
      <c r="GS532" s="208"/>
      <c r="GT532" s="208"/>
      <c r="GU532" s="213">
        <v>527</v>
      </c>
    </row>
    <row r="533" spans="1:203" s="7" customFormat="1">
      <c r="A533" s="4"/>
      <c r="B533" s="4"/>
      <c r="C533" s="117">
        <f>C5</f>
        <v>39673</v>
      </c>
      <c r="D533" s="101">
        <f>D71</f>
        <v>168.80047852474323</v>
      </c>
      <c r="E533" s="108">
        <f>E406</f>
        <v>0.1488394940095219</v>
      </c>
      <c r="F533" s="102"/>
      <c r="G533" s="101">
        <f>D533*E533</f>
        <v>25.124177812187948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241.26683875286062</v>
      </c>
      <c r="AO533">
        <v>21.373495941342362</v>
      </c>
      <c r="AP533">
        <v>5.135035037137512</v>
      </c>
      <c r="AQ533">
        <v>153.59761441968703</v>
      </c>
      <c r="AR533">
        <v>22.421168487665657</v>
      </c>
      <c r="AS533">
        <v>383.87530276154916</v>
      </c>
      <c r="AT533">
        <v>13.759739140828096</v>
      </c>
      <c r="AU533">
        <v>-12.30005167826544</v>
      </c>
      <c r="AV533"/>
      <c r="AW533"/>
      <c r="FY533" s="213">
        <v>528</v>
      </c>
      <c r="FZ533">
        <v>48.352319956925896</v>
      </c>
      <c r="GA533">
        <v>35.925705468214915</v>
      </c>
      <c r="GB533">
        <v>32.577825087585666</v>
      </c>
      <c r="GC533">
        <v>14.688147821914594</v>
      </c>
      <c r="GD533">
        <v>3.7796206133674013</v>
      </c>
      <c r="GE533">
        <v>4.650093617401188</v>
      </c>
      <c r="GF533">
        <v>5.0949838117922512</v>
      </c>
      <c r="GG533">
        <v>3.7852572694556499</v>
      </c>
      <c r="GH533">
        <v>4.7201015182049311</v>
      </c>
      <c r="GI533">
        <v>18.958535627444682</v>
      </c>
      <c r="GJ533"/>
      <c r="GK533"/>
      <c r="GL533"/>
      <c r="GM533"/>
      <c r="GN533" s="208"/>
      <c r="GO533" s="208"/>
      <c r="GP533" s="208"/>
      <c r="GQ533" s="208"/>
      <c r="GR533" s="208"/>
      <c r="GS533" s="208"/>
      <c r="GT533" s="208"/>
      <c r="GU533" s="213">
        <v>528</v>
      </c>
    </row>
    <row r="534" spans="1:203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-5.1527899976422376E-2</v>
      </c>
      <c r="I534" s="101">
        <f>AVERAGE(D533:D535)</f>
        <v>106.79607259570494</v>
      </c>
      <c r="J534" s="101">
        <f>I534*H534</f>
        <v>-5.5029773465862268</v>
      </c>
      <c r="K534" s="61">
        <f>J534/(C535-C533)</f>
        <v>-0.13421895967283481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324.08251343920699</v>
      </c>
      <c r="AO534">
        <v>26.896258263404043</v>
      </c>
      <c r="AP534">
        <v>22.571366292777956</v>
      </c>
      <c r="AQ534">
        <v>195.76702890892594</v>
      </c>
      <c r="AR534">
        <v>26.365446177080962</v>
      </c>
      <c r="AS534">
        <v>397.37676126763</v>
      </c>
      <c r="AT534">
        <v>16.629340556873007</v>
      </c>
      <c r="AU534">
        <v>-47.962668548348113</v>
      </c>
      <c r="AV534"/>
      <c r="AW534"/>
      <c r="FY534" s="213">
        <v>529</v>
      </c>
      <c r="FZ534">
        <v>36.6584801212516</v>
      </c>
      <c r="GA534">
        <v>38.334580204156097</v>
      </c>
      <c r="GB534">
        <v>33.648493906224409</v>
      </c>
      <c r="GC534">
        <v>13.890251076390072</v>
      </c>
      <c r="GD534">
        <v>2.206724884316797</v>
      </c>
      <c r="GE534">
        <v>3.5722021908812609</v>
      </c>
      <c r="GF534">
        <v>3.4320857379707324</v>
      </c>
      <c r="GG534">
        <v>5.0246796572872974</v>
      </c>
      <c r="GH534">
        <v>13.103480380423292</v>
      </c>
      <c r="GI534">
        <v>17.613193973385503</v>
      </c>
      <c r="GJ534"/>
      <c r="GK534"/>
      <c r="GL534"/>
      <c r="GM534"/>
      <c r="GN534" s="208"/>
      <c r="GO534" s="208"/>
      <c r="GP534" s="208"/>
      <c r="GQ534" s="208"/>
      <c r="GR534" s="208"/>
      <c r="GS534" s="208"/>
      <c r="GT534" s="208"/>
      <c r="GU534" s="213">
        <v>529</v>
      </c>
    </row>
    <row r="535" spans="1:203" s="7" customFormat="1">
      <c r="A535" s="4"/>
      <c r="B535" s="4"/>
      <c r="C535" s="117">
        <f>C6</f>
        <v>39714</v>
      </c>
      <c r="D535" s="101">
        <f>D72</f>
        <v>44.791666666666664</v>
      </c>
      <c r="E535" s="108">
        <f>E407</f>
        <v>9.7311594033099524E-2</v>
      </c>
      <c r="F535" s="102"/>
      <c r="G535" s="101">
        <f>D535*E535</f>
        <v>4.3587484827325822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254.35047740766908</v>
      </c>
      <c r="AO535">
        <v>23.688984032583967</v>
      </c>
      <c r="AP535">
        <v>14.786943229814685</v>
      </c>
      <c r="AQ535">
        <v>183.20101361525434</v>
      </c>
      <c r="AR535">
        <v>24.298583764708667</v>
      </c>
      <c r="AS535">
        <v>347.74303059254714</v>
      </c>
      <c r="AT535">
        <v>14.22097532584511</v>
      </c>
      <c r="AU535">
        <v>-10.9810911178879</v>
      </c>
      <c r="AV535"/>
      <c r="AW535"/>
      <c r="FY535" s="213">
        <v>530</v>
      </c>
      <c r="FZ535">
        <v>46.20721197485927</v>
      </c>
      <c r="GA535">
        <v>32.065281848265457</v>
      </c>
      <c r="GB535">
        <v>34.248476228131281</v>
      </c>
      <c r="GC535">
        <v>16.529255670945521</v>
      </c>
      <c r="GD535">
        <v>3.0360332116877515</v>
      </c>
      <c r="GE535">
        <v>3.5049375956054591</v>
      </c>
      <c r="GF535">
        <v>8.3242057670447238</v>
      </c>
      <c r="GG535">
        <v>12.923667226318244</v>
      </c>
      <c r="GH535">
        <v>12.336145625194368</v>
      </c>
      <c r="GI535">
        <v>20.432103130821382</v>
      </c>
      <c r="GJ535"/>
      <c r="GK535"/>
      <c r="GL535"/>
      <c r="GM535"/>
      <c r="GN535" s="208"/>
      <c r="GO535" s="208"/>
      <c r="GP535" s="208"/>
      <c r="GQ535" s="208"/>
      <c r="GR535" s="208"/>
      <c r="GS535" s="208"/>
      <c r="GT535" s="208"/>
      <c r="GU535" s="213">
        <v>530</v>
      </c>
    </row>
    <row r="536" spans="1:203" s="7" customFormat="1">
      <c r="A536" s="4"/>
      <c r="B536" s="4"/>
      <c r="C536" s="63"/>
      <c r="D536" s="101"/>
      <c r="E536" s="63"/>
      <c r="F536" s="63"/>
      <c r="G536" s="101"/>
      <c r="H536" s="101">
        <f>E537-E535</f>
        <v>-2.9599605703020795E-2</v>
      </c>
      <c r="I536" s="101">
        <f>AVERAGE(D535:D537)</f>
        <v>491.07025378281418</v>
      </c>
      <c r="J536" s="101">
        <f>I536*H536</f>
        <v>-14.535485884453657</v>
      </c>
      <c r="K536" s="61">
        <f>J536/(C537-C535)</f>
        <v>-0.44046926922586838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300.42972569807608</v>
      </c>
      <c r="AO536">
        <v>29.064029130170006</v>
      </c>
      <c r="AP536">
        <v>39.719385260066204</v>
      </c>
      <c r="AQ536">
        <v>206.8067834678339</v>
      </c>
      <c r="AR536">
        <v>29.133920528465495</v>
      </c>
      <c r="AS536">
        <v>395.85538752209561</v>
      </c>
      <c r="AT536">
        <v>17.599547307957845</v>
      </c>
      <c r="AU536">
        <v>-8.1970723132087961</v>
      </c>
      <c r="AV536"/>
      <c r="AW536"/>
      <c r="FY536" s="213">
        <v>531</v>
      </c>
      <c r="FZ536">
        <v>46.912735860329384</v>
      </c>
      <c r="GA536">
        <v>46.330519520042756</v>
      </c>
      <c r="GB536">
        <v>31.613298971699585</v>
      </c>
      <c r="GC536">
        <v>14.551977254469776</v>
      </c>
      <c r="GD536">
        <v>3.5729711879983621</v>
      </c>
      <c r="GE536">
        <v>5.5710710903153</v>
      </c>
      <c r="GF536">
        <v>1.3567269096147903</v>
      </c>
      <c r="GG536">
        <v>4.971640432447181</v>
      </c>
      <c r="GH536">
        <v>8.9815781942119912</v>
      </c>
      <c r="GI536">
        <v>18.376708746338068</v>
      </c>
      <c r="GJ536"/>
      <c r="GK536"/>
      <c r="GL536"/>
      <c r="GM536"/>
      <c r="GN536" s="208"/>
      <c r="GO536" s="208"/>
      <c r="GP536" s="208"/>
      <c r="GQ536" s="208"/>
      <c r="GR536" s="208"/>
      <c r="GS536" s="208"/>
      <c r="GT536" s="208"/>
      <c r="GU536" s="213">
        <v>531</v>
      </c>
    </row>
    <row r="537" spans="1:203" s="7" customFormat="1">
      <c r="A537" s="4"/>
      <c r="B537" s="4"/>
      <c r="C537" s="117">
        <f>C7</f>
        <v>39747</v>
      </c>
      <c r="D537" s="101">
        <f>D73</f>
        <v>937.34884089896173</v>
      </c>
      <c r="E537" s="108">
        <f>E408</f>
        <v>6.7711988330078729E-2</v>
      </c>
      <c r="F537" s="102"/>
      <c r="G537" s="101">
        <f>D537*E537</f>
        <v>63.469753776163323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238.42763271039917</v>
      </c>
      <c r="AO537">
        <v>25.201709580012157</v>
      </c>
      <c r="AP537">
        <v>30.241824720401564</v>
      </c>
      <c r="AQ537">
        <v>185.78411375950358</v>
      </c>
      <c r="AR537">
        <v>27.07121971674259</v>
      </c>
      <c r="AS537">
        <v>388.9557828841173</v>
      </c>
      <c r="AT537">
        <v>15.623639707537601</v>
      </c>
      <c r="AU537">
        <v>19.915697890251984</v>
      </c>
      <c r="AV537"/>
      <c r="AW537"/>
      <c r="FY537" s="213">
        <v>532</v>
      </c>
      <c r="FZ537">
        <v>42.096686702708368</v>
      </c>
      <c r="GA537">
        <v>65.109417423653426</v>
      </c>
      <c r="GB537">
        <v>42.153067673655819</v>
      </c>
      <c r="GC537">
        <v>13.979726539357374</v>
      </c>
      <c r="GD537">
        <v>3.3736469722260787</v>
      </c>
      <c r="GE537">
        <v>3.409252667494941</v>
      </c>
      <c r="GF537">
        <v>3.9717811663411045</v>
      </c>
      <c r="GG537">
        <v>6.7690006716255677</v>
      </c>
      <c r="GH537">
        <v>8.9788217281653058</v>
      </c>
      <c r="GI537">
        <v>20.631748832099944</v>
      </c>
      <c r="GJ537"/>
      <c r="GK537"/>
      <c r="GL537"/>
      <c r="GM537"/>
      <c r="GN537" s="208"/>
      <c r="GO537" s="208"/>
      <c r="GP537" s="208"/>
      <c r="GQ537" s="208"/>
      <c r="GR537" s="208"/>
      <c r="GS537" s="208"/>
      <c r="GT537" s="208"/>
      <c r="GU537" s="213">
        <v>532</v>
      </c>
    </row>
    <row r="538" spans="1:203" s="7" customFormat="1">
      <c r="A538" s="4"/>
      <c r="B538" s="4"/>
      <c r="C538" s="63"/>
      <c r="D538" s="101"/>
      <c r="E538" s="63"/>
      <c r="F538" s="63"/>
      <c r="G538" s="101"/>
      <c r="H538" s="101">
        <f>E539-E537</f>
        <v>-3.4867621118724122E-2</v>
      </c>
      <c r="I538" s="101">
        <f>AVERAGE(D537:D539)</f>
        <v>527.71964605720643</v>
      </c>
      <c r="J538" s="101">
        <f>I538*H538</f>
        <v>-18.400328675629869</v>
      </c>
      <c r="K538" s="61">
        <f>J538/(C539-C537)</f>
        <v>-0.65715459555820954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356.96694910267939</v>
      </c>
      <c r="AO538">
        <v>33.254153799695757</v>
      </c>
      <c r="AP538">
        <v>50.665044366368456</v>
      </c>
      <c r="AQ538">
        <v>242.16529211834339</v>
      </c>
      <c r="AR538">
        <v>33.418876337133135</v>
      </c>
      <c r="AS538">
        <v>468.76498806293858</v>
      </c>
      <c r="AT538">
        <v>20.703795591537201</v>
      </c>
      <c r="AU538">
        <v>-6.1631963387134689</v>
      </c>
      <c r="AV538"/>
      <c r="AW538"/>
      <c r="FY538" s="213">
        <v>533</v>
      </c>
      <c r="FZ538">
        <v>62.389085321957708</v>
      </c>
      <c r="GA538">
        <v>62.381686409341022</v>
      </c>
      <c r="GB538">
        <v>36.69467744746283</v>
      </c>
      <c r="GC538">
        <v>12.990398018799549</v>
      </c>
      <c r="GD538">
        <v>4.2789653210122287</v>
      </c>
      <c r="GE538">
        <v>8.3514744062135247</v>
      </c>
      <c r="GF538">
        <v>7.1654064926029655</v>
      </c>
      <c r="GG538">
        <v>5.7842296449855972</v>
      </c>
      <c r="GH538">
        <v>10.189960547045061</v>
      </c>
      <c r="GI538">
        <v>23.563875644437001</v>
      </c>
      <c r="GJ538"/>
      <c r="GK538"/>
      <c r="GL538"/>
      <c r="GM538"/>
      <c r="GN538" s="208"/>
      <c r="GO538" s="208"/>
      <c r="GP538" s="208"/>
      <c r="GQ538" s="208"/>
      <c r="GR538" s="208"/>
      <c r="GS538" s="208"/>
      <c r="GT538" s="208"/>
      <c r="GU538" s="213">
        <v>533</v>
      </c>
    </row>
    <row r="539" spans="1:203" s="7" customFormat="1">
      <c r="A539" s="4"/>
      <c r="B539" s="4"/>
      <c r="C539" s="117">
        <f>C8</f>
        <v>39775</v>
      </c>
      <c r="D539" s="101">
        <f>D74</f>
        <v>118.0904512154512</v>
      </c>
      <c r="E539" s="108">
        <f>E409</f>
        <v>3.2844367211354607E-2</v>
      </c>
      <c r="F539" s="102"/>
      <c r="G539" s="101">
        <f>D539*E539</f>
        <v>3.878606143874836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325.41322727176532</v>
      </c>
      <c r="AO539">
        <v>31.29075803544503</v>
      </c>
      <c r="AP539">
        <v>36.951995049511197</v>
      </c>
      <c r="AQ539">
        <v>235.02974140605596</v>
      </c>
      <c r="AR539">
        <v>29.869447322788648</v>
      </c>
      <c r="AS539">
        <v>435.15227093731505</v>
      </c>
      <c r="AT539">
        <v>18.601274575113962</v>
      </c>
      <c r="AU539">
        <v>-25.022042381014252</v>
      </c>
      <c r="AV539"/>
      <c r="AW539"/>
      <c r="FY539" s="213">
        <v>534</v>
      </c>
      <c r="FZ539">
        <v>69.322564149693775</v>
      </c>
      <c r="GA539">
        <v>70.533075630851783</v>
      </c>
      <c r="GB539">
        <v>31.90218844752739</v>
      </c>
      <c r="GC539">
        <v>10.847285438003739</v>
      </c>
      <c r="GD539">
        <v>3.2188557175326769</v>
      </c>
      <c r="GE539">
        <v>4.4686441782116288</v>
      </c>
      <c r="GF539">
        <v>4.9168111295316219</v>
      </c>
      <c r="GG539">
        <v>5.835025447076406</v>
      </c>
      <c r="GH539">
        <v>6.5235975949242819</v>
      </c>
      <c r="GI539">
        <v>21.787349040469795</v>
      </c>
      <c r="GJ539"/>
      <c r="GK539"/>
      <c r="GL539"/>
      <c r="GM539"/>
      <c r="GN539" s="208"/>
      <c r="GO539" s="208"/>
      <c r="GP539" s="208"/>
      <c r="GQ539" s="208"/>
      <c r="GR539" s="208"/>
      <c r="GS539" s="208"/>
      <c r="GT539" s="208"/>
      <c r="GU539" s="213">
        <v>534</v>
      </c>
    </row>
    <row r="540" spans="1:203" s="7" customFormat="1">
      <c r="A540" s="4"/>
      <c r="B540" s="4"/>
      <c r="C540" s="63"/>
      <c r="D540" s="101"/>
      <c r="E540" s="63"/>
      <c r="F540" s="63"/>
      <c r="G540" s="101"/>
      <c r="H540" s="101">
        <f>E541-E539</f>
        <v>-4.9471071551969933E-3</v>
      </c>
      <c r="I540" s="101">
        <f>AVERAGE(D539:D541)</f>
        <v>369.6142596431157</v>
      </c>
      <c r="J540" s="101">
        <f>I540*H540</f>
        <v>-1.828521348543297</v>
      </c>
      <c r="K540" s="61">
        <f>J540/(C541-C539)</f>
        <v>-7.6188389522637373E-2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288.19939594579262</v>
      </c>
      <c r="AO540">
        <v>28.765867115487868</v>
      </c>
      <c r="AP540">
        <v>20.076617231799343</v>
      </c>
      <c r="AQ540">
        <v>203.44699187765741</v>
      </c>
      <c r="AR540">
        <v>28.831407628136319</v>
      </c>
      <c r="AS540">
        <v>388.4695206873684</v>
      </c>
      <c r="AT540">
        <v>17.965849638878542</v>
      </c>
      <c r="AU540">
        <v>-30.779999483898756</v>
      </c>
      <c r="AV540"/>
      <c r="AW540"/>
      <c r="FY540" s="213">
        <v>535</v>
      </c>
      <c r="FZ540">
        <v>54.442961402779858</v>
      </c>
      <c r="GA540">
        <v>44.37744911254245</v>
      </c>
      <c r="GB540">
        <v>29.648612562254819</v>
      </c>
      <c r="GC540">
        <v>13.734049081457051</v>
      </c>
      <c r="GD540">
        <v>5.1380525487059172</v>
      </c>
      <c r="GE540">
        <v>6.09579867547464</v>
      </c>
      <c r="GF540">
        <v>7.7985365103528252</v>
      </c>
      <c r="GG540">
        <v>6.6754074490214412</v>
      </c>
      <c r="GH540">
        <v>6.1784252047367918</v>
      </c>
      <c r="GI540">
        <v>20.641773704358172</v>
      </c>
      <c r="GJ540"/>
      <c r="GK540"/>
      <c r="GL540"/>
      <c r="GM540"/>
      <c r="GN540" s="208"/>
      <c r="GO540" s="208"/>
      <c r="GP540" s="208"/>
      <c r="GQ540" s="208"/>
      <c r="GR540" s="208"/>
      <c r="GS540" s="208"/>
      <c r="GT540" s="208"/>
      <c r="GU540" s="213">
        <v>535</v>
      </c>
    </row>
    <row r="541" spans="1:203" s="7" customFormat="1">
      <c r="A541" s="4"/>
      <c r="B541" s="4"/>
      <c r="C541" s="117">
        <f>C9</f>
        <v>39799</v>
      </c>
      <c r="D541" s="101">
        <f>D75</f>
        <v>621.13806807078026</v>
      </c>
      <c r="E541" s="108">
        <f>E410</f>
        <v>2.7897260056157613E-2</v>
      </c>
      <c r="F541" s="102"/>
      <c r="G541" s="101">
        <f>D541*E541</f>
        <v>17.328050215749887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245.20324375090928</v>
      </c>
      <c r="AO541">
        <v>24.038331210602482</v>
      </c>
      <c r="AP541">
        <v>11.360284022965642</v>
      </c>
      <c r="AQ541">
        <v>167.9197783957116</v>
      </c>
      <c r="AR541">
        <v>25.115012529715578</v>
      </c>
      <c r="AS541">
        <v>350.96477448125154</v>
      </c>
      <c r="AT541">
        <v>15.45424126539892</v>
      </c>
      <c r="AU541">
        <v>-12.59133648881793</v>
      </c>
      <c r="AV541"/>
      <c r="AW541"/>
      <c r="FY541" s="213">
        <v>536</v>
      </c>
      <c r="FZ541">
        <v>53.403293905277785</v>
      </c>
      <c r="GA541">
        <v>37.534865790538937</v>
      </c>
      <c r="GB541">
        <v>25.173830224491162</v>
      </c>
      <c r="GC541">
        <v>14.4861809243883</v>
      </c>
      <c r="GD541">
        <v>3.9246800089320333</v>
      </c>
      <c r="GE541">
        <v>4.4079459288524765</v>
      </c>
      <c r="GF541">
        <v>5.2812002630445338</v>
      </c>
      <c r="GG541">
        <v>4.6803197495578726</v>
      </c>
      <c r="GH541">
        <v>3.283467706289394</v>
      </c>
      <c r="GI541">
        <v>17.782563196315326</v>
      </c>
      <c r="GJ541"/>
      <c r="GK541"/>
      <c r="GL541"/>
      <c r="GM541"/>
      <c r="GN541" s="208"/>
      <c r="GO541" s="208"/>
      <c r="GP541" s="208"/>
      <c r="GQ541" s="208"/>
      <c r="GR541" s="208"/>
      <c r="GS541" s="208"/>
      <c r="GT541" s="208"/>
      <c r="GU541" s="213">
        <v>536</v>
      </c>
    </row>
    <row r="542" spans="1:203" s="7" customFormat="1">
      <c r="A542" s="4"/>
      <c r="B542" s="4"/>
      <c r="C542" s="63"/>
      <c r="D542" s="101"/>
      <c r="E542" s="63"/>
      <c r="F542" s="63"/>
      <c r="G542" s="101"/>
      <c r="H542" s="101">
        <f>E543-E541</f>
        <v>0.11107477130582125</v>
      </c>
      <c r="I542" s="101">
        <f>AVERAGE(D541:D543)</f>
        <v>324.45792292427905</v>
      </c>
      <c r="J542" s="101">
        <f>I542*H542</f>
        <v>36.039089587176072</v>
      </c>
      <c r="K542" s="61">
        <f>J542/(C543-C541)</f>
        <v>0.7508143663995015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287.71166144395812</v>
      </c>
      <c r="AO542">
        <v>24.361018177713994</v>
      </c>
      <c r="AP542">
        <v>17.348471811762487</v>
      </c>
      <c r="AQ542">
        <v>168.92717364028314</v>
      </c>
      <c r="AR542">
        <v>23.626307976825924</v>
      </c>
      <c r="AS542">
        <v>344.5034148444646</v>
      </c>
      <c r="AT542" t="e">
        <v>#DIV/0!</v>
      </c>
      <c r="AU542" t="e">
        <v>#DIV/0!</v>
      </c>
      <c r="AV542"/>
      <c r="AW542"/>
      <c r="FY542" s="213">
        <v>537</v>
      </c>
      <c r="FZ542">
        <v>44.565792662168398</v>
      </c>
      <c r="GA542">
        <v>29.122230553429205</v>
      </c>
      <c r="GB542">
        <v>28.833840682378288</v>
      </c>
      <c r="GC542">
        <v>16.039817630182537</v>
      </c>
      <c r="GD542">
        <v>3.4624980632760427</v>
      </c>
      <c r="GE542">
        <v>3.393403173962442</v>
      </c>
      <c r="GF542">
        <v>3.779447531100359</v>
      </c>
      <c r="GG542">
        <v>4.5668153926316819</v>
      </c>
      <c r="GH542">
        <v>7.6307706660880088</v>
      </c>
      <c r="GI542">
        <v>17.521824844421417</v>
      </c>
      <c r="GJ542"/>
      <c r="GK542"/>
      <c r="GL542"/>
      <c r="GM542"/>
      <c r="GN542" s="208"/>
      <c r="GO542" s="208"/>
      <c r="GP542" s="208"/>
      <c r="GQ542" s="208"/>
      <c r="GR542" s="208"/>
      <c r="GS542" s="208"/>
      <c r="GT542" s="208"/>
      <c r="GU542" s="213">
        <v>537</v>
      </c>
    </row>
    <row r="543" spans="1:203" s="7" customFormat="1">
      <c r="A543" s="4"/>
      <c r="B543" s="4"/>
      <c r="C543" s="117">
        <f>C10</f>
        <v>39847</v>
      </c>
      <c r="D543" s="101">
        <f>D76</f>
        <v>27.777777777777779</v>
      </c>
      <c r="E543" s="108">
        <f>E411</f>
        <v>0.13897203136197886</v>
      </c>
      <c r="F543" s="102"/>
      <c r="G543" s="101">
        <f>D543*E543</f>
        <v>3.8603342044994129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331.53568197098684</v>
      </c>
      <c r="AO543">
        <v>31.513326859023511</v>
      </c>
      <c r="AP543">
        <v>75.844907203740291</v>
      </c>
      <c r="AQ543">
        <v>216.58151132251791</v>
      </c>
      <c r="AR543">
        <v>31.297512205454396</v>
      </c>
      <c r="AS543">
        <v>449.31488742591682</v>
      </c>
      <c r="AT543" t="e">
        <v>#DIV/0!</v>
      </c>
      <c r="AU543" t="e">
        <v>#DIV/0!</v>
      </c>
      <c r="AV543"/>
      <c r="AW543"/>
      <c r="FY543" s="213">
        <v>538</v>
      </c>
      <c r="FZ543">
        <v>52.273120944629675</v>
      </c>
      <c r="GA543">
        <v>58.330272653335655</v>
      </c>
      <c r="GB543">
        <v>39.739239485243502</v>
      </c>
      <c r="GC543">
        <v>12.414323912152561</v>
      </c>
      <c r="GD543">
        <v>2.3810573278189526</v>
      </c>
      <c r="GE543">
        <v>2.2557295976905651</v>
      </c>
      <c r="GF543">
        <v>3.8240185000590707</v>
      </c>
      <c r="GG543">
        <v>7.2009683169234746</v>
      </c>
      <c r="GH543">
        <v>8.4198056469959397</v>
      </c>
      <c r="GI543">
        <v>20.849919827805689</v>
      </c>
      <c r="GJ543"/>
      <c r="GK543"/>
      <c r="GL543"/>
      <c r="GM543"/>
      <c r="GN543" s="208"/>
      <c r="GO543" s="208"/>
      <c r="GP543" s="208"/>
      <c r="GQ543" s="208"/>
      <c r="GR543" s="208"/>
      <c r="GS543" s="208"/>
      <c r="GT543" s="208"/>
      <c r="GU543" s="213">
        <v>538</v>
      </c>
    </row>
    <row r="544" spans="1:203" s="7" customFormat="1">
      <c r="A544" s="4"/>
      <c r="B544" s="4"/>
      <c r="C544" s="63"/>
      <c r="D544" s="101"/>
      <c r="E544" s="63"/>
      <c r="F544" s="63"/>
      <c r="G544" s="101"/>
      <c r="H544" s="101">
        <f>E545-E543</f>
        <v>3.3402156736004857E-2</v>
      </c>
      <c r="I544" s="101">
        <f>AVERAGE(D543:D545)</f>
        <v>55.555555555555557</v>
      </c>
      <c r="J544" s="101">
        <f>I544*H544</f>
        <v>1.8556753742224921</v>
      </c>
      <c r="K544" s="61">
        <f>J544/(C545-C543)</f>
        <v>2.9455164670198288E-2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232.2221726267847</v>
      </c>
      <c r="AO544">
        <v>24.520764396013696</v>
      </c>
      <c r="AP544">
        <v>17.425199788358285</v>
      </c>
      <c r="AQ544">
        <v>172.53259079230716</v>
      </c>
      <c r="AR544">
        <v>26.008343349042001</v>
      </c>
      <c r="AS544">
        <v>393.65095400178728</v>
      </c>
      <c r="AT544">
        <v>16.596497363941701</v>
      </c>
      <c r="AU544">
        <v>14.374817402250606</v>
      </c>
      <c r="AV544"/>
      <c r="AW544"/>
      <c r="FY544" s="213">
        <v>539</v>
      </c>
      <c r="FZ544">
        <v>48.322013621793019</v>
      </c>
      <c r="GA544">
        <v>48.319929850289675</v>
      </c>
      <c r="GB544">
        <v>45.484651041933368</v>
      </c>
      <c r="GC544">
        <v>16.816768657909119</v>
      </c>
      <c r="GD544">
        <v>2.9623574643287141</v>
      </c>
      <c r="GE544">
        <v>5.0100214080225243</v>
      </c>
      <c r="GF544">
        <v>5.4077724809317349</v>
      </c>
      <c r="GG544">
        <v>5.8028468496328047</v>
      </c>
      <c r="GH544">
        <v>6.8446145070255513</v>
      </c>
      <c r="GI544">
        <v>22.043319047189229</v>
      </c>
      <c r="GJ544"/>
      <c r="GK544"/>
      <c r="GL544"/>
      <c r="GM544"/>
      <c r="GN544" s="208"/>
      <c r="GO544" s="208"/>
      <c r="GP544" s="208"/>
      <c r="GQ544" s="208"/>
      <c r="GR544" s="208"/>
      <c r="GS544" s="208"/>
      <c r="GT544" s="208"/>
      <c r="GU544" s="213">
        <v>539</v>
      </c>
    </row>
    <row r="545" spans="1:203" s="7" customFormat="1">
      <c r="A545" s="4"/>
      <c r="B545" s="4"/>
      <c r="C545" s="117">
        <f>C11</f>
        <v>39910</v>
      </c>
      <c r="D545" s="101">
        <f>D77</f>
        <v>83.333333333333343</v>
      </c>
      <c r="E545" s="108">
        <f>E412</f>
        <v>0.17237418809798372</v>
      </c>
      <c r="F545" s="102"/>
      <c r="G545" s="101">
        <f>D545*E545</f>
        <v>14.364515674831978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255.49888888965893</v>
      </c>
      <c r="AO545">
        <v>23.299675299764907</v>
      </c>
      <c r="AP545">
        <v>26.872654316537453</v>
      </c>
      <c r="AQ545">
        <v>167.48417213228709</v>
      </c>
      <c r="AR545">
        <v>24.079501541103166</v>
      </c>
      <c r="AS545">
        <v>405.44730923500117</v>
      </c>
      <c r="AT545">
        <v>15.207273600675336</v>
      </c>
      <c r="AU545">
        <v>1.0462834702388832</v>
      </c>
      <c r="AV545"/>
      <c r="AW545"/>
      <c r="FY545" s="213">
        <v>540</v>
      </c>
      <c r="FZ545">
        <v>44.925098346129325</v>
      </c>
      <c r="GA545">
        <v>34.707353988041916</v>
      </c>
      <c r="GB545">
        <v>24.392155149545673</v>
      </c>
      <c r="GC545">
        <v>8.5089990782344938</v>
      </c>
      <c r="GD545">
        <v>2.4778980043826482</v>
      </c>
      <c r="GE545">
        <v>5.44775573906555</v>
      </c>
      <c r="GF545">
        <v>5.5816525117302991</v>
      </c>
      <c r="GG545">
        <v>5.0952544550140058</v>
      </c>
      <c r="GH545">
        <v>8.6457729787071145</v>
      </c>
      <c r="GI545">
        <v>16.396969324354043</v>
      </c>
      <c r="GJ545"/>
      <c r="GK545"/>
      <c r="GL545"/>
      <c r="GM545"/>
      <c r="GN545" s="208"/>
      <c r="GO545" s="208"/>
      <c r="GP545" s="208"/>
      <c r="GQ545" s="208"/>
      <c r="GR545" s="208"/>
      <c r="GS545" s="208"/>
      <c r="GT545" s="208"/>
      <c r="GU545" s="213">
        <v>540</v>
      </c>
    </row>
    <row r="546" spans="1:203" s="7" customFormat="1">
      <c r="A546" s="4"/>
      <c r="B546" s="4"/>
      <c r="C546" s="63"/>
      <c r="D546" s="101"/>
      <c r="E546" s="63"/>
      <c r="F546" s="63"/>
      <c r="G546" s="101"/>
      <c r="H546" s="101">
        <f>E547-E545</f>
        <v>-0.11846914482501664</v>
      </c>
      <c r="I546" s="101">
        <f>AVERAGE(D545:D547)</f>
        <v>134.97604382522479</v>
      </c>
      <c r="J546" s="101">
        <f>I546*H546</f>
        <v>-15.990496483838349</v>
      </c>
      <c r="K546" s="61">
        <f>J546/(C547-C545)</f>
        <v>-0.41001273035482949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270.46614624688783</v>
      </c>
      <c r="AO546">
        <v>26.968340129674583</v>
      </c>
      <c r="AP546">
        <v>30.473002877242017</v>
      </c>
      <c r="AQ546">
        <v>189.60731827887346</v>
      </c>
      <c r="AR546">
        <v>27.946773204020936</v>
      </c>
      <c r="AS546">
        <v>384.10730320248274</v>
      </c>
      <c r="AT546">
        <v>17.474909675894796</v>
      </c>
      <c r="AU546">
        <v>21.615574618531198</v>
      </c>
      <c r="AV546"/>
      <c r="AW546"/>
      <c r="FY546" s="213">
        <v>541</v>
      </c>
      <c r="FZ546">
        <v>61.858991725312116</v>
      </c>
      <c r="GA546">
        <v>81.868790168495295</v>
      </c>
      <c r="GB546">
        <v>50.696171353874185</v>
      </c>
      <c r="GC546">
        <v>15.824480926198111</v>
      </c>
      <c r="GD546">
        <v>6.1098138554480421</v>
      </c>
      <c r="GE546">
        <v>8.1722098821279978</v>
      </c>
      <c r="GF546">
        <v>5.1269548731313872</v>
      </c>
      <c r="GG546">
        <v>4.6104385289173422</v>
      </c>
      <c r="GH546">
        <v>5.6691034961025109</v>
      </c>
      <c r="GI546">
        <v>26.860134381983102</v>
      </c>
      <c r="GJ546"/>
      <c r="GK546"/>
      <c r="GL546"/>
      <c r="GM546"/>
      <c r="GN546" s="208"/>
      <c r="GO546" s="208"/>
      <c r="GP546" s="208"/>
      <c r="GQ546" s="208"/>
      <c r="GR546" s="208"/>
      <c r="GS546" s="208"/>
      <c r="GT546" s="208"/>
      <c r="GU546" s="213">
        <v>541</v>
      </c>
    </row>
    <row r="547" spans="1:203" s="7" customFormat="1">
      <c r="A547" s="4"/>
      <c r="B547" s="4"/>
      <c r="C547" s="117">
        <f>C12</f>
        <v>39949</v>
      </c>
      <c r="D547" s="101">
        <f>D78</f>
        <v>186.61875431711627</v>
      </c>
      <c r="E547" s="108">
        <f>E413</f>
        <v>5.3905043272967079E-2</v>
      </c>
      <c r="F547" s="102"/>
      <c r="G547" s="101">
        <f>D547*E547</f>
        <v>10.059692027011364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279.29615751356766</v>
      </c>
      <c r="AO547">
        <v>25.30511742706981</v>
      </c>
      <c r="AP547">
        <v>41.992414334244678</v>
      </c>
      <c r="AQ547">
        <v>182.23922816746716</v>
      </c>
      <c r="AR547">
        <v>25.235894465772542</v>
      </c>
      <c r="AS547">
        <v>346.95993299498826</v>
      </c>
      <c r="AT547">
        <v>15.256907851136049</v>
      </c>
      <c r="AU547">
        <v>24.625538888032452</v>
      </c>
      <c r="AV547"/>
      <c r="AW547"/>
      <c r="FY547" s="213">
        <v>542</v>
      </c>
      <c r="FZ547">
        <v>39.484431223558175</v>
      </c>
      <c r="GA547">
        <v>33.823445841397429</v>
      </c>
      <c r="GB547">
        <v>31.066905369862525</v>
      </c>
      <c r="GC547">
        <v>15.812008562261388</v>
      </c>
      <c r="GD547">
        <v>4.0969306067917648</v>
      </c>
      <c r="GE547">
        <v>7.5849492748174345</v>
      </c>
      <c r="GF547">
        <v>16.815794371982239</v>
      </c>
      <c r="GG547">
        <v>14.44454241056164</v>
      </c>
      <c r="GH547">
        <v>8.2502128018786571</v>
      </c>
      <c r="GI547">
        <v>20.166055121234976</v>
      </c>
      <c r="GJ547"/>
      <c r="GK547"/>
      <c r="GL547"/>
      <c r="GM547"/>
      <c r="GN547" s="208"/>
      <c r="GO547" s="208"/>
      <c r="GP547" s="208"/>
      <c r="GQ547" s="208"/>
      <c r="GR547" s="208"/>
      <c r="GS547" s="208"/>
      <c r="GT547" s="208"/>
      <c r="GU547" s="213">
        <v>542</v>
      </c>
    </row>
    <row r="548" spans="1:203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0.17807949272697415</v>
      </c>
      <c r="I548" s="101">
        <f>AVERAGE(D547:D549)</f>
        <v>100.98165279958377</v>
      </c>
      <c r="J548" s="101">
        <f>I548*H548</f>
        <v>17.982761505281307</v>
      </c>
      <c r="K548" s="61">
        <f>J548/(C549-C547)</f>
        <v>0.47323056592845542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292.12039994420331</v>
      </c>
      <c r="AO548">
        <v>28.346217991665139</v>
      </c>
      <c r="AP548">
        <v>39.723935134106654</v>
      </c>
      <c r="AQ548">
        <v>210.47315037732795</v>
      </c>
      <c r="AR548">
        <v>28.235580527353225</v>
      </c>
      <c r="AS548">
        <v>425.91681284423311</v>
      </c>
      <c r="AT548">
        <v>17.371163722314744</v>
      </c>
      <c r="AU548">
        <v>-31.280243327412627</v>
      </c>
      <c r="AV548"/>
      <c r="AW548"/>
      <c r="FY548" s="213">
        <v>543</v>
      </c>
      <c r="FZ548">
        <v>57.350558892571506</v>
      </c>
      <c r="GA548">
        <v>47.966153855431294</v>
      </c>
      <c r="GB548">
        <v>26.897943826270048</v>
      </c>
      <c r="GC548">
        <v>13.361270287987656</v>
      </c>
      <c r="GD548">
        <v>4.0842805901542381</v>
      </c>
      <c r="GE548">
        <v>4.7081259098132788</v>
      </c>
      <c r="GF548">
        <v>5.7733426508878809</v>
      </c>
      <c r="GG548">
        <v>3.6887825026736323</v>
      </c>
      <c r="GH548">
        <v>6.7784795771013471</v>
      </c>
      <c r="GI548">
        <v>19.508142083100321</v>
      </c>
      <c r="GJ548"/>
      <c r="GK548"/>
      <c r="GL548"/>
      <c r="GM548"/>
      <c r="GN548" s="208"/>
      <c r="GO548" s="208"/>
      <c r="GP548" s="208"/>
      <c r="GQ548" s="208"/>
      <c r="GR548" s="208"/>
      <c r="GS548" s="208"/>
      <c r="GT548" s="208"/>
      <c r="GU548" s="213">
        <v>543</v>
      </c>
    </row>
    <row r="549" spans="1:203" s="7" customFormat="1">
      <c r="A549" s="4"/>
      <c r="B549" s="4"/>
      <c r="C549" s="117">
        <f>C13</f>
        <v>39987</v>
      </c>
      <c r="D549" s="101">
        <f>D79</f>
        <v>15.344551282051281</v>
      </c>
      <c r="E549" s="108">
        <f>E414</f>
        <v>0.23198453599994123</v>
      </c>
      <c r="F549" s="102"/>
      <c r="G549" s="101">
        <f>D549*E549</f>
        <v>3.55969860929397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325.15159938782915</v>
      </c>
      <c r="AO549">
        <v>31.126629582140062</v>
      </c>
      <c r="AP549">
        <v>26.065714967146047</v>
      </c>
      <c r="AQ549">
        <v>233.78975925385745</v>
      </c>
      <c r="AR549">
        <v>32.401211982888121</v>
      </c>
      <c r="AS549">
        <v>519.78024242691663</v>
      </c>
      <c r="AT549">
        <v>19.698265939637633</v>
      </c>
      <c r="AU549">
        <v>-14.163379308578207</v>
      </c>
      <c r="AV549"/>
      <c r="AW549"/>
      <c r="FY549" s="213">
        <v>544</v>
      </c>
      <c r="FZ549">
        <v>45.598323188982711</v>
      </c>
      <c r="GA549">
        <v>37.959609541765786</v>
      </c>
      <c r="GB549">
        <v>32.312000552321798</v>
      </c>
      <c r="GC549">
        <v>14.532414157496943</v>
      </c>
      <c r="GD549">
        <v>2.0066544261527857</v>
      </c>
      <c r="GE549">
        <v>3.2465096298143972</v>
      </c>
      <c r="GF549">
        <v>2.0812125251785472</v>
      </c>
      <c r="GG549">
        <v>2.0003037574812423</v>
      </c>
      <c r="GH549">
        <v>4.3124654737606054</v>
      </c>
      <c r="GI549">
        <v>16.861266978617884</v>
      </c>
      <c r="GJ549"/>
      <c r="GK549"/>
      <c r="GL549"/>
      <c r="GM549"/>
      <c r="GN549" s="208"/>
      <c r="GO549" s="208"/>
      <c r="GP549" s="208"/>
      <c r="GQ549" s="208"/>
      <c r="GR549" s="208"/>
      <c r="GS549" s="208"/>
      <c r="GT549" s="208"/>
      <c r="GU549" s="213">
        <v>544</v>
      </c>
    </row>
    <row r="550" spans="1:203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-0.23198453599994123</v>
      </c>
      <c r="I550" s="101">
        <f>AVERAGE(D549:D551)</f>
        <v>7.6722756410256405</v>
      </c>
      <c r="J550" s="101">
        <f>I550*H550</f>
        <v>-1.779849304646985</v>
      </c>
      <c r="K550" s="61">
        <f>J550/(C551-C549)</f>
        <v>4.4510698593217419E-5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263.04424420216509</v>
      </c>
      <c r="AO550">
        <v>29.114706884646331</v>
      </c>
      <c r="AP550">
        <v>19.387631121533566</v>
      </c>
      <c r="AQ550">
        <v>229.35539677382312</v>
      </c>
      <c r="AR550">
        <v>30.108062014513358</v>
      </c>
      <c r="AS550">
        <v>376.42395584737022</v>
      </c>
      <c r="AT550">
        <v>18.137290931165417</v>
      </c>
      <c r="AU550">
        <v>-11.078886842644351</v>
      </c>
      <c r="AV550"/>
      <c r="AW550"/>
      <c r="FY550" s="213">
        <v>545</v>
      </c>
      <c r="FZ550">
        <v>41.321408685937705</v>
      </c>
      <c r="GA550">
        <v>22.216407042319389</v>
      </c>
      <c r="GB550">
        <v>18.201444779156127</v>
      </c>
      <c r="GC550">
        <v>11.731241280572785</v>
      </c>
      <c r="GD550">
        <v>5.3355407349859565</v>
      </c>
      <c r="GE550">
        <v>5.9014627428308657</v>
      </c>
      <c r="GF550">
        <v>5.4262260853739175</v>
      </c>
      <c r="GG550">
        <v>4.7267297436116982</v>
      </c>
      <c r="GH550">
        <v>6.9635310813673907</v>
      </c>
      <c r="GI550">
        <v>15.681790503442318</v>
      </c>
      <c r="GJ550"/>
      <c r="GK550"/>
      <c r="GL550"/>
      <c r="GM550"/>
      <c r="GN550" s="208"/>
      <c r="GO550" s="208"/>
      <c r="GP550" s="208"/>
      <c r="GQ550" s="208"/>
      <c r="GR550" s="208"/>
      <c r="GS550" s="208"/>
      <c r="GT550" s="208"/>
      <c r="GU550" s="213">
        <v>545</v>
      </c>
    </row>
    <row r="551" spans="1:203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296.14965625917978</v>
      </c>
      <c r="AO551">
        <v>27.032592436866612</v>
      </c>
      <c r="AP551">
        <v>25.635761515511224</v>
      </c>
      <c r="AQ551">
        <v>194.73106625168396</v>
      </c>
      <c r="AR551">
        <v>28.30136232959671</v>
      </c>
      <c r="AS551">
        <v>418.9000299924142</v>
      </c>
      <c r="AT551">
        <v>17.540631102268794</v>
      </c>
      <c r="AU551">
        <v>-2.7865502658467562</v>
      </c>
      <c r="AV551"/>
      <c r="AW551"/>
      <c r="FY551" s="213">
        <v>546</v>
      </c>
      <c r="FZ551">
        <v>49.015388254439479</v>
      </c>
      <c r="GA551">
        <v>36.705253832160899</v>
      </c>
      <c r="GB551">
        <v>18.755817915017602</v>
      </c>
      <c r="GC551">
        <v>11.229769087997497</v>
      </c>
      <c r="GD551">
        <v>5.870927853049837</v>
      </c>
      <c r="GE551">
        <v>8.8180294345914696</v>
      </c>
      <c r="GF551">
        <v>1.9834945157605246</v>
      </c>
      <c r="GG551">
        <v>3.2827148264310351</v>
      </c>
      <c r="GH551">
        <v>6.4590797753042146</v>
      </c>
      <c r="GI551">
        <v>16.546696674837495</v>
      </c>
      <c r="GJ551"/>
      <c r="GK551"/>
      <c r="GL551"/>
      <c r="GM551"/>
      <c r="GN551" s="208"/>
      <c r="GO551" s="208"/>
      <c r="GP551" s="208"/>
      <c r="GQ551" s="208"/>
      <c r="GR551" s="208"/>
      <c r="GS551" s="208"/>
      <c r="GT551" s="208"/>
      <c r="GU551" s="213">
        <v>546</v>
      </c>
    </row>
    <row r="552" spans="1:203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237.7117144552779</v>
      </c>
      <c r="AO552">
        <v>23.775122750773637</v>
      </c>
      <c r="AP552">
        <v>13.168118794042897</v>
      </c>
      <c r="AQ552">
        <v>169.9583476976878</v>
      </c>
      <c r="AR552">
        <v>24.42238641813719</v>
      </c>
      <c r="AS552">
        <v>346.42621175783489</v>
      </c>
      <c r="AT552">
        <v>14.282643474261425</v>
      </c>
      <c r="AU552">
        <v>-0.13868884820870164</v>
      </c>
      <c r="AV552"/>
      <c r="AW552"/>
      <c r="FY552" s="213">
        <v>547</v>
      </c>
      <c r="FZ552">
        <v>52.752589167144023</v>
      </c>
      <c r="GA552">
        <v>61.281343823424727</v>
      </c>
      <c r="GB552">
        <v>36.92699201951028</v>
      </c>
      <c r="GC552">
        <v>12.606540794996253</v>
      </c>
      <c r="GD552">
        <v>3.7977492968218303</v>
      </c>
      <c r="GE552">
        <v>7.8684743371542663</v>
      </c>
      <c r="GF552">
        <v>12.989039027970518</v>
      </c>
      <c r="GG552">
        <v>9.9670630799331352</v>
      </c>
      <c r="GH552">
        <v>4.1049328367856628</v>
      </c>
      <c r="GI552">
        <v>22.011762761232635</v>
      </c>
      <c r="GJ552"/>
      <c r="GK552"/>
      <c r="GL552"/>
      <c r="GM552"/>
      <c r="GN552" s="208"/>
      <c r="GO552" s="208"/>
      <c r="GP552" s="208"/>
      <c r="GQ552" s="208"/>
      <c r="GR552" s="208"/>
      <c r="GS552" s="208"/>
      <c r="GT552" s="208"/>
      <c r="GU552" s="213">
        <v>547</v>
      </c>
    </row>
    <row r="553" spans="1:203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229.86238499783957</v>
      </c>
      <c r="AO553">
        <v>23.096608618587499</v>
      </c>
      <c r="AP553">
        <v>63.166204538055595</v>
      </c>
      <c r="AQ553">
        <v>158.9164411996384</v>
      </c>
      <c r="AR553">
        <v>24.058549558845186</v>
      </c>
      <c r="AS553">
        <v>350.00507029387973</v>
      </c>
      <c r="AT553" t="e">
        <v>#DIV/0!</v>
      </c>
      <c r="AU553" t="e">
        <v>#DIV/0!</v>
      </c>
      <c r="AV553"/>
      <c r="AW553"/>
      <c r="FY553" s="213">
        <v>548</v>
      </c>
      <c r="FZ553">
        <v>53.049199913943767</v>
      </c>
      <c r="GA553">
        <v>73.488029477889086</v>
      </c>
      <c r="GB553">
        <v>47.549169479742851</v>
      </c>
      <c r="GC553">
        <v>18.173044227443604</v>
      </c>
      <c r="GD553">
        <v>2.7235748137252171</v>
      </c>
      <c r="GE553">
        <v>3.9019549149034685</v>
      </c>
      <c r="GF553">
        <v>1.3920638417150828</v>
      </c>
      <c r="GG553">
        <v>4.3486616287680055</v>
      </c>
      <c r="GH553">
        <v>9.7729531235017895</v>
      </c>
      <c r="GI553">
        <v>22.836889570302837</v>
      </c>
      <c r="GJ553"/>
      <c r="GK553"/>
      <c r="GL553"/>
      <c r="GM553"/>
      <c r="GN553" s="208"/>
      <c r="GO553" s="208"/>
      <c r="GP553" s="208"/>
      <c r="GQ553" s="208"/>
      <c r="GR553" s="208"/>
      <c r="GS553" s="208"/>
      <c r="GT553" s="208"/>
      <c r="GU553" s="213">
        <v>548</v>
      </c>
    </row>
    <row r="554" spans="1:203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285.54316114095997</v>
      </c>
      <c r="AO554">
        <v>27.278704529721569</v>
      </c>
      <c r="AP554">
        <v>17.407486202768567</v>
      </c>
      <c r="AQ554">
        <v>207.68845621265507</v>
      </c>
      <c r="AR554">
        <v>28.561616582678276</v>
      </c>
      <c r="AS554">
        <v>451.1702753854218</v>
      </c>
      <c r="AT554">
        <v>17.347648332593469</v>
      </c>
      <c r="AU554">
        <v>-0.52454128106261066</v>
      </c>
      <c r="AV554"/>
      <c r="AW554"/>
      <c r="FY554" s="213">
        <v>549</v>
      </c>
      <c r="FZ554">
        <v>34.111119956058644</v>
      </c>
      <c r="GA554">
        <v>25.714885310635726</v>
      </c>
      <c r="GB554">
        <v>22.735209771764158</v>
      </c>
      <c r="GC554">
        <v>10.58981607984615</v>
      </c>
      <c r="GD554">
        <v>3.1907711330637745</v>
      </c>
      <c r="GE554">
        <v>5.4934931098454651</v>
      </c>
      <c r="GF554">
        <v>8.2674186896592783</v>
      </c>
      <c r="GG554">
        <v>5.779100957584717</v>
      </c>
      <c r="GH554">
        <v>6.8135601369802217</v>
      </c>
      <c r="GI554">
        <v>15.02999612768682</v>
      </c>
      <c r="GJ554"/>
      <c r="GK554"/>
      <c r="GL554"/>
      <c r="GM554"/>
      <c r="GN554" s="208"/>
      <c r="GO554" s="208"/>
      <c r="GP554" s="208"/>
      <c r="GQ554" s="208"/>
      <c r="GR554" s="208"/>
      <c r="GS554" s="208"/>
      <c r="GT554" s="208"/>
      <c r="GU554" s="213">
        <v>549</v>
      </c>
    </row>
    <row r="555" spans="1:203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325.72012027685366</v>
      </c>
      <c r="AO555">
        <v>29.085931999652153</v>
      </c>
      <c r="AP555">
        <v>32.355240720241056</v>
      </c>
      <c r="AQ555">
        <v>207.01429492905567</v>
      </c>
      <c r="AR555">
        <v>30.189205731191482</v>
      </c>
      <c r="AS555">
        <v>469.97864357607511</v>
      </c>
      <c r="AT555">
        <v>18.070687987795623</v>
      </c>
      <c r="AU555">
        <v>-4.6749627902232973</v>
      </c>
      <c r="AV555"/>
      <c r="AW555"/>
      <c r="FY555" s="213">
        <v>550</v>
      </c>
      <c r="FZ555">
        <v>50.874951819434571</v>
      </c>
      <c r="GA555">
        <v>27.785630893142425</v>
      </c>
      <c r="GB555">
        <v>19.04028455785847</v>
      </c>
      <c r="GC555">
        <v>11.577039552345795</v>
      </c>
      <c r="GD555">
        <v>2.108983349946262</v>
      </c>
      <c r="GE555">
        <v>2.6693425997922322</v>
      </c>
      <c r="GF555">
        <v>1.6848523303265006</v>
      </c>
      <c r="GG555">
        <v>3.8426532630200736</v>
      </c>
      <c r="GH555">
        <v>9.4389730766463273</v>
      </c>
      <c r="GI555">
        <v>15.168103746549503</v>
      </c>
      <c r="GJ555"/>
      <c r="GK555"/>
      <c r="GL555"/>
      <c r="GM555"/>
      <c r="GN555" s="208"/>
      <c r="GO555" s="208"/>
      <c r="GP555" s="208"/>
      <c r="GQ555" s="208"/>
      <c r="GR555" s="208"/>
      <c r="GS555" s="208"/>
      <c r="GT555" s="208"/>
      <c r="GU555" s="213">
        <v>550</v>
      </c>
    </row>
    <row r="556" spans="1:203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15.113885334825936</v>
      </c>
      <c r="H556" s="63" t="s">
        <v>103</v>
      </c>
      <c r="I556" s="123">
        <f>SUM(J532:J552)+G531</f>
        <v>24.932320818107051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240.69003217249465</v>
      </c>
      <c r="AO556">
        <v>20.794722628134519</v>
      </c>
      <c r="AP556">
        <v>25.676802278666397</v>
      </c>
      <c r="AQ556">
        <v>156.1789095752051</v>
      </c>
      <c r="AR556">
        <v>22.512663614676896</v>
      </c>
      <c r="AS556">
        <v>348.69506004632046</v>
      </c>
      <c r="AT556">
        <v>14.015033487074282</v>
      </c>
      <c r="AU556">
        <v>8.1716492350661625</v>
      </c>
      <c r="AV556"/>
      <c r="AW556"/>
      <c r="FY556" s="213">
        <v>551</v>
      </c>
      <c r="FZ556">
        <v>52.214139239005107</v>
      </c>
      <c r="GA556">
        <v>77.209721239133287</v>
      </c>
      <c r="GB556">
        <v>50.833917225762988</v>
      </c>
      <c r="GC556">
        <v>18.74962553605074</v>
      </c>
      <c r="GD556">
        <v>3.7937043035355211</v>
      </c>
      <c r="GE556">
        <v>5.3657250940353531</v>
      </c>
      <c r="GF556">
        <v>8.9863103052907487</v>
      </c>
      <c r="GG556">
        <v>8.7675011127793194</v>
      </c>
      <c r="GH556">
        <v>10.267367553770129</v>
      </c>
      <c r="GI556">
        <v>25.614779273941199</v>
      </c>
      <c r="GJ556"/>
      <c r="GK556"/>
      <c r="GL556"/>
      <c r="GM556"/>
      <c r="GN556" s="208"/>
      <c r="GO556" s="208"/>
      <c r="GP556" s="208"/>
      <c r="GQ556" s="208"/>
      <c r="GR556" s="208"/>
      <c r="GS556" s="208"/>
      <c r="GT556" s="208"/>
      <c r="GU556" s="213">
        <v>551</v>
      </c>
    </row>
    <row r="557" spans="1:203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427.23598842493095</v>
      </c>
      <c r="AO557">
        <v>36.09549823471076</v>
      </c>
      <c r="AP557">
        <v>32.707860542126852</v>
      </c>
      <c r="AQ557">
        <v>266.79708919159009</v>
      </c>
      <c r="AR557">
        <v>36.834421162943634</v>
      </c>
      <c r="AS557">
        <v>571.08512676176065</v>
      </c>
      <c r="AT557">
        <v>22.704860658450681</v>
      </c>
      <c r="AU557">
        <v>-18.553644844497995</v>
      </c>
      <c r="AV557"/>
      <c r="AW557"/>
      <c r="FY557" s="213">
        <v>552</v>
      </c>
      <c r="FZ557">
        <v>47.434581293896436</v>
      </c>
      <c r="GA557">
        <v>50.223894443481591</v>
      </c>
      <c r="GB557">
        <v>32.928969919862404</v>
      </c>
      <c r="GC557">
        <v>14.563611823360972</v>
      </c>
      <c r="GD557">
        <v>3.7157710810326749</v>
      </c>
      <c r="GE557">
        <v>4.9728136571845347</v>
      </c>
      <c r="GF557">
        <v>9.2253082573596927</v>
      </c>
      <c r="GG557">
        <v>10.535090302185687</v>
      </c>
      <c r="GH557">
        <v>10.44374460206534</v>
      </c>
      <c r="GI557">
        <v>20.517755454367272</v>
      </c>
      <c r="GJ557"/>
      <c r="GK557"/>
      <c r="GL557"/>
      <c r="GM557"/>
      <c r="GN557" s="208"/>
      <c r="GO557" s="208"/>
      <c r="GP557" s="208"/>
      <c r="GQ557" s="208"/>
      <c r="GR557" s="208"/>
      <c r="GS557" s="208"/>
      <c r="GT557" s="208"/>
      <c r="GU557" s="213">
        <v>552</v>
      </c>
    </row>
    <row r="558" spans="1:203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310.35946972152476</v>
      </c>
      <c r="AO558">
        <v>27.780649163790692</v>
      </c>
      <c r="AP558">
        <v>69.785695442753081</v>
      </c>
      <c r="AQ558">
        <v>191.5452755843462</v>
      </c>
      <c r="AR558">
        <v>27.655627320564868</v>
      </c>
      <c r="AS558">
        <v>435.41148129164236</v>
      </c>
      <c r="AT558">
        <v>16.59063627167076</v>
      </c>
      <c r="AU558">
        <v>3.5128058931779833</v>
      </c>
      <c r="AV558"/>
      <c r="AW558"/>
      <c r="FY558" s="213">
        <v>553</v>
      </c>
      <c r="FZ558">
        <v>58.043736669594381</v>
      </c>
      <c r="GA558">
        <v>40.581724137229088</v>
      </c>
      <c r="GB558">
        <v>27.955570923107462</v>
      </c>
      <c r="GC558">
        <v>14.78968424913046</v>
      </c>
      <c r="GD558">
        <v>4.2932608797005809</v>
      </c>
      <c r="GE558">
        <v>4.5566819679332973</v>
      </c>
      <c r="GF558">
        <v>4.9168111295316219</v>
      </c>
      <c r="GG558">
        <v>7.4907352753942389</v>
      </c>
      <c r="GH558">
        <v>12.933632777520426</v>
      </c>
      <c r="GI558">
        <v>20.822207126511213</v>
      </c>
      <c r="GJ558"/>
      <c r="GK558"/>
      <c r="GL558"/>
      <c r="GM558"/>
      <c r="GN558" s="208"/>
      <c r="GO558" s="208"/>
      <c r="GP558" s="208"/>
      <c r="GQ558" s="208"/>
      <c r="GR558" s="208"/>
      <c r="GS558" s="208"/>
      <c r="GT558" s="208"/>
      <c r="GU558" s="213">
        <v>553</v>
      </c>
    </row>
    <row r="559" spans="1:203" s="7" customFormat="1">
      <c r="A559" s="4"/>
      <c r="B559" s="4"/>
      <c r="C559" s="63"/>
      <c r="D559" s="63"/>
      <c r="E559" s="63" t="s">
        <v>102</v>
      </c>
      <c r="F559" s="101">
        <f>I556/G556</f>
        <v>1.6496301424662221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232.3039368809637</v>
      </c>
      <c r="AO559">
        <v>25.763841759674847</v>
      </c>
      <c r="AP559">
        <v>34.843902958450073</v>
      </c>
      <c r="AQ559">
        <v>190.11708017599119</v>
      </c>
      <c r="AR559">
        <v>26.933398820397969</v>
      </c>
      <c r="AS559">
        <v>400.50321638428414</v>
      </c>
      <c r="AT559">
        <v>16.570855062779113</v>
      </c>
      <c r="AU559">
        <v>-10.327796312722896</v>
      </c>
      <c r="AV559"/>
      <c r="AW559"/>
      <c r="FY559" s="213">
        <v>554</v>
      </c>
      <c r="FZ559">
        <v>52.55890761070598</v>
      </c>
      <c r="GA559">
        <v>53.012481777915141</v>
      </c>
      <c r="GB559">
        <v>24.939854341092538</v>
      </c>
      <c r="GC559">
        <v>12.0935130965507</v>
      </c>
      <c r="GD559">
        <v>2.3689563838506054</v>
      </c>
      <c r="GE559">
        <v>3.5123130578320145</v>
      </c>
      <c r="GF559">
        <v>11.382039307835619</v>
      </c>
      <c r="GG559">
        <v>8.5470436467095059</v>
      </c>
      <c r="GH559">
        <v>5.6405026595618351</v>
      </c>
      <c r="GI559">
        <v>18.189157867096455</v>
      </c>
      <c r="GJ559"/>
      <c r="GK559"/>
      <c r="GL559"/>
      <c r="GM559"/>
      <c r="GN559" s="208"/>
      <c r="GO559" s="208"/>
      <c r="GP559" s="208"/>
      <c r="GQ559" s="208"/>
      <c r="GR559" s="208"/>
      <c r="GS559" s="208"/>
      <c r="GT559" s="208"/>
      <c r="GU559" s="213">
        <v>554</v>
      </c>
    </row>
    <row r="560" spans="1:203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220.93130591665539</v>
      </c>
      <c r="AO560">
        <v>22.382612071692343</v>
      </c>
      <c r="AP560">
        <v>17.214820407575296</v>
      </c>
      <c r="AQ560">
        <v>160.91076023157268</v>
      </c>
      <c r="AR560">
        <v>23.0843892962443</v>
      </c>
      <c r="AS560">
        <v>351.50121395035745</v>
      </c>
      <c r="AT560">
        <v>14.635074599319012</v>
      </c>
      <c r="AU560">
        <v>-16.728706265037076</v>
      </c>
      <c r="AV560"/>
      <c r="AW560"/>
      <c r="FY560" s="213">
        <v>555</v>
      </c>
      <c r="FZ560">
        <v>48.591302048723499</v>
      </c>
      <c r="GA560">
        <v>40.385260970171068</v>
      </c>
      <c r="GB560">
        <v>27.294956467520475</v>
      </c>
      <c r="GC560">
        <v>12.812942553592515</v>
      </c>
      <c r="GD560">
        <v>2.9330602155303525</v>
      </c>
      <c r="GE560">
        <v>4.9916340833812205</v>
      </c>
      <c r="GF560">
        <v>4.9168111295316219</v>
      </c>
      <c r="GG560">
        <v>5.6543466553896922</v>
      </c>
      <c r="GH560">
        <v>5.6461071419223083</v>
      </c>
      <c r="GI560">
        <v>17.330727652791722</v>
      </c>
      <c r="GJ560"/>
      <c r="GK560"/>
      <c r="GL560"/>
      <c r="GM560"/>
      <c r="GN560" s="208"/>
      <c r="GO560" s="208"/>
      <c r="GP560" s="208"/>
      <c r="GQ560" s="208"/>
      <c r="GR560" s="208"/>
      <c r="GS560" s="208"/>
      <c r="GT560" s="208"/>
      <c r="GU560" s="213">
        <v>555</v>
      </c>
    </row>
    <row r="561" spans="1:203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268.56428755445211</v>
      </c>
      <c r="AO561">
        <v>20.172665821936128</v>
      </c>
      <c r="AP561">
        <v>23.823550472358441</v>
      </c>
      <c r="AQ561">
        <v>137.50578267959816</v>
      </c>
      <c r="AR561">
        <v>21.571367131260516</v>
      </c>
      <c r="AS561">
        <v>300.94012602815786</v>
      </c>
      <c r="AT561">
        <v>12.60658197773194</v>
      </c>
      <c r="AU561">
        <v>-2.5884495028329653</v>
      </c>
      <c r="AV561"/>
      <c r="AW561"/>
      <c r="FY561" s="213">
        <v>556</v>
      </c>
      <c r="FZ561">
        <v>51.571111115309499</v>
      </c>
      <c r="GA561">
        <v>49.452901206935998</v>
      </c>
      <c r="GB561">
        <v>26.595283023199364</v>
      </c>
      <c r="GC561">
        <v>12.368234776304995</v>
      </c>
      <c r="GD561">
        <v>3.9980035872847846</v>
      </c>
      <c r="GE561">
        <v>6.0401519801738708</v>
      </c>
      <c r="GF561">
        <v>4.7638618502375714</v>
      </c>
      <c r="GG561">
        <v>3.3876364941761246</v>
      </c>
      <c r="GH561">
        <v>7.3180339520995821</v>
      </c>
      <c r="GI561">
        <v>18.422006784346578</v>
      </c>
      <c r="GJ561"/>
      <c r="GK561"/>
      <c r="GL561"/>
      <c r="GM561"/>
      <c r="GN561" s="208"/>
      <c r="GO561" s="208"/>
      <c r="GP561" s="208"/>
      <c r="GQ561" s="208"/>
      <c r="GR561" s="208"/>
      <c r="GS561" s="208"/>
      <c r="GT561" s="208"/>
      <c r="GU561" s="213">
        <v>556</v>
      </c>
    </row>
    <row r="562" spans="1:203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285.24228770423053</v>
      </c>
      <c r="AO562">
        <v>22.343343416969457</v>
      </c>
      <c r="AP562">
        <v>38.925277171567558</v>
      </c>
      <c r="AQ562">
        <v>158.66717216959006</v>
      </c>
      <c r="AR562">
        <v>22.726503203468447</v>
      </c>
      <c r="AS562">
        <v>329.66253398656715</v>
      </c>
      <c r="AT562">
        <v>14.039669836348935</v>
      </c>
      <c r="AU562">
        <v>8.5734778400793772</v>
      </c>
      <c r="AV562"/>
      <c r="AW562"/>
      <c r="FY562" s="213">
        <v>557</v>
      </c>
      <c r="FZ562">
        <v>40.64910820930627</v>
      </c>
      <c r="GA562">
        <v>48.405662386878504</v>
      </c>
      <c r="GB562">
        <v>35.359390457234909</v>
      </c>
      <c r="GC562">
        <v>11.5501605090199</v>
      </c>
      <c r="GD562">
        <v>3.4117615855856562</v>
      </c>
      <c r="GE562">
        <v>5.9599270902579686</v>
      </c>
      <c r="GF562">
        <v>3.4879696223826935</v>
      </c>
      <c r="GG562">
        <v>2.1228054496188276</v>
      </c>
      <c r="GH562">
        <v>4.9268093346575048</v>
      </c>
      <c r="GI562">
        <v>18.025479100754215</v>
      </c>
      <c r="GJ562"/>
      <c r="GK562"/>
      <c r="GL562"/>
      <c r="GM562"/>
      <c r="GN562" s="208"/>
      <c r="GO562" s="208"/>
      <c r="GP562" s="208"/>
      <c r="GQ562" s="208"/>
      <c r="GR562" s="208"/>
      <c r="GS562" s="208"/>
      <c r="GT562" s="208"/>
      <c r="GU562" s="213">
        <v>557</v>
      </c>
    </row>
    <row r="563" spans="1:203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322.94955648267427</v>
      </c>
      <c r="AO563">
        <v>30.083998012506477</v>
      </c>
      <c r="AP563">
        <v>23.414075621360205</v>
      </c>
      <c r="AQ563">
        <v>224.30648714497329</v>
      </c>
      <c r="AR563">
        <v>30.169194174311517</v>
      </c>
      <c r="AS563">
        <v>427.29705379702091</v>
      </c>
      <c r="AT563">
        <v>18.698719123103221</v>
      </c>
      <c r="AU563">
        <v>-28.103465594641314</v>
      </c>
      <c r="AV563"/>
      <c r="AW563"/>
      <c r="FY563" s="213">
        <v>558</v>
      </c>
      <c r="FZ563">
        <v>59.21406390109096</v>
      </c>
      <c r="GA563">
        <v>54.041483287346338</v>
      </c>
      <c r="GB563">
        <v>29.828881489488118</v>
      </c>
      <c r="GC563">
        <v>15.168721999462111</v>
      </c>
      <c r="GD563">
        <v>2.4268060739468553</v>
      </c>
      <c r="GE563">
        <v>0.79584779084693691</v>
      </c>
      <c r="GF563">
        <v>8.6609217285316884</v>
      </c>
      <c r="GG563">
        <v>8.1420721143585499</v>
      </c>
      <c r="GH563">
        <v>5.1401451923576538</v>
      </c>
      <c r="GI563">
        <v>19.844415637905477</v>
      </c>
      <c r="GJ563"/>
      <c r="GK563"/>
      <c r="GL563"/>
      <c r="GM563"/>
      <c r="GN563" s="208"/>
      <c r="GO563" s="208"/>
      <c r="GP563" s="208"/>
      <c r="GQ563" s="208"/>
      <c r="GR563" s="208"/>
      <c r="GS563" s="208"/>
      <c r="GT563" s="208"/>
      <c r="GU563" s="213">
        <v>558</v>
      </c>
    </row>
    <row r="564" spans="1:203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319.98129250244892</v>
      </c>
      <c r="AO564">
        <v>32.089531322659568</v>
      </c>
      <c r="AP564">
        <v>96.357839647775535</v>
      </c>
      <c r="AQ564">
        <v>237.23554099193569</v>
      </c>
      <c r="AR564">
        <v>31.437099630326607</v>
      </c>
      <c r="AS564">
        <v>466.84268694163052</v>
      </c>
      <c r="AT564">
        <v>19.860506860674253</v>
      </c>
      <c r="AU564">
        <v>-91.915424904803885</v>
      </c>
      <c r="AV564"/>
      <c r="AW564"/>
      <c r="FY564" s="213">
        <v>559</v>
      </c>
      <c r="FZ564">
        <v>51.047958445360436</v>
      </c>
      <c r="GA564">
        <v>51.849011057925033</v>
      </c>
      <c r="GB564">
        <v>29.014580450538528</v>
      </c>
      <c r="GC564">
        <v>12.062539876754732</v>
      </c>
      <c r="GD564">
        <v>5.1907935516218346</v>
      </c>
      <c r="GE564">
        <v>7.7888001686886268</v>
      </c>
      <c r="GF564">
        <v>12.466486624148576</v>
      </c>
      <c r="GG564">
        <v>11.967810664309877</v>
      </c>
      <c r="GH564">
        <v>11.936686189269214</v>
      </c>
      <c r="GI564">
        <v>21.765982820421673</v>
      </c>
      <c r="GJ564"/>
      <c r="GK564"/>
      <c r="GL564"/>
      <c r="GM564"/>
      <c r="GN564" s="208"/>
      <c r="GO564" s="208"/>
      <c r="GP564" s="208"/>
      <c r="GQ564" s="208"/>
      <c r="GR564" s="208"/>
      <c r="GS564" s="208"/>
      <c r="GT564" s="208"/>
      <c r="GU564" s="213">
        <v>559</v>
      </c>
    </row>
    <row r="565" spans="1:203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236.20944431860099</v>
      </c>
      <c r="AO565">
        <v>19.564799217792789</v>
      </c>
      <c r="AP565">
        <v>26.919895899061814</v>
      </c>
      <c r="AQ565">
        <v>137.72537127312495</v>
      </c>
      <c r="AR565">
        <v>20.541306008691592</v>
      </c>
      <c r="AS565">
        <v>290.43635128579177</v>
      </c>
      <c r="AT565">
        <v>12.515838075863186</v>
      </c>
      <c r="AU565">
        <v>-0.6086173155397816</v>
      </c>
      <c r="AV565"/>
      <c r="AW565"/>
      <c r="FY565" s="213">
        <v>560</v>
      </c>
      <c r="FZ565">
        <v>46.651027436711011</v>
      </c>
      <c r="GA565">
        <v>44.359560267239537</v>
      </c>
      <c r="GB565">
        <v>34.205587590221768</v>
      </c>
      <c r="GC565">
        <v>17.615150972361175</v>
      </c>
      <c r="GD565">
        <v>6.4608033791616473</v>
      </c>
      <c r="GE565">
        <v>5.2876163884862475</v>
      </c>
      <c r="GF565">
        <v>1.7287798032020487</v>
      </c>
      <c r="GG565">
        <v>3.4441418000212938</v>
      </c>
      <c r="GH565">
        <v>8.2628311288069245</v>
      </c>
      <c r="GI565">
        <v>20.582833756649503</v>
      </c>
      <c r="GJ565"/>
      <c r="GK565"/>
      <c r="GL565"/>
      <c r="GM565"/>
      <c r="GN565" s="208"/>
      <c r="GO565" s="208"/>
      <c r="GP565" s="208"/>
      <c r="GQ565" s="208"/>
      <c r="GR565" s="208"/>
      <c r="GS565" s="208"/>
      <c r="GT565" s="208"/>
      <c r="GU565" s="213">
        <v>560</v>
      </c>
    </row>
    <row r="566" spans="1:203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191.72536927174485</v>
      </c>
      <c r="AO566">
        <v>19.544206869432735</v>
      </c>
      <c r="AP566">
        <v>74.279620890458844</v>
      </c>
      <c r="AQ566">
        <v>144.19081518906214</v>
      </c>
      <c r="AR566">
        <v>20.948738396743995</v>
      </c>
      <c r="AS566">
        <v>266.14791796585888</v>
      </c>
      <c r="AT566" t="e">
        <v>#DIV/0!</v>
      </c>
      <c r="AU566" t="e">
        <v>#DIV/0!</v>
      </c>
      <c r="AV566"/>
      <c r="AW566"/>
      <c r="FY566" s="213">
        <v>561</v>
      </c>
      <c r="FZ566">
        <v>37.626372710944551</v>
      </c>
      <c r="GA566">
        <v>30.448737843088189</v>
      </c>
      <c r="GB566">
        <v>32.203871859112006</v>
      </c>
      <c r="GC566">
        <v>14.785094821973091</v>
      </c>
      <c r="GD566">
        <v>3.252063374754544</v>
      </c>
      <c r="GE566">
        <v>3.8944525842183291</v>
      </c>
      <c r="GF566">
        <v>5.1622918052316784</v>
      </c>
      <c r="GG566">
        <v>9.3574990182331632</v>
      </c>
      <c r="GH566">
        <v>9.4600911610659537</v>
      </c>
      <c r="GI566">
        <v>17.745229864276975</v>
      </c>
      <c r="GJ566"/>
      <c r="GK566"/>
      <c r="GL566"/>
      <c r="GM566"/>
      <c r="GN566" s="208"/>
      <c r="GO566" s="208"/>
      <c r="GP566" s="208"/>
      <c r="GQ566" s="208"/>
      <c r="GR566" s="208"/>
      <c r="GS566" s="208"/>
      <c r="GT566" s="208"/>
      <c r="GU566" s="213">
        <v>561</v>
      </c>
    </row>
    <row r="567" spans="1:203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337.93081596610097</v>
      </c>
      <c r="AO567">
        <v>35.65688833176651</v>
      </c>
      <c r="AP567">
        <v>55.339944822487169</v>
      </c>
      <c r="AQ567">
        <v>261.8027908833044</v>
      </c>
      <c r="AR567">
        <v>35.111761070613539</v>
      </c>
      <c r="AS567">
        <v>477.54493871472317</v>
      </c>
      <c r="AT567">
        <v>21.853011470025876</v>
      </c>
      <c r="AU567">
        <v>-38.400357661144056</v>
      </c>
      <c r="AV567"/>
      <c r="AW567"/>
      <c r="FY567" s="213">
        <v>562</v>
      </c>
      <c r="FZ567">
        <v>38.095073319680147</v>
      </c>
      <c r="GA567">
        <v>48.138614208536566</v>
      </c>
      <c r="GB567">
        <v>37.49404907438629</v>
      </c>
      <c r="GC567">
        <v>13.230024898950647</v>
      </c>
      <c r="GD567">
        <v>3.1429678927015927</v>
      </c>
      <c r="GE567">
        <v>5.6993521781848191</v>
      </c>
      <c r="GF567">
        <v>2.4940760387713978</v>
      </c>
      <c r="GG567">
        <v>2.4546859128759424</v>
      </c>
      <c r="GH567">
        <v>6.2397069933633897</v>
      </c>
      <c r="GI567">
        <v>18.057599483184212</v>
      </c>
      <c r="GJ567"/>
      <c r="GK567"/>
      <c r="GL567"/>
      <c r="GM567"/>
      <c r="GN567" s="208"/>
      <c r="GO567" s="208"/>
      <c r="GP567" s="208"/>
      <c r="GQ567" s="208"/>
      <c r="GR567" s="208"/>
      <c r="GS567" s="208"/>
      <c r="GT567" s="208"/>
      <c r="GU567" s="213">
        <v>562</v>
      </c>
    </row>
    <row r="568" spans="1:203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295.74545454647705</v>
      </c>
      <c r="AO568">
        <v>28.029365222328671</v>
      </c>
      <c r="AP568">
        <v>42.088738282512111</v>
      </c>
      <c r="AQ568">
        <v>204.56154083479663</v>
      </c>
      <c r="AR568">
        <v>28.12950131990458</v>
      </c>
      <c r="AS568">
        <v>447.05199927728069</v>
      </c>
      <c r="AT568">
        <v>17.702657036833973</v>
      </c>
      <c r="AU568">
        <v>-16.062543841474323</v>
      </c>
      <c r="AV568"/>
      <c r="AW568"/>
      <c r="FY568" s="213">
        <v>563</v>
      </c>
      <c r="FZ568">
        <v>46.897528860042229</v>
      </c>
      <c r="GA568">
        <v>32.119665218528482</v>
      </c>
      <c r="GB568">
        <v>25.610819489130179</v>
      </c>
      <c r="GC568">
        <v>14.095994137357573</v>
      </c>
      <c r="GD568">
        <v>5.8833704870066237</v>
      </c>
      <c r="GE568">
        <v>10.112575459153703</v>
      </c>
      <c r="GF568">
        <v>10.732520207934511</v>
      </c>
      <c r="GG568">
        <v>7.2497094209068687</v>
      </c>
      <c r="GH568">
        <v>3.2369238349504963</v>
      </c>
      <c r="GI568">
        <v>19.011185102436681</v>
      </c>
      <c r="GJ568"/>
      <c r="GK568"/>
      <c r="GL568"/>
      <c r="GM568"/>
      <c r="GN568" s="208"/>
      <c r="GO568" s="208"/>
      <c r="GP568" s="208"/>
      <c r="GQ568" s="208"/>
      <c r="GR568" s="208"/>
      <c r="GS568" s="208"/>
      <c r="GT568" s="208"/>
      <c r="GU568" s="213">
        <v>563</v>
      </c>
    </row>
    <row r="569" spans="1:203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301.36795150809229</v>
      </c>
      <c r="AO569">
        <v>26.965271275616896</v>
      </c>
      <c r="AP569">
        <v>29.237602650821259</v>
      </c>
      <c r="AQ569">
        <v>196.38404513565274</v>
      </c>
      <c r="AR569">
        <v>28.516684664733607</v>
      </c>
      <c r="AS569">
        <v>419.66577500669172</v>
      </c>
      <c r="AT569">
        <v>17.412478768568267</v>
      </c>
      <c r="AU569">
        <v>16.465236580196368</v>
      </c>
      <c r="AV569"/>
      <c r="AW569"/>
      <c r="FY569" s="213">
        <v>564</v>
      </c>
      <c r="FZ569">
        <v>52.347785521443576</v>
      </c>
      <c r="GA569">
        <v>56.781385720234134</v>
      </c>
      <c r="GB569">
        <v>42.635290576502186</v>
      </c>
      <c r="GC569">
        <v>15.818449633212781</v>
      </c>
      <c r="GD569">
        <v>2.4201600300971542</v>
      </c>
      <c r="GE569">
        <v>3.4384456680836974</v>
      </c>
      <c r="GF569">
        <v>4.5800951680446564</v>
      </c>
      <c r="GG569">
        <v>5.4358760209307757</v>
      </c>
      <c r="GH569">
        <v>7.5683494608385367</v>
      </c>
      <c r="GI569">
        <v>21.594486450232441</v>
      </c>
      <c r="GJ569"/>
      <c r="GK569"/>
      <c r="GL569"/>
      <c r="GM569"/>
      <c r="GN569" s="208"/>
      <c r="GO569" s="208"/>
      <c r="GP569" s="208"/>
      <c r="GQ569" s="208"/>
      <c r="GR569" s="208"/>
      <c r="GS569" s="208"/>
      <c r="GT569" s="208"/>
      <c r="GU569" s="213">
        <v>564</v>
      </c>
    </row>
    <row r="570" spans="1:203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249.50170448295995</v>
      </c>
      <c r="AO570">
        <v>25.10861069313227</v>
      </c>
      <c r="AP570">
        <v>52.320860534022415</v>
      </c>
      <c r="AQ570">
        <v>192.24476974915041</v>
      </c>
      <c r="AR570">
        <v>24.976661816656222</v>
      </c>
      <c r="AS570">
        <v>336.09077898744238</v>
      </c>
      <c r="AT570">
        <v>14.883823560081886</v>
      </c>
      <c r="AU570">
        <v>-6.522743517631266</v>
      </c>
      <c r="AV570"/>
      <c r="AW570"/>
      <c r="FY570" s="213">
        <v>565</v>
      </c>
      <c r="FZ570">
        <v>54.910044866181771</v>
      </c>
      <c r="GA570">
        <v>45.837279423776913</v>
      </c>
      <c r="GB570">
        <v>26.107424529528437</v>
      </c>
      <c r="GC570">
        <v>13.113098788601153</v>
      </c>
      <c r="GD570">
        <v>3.040496923509564</v>
      </c>
      <c r="GE570">
        <v>2.8926139280546579</v>
      </c>
      <c r="GF570">
        <v>14.318981489258192</v>
      </c>
      <c r="GG570">
        <v>15.857918259149686</v>
      </c>
      <c r="GH570">
        <v>13.106581644223652</v>
      </c>
      <c r="GI570">
        <v>20.936477659598925</v>
      </c>
      <c r="GJ570"/>
      <c r="GK570"/>
      <c r="GL570"/>
      <c r="GM570"/>
      <c r="GN570" s="208"/>
      <c r="GO570" s="208"/>
      <c r="GP570" s="208"/>
      <c r="GQ570" s="208"/>
      <c r="GR570" s="208"/>
      <c r="GS570" s="208"/>
      <c r="GT570" s="208"/>
      <c r="GU570" s="213">
        <v>565</v>
      </c>
    </row>
    <row r="571" spans="1:203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232.31609040164349</v>
      </c>
      <c r="AO571">
        <v>23.39843446643</v>
      </c>
      <c r="AP571">
        <v>31.28564651520788</v>
      </c>
      <c r="AQ571">
        <v>170.5571489185545</v>
      </c>
      <c r="AR571">
        <v>23.786745839558495</v>
      </c>
      <c r="AS571">
        <v>330.00126490253712</v>
      </c>
      <c r="AT571">
        <v>14.298012815867603</v>
      </c>
      <c r="AU571">
        <v>-10.613238056204885</v>
      </c>
      <c r="AV571"/>
      <c r="AW571"/>
      <c r="FY571" s="213">
        <v>566</v>
      </c>
      <c r="FZ571">
        <v>47.67288086990893</v>
      </c>
      <c r="GA571">
        <v>62.152193643108767</v>
      </c>
      <c r="GB571">
        <v>40.468319697502487</v>
      </c>
      <c r="GC571">
        <v>15.064213379113312</v>
      </c>
      <c r="GD571">
        <v>3.4468864236063261</v>
      </c>
      <c r="GE571">
        <v>5.5832992202541512</v>
      </c>
      <c r="GF571">
        <v>8.7527860411271057</v>
      </c>
      <c r="GG571">
        <v>8.9110043005268142</v>
      </c>
      <c r="GH571">
        <v>8.9826084647785969</v>
      </c>
      <c r="GI571">
        <v>21.948872201635492</v>
      </c>
      <c r="GJ571"/>
      <c r="GK571"/>
      <c r="GL571"/>
      <c r="GM571"/>
      <c r="GN571" s="208"/>
      <c r="GO571" s="208"/>
      <c r="GP571" s="208"/>
      <c r="GQ571" s="208"/>
      <c r="GR571" s="208"/>
      <c r="GS571" s="208"/>
      <c r="GT571" s="208"/>
      <c r="GU571" s="213">
        <v>566</v>
      </c>
    </row>
    <row r="572" spans="1:203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269.91874730162186</v>
      </c>
      <c r="AO572">
        <v>24.812338642696943</v>
      </c>
      <c r="AP572">
        <v>26.557584848828526</v>
      </c>
      <c r="AQ572">
        <v>183.91722477006834</v>
      </c>
      <c r="AR572">
        <v>25.301235558968589</v>
      </c>
      <c r="AS572">
        <v>364.12444112031841</v>
      </c>
      <c r="AT572">
        <v>15.261962333789576</v>
      </c>
      <c r="AU572">
        <v>-5.6157562673921078</v>
      </c>
      <c r="AV572"/>
      <c r="AW572"/>
      <c r="FY572" s="213">
        <v>567</v>
      </c>
      <c r="FZ572">
        <v>62.363221952925898</v>
      </c>
      <c r="GA572">
        <v>61.713744111149119</v>
      </c>
      <c r="GB572">
        <v>26.136132171898488</v>
      </c>
      <c r="GC572">
        <v>11.075631682538146</v>
      </c>
      <c r="GD572">
        <v>2.5211251527228407</v>
      </c>
      <c r="GE572">
        <v>2.1947849639994308</v>
      </c>
      <c r="GF572">
        <v>2.7792007673084687</v>
      </c>
      <c r="GG572">
        <v>3.9664863371089534</v>
      </c>
      <c r="GH572">
        <v>5.9758022068322756</v>
      </c>
      <c r="GI572">
        <v>18.470110037825432</v>
      </c>
      <c r="GJ572"/>
      <c r="GK572"/>
      <c r="GL572"/>
      <c r="GM572"/>
      <c r="GN572" s="208"/>
      <c r="GO572" s="208"/>
      <c r="GP572" s="208"/>
      <c r="GQ572" s="208"/>
      <c r="GR572" s="208"/>
      <c r="GS572" s="208"/>
      <c r="GT572" s="208"/>
      <c r="GU572" s="213">
        <v>567</v>
      </c>
    </row>
    <row r="573" spans="1:203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311.6373878563615</v>
      </c>
      <c r="AO573">
        <v>23.852758120850698</v>
      </c>
      <c r="AP573">
        <v>15.472807932016451</v>
      </c>
      <c r="AQ573">
        <v>173.89907374569643</v>
      </c>
      <c r="AR573">
        <v>24.685425658424212</v>
      </c>
      <c r="AS573">
        <v>369.5387783836639</v>
      </c>
      <c r="AT573">
        <v>14.801861385969497</v>
      </c>
      <c r="AU573">
        <v>-17.952653108856339</v>
      </c>
      <c r="AV573"/>
      <c r="AW573"/>
      <c r="FY573" s="213">
        <v>568</v>
      </c>
      <c r="FZ573">
        <v>40.780701737310302</v>
      </c>
      <c r="GA573">
        <v>52.134147558828687</v>
      </c>
      <c r="GB573">
        <v>42.395497991084738</v>
      </c>
      <c r="GC573">
        <v>18.31361073675853</v>
      </c>
      <c r="GD573">
        <v>5.0109188984128616</v>
      </c>
      <c r="GE573">
        <v>5.3310285068822401</v>
      </c>
      <c r="GF573">
        <v>2.9285244789510423</v>
      </c>
      <c r="GG573">
        <v>3.8101880509195767</v>
      </c>
      <c r="GH573">
        <v>8.6532729273037248</v>
      </c>
      <c r="GI573">
        <v>21.175900776589327</v>
      </c>
      <c r="GJ573"/>
      <c r="GK573"/>
      <c r="GL573"/>
      <c r="GM573"/>
      <c r="GN573" s="208"/>
      <c r="GO573" s="208"/>
      <c r="GP573" s="208"/>
      <c r="GQ573" s="208"/>
      <c r="GR573" s="208"/>
      <c r="GS573" s="208"/>
      <c r="GT573" s="208"/>
      <c r="GU573" s="213">
        <v>568</v>
      </c>
    </row>
    <row r="574" spans="1:203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214.59239883597371</v>
      </c>
      <c r="AO574">
        <v>26.892784317386436</v>
      </c>
      <c r="AP574">
        <v>32.362146572587143</v>
      </c>
      <c r="AQ574">
        <v>203.26335921533473</v>
      </c>
      <c r="AR574">
        <v>27.244964661382362</v>
      </c>
      <c r="AS574">
        <v>399.65990495804158</v>
      </c>
      <c r="AT574">
        <v>16.502708010492011</v>
      </c>
      <c r="AU574">
        <v>-7.898484547410483</v>
      </c>
      <c r="AV574"/>
      <c r="AW574"/>
      <c r="FY574" s="213">
        <v>569</v>
      </c>
      <c r="FZ574">
        <v>34.101714851898294</v>
      </c>
      <c r="GA574">
        <v>19.60699377842986</v>
      </c>
      <c r="GB574">
        <v>20.818571482212796</v>
      </c>
      <c r="GC574">
        <v>10.866654828324933</v>
      </c>
      <c r="GD574">
        <v>2.223365571624913</v>
      </c>
      <c r="GE574">
        <v>4.8618933003440654</v>
      </c>
      <c r="GF574">
        <v>7.4136240122556707</v>
      </c>
      <c r="GG574">
        <v>4.2805895070587621</v>
      </c>
      <c r="GH574">
        <v>9.0062425745256807</v>
      </c>
      <c r="GI574">
        <v>14.195649289173589</v>
      </c>
      <c r="GJ574"/>
      <c r="GK574"/>
      <c r="GL574"/>
      <c r="GM574"/>
      <c r="GN574" s="208"/>
      <c r="GO574" s="208"/>
      <c r="GP574" s="208"/>
      <c r="GQ574" s="208"/>
      <c r="GR574" s="208"/>
      <c r="GS574" s="208"/>
      <c r="GT574" s="208"/>
      <c r="GU574" s="213">
        <v>569</v>
      </c>
    </row>
    <row r="575" spans="1:203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311.58505261810257</v>
      </c>
      <c r="AO575">
        <v>29.228435256477507</v>
      </c>
      <c r="AP575">
        <v>47.756522456790982</v>
      </c>
      <c r="AQ575">
        <v>215.0906498490385</v>
      </c>
      <c r="AR575">
        <v>29.878849290852937</v>
      </c>
      <c r="AS575">
        <v>399.76923687985527</v>
      </c>
      <c r="AT575">
        <v>18.452465865350174</v>
      </c>
      <c r="AU575">
        <v>-21.534912575145611</v>
      </c>
      <c r="AV575"/>
      <c r="AW575"/>
      <c r="FY575" s="213">
        <v>570</v>
      </c>
      <c r="FZ575">
        <v>55.671508392863416</v>
      </c>
      <c r="GA575">
        <v>52.352857837045221</v>
      </c>
      <c r="GB575">
        <v>27.075461333536982</v>
      </c>
      <c r="GC575">
        <v>10.325650620811206</v>
      </c>
      <c r="GD575">
        <v>3.8805617125050538</v>
      </c>
      <c r="GE575">
        <v>7.3728730994405431</v>
      </c>
      <c r="GF575">
        <v>3.7715385434103474</v>
      </c>
      <c r="GG575">
        <v>5.3048522776555913</v>
      </c>
      <c r="GH575">
        <v>10.678064920656203</v>
      </c>
      <c r="GI575">
        <v>19.439863393215763</v>
      </c>
      <c r="GJ575"/>
      <c r="GK575"/>
      <c r="GL575"/>
      <c r="GM575"/>
      <c r="GN575" s="208"/>
      <c r="GO575" s="208"/>
      <c r="GP575" s="208"/>
      <c r="GQ575" s="208"/>
      <c r="GR575" s="208"/>
      <c r="GS575" s="208"/>
      <c r="GT575" s="208"/>
      <c r="GU575" s="213">
        <v>570</v>
      </c>
    </row>
    <row r="576" spans="1:203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301.10160970407645</v>
      </c>
      <c r="AO576">
        <v>27.463922685090484</v>
      </c>
      <c r="AP576">
        <v>15.199409560655564</v>
      </c>
      <c r="AQ576">
        <v>188.5983325228612</v>
      </c>
      <c r="AR576">
        <v>28.151075297487019</v>
      </c>
      <c r="AS576">
        <v>412.47841966045542</v>
      </c>
      <c r="AT576">
        <v>17.581486468519611</v>
      </c>
      <c r="AU576">
        <v>-18.532249843467341</v>
      </c>
      <c r="AV576"/>
      <c r="AW576"/>
      <c r="FY576" s="213">
        <v>571</v>
      </c>
      <c r="FZ576">
        <v>42.297024673615262</v>
      </c>
      <c r="GA576">
        <v>47.8010285833914</v>
      </c>
      <c r="GB576">
        <v>37.673386070739468</v>
      </c>
      <c r="GC576">
        <v>15.151562784069315</v>
      </c>
      <c r="GD576">
        <v>3.0384453150577531</v>
      </c>
      <c r="GE576">
        <v>4.0983270628122348</v>
      </c>
      <c r="GF576">
        <v>1.6467785542735585</v>
      </c>
      <c r="GG576">
        <v>5.494535403783166</v>
      </c>
      <c r="GH576">
        <v>10.770960447535874</v>
      </c>
      <c r="GI576">
        <v>19.221536733373878</v>
      </c>
      <c r="GJ576"/>
      <c r="GK576"/>
      <c r="GL576"/>
      <c r="GM576"/>
      <c r="GN576" s="208"/>
      <c r="GO576" s="208"/>
      <c r="GP576" s="208"/>
      <c r="GQ576" s="208"/>
      <c r="GR576" s="208"/>
      <c r="GS576" s="208"/>
      <c r="GT576" s="208"/>
      <c r="GU576" s="213">
        <v>571</v>
      </c>
    </row>
    <row r="577" spans="1:203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267.45535079356353</v>
      </c>
      <c r="AO577">
        <v>23.598967533605776</v>
      </c>
      <c r="AP577">
        <v>17.032349784383456</v>
      </c>
      <c r="AQ577">
        <v>163.93570504289846</v>
      </c>
      <c r="AR577">
        <v>24.196708171697598</v>
      </c>
      <c r="AS577">
        <v>387.482829009515</v>
      </c>
      <c r="AT577">
        <v>15.50494046618846</v>
      </c>
      <c r="AU577">
        <v>9.2389322235481757</v>
      </c>
      <c r="AV577"/>
      <c r="AW577"/>
      <c r="FY577" s="213">
        <v>572</v>
      </c>
      <c r="FZ577">
        <v>46.295305536837219</v>
      </c>
      <c r="GA577">
        <v>33.997436987132261</v>
      </c>
      <c r="GB577">
        <v>30.855542153053079</v>
      </c>
      <c r="GC577">
        <v>14.64352879224341</v>
      </c>
      <c r="GD577">
        <v>3.0232993386377633</v>
      </c>
      <c r="GE577">
        <v>4.034757091520305</v>
      </c>
      <c r="GF577">
        <v>4.4535229501574545</v>
      </c>
      <c r="GG577">
        <v>5.5950969531063457</v>
      </c>
      <c r="GH577">
        <v>8.5625647906258759</v>
      </c>
      <c r="GI577">
        <v>18.296801128306313</v>
      </c>
      <c r="GJ577"/>
      <c r="GK577"/>
      <c r="GL577"/>
      <c r="GM577"/>
      <c r="GN577" s="208"/>
      <c r="GO577" s="208"/>
      <c r="GP577" s="208"/>
      <c r="GQ577" s="208"/>
      <c r="GR577" s="208"/>
      <c r="GS577" s="208"/>
      <c r="GT577" s="208"/>
      <c r="GU577" s="213">
        <v>572</v>
      </c>
    </row>
    <row r="578" spans="1:203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274.56671893707232</v>
      </c>
      <c r="AO578">
        <v>24.304721884176328</v>
      </c>
      <c r="AP578">
        <v>15.014746178627412</v>
      </c>
      <c r="AQ578">
        <v>175.04615000063501</v>
      </c>
      <c r="AR578">
        <v>24.666194714953576</v>
      </c>
      <c r="AS578">
        <v>362.29315434836627</v>
      </c>
      <c r="AT578">
        <v>15.427195753712192</v>
      </c>
      <c r="AU578">
        <v>-8.4591847795612622</v>
      </c>
      <c r="AV578"/>
      <c r="AW578"/>
      <c r="FY578" s="213">
        <v>573</v>
      </c>
      <c r="FZ578">
        <v>43.045596757407615</v>
      </c>
      <c r="GA578">
        <v>33.952828967179009</v>
      </c>
      <c r="GB578">
        <v>28.868866882360731</v>
      </c>
      <c r="GC578">
        <v>12.486085743902528</v>
      </c>
      <c r="GD578">
        <v>3.2595438091118298</v>
      </c>
      <c r="GE578">
        <v>6.7482634242600401</v>
      </c>
      <c r="GF578">
        <v>13.470780811786868</v>
      </c>
      <c r="GG578">
        <v>10.357361047340191</v>
      </c>
      <c r="GH578">
        <v>7.2009458712757715</v>
      </c>
      <c r="GI578">
        <v>18.895162578232867</v>
      </c>
      <c r="GJ578"/>
      <c r="GK578"/>
      <c r="GL578"/>
      <c r="GM578"/>
      <c r="GN578" s="208"/>
      <c r="GO578" s="208"/>
      <c r="GP578" s="208"/>
      <c r="GQ578" s="208"/>
      <c r="GR578" s="208"/>
      <c r="GS578" s="208"/>
      <c r="GT578" s="208"/>
      <c r="GU578" s="213">
        <v>573</v>
      </c>
    </row>
    <row r="579" spans="1:203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333.25888532013471</v>
      </c>
      <c r="AO579">
        <v>25.601421138054583</v>
      </c>
      <c r="AP579">
        <v>27.787572978969717</v>
      </c>
      <c r="AQ579">
        <v>174.95029221744736</v>
      </c>
      <c r="AR579">
        <v>26.066099585261565</v>
      </c>
      <c r="AS579">
        <v>411.99847067816904</v>
      </c>
      <c r="AT579">
        <v>15.407685724319157</v>
      </c>
      <c r="AU579">
        <v>6.5556482603796908</v>
      </c>
      <c r="AV579"/>
      <c r="AW579"/>
      <c r="FY579" s="213">
        <v>574</v>
      </c>
      <c r="FZ579">
        <v>56.128769142911075</v>
      </c>
      <c r="GA579">
        <v>54.222862756626988</v>
      </c>
      <c r="GB579">
        <v>28.829119827752983</v>
      </c>
      <c r="GC579">
        <v>8.8267583307088682</v>
      </c>
      <c r="GD579">
        <v>2.9565065557903196</v>
      </c>
      <c r="GE579">
        <v>5.6141927078535687</v>
      </c>
      <c r="GF579">
        <v>2.9850518594461661</v>
      </c>
      <c r="GG579">
        <v>5.2573604935594158</v>
      </c>
      <c r="GH579">
        <v>7.8787494142386603</v>
      </c>
      <c r="GI579">
        <v>18.813338695972032</v>
      </c>
      <c r="GJ579"/>
      <c r="GK579"/>
      <c r="GL579"/>
      <c r="GM579"/>
      <c r="GN579" s="208"/>
      <c r="GO579" s="208"/>
      <c r="GP579" s="208"/>
      <c r="GQ579" s="208"/>
      <c r="GR579" s="208"/>
      <c r="GS579" s="208"/>
      <c r="GT579" s="208"/>
      <c r="GU579" s="213">
        <v>574</v>
      </c>
    </row>
    <row r="580" spans="1:203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309.78947132449196</v>
      </c>
      <c r="AO580">
        <v>28.759087410166721</v>
      </c>
      <c r="AP580">
        <v>23.088979294492152</v>
      </c>
      <c r="AQ580">
        <v>212.62032424961993</v>
      </c>
      <c r="AR580">
        <v>29.553566600842235</v>
      </c>
      <c r="AS580">
        <v>440.48538038526726</v>
      </c>
      <c r="AT580">
        <v>18.309518077890214</v>
      </c>
      <c r="AU580">
        <v>-7.3716680931333869</v>
      </c>
      <c r="AV580"/>
      <c r="AW580"/>
      <c r="FY580" s="213">
        <v>575</v>
      </c>
      <c r="FZ580">
        <v>44.485533863605482</v>
      </c>
      <c r="GA580">
        <v>35.817036848985254</v>
      </c>
      <c r="GB580">
        <v>33.686338042790062</v>
      </c>
      <c r="GC580">
        <v>15.590992026347886</v>
      </c>
      <c r="GD580">
        <v>2.8291282186013094</v>
      </c>
      <c r="GE580">
        <v>2.4601119992260805</v>
      </c>
      <c r="GF580">
        <v>2.2197411546021617</v>
      </c>
      <c r="GG580">
        <v>3.2215866576456729</v>
      </c>
      <c r="GH580">
        <v>10.98478680590611</v>
      </c>
      <c r="GI580">
        <v>18.587743958299107</v>
      </c>
      <c r="GJ580"/>
      <c r="GK580"/>
      <c r="GL580"/>
      <c r="GM580"/>
      <c r="GN580" s="208"/>
      <c r="GO580" s="208"/>
      <c r="GP580" s="208"/>
      <c r="GQ580" s="208"/>
      <c r="GR580" s="208"/>
      <c r="GS580" s="208"/>
      <c r="GT580" s="208"/>
      <c r="GU580" s="213">
        <v>575</v>
      </c>
    </row>
    <row r="581" spans="1:203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226.59368221106919</v>
      </c>
      <c r="AO581">
        <v>28.025671303944627</v>
      </c>
      <c r="AP581">
        <v>46.877970818637934</v>
      </c>
      <c r="AQ581">
        <v>210.12091751188294</v>
      </c>
      <c r="AR581">
        <v>28.814375995627508</v>
      </c>
      <c r="AS581">
        <v>369.55949592576502</v>
      </c>
      <c r="AT581">
        <v>17.478087027348316</v>
      </c>
      <c r="AU581">
        <v>7.5752813913448946</v>
      </c>
      <c r="AV581"/>
      <c r="AW581"/>
      <c r="FY581" s="213">
        <v>576</v>
      </c>
      <c r="FZ581">
        <v>48.98780809260888</v>
      </c>
      <c r="GA581">
        <v>56.818026399138368</v>
      </c>
      <c r="GB581">
        <v>37.421790411177781</v>
      </c>
      <c r="GC581">
        <v>14.892172724519591</v>
      </c>
      <c r="GD581">
        <v>3.3455701387364276</v>
      </c>
      <c r="GE581">
        <v>4.624623884245004</v>
      </c>
      <c r="GF581">
        <v>12.652323066483554</v>
      </c>
      <c r="GG581">
        <v>16.971848316194226</v>
      </c>
      <c r="GH581">
        <v>13.663909200227117</v>
      </c>
      <c r="GI581">
        <v>22.776525273550121</v>
      </c>
      <c r="GJ581"/>
      <c r="GK581"/>
      <c r="GL581"/>
      <c r="GM581"/>
      <c r="GN581" s="208"/>
      <c r="GO581" s="208"/>
      <c r="GP581" s="208"/>
      <c r="GQ581" s="208"/>
      <c r="GR581" s="208"/>
      <c r="GS581" s="208"/>
      <c r="GT581" s="208"/>
      <c r="GU581" s="213">
        <v>576</v>
      </c>
    </row>
    <row r="582" spans="1:203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323.23728552103887</v>
      </c>
      <c r="AO582">
        <v>30.282691411038392</v>
      </c>
      <c r="AP582">
        <v>45.798239318231154</v>
      </c>
      <c r="AQ582">
        <v>222.98306424156198</v>
      </c>
      <c r="AR582">
        <v>30.091311928977756</v>
      </c>
      <c r="AS582">
        <v>451.56068003260606</v>
      </c>
      <c r="AT582">
        <v>17.824320987986635</v>
      </c>
      <c r="AU582">
        <v>-38.20086647938389</v>
      </c>
      <c r="AV582"/>
      <c r="AW582"/>
      <c r="FY582" s="213">
        <v>577</v>
      </c>
      <c r="FZ582">
        <v>42.362745279643839</v>
      </c>
      <c r="GA582">
        <v>39.109265751988126</v>
      </c>
      <c r="GB582">
        <v>28.961271644516888</v>
      </c>
      <c r="GC582">
        <v>11.427308505937509</v>
      </c>
      <c r="GD582">
        <v>3.8879218795971791</v>
      </c>
      <c r="GE582">
        <v>8.1227962122767536</v>
      </c>
      <c r="GF582">
        <v>4.3798380758392437</v>
      </c>
      <c r="GG582">
        <v>1.8443330462045346</v>
      </c>
      <c r="GH582">
        <v>6.2590162750878395</v>
      </c>
      <c r="GI582">
        <v>17.352327273085983</v>
      </c>
      <c r="GJ582"/>
      <c r="GK582"/>
      <c r="GL582"/>
      <c r="GM582"/>
      <c r="GN582" s="208"/>
      <c r="GO582" s="208"/>
      <c r="GP582" s="208"/>
      <c r="GQ582" s="208"/>
      <c r="GR582" s="208"/>
      <c r="GS582" s="208"/>
      <c r="GT582" s="208"/>
      <c r="GU582" s="213">
        <v>577</v>
      </c>
    </row>
    <row r="583" spans="1:203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253.86661318678117</v>
      </c>
      <c r="AO583">
        <v>24.98074557948447</v>
      </c>
      <c r="AP583">
        <v>12.452567922378044</v>
      </c>
      <c r="AQ583">
        <v>197.19623938430908</v>
      </c>
      <c r="AR583">
        <v>25.53054799190722</v>
      </c>
      <c r="AS583">
        <v>337.36687626963948</v>
      </c>
      <c r="AT583">
        <v>15.151228010645537</v>
      </c>
      <c r="AU583">
        <v>-32.725209812879257</v>
      </c>
      <c r="AV583"/>
      <c r="AW583"/>
      <c r="FY583" s="213">
        <v>578</v>
      </c>
      <c r="FZ583">
        <v>49.708844576406037</v>
      </c>
      <c r="GA583">
        <v>39.950531245359997</v>
      </c>
      <c r="GB583">
        <v>42.150747401514955</v>
      </c>
      <c r="GC583">
        <v>20.178091368712497</v>
      </c>
      <c r="GD583">
        <v>2.7282991675471173</v>
      </c>
      <c r="GE583">
        <v>4.1347289855427496</v>
      </c>
      <c r="GF583">
        <v>9.2188110644539236</v>
      </c>
      <c r="GG583">
        <v>8.23836528189495</v>
      </c>
      <c r="GH583">
        <v>8.7721207953826692</v>
      </c>
      <c r="GI583">
        <v>22.309819409307472</v>
      </c>
      <c r="GJ583"/>
      <c r="GK583"/>
      <c r="GL583"/>
      <c r="GM583"/>
      <c r="GN583" s="208"/>
      <c r="GO583" s="208"/>
      <c r="GP583" s="208"/>
      <c r="GQ583" s="208"/>
      <c r="GR583" s="208"/>
      <c r="GS583" s="208"/>
      <c r="GT583" s="208"/>
      <c r="GU583" s="213">
        <v>578</v>
      </c>
    </row>
    <row r="584" spans="1:203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333.7001172615316</v>
      </c>
      <c r="AO584">
        <v>28.786032683674431</v>
      </c>
      <c r="AP584">
        <v>19.16980131911096</v>
      </c>
      <c r="AQ584">
        <v>200.533791663041</v>
      </c>
      <c r="AR584">
        <v>28.857289681845849</v>
      </c>
      <c r="AS584">
        <v>463.91752357323173</v>
      </c>
      <c r="AT584">
        <v>18.784861890264512</v>
      </c>
      <c r="AU584">
        <v>-1.9778129765197363</v>
      </c>
      <c r="AV584"/>
      <c r="AW584"/>
      <c r="FY584" s="213">
        <v>579</v>
      </c>
      <c r="FZ584">
        <v>48.605092764865326</v>
      </c>
      <c r="GA584">
        <v>54.744075785538946</v>
      </c>
      <c r="GB584">
        <v>30.264147743150776</v>
      </c>
      <c r="GC584">
        <v>10.618725100284857</v>
      </c>
      <c r="GD584">
        <v>4.0369345540245485</v>
      </c>
      <c r="GE584">
        <v>4.1489292786545571</v>
      </c>
      <c r="GF584">
        <v>3.349440992959078</v>
      </c>
      <c r="GG584">
        <v>3.2263841206020194</v>
      </c>
      <c r="GH584">
        <v>7.6792860087938397</v>
      </c>
      <c r="GI584">
        <v>18.711680958527229</v>
      </c>
      <c r="GJ584"/>
      <c r="GK584"/>
      <c r="GL584"/>
      <c r="GM584"/>
      <c r="GN584" s="208"/>
      <c r="GO584" s="208"/>
      <c r="GP584" s="208"/>
      <c r="GQ584" s="208"/>
      <c r="GR584" s="208"/>
      <c r="GS584" s="208"/>
      <c r="GT584" s="208"/>
      <c r="GU584" s="213">
        <v>579</v>
      </c>
    </row>
    <row r="585" spans="1:203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210.55402573904803</v>
      </c>
      <c r="AO585">
        <v>18.110307353940073</v>
      </c>
      <c r="AP585">
        <v>27.457705904163817</v>
      </c>
      <c r="AQ585">
        <v>127.37529919584856</v>
      </c>
      <c r="AR585">
        <v>19.392725973874736</v>
      </c>
      <c r="AS585">
        <v>254.48206383171171</v>
      </c>
      <c r="AT585">
        <v>11.726793598623518</v>
      </c>
      <c r="AU585">
        <v>2.5374376409497259</v>
      </c>
      <c r="AV585"/>
      <c r="AW585"/>
      <c r="FY585" s="213">
        <v>580</v>
      </c>
      <c r="FZ585">
        <v>44.463609088513508</v>
      </c>
      <c r="GA585">
        <v>49.61218210287393</v>
      </c>
      <c r="GB585">
        <v>25.485978132714848</v>
      </c>
      <c r="GC585">
        <v>8.2295605685649189</v>
      </c>
      <c r="GD585">
        <v>2.2510692884103674</v>
      </c>
      <c r="GE585">
        <v>4.1316892407592416</v>
      </c>
      <c r="GF585">
        <v>2.1220231451841389</v>
      </c>
      <c r="GG585">
        <v>0.99517473569545245</v>
      </c>
      <c r="GH585">
        <v>3.8289751040535487</v>
      </c>
      <c r="GI585">
        <v>15.088480669750131</v>
      </c>
      <c r="GJ585"/>
      <c r="GK585"/>
      <c r="GL585"/>
      <c r="GM585"/>
      <c r="GN585" s="208"/>
      <c r="GO585" s="208"/>
      <c r="GP585" s="208"/>
      <c r="GQ585" s="208"/>
      <c r="GR585" s="208"/>
      <c r="GS585" s="208"/>
      <c r="GT585" s="208"/>
      <c r="GU585" s="213">
        <v>580</v>
      </c>
    </row>
    <row r="586" spans="1:203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288.7568627397971</v>
      </c>
      <c r="AO586">
        <v>25.736360262905862</v>
      </c>
      <c r="AP586">
        <v>28.35453830736585</v>
      </c>
      <c r="AQ586">
        <v>195.87323213114033</v>
      </c>
      <c r="AR586">
        <v>26.648814380295843</v>
      </c>
      <c r="AS586">
        <v>343.85622158400366</v>
      </c>
      <c r="AT586">
        <v>16.463437632100643</v>
      </c>
      <c r="AU586">
        <v>-5.388108702902052</v>
      </c>
      <c r="AV586"/>
      <c r="AW586"/>
      <c r="FY586" s="213">
        <v>581</v>
      </c>
      <c r="FZ586">
        <v>52.047694102855353</v>
      </c>
      <c r="GA586">
        <v>59.636755867583688</v>
      </c>
      <c r="GB586">
        <v>43.955696216850995</v>
      </c>
      <c r="GC586">
        <v>17.755043729063551</v>
      </c>
      <c r="GD586">
        <v>4.9059605935912645</v>
      </c>
      <c r="GE586">
        <v>9.6192184146832727</v>
      </c>
      <c r="GF586">
        <v>7.2870517943684678</v>
      </c>
      <c r="GG586">
        <v>5.9841510674606351</v>
      </c>
      <c r="GH586">
        <v>8.8587016021098712</v>
      </c>
      <c r="GI586">
        <v>23.986452744463939</v>
      </c>
      <c r="GJ586"/>
      <c r="GK586"/>
      <c r="GL586"/>
      <c r="GM586"/>
      <c r="GN586" s="208"/>
      <c r="GO586" s="208"/>
      <c r="GP586" s="208"/>
      <c r="GQ586" s="208"/>
      <c r="GR586" s="208"/>
      <c r="GS586" s="208"/>
      <c r="GT586" s="208"/>
      <c r="GU586" s="213">
        <v>581</v>
      </c>
    </row>
    <row r="587" spans="1:203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259.49894927594909</v>
      </c>
      <c r="AO587">
        <v>26.017271065343312</v>
      </c>
      <c r="AP587">
        <v>32.484719707774445</v>
      </c>
      <c r="AQ587">
        <v>187.19358562865193</v>
      </c>
      <c r="AR587">
        <v>26.29988431444362</v>
      </c>
      <c r="AS587">
        <v>370.33176176420869</v>
      </c>
      <c r="AT587">
        <v>16.549277265323557</v>
      </c>
      <c r="AU587">
        <v>-10.726033968326028</v>
      </c>
      <c r="AV587"/>
      <c r="AW587"/>
      <c r="FY587" s="213">
        <v>582</v>
      </c>
      <c r="FZ587">
        <v>35.89349885763842</v>
      </c>
      <c r="GA587">
        <v>22.321499414545357</v>
      </c>
      <c r="GB587">
        <v>28.960270063232738</v>
      </c>
      <c r="GC587">
        <v>17.573469070270235</v>
      </c>
      <c r="GD587">
        <v>1.9926270081224007</v>
      </c>
      <c r="GE587">
        <v>2.6254816777103929</v>
      </c>
      <c r="GF587">
        <v>12.989039027970518</v>
      </c>
      <c r="GG587">
        <v>11.541940894004231</v>
      </c>
      <c r="GH587">
        <v>6.7214580853055468</v>
      </c>
      <c r="GI587">
        <v>16.977214667074833</v>
      </c>
      <c r="GJ587"/>
      <c r="GK587"/>
      <c r="GL587"/>
      <c r="GM587"/>
      <c r="GN587" s="208"/>
      <c r="GO587" s="208"/>
      <c r="GP587" s="208"/>
      <c r="GQ587" s="208"/>
      <c r="GR587" s="208"/>
      <c r="GS587" s="208"/>
      <c r="GT587" s="208"/>
      <c r="GU587" s="213">
        <v>582</v>
      </c>
    </row>
    <row r="588" spans="1:203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234.41749197669725</v>
      </c>
      <c r="AO588">
        <v>24.032940886561953</v>
      </c>
      <c r="AP588">
        <v>34.30032236695385</v>
      </c>
      <c r="AQ588">
        <v>169.75785572162005</v>
      </c>
      <c r="AR588">
        <v>25.201871091783566</v>
      </c>
      <c r="AS588">
        <v>363.51049589738585</v>
      </c>
      <c r="AT588">
        <v>14.748096580807411</v>
      </c>
      <c r="AU588">
        <v>1.7585914839518821</v>
      </c>
      <c r="AV588"/>
      <c r="AW588"/>
      <c r="FY588" s="213">
        <v>583</v>
      </c>
      <c r="FZ588">
        <v>42.298818615886383</v>
      </c>
      <c r="GA588">
        <v>25.135963943738417</v>
      </c>
      <c r="GB588">
        <v>36.44162760942158</v>
      </c>
      <c r="GC588">
        <v>19.430325120328362</v>
      </c>
      <c r="GD588">
        <v>2.1181938856200002</v>
      </c>
      <c r="GE588">
        <v>4.5039712066944269</v>
      </c>
      <c r="GF588">
        <v>3.2713431551518157</v>
      </c>
      <c r="GG588">
        <v>2.842740457533691</v>
      </c>
      <c r="GH588">
        <v>8.5293639447581739</v>
      </c>
      <c r="GI588">
        <v>18.339996942855752</v>
      </c>
      <c r="GJ588"/>
      <c r="GK588"/>
      <c r="GL588"/>
      <c r="GM588"/>
      <c r="GN588" s="208"/>
      <c r="GO588" s="208"/>
      <c r="GP588" s="208"/>
      <c r="GQ588" s="208"/>
      <c r="GR588" s="208"/>
      <c r="GS588" s="208"/>
      <c r="GT588" s="208"/>
      <c r="GU588" s="213">
        <v>583</v>
      </c>
    </row>
    <row r="589" spans="1:203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264.2029927631142</v>
      </c>
      <c r="AO589">
        <v>24.996177275093029</v>
      </c>
      <c r="AP589">
        <v>63.435835175352835</v>
      </c>
      <c r="AQ589">
        <v>178.28543589285744</v>
      </c>
      <c r="AR589">
        <v>25.898847651309971</v>
      </c>
      <c r="AS589">
        <v>384.41900637328848</v>
      </c>
      <c r="AT589">
        <v>15.591153672309837</v>
      </c>
      <c r="AU589">
        <v>10.649240847663076</v>
      </c>
      <c r="AV589"/>
      <c r="AW589"/>
      <c r="FY589" s="213">
        <v>584</v>
      </c>
      <c r="FZ589">
        <v>46.1436388770177</v>
      </c>
      <c r="GA589">
        <v>45.987051870612483</v>
      </c>
      <c r="GB589">
        <v>31.895979093680133</v>
      </c>
      <c r="GC589">
        <v>15.774505886286832</v>
      </c>
      <c r="GD589">
        <v>4.0905065605299447</v>
      </c>
      <c r="GE589">
        <v>5.1205929422974208</v>
      </c>
      <c r="GF589">
        <v>5.5582719911664196</v>
      </c>
      <c r="GG589">
        <v>5.7786822042416564</v>
      </c>
      <c r="GH589">
        <v>5.4331858704692095</v>
      </c>
      <c r="GI589">
        <v>18.83445877596337</v>
      </c>
      <c r="GJ589"/>
      <c r="GK589"/>
      <c r="GL589"/>
      <c r="GM589"/>
      <c r="GN589" s="208"/>
      <c r="GO589" s="208"/>
      <c r="GP589" s="208"/>
      <c r="GQ589" s="208"/>
      <c r="GR589" s="208"/>
      <c r="GS589" s="208"/>
      <c r="GT589" s="208"/>
      <c r="GU589" s="213">
        <v>584</v>
      </c>
    </row>
    <row r="590" spans="1:203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277.46634215802584</v>
      </c>
      <c r="AO590">
        <v>24.64107154924428</v>
      </c>
      <c r="AP590">
        <v>24.853232254783208</v>
      </c>
      <c r="AQ590">
        <v>191.51270978486005</v>
      </c>
      <c r="AR590">
        <v>25.850893480582084</v>
      </c>
      <c r="AS590">
        <v>396.9498467101173</v>
      </c>
      <c r="AT590">
        <v>15.542516976690356</v>
      </c>
      <c r="AU590">
        <v>1.3188993496620611</v>
      </c>
      <c r="AV590"/>
      <c r="AW590"/>
      <c r="FY590" s="213">
        <v>585</v>
      </c>
      <c r="FZ590">
        <v>50.499933835644107</v>
      </c>
      <c r="GA590">
        <v>45.253134344066275</v>
      </c>
      <c r="GB590">
        <v>31.228741374986491</v>
      </c>
      <c r="GC590">
        <v>14.039521710557294</v>
      </c>
      <c r="GD590">
        <v>3.3513530851085855</v>
      </c>
      <c r="GE590">
        <v>3.8596249706955712</v>
      </c>
      <c r="GF590">
        <v>8.3650163870503143</v>
      </c>
      <c r="GG590">
        <v>7.9475611431694722</v>
      </c>
      <c r="GH590">
        <v>11.494497257343786</v>
      </c>
      <c r="GI590">
        <v>20.377059636910147</v>
      </c>
      <c r="GJ590"/>
      <c r="GK590"/>
      <c r="GL590"/>
      <c r="GM590"/>
      <c r="GN590" s="208"/>
      <c r="GO590" s="208"/>
      <c r="GP590" s="208"/>
      <c r="GQ590" s="208"/>
      <c r="GR590" s="208"/>
      <c r="GS590" s="208"/>
      <c r="GT590" s="208"/>
      <c r="GU590" s="213">
        <v>585</v>
      </c>
    </row>
    <row r="591" spans="1:203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263.14114230342261</v>
      </c>
      <c r="AO591">
        <v>23.935801157866401</v>
      </c>
      <c r="AP591">
        <v>32.218369450768314</v>
      </c>
      <c r="AQ591">
        <v>169.88299957600915</v>
      </c>
      <c r="AR591">
        <v>25.472992785448934</v>
      </c>
      <c r="AS591">
        <v>373.30696066801698</v>
      </c>
      <c r="AT591">
        <v>15.780416218155565</v>
      </c>
      <c r="AU591">
        <v>11.325097863329702</v>
      </c>
      <c r="AV591"/>
      <c r="AW591"/>
      <c r="FY591" s="213">
        <v>586</v>
      </c>
      <c r="FZ591">
        <v>39.694139397383204</v>
      </c>
      <c r="GA591">
        <v>56.512367506009745</v>
      </c>
      <c r="GB591">
        <v>30.052016027472796</v>
      </c>
      <c r="GC591">
        <v>9.3210018214178927</v>
      </c>
      <c r="GD591">
        <v>2.2939028804781332</v>
      </c>
      <c r="GE591">
        <v>3.5734643100540415</v>
      </c>
      <c r="GF591">
        <v>8.9705935448012184</v>
      </c>
      <c r="GG591">
        <v>8.4060777248212304</v>
      </c>
      <c r="GH591">
        <v>6.6711882867349948</v>
      </c>
      <c r="GI591">
        <v>17.23338059421356</v>
      </c>
      <c r="GJ591"/>
      <c r="GK591"/>
      <c r="GL591"/>
      <c r="GM591"/>
      <c r="GN591" s="208"/>
      <c r="GO591" s="208"/>
      <c r="GP591" s="208"/>
      <c r="GQ591" s="208"/>
      <c r="GR591" s="208"/>
      <c r="GS591" s="208"/>
      <c r="GT591" s="208"/>
      <c r="GU591" s="213">
        <v>586</v>
      </c>
    </row>
    <row r="592" spans="1:203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316.42382899174959</v>
      </c>
      <c r="AO592">
        <v>31.433419485119533</v>
      </c>
      <c r="AP592">
        <v>47.336051248884786</v>
      </c>
      <c r="AQ592">
        <v>232.15459750688109</v>
      </c>
      <c r="AR592">
        <v>31.247464168093849</v>
      </c>
      <c r="AS592">
        <v>434.86939085836292</v>
      </c>
      <c r="AT592">
        <v>19.081912102563205</v>
      </c>
      <c r="AU592">
        <v>-4.9617938778684589</v>
      </c>
      <c r="AV592"/>
      <c r="AW592"/>
      <c r="FY592" s="213">
        <v>587</v>
      </c>
      <c r="FZ592">
        <v>57.146885561824398</v>
      </c>
      <c r="GA592">
        <v>58.032925850922396</v>
      </c>
      <c r="GB592">
        <v>28.474575801111179</v>
      </c>
      <c r="GC592">
        <v>10.876275098514272</v>
      </c>
      <c r="GD592">
        <v>5.6913199801637573</v>
      </c>
      <c r="GE592">
        <v>7.2024632168582787</v>
      </c>
      <c r="GF592">
        <v>7.2129595331299896</v>
      </c>
      <c r="GG592">
        <v>6.2823368194137768</v>
      </c>
      <c r="GH592">
        <v>2.4100951418083731</v>
      </c>
      <c r="GI592">
        <v>20.361569010954369</v>
      </c>
      <c r="GJ592"/>
      <c r="GK592"/>
      <c r="GL592"/>
      <c r="GM592"/>
      <c r="GN592" s="208"/>
      <c r="GO592" s="208"/>
      <c r="GP592" s="208"/>
      <c r="GQ592" s="208"/>
      <c r="GR592" s="208"/>
      <c r="GS592" s="208"/>
      <c r="GT592" s="208"/>
      <c r="GU592" s="213">
        <v>587</v>
      </c>
    </row>
    <row r="593" spans="1:203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284.91443991633901</v>
      </c>
      <c r="AO593">
        <v>22.826762821640379</v>
      </c>
      <c r="AP593">
        <v>13.23132157361376</v>
      </c>
      <c r="AQ593">
        <v>163.70682394417787</v>
      </c>
      <c r="AR593">
        <v>23.738667308231051</v>
      </c>
      <c r="AS593">
        <v>316.48145994874847</v>
      </c>
      <c r="AT593">
        <v>14.591175219354826</v>
      </c>
      <c r="AU593">
        <v>-12.114049686440445</v>
      </c>
      <c r="AV593"/>
      <c r="AW593"/>
      <c r="FY593" s="213">
        <v>588</v>
      </c>
      <c r="FZ593">
        <v>51.465741495549075</v>
      </c>
      <c r="GA593">
        <v>67.823388640689075</v>
      </c>
      <c r="GB593">
        <v>46.736681321998155</v>
      </c>
      <c r="GC593">
        <v>20.252938517876874</v>
      </c>
      <c r="GD593">
        <v>3.3934186943173197</v>
      </c>
      <c r="GE593">
        <v>1.5785518095915823</v>
      </c>
      <c r="GF593">
        <v>7.2037399655462266</v>
      </c>
      <c r="GG593">
        <v>6.3879377103957529</v>
      </c>
      <c r="GH593">
        <v>5.118019778869078</v>
      </c>
      <c r="GI593">
        <v>23.140220334201736</v>
      </c>
      <c r="GJ593"/>
      <c r="GK593"/>
      <c r="GL593"/>
      <c r="GM593"/>
      <c r="GN593" s="208"/>
      <c r="GO593" s="208"/>
      <c r="GP593" s="208"/>
      <c r="GQ593" s="208"/>
      <c r="GR593" s="208"/>
      <c r="GS593" s="208"/>
      <c r="GT593" s="208"/>
      <c r="GU593" s="213">
        <v>588</v>
      </c>
    </row>
    <row r="594" spans="1:203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281.64130629721484</v>
      </c>
      <c r="AO594">
        <v>29.922699028070632</v>
      </c>
      <c r="AP594">
        <v>35.228356718115599</v>
      </c>
      <c r="AQ594">
        <v>207.39035929612234</v>
      </c>
      <c r="AR594">
        <v>30.700923870584003</v>
      </c>
      <c r="AS594">
        <v>476.0601502353357</v>
      </c>
      <c r="AT594">
        <v>18.309975017685204</v>
      </c>
      <c r="AU594">
        <v>-5.9376028708792035</v>
      </c>
      <c r="AV594"/>
      <c r="AW594"/>
      <c r="FY594" s="213">
        <v>589</v>
      </c>
      <c r="FZ594">
        <v>52.43570983759021</v>
      </c>
      <c r="GA594">
        <v>39.794869376263854</v>
      </c>
      <c r="GB594">
        <v>23.634213780552084</v>
      </c>
      <c r="GC594">
        <v>9.3948286486342685</v>
      </c>
      <c r="GD594">
        <v>2.4452023346852703</v>
      </c>
      <c r="GE594">
        <v>4.8830330253406373</v>
      </c>
      <c r="GF594">
        <v>5.3665818520088369</v>
      </c>
      <c r="GG594">
        <v>3.0635226656869778</v>
      </c>
      <c r="GH594">
        <v>0.98836707206231766</v>
      </c>
      <c r="GI594">
        <v>16.070201361166294</v>
      </c>
      <c r="GJ594"/>
      <c r="GK594"/>
      <c r="GL594"/>
      <c r="GM594"/>
      <c r="GN594" s="208"/>
      <c r="GO594" s="208"/>
      <c r="GP594" s="208"/>
      <c r="GQ594" s="208"/>
      <c r="GR594" s="208"/>
      <c r="GS594" s="208"/>
      <c r="GT594" s="208"/>
      <c r="GU594" s="213">
        <v>589</v>
      </c>
    </row>
    <row r="595" spans="1:203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248.7895323303791</v>
      </c>
      <c r="AO595">
        <v>24.548359270493489</v>
      </c>
      <c r="AP595">
        <v>22.807927935222743</v>
      </c>
      <c r="AQ595">
        <v>185.38469730740115</v>
      </c>
      <c r="AR595">
        <v>25.685489602348273</v>
      </c>
      <c r="AS595">
        <v>358.50714891591508</v>
      </c>
      <c r="AT595">
        <v>15.961630346693584</v>
      </c>
      <c r="AU595">
        <v>-1.8623814966250833</v>
      </c>
      <c r="AV595"/>
      <c r="AW595"/>
      <c r="FY595" s="213">
        <v>590</v>
      </c>
      <c r="FZ595">
        <v>48.216976480892868</v>
      </c>
      <c r="GA595">
        <v>55.121464727618978</v>
      </c>
      <c r="GB595">
        <v>33.633269215066669</v>
      </c>
      <c r="GC595">
        <v>13.221055460752153</v>
      </c>
      <c r="GD595">
        <v>5.5910622380252866</v>
      </c>
      <c r="GE595">
        <v>9.6923465760714897</v>
      </c>
      <c r="GF595">
        <v>6.3088749712467056</v>
      </c>
      <c r="GG595">
        <v>7.4856065879933587</v>
      </c>
      <c r="GH595">
        <v>9.9366029316832254</v>
      </c>
      <c r="GI595">
        <v>21.264398973188531</v>
      </c>
      <c r="GJ595"/>
      <c r="GK595"/>
      <c r="GL595"/>
      <c r="GM595"/>
      <c r="GN595" s="208"/>
      <c r="GO595" s="208"/>
      <c r="GP595" s="208"/>
      <c r="GQ595" s="208"/>
      <c r="GR595" s="208"/>
      <c r="GS595" s="208"/>
      <c r="GT595" s="208"/>
      <c r="GU595" s="213">
        <v>590</v>
      </c>
    </row>
    <row r="596" spans="1:203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219.40816043694227</v>
      </c>
      <c r="AO596">
        <v>20.083531730663136</v>
      </c>
      <c r="AP596">
        <v>45.970095996394384</v>
      </c>
      <c r="AQ596">
        <v>156.20874207652008</v>
      </c>
      <c r="AR596">
        <v>20.689883300192911</v>
      </c>
      <c r="AS596">
        <v>290.76629690682188</v>
      </c>
      <c r="AT596">
        <v>13.264380551190085</v>
      </c>
      <c r="AU596">
        <v>-40.03055179819669</v>
      </c>
      <c r="AV596"/>
      <c r="AW596"/>
      <c r="FY596" s="213">
        <v>591</v>
      </c>
      <c r="FZ596">
        <v>66.982697131149962</v>
      </c>
      <c r="GA596">
        <v>64.311838490796077</v>
      </c>
      <c r="GB596">
        <v>34.615460661238046</v>
      </c>
      <c r="GC596">
        <v>13.523061064650632</v>
      </c>
      <c r="GD596">
        <v>4.842570832472493</v>
      </c>
      <c r="GE596">
        <v>4.7253104852451751</v>
      </c>
      <c r="GF596">
        <v>4.7902389116444208</v>
      </c>
      <c r="GG596">
        <v>11.590396083087999</v>
      </c>
      <c r="GH596">
        <v>14.887077197444704</v>
      </c>
      <c r="GI596">
        <v>24.358202225755512</v>
      </c>
      <c r="GJ596"/>
      <c r="GK596"/>
      <c r="GL596"/>
      <c r="GM596"/>
      <c r="GN596" s="208"/>
      <c r="GO596" s="208"/>
      <c r="GP596" s="208"/>
      <c r="GQ596" s="208"/>
      <c r="GR596" s="208"/>
      <c r="GS596" s="208"/>
      <c r="GT596" s="208"/>
      <c r="GU596" s="213">
        <v>591</v>
      </c>
    </row>
    <row r="597" spans="1:203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337.59391789235781</v>
      </c>
      <c r="AO597">
        <v>32.961583485016291</v>
      </c>
      <c r="AP597">
        <v>60.674494317892837</v>
      </c>
      <c r="AQ597">
        <v>234.03672613303104</v>
      </c>
      <c r="AR597">
        <v>32.909791779184197</v>
      </c>
      <c r="AS597">
        <v>492.44909241718386</v>
      </c>
      <c r="AT597">
        <v>20.280592603401505</v>
      </c>
      <c r="AU597">
        <v>-30.520537482516993</v>
      </c>
      <c r="AV597"/>
      <c r="AW597"/>
      <c r="FY597" s="213">
        <v>592</v>
      </c>
      <c r="FZ597">
        <v>61.898553659248925</v>
      </c>
      <c r="GA597">
        <v>65.133454093484829</v>
      </c>
      <c r="GB597">
        <v>33.896556458072205</v>
      </c>
      <c r="GC597">
        <v>12.563350906858435</v>
      </c>
      <c r="GD597">
        <v>2.3654631971308913</v>
      </c>
      <c r="GE597">
        <v>2.3313802546114877</v>
      </c>
      <c r="GF597">
        <v>1.6022075853148474</v>
      </c>
      <c r="GG597">
        <v>5.3522314593008016</v>
      </c>
      <c r="GH597">
        <v>8.0642735635416347</v>
      </c>
      <c r="GI597">
        <v>20.343075851218664</v>
      </c>
      <c r="GJ597"/>
      <c r="GK597"/>
      <c r="GL597"/>
      <c r="GM597"/>
      <c r="GN597" s="208"/>
      <c r="GO597" s="208"/>
      <c r="GP597" s="208"/>
      <c r="GQ597" s="208"/>
      <c r="GR597" s="208"/>
      <c r="GS597" s="208"/>
      <c r="GT597" s="208"/>
      <c r="GU597" s="213">
        <v>592</v>
      </c>
    </row>
    <row r="598" spans="1:203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220.54622622121843</v>
      </c>
      <c r="AO598">
        <v>23.362971356430439</v>
      </c>
      <c r="AP598">
        <v>39.919017266982429</v>
      </c>
      <c r="AQ598">
        <v>157.59649876587468</v>
      </c>
      <c r="AR598">
        <v>23.289768430140324</v>
      </c>
      <c r="AS598">
        <v>312.41997515342052</v>
      </c>
      <c r="AT598">
        <v>13.827677019156646</v>
      </c>
      <c r="AU598">
        <v>5.6103040446340096</v>
      </c>
      <c r="AV598"/>
      <c r="AW598"/>
      <c r="FY598" s="213">
        <v>593</v>
      </c>
      <c r="FZ598">
        <v>47.179107543990646</v>
      </c>
      <c r="GA598">
        <v>39.653683552820013</v>
      </c>
      <c r="GB598">
        <v>28.487282478638306</v>
      </c>
      <c r="GC598">
        <v>10.975717637662731</v>
      </c>
      <c r="GD598">
        <v>2.452599069638985</v>
      </c>
      <c r="GE598">
        <v>3.1149409562621182</v>
      </c>
      <c r="GF598">
        <v>0.92603881838826507</v>
      </c>
      <c r="GG598">
        <v>6.5429771736204341</v>
      </c>
      <c r="GH598">
        <v>10.967625053828211</v>
      </c>
      <c r="GI598">
        <v>17.250345417324979</v>
      </c>
      <c r="GJ598"/>
      <c r="GK598"/>
      <c r="GL598"/>
      <c r="GM598"/>
      <c r="GN598" s="208"/>
      <c r="GO598" s="208"/>
      <c r="GP598" s="208"/>
      <c r="GQ598" s="208"/>
      <c r="GR598" s="208"/>
      <c r="GS598" s="208"/>
      <c r="GT598" s="208"/>
      <c r="GU598" s="213">
        <v>593</v>
      </c>
    </row>
    <row r="599" spans="1:203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249.35165329854817</v>
      </c>
      <c r="AO599">
        <v>24.353910029694639</v>
      </c>
      <c r="AP599">
        <v>22.616687090708432</v>
      </c>
      <c r="AQ599">
        <v>162.91234488198859</v>
      </c>
      <c r="AR599">
        <v>25.120868849441326</v>
      </c>
      <c r="AS599">
        <v>369.24129548614457</v>
      </c>
      <c r="AT599">
        <v>15.459535160737067</v>
      </c>
      <c r="AU599">
        <v>2.0797932356469957</v>
      </c>
      <c r="AV599"/>
      <c r="AW599"/>
      <c r="FY599" s="213">
        <v>594</v>
      </c>
      <c r="FZ599">
        <v>49.668554098297349</v>
      </c>
      <c r="GA599">
        <v>49.113521004766056</v>
      </c>
      <c r="GB599">
        <v>35.200392970147803</v>
      </c>
      <c r="GC599">
        <v>14.57078024901779</v>
      </c>
      <c r="GD599">
        <v>4.6529194717742852</v>
      </c>
      <c r="GE599">
        <v>6.3314876871261241</v>
      </c>
      <c r="GF599">
        <v>2.6037649290004889</v>
      </c>
      <c r="GG599">
        <v>1.1820263942672242</v>
      </c>
      <c r="GH599">
        <v>5.5234035253644169</v>
      </c>
      <c r="GI599">
        <v>19.950104337831931</v>
      </c>
      <c r="GJ599"/>
      <c r="GK599"/>
      <c r="GL599"/>
      <c r="GM599"/>
      <c r="GN599" s="208"/>
      <c r="GO599" s="208"/>
      <c r="GP599" s="208"/>
      <c r="GQ599" s="208"/>
      <c r="GR599" s="208"/>
      <c r="GS599" s="208"/>
      <c r="GT599" s="208"/>
      <c r="GU599" s="213">
        <v>594</v>
      </c>
    </row>
    <row r="600" spans="1:203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268.96681507810723</v>
      </c>
      <c r="AO600">
        <v>25.996708600796495</v>
      </c>
      <c r="AP600">
        <v>14.974673038195897</v>
      </c>
      <c r="AQ600">
        <v>184.61687407226515</v>
      </c>
      <c r="AR600">
        <v>25.826478282279105</v>
      </c>
      <c r="AS600">
        <v>399.76162691401044</v>
      </c>
      <c r="AT600">
        <v>15.950234662506221</v>
      </c>
      <c r="AU600">
        <v>-34.17893731153621</v>
      </c>
      <c r="AV600"/>
      <c r="AW600"/>
      <c r="FY600" s="213">
        <v>595</v>
      </c>
      <c r="FZ600">
        <v>50.65106622394908</v>
      </c>
      <c r="GA600">
        <v>74.435174316186803</v>
      </c>
      <c r="GB600">
        <v>37.535302591195929</v>
      </c>
      <c r="GC600">
        <v>8.1212863433949796</v>
      </c>
      <c r="GD600">
        <v>2.8767801366480645</v>
      </c>
      <c r="GE600">
        <v>4.5656110705579813</v>
      </c>
      <c r="GF600">
        <v>4.0722360197117773</v>
      </c>
      <c r="GG600">
        <v>3.4362406087015396</v>
      </c>
      <c r="GH600">
        <v>3.6270565022903787</v>
      </c>
      <c r="GI600">
        <v>19.635895251232824</v>
      </c>
      <c r="GJ600"/>
      <c r="GK600"/>
      <c r="GL600"/>
      <c r="GM600"/>
      <c r="GN600" s="208"/>
      <c r="GO600" s="208"/>
      <c r="GP600" s="208"/>
      <c r="GQ600" s="208"/>
      <c r="GR600" s="208"/>
      <c r="GS600" s="208"/>
      <c r="GT600" s="208"/>
      <c r="GU600" s="213">
        <v>595</v>
      </c>
    </row>
    <row r="601" spans="1:203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265.36895384030629</v>
      </c>
      <c r="AO601">
        <v>26.780794729771891</v>
      </c>
      <c r="AP601">
        <v>44.366237152410598</v>
      </c>
      <c r="AQ601">
        <v>196.41644374553204</v>
      </c>
      <c r="AR601">
        <v>27.982186597027074</v>
      </c>
      <c r="AS601">
        <v>370.32640063927562</v>
      </c>
      <c r="AT601">
        <v>16.897660195414414</v>
      </c>
      <c r="AU601">
        <v>-0.60169078924212727</v>
      </c>
      <c r="AV601"/>
      <c r="AW601"/>
      <c r="FY601" s="213">
        <v>596</v>
      </c>
      <c r="FZ601">
        <v>58.557367281733043</v>
      </c>
      <c r="GA601">
        <v>47.588214459082934</v>
      </c>
      <c r="GB601">
        <v>22.896622096898394</v>
      </c>
      <c r="GC601">
        <v>11.909860095184527</v>
      </c>
      <c r="GD601">
        <v>5.1293924475677928</v>
      </c>
      <c r="GE601">
        <v>5.6020750442090668</v>
      </c>
      <c r="GF601">
        <v>3.6817295216823367</v>
      </c>
      <c r="GG601">
        <v>3.492745914546707</v>
      </c>
      <c r="GH601">
        <v>5.081860250260064</v>
      </c>
      <c r="GI601">
        <v>18.658370626024393</v>
      </c>
      <c r="GJ601"/>
      <c r="GK601"/>
      <c r="GL601"/>
      <c r="GM601"/>
      <c r="GN601" s="208"/>
      <c r="GO601" s="208"/>
      <c r="GP601" s="208"/>
      <c r="GQ601" s="208"/>
      <c r="GR601" s="208"/>
      <c r="GS601" s="208"/>
      <c r="GT601" s="208"/>
      <c r="GU601" s="213">
        <v>596</v>
      </c>
    </row>
    <row r="602" spans="1:203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234.75747750368086</v>
      </c>
      <c r="AO602">
        <v>23.66594135687043</v>
      </c>
      <c r="AP602">
        <v>20.461680818826917</v>
      </c>
      <c r="AQ602">
        <v>182.72813209338685</v>
      </c>
      <c r="AR602">
        <v>23.55751766933842</v>
      </c>
      <c r="AS602">
        <v>309.06168356163801</v>
      </c>
      <c r="AT602">
        <v>14.732499383156759</v>
      </c>
      <c r="AU602">
        <v>-18.127638971917555</v>
      </c>
      <c r="AV602"/>
      <c r="AW602"/>
      <c r="FY602" s="213">
        <v>597</v>
      </c>
      <c r="FZ602">
        <v>45.349588176242129</v>
      </c>
      <c r="GA602">
        <v>38.420175938147452</v>
      </c>
      <c r="GB602">
        <v>35.787235699825708</v>
      </c>
      <c r="GC602">
        <v>15.645115483740764</v>
      </c>
      <c r="GD602">
        <v>2.7886860885382676</v>
      </c>
      <c r="GE602">
        <v>4.0740818055602528</v>
      </c>
      <c r="GF602">
        <v>2.2882394159083557</v>
      </c>
      <c r="GG602">
        <v>1.1232776656727479</v>
      </c>
      <c r="GH602">
        <v>4.7789744093647961</v>
      </c>
      <c r="GI602">
        <v>18.233886334489263</v>
      </c>
      <c r="GJ602"/>
      <c r="GK602"/>
      <c r="GL602"/>
      <c r="GM602"/>
      <c r="GN602" s="208"/>
      <c r="GO602" s="208"/>
      <c r="GP602" s="208"/>
      <c r="GQ602" s="208"/>
      <c r="GR602" s="208"/>
      <c r="GS602" s="208"/>
      <c r="GT602" s="208"/>
      <c r="GU602" s="213">
        <v>597</v>
      </c>
    </row>
    <row r="603" spans="1:203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295.55447499190461</v>
      </c>
      <c r="AO603">
        <v>27.249757325675084</v>
      </c>
      <c r="AP603">
        <v>23.288985620224764</v>
      </c>
      <c r="AQ603">
        <v>203.69140601470082</v>
      </c>
      <c r="AR603">
        <v>27.887486123569047</v>
      </c>
      <c r="AS603">
        <v>352.57088756366886</v>
      </c>
      <c r="AT603">
        <v>17.18575435386072</v>
      </c>
      <c r="AU603">
        <v>-33.407617801535686</v>
      </c>
      <c r="AV603"/>
      <c r="AW603"/>
      <c r="FY603" s="213">
        <v>598</v>
      </c>
      <c r="FZ603">
        <v>55.726263536362197</v>
      </c>
      <c r="GA603">
        <v>61.916461076567636</v>
      </c>
      <c r="GB603">
        <v>24.937303577450457</v>
      </c>
      <c r="GC603">
        <v>7.2545060954959357</v>
      </c>
      <c r="GD603">
        <v>2.8666125204361643</v>
      </c>
      <c r="GE603">
        <v>4.6407049481532265</v>
      </c>
      <c r="GF603">
        <v>1.1465831660150263</v>
      </c>
      <c r="GG603">
        <v>4.5147114652984595</v>
      </c>
      <c r="GH603">
        <v>10.514425113371271</v>
      </c>
      <c r="GI603">
        <v>17.829109089274034</v>
      </c>
      <c r="GJ603"/>
      <c r="GK603"/>
      <c r="GL603"/>
      <c r="GM603"/>
      <c r="GN603" s="208"/>
      <c r="GO603" s="208"/>
      <c r="GP603" s="208"/>
      <c r="GQ603" s="208"/>
      <c r="GR603" s="208"/>
      <c r="GS603" s="208"/>
      <c r="GT603" s="208"/>
      <c r="GU603" s="213">
        <v>598</v>
      </c>
    </row>
    <row r="604" spans="1:203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293.77596110567072</v>
      </c>
      <c r="AO604">
        <v>32.154761668088518</v>
      </c>
      <c r="AP604">
        <v>39.460695721947815</v>
      </c>
      <c r="AQ604">
        <v>233.10063826903487</v>
      </c>
      <c r="AR604">
        <v>31.673672917760257</v>
      </c>
      <c r="AS604">
        <v>503.97096085213349</v>
      </c>
      <c r="AT604">
        <v>19.878869068668973</v>
      </c>
      <c r="AU604">
        <v>-30.233017239068822</v>
      </c>
      <c r="AV604"/>
      <c r="AW604"/>
      <c r="FY604" s="213">
        <v>599</v>
      </c>
      <c r="FZ604">
        <v>54.97562917115178</v>
      </c>
      <c r="GA604">
        <v>41.440596051636689</v>
      </c>
      <c r="GB604">
        <v>25.811310537544749</v>
      </c>
      <c r="GC604">
        <v>12.606739257145781</v>
      </c>
      <c r="GD604">
        <v>2.45662836904906</v>
      </c>
      <c r="GE604">
        <v>2.9061139804264302</v>
      </c>
      <c r="GF604">
        <v>1.1204658014984969</v>
      </c>
      <c r="GG604">
        <v>2.9223286187276583</v>
      </c>
      <c r="GH604">
        <v>6.2150820278458117</v>
      </c>
      <c r="GI604">
        <v>17.029480966639703</v>
      </c>
      <c r="GJ604"/>
      <c r="GK604"/>
      <c r="GL604"/>
      <c r="GM604"/>
      <c r="GN604" s="208"/>
      <c r="GO604" s="208"/>
      <c r="GP604" s="208"/>
      <c r="GQ604" s="208"/>
      <c r="GR604" s="208"/>
      <c r="GS604" s="208"/>
      <c r="GT604" s="208"/>
      <c r="GU604" s="213">
        <v>599</v>
      </c>
    </row>
    <row r="605" spans="1:203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204.78474813067484</v>
      </c>
      <c r="AO605">
        <v>20.788045816569213</v>
      </c>
      <c r="AP605">
        <v>11.973340469218664</v>
      </c>
      <c r="AQ605">
        <v>158.07652995399076</v>
      </c>
      <c r="AR605">
        <v>21.991834074132885</v>
      </c>
      <c r="AS605">
        <v>282.17990318694098</v>
      </c>
      <c r="AT605">
        <v>13.688628152046546</v>
      </c>
      <c r="AU605">
        <v>-1.2187106892719939</v>
      </c>
      <c r="AV605"/>
      <c r="AW605"/>
      <c r="FY605" s="213">
        <v>600</v>
      </c>
      <c r="FZ605">
        <v>59.83378409997642</v>
      </c>
      <c r="GA605">
        <v>70.717969239500377</v>
      </c>
      <c r="GB605">
        <v>35.054844215190748</v>
      </c>
      <c r="GC605">
        <v>10.66883851067473</v>
      </c>
      <c r="GD605">
        <v>3.8033162343316529</v>
      </c>
      <c r="GE605">
        <v>4.8177483517109074</v>
      </c>
      <c r="GF605">
        <v>1.9183765944901441</v>
      </c>
      <c r="GG605">
        <v>4.3662416531605022</v>
      </c>
      <c r="GH605">
        <v>9.2265804856564131</v>
      </c>
      <c r="GI605">
        <v>21.391089907958179</v>
      </c>
      <c r="GJ605"/>
      <c r="GK605"/>
      <c r="GL605"/>
      <c r="GM605"/>
      <c r="GN605" s="208"/>
      <c r="GO605" s="208"/>
      <c r="GP605" s="208"/>
      <c r="GQ605" s="208"/>
      <c r="GR605" s="208"/>
      <c r="GS605" s="208"/>
      <c r="GT605" s="208"/>
      <c r="GU605" s="213">
        <v>600</v>
      </c>
    </row>
    <row r="606" spans="1:203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338.26965200158713</v>
      </c>
      <c r="AO606">
        <v>29.055842709690928</v>
      </c>
      <c r="AP606">
        <v>22.521844059737553</v>
      </c>
      <c r="AQ606">
        <v>210.4716581625392</v>
      </c>
      <c r="AR606">
        <v>29.102590473613823</v>
      </c>
      <c r="AS606">
        <v>483.44799675683839</v>
      </c>
      <c r="AT606">
        <v>18.175667981928019</v>
      </c>
      <c r="AU606">
        <v>-28.086178571877703</v>
      </c>
      <c r="AV606"/>
      <c r="AW606"/>
      <c r="FY606" s="213">
        <v>601</v>
      </c>
      <c r="FZ606">
        <v>29.284287790050353</v>
      </c>
      <c r="GA606">
        <v>39.667673310333676</v>
      </c>
      <c r="GB606">
        <v>31.046720808648459</v>
      </c>
      <c r="GC606">
        <v>12.63692052295267</v>
      </c>
      <c r="GD606">
        <v>3.2045953819125441</v>
      </c>
      <c r="GE606">
        <v>4.2353430270892352</v>
      </c>
      <c r="GF606">
        <v>4.5631973711118903</v>
      </c>
      <c r="GG606">
        <v>7.9808262231455052</v>
      </c>
      <c r="GH606">
        <v>7.292328858969511</v>
      </c>
      <c r="GI606">
        <v>15.745740958506076</v>
      </c>
      <c r="GJ606"/>
      <c r="GK606"/>
      <c r="GL606"/>
      <c r="GM606"/>
      <c r="GN606" s="208"/>
      <c r="GO606" s="208"/>
      <c r="GP606" s="208"/>
      <c r="GQ606" s="208"/>
      <c r="GR606" s="208"/>
      <c r="GS606" s="208"/>
      <c r="GT606" s="208"/>
      <c r="GU606" s="213">
        <v>601</v>
      </c>
    </row>
    <row r="607" spans="1:203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336.46568956259773</v>
      </c>
      <c r="AO607">
        <v>32.147253986496239</v>
      </c>
      <c r="AP607">
        <v>25.5049209613187</v>
      </c>
      <c r="AQ607">
        <v>244.62685308348503</v>
      </c>
      <c r="AR607">
        <v>33.418666439619685</v>
      </c>
      <c r="AS607">
        <v>479.44298496394725</v>
      </c>
      <c r="AT607">
        <v>20.615965204532049</v>
      </c>
      <c r="AU607">
        <v>0.8443965532848452</v>
      </c>
      <c r="AV607"/>
      <c r="AW607"/>
      <c r="FY607" s="213">
        <v>602</v>
      </c>
      <c r="FZ607">
        <v>51.950499542470659</v>
      </c>
      <c r="GA607">
        <v>50.099576296216597</v>
      </c>
      <c r="GB607">
        <v>26.759185185009265</v>
      </c>
      <c r="GC607">
        <v>9.9234142408390742</v>
      </c>
      <c r="GD607">
        <v>4.0275521531764209</v>
      </c>
      <c r="GE607">
        <v>6.3280128985039319</v>
      </c>
      <c r="GF607">
        <v>3.3875147690120206</v>
      </c>
      <c r="GG607">
        <v>1.5834568537203346</v>
      </c>
      <c r="GH607">
        <v>3.0796436639344646</v>
      </c>
      <c r="GI607">
        <v>17.618835604114466</v>
      </c>
      <c r="GJ607"/>
      <c r="GK607"/>
      <c r="GL607"/>
      <c r="GM607"/>
      <c r="GN607" s="208"/>
      <c r="GO607" s="208"/>
      <c r="GP607" s="208"/>
      <c r="GQ607" s="208"/>
      <c r="GR607" s="208"/>
      <c r="GS607" s="208"/>
      <c r="GT607" s="208"/>
      <c r="GU607" s="213">
        <v>602</v>
      </c>
    </row>
    <row r="608" spans="1:203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264.66731328139838</v>
      </c>
      <c r="AO608">
        <v>27.483392192194707</v>
      </c>
      <c r="AP608">
        <v>42.834988570648505</v>
      </c>
      <c r="AQ608">
        <v>213.55054702878272</v>
      </c>
      <c r="AR608">
        <v>28.068376239215858</v>
      </c>
      <c r="AS608">
        <v>424.66575531500445</v>
      </c>
      <c r="AT608">
        <v>16.812038744685605</v>
      </c>
      <c r="AU608">
        <v>-16.071168239503812</v>
      </c>
      <c r="AV608"/>
      <c r="AW608"/>
      <c r="FY608" s="213">
        <v>603</v>
      </c>
      <c r="FZ608">
        <v>59.473510873559206</v>
      </c>
      <c r="GA608">
        <v>74.589338162734762</v>
      </c>
      <c r="GB608">
        <v>42.581160851442917</v>
      </c>
      <c r="GC608">
        <v>16.108166884367833</v>
      </c>
      <c r="GD608">
        <v>4.2602488362337709</v>
      </c>
      <c r="GE608">
        <v>4.3670077760944386</v>
      </c>
      <c r="GF608">
        <v>5.9368220776594463</v>
      </c>
      <c r="GG608">
        <v>7.6286039512801675</v>
      </c>
      <c r="GH608">
        <v>9.2205503741331007</v>
      </c>
      <c r="GI608">
        <v>24.18795354502122</v>
      </c>
      <c r="GJ608"/>
      <c r="GK608"/>
      <c r="GL608"/>
      <c r="GM608"/>
      <c r="GN608" s="208"/>
      <c r="GO608" s="208"/>
      <c r="GP608" s="208"/>
      <c r="GQ608" s="208"/>
      <c r="GR608" s="208"/>
      <c r="GS608" s="208"/>
      <c r="GT608" s="208"/>
      <c r="GU608" s="213">
        <v>603</v>
      </c>
    </row>
    <row r="609" spans="1:203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251.39220995793784</v>
      </c>
      <c r="AO609">
        <v>22.318711770336879</v>
      </c>
      <c r="AP609">
        <v>26.508347489396954</v>
      </c>
      <c r="AQ609">
        <v>167.55031770217471</v>
      </c>
      <c r="AR609">
        <v>23.560656118250954</v>
      </c>
      <c r="AS609">
        <v>343.87085363327861</v>
      </c>
      <c r="AT609">
        <v>15.201767292901465</v>
      </c>
      <c r="AU609">
        <v>14.605500878190362</v>
      </c>
      <c r="AV609"/>
      <c r="AW609"/>
      <c r="FY609" s="213">
        <v>604</v>
      </c>
      <c r="FZ609">
        <v>50.314730062329765</v>
      </c>
      <c r="GA609">
        <v>58.925144627476044</v>
      </c>
      <c r="GB609">
        <v>38.543080982350077</v>
      </c>
      <c r="GC609">
        <v>13.315226638168275</v>
      </c>
      <c r="GD609">
        <v>2.2934111473961303</v>
      </c>
      <c r="GE609">
        <v>4.2257488023941638</v>
      </c>
      <c r="GF609">
        <v>12.406842390783495</v>
      </c>
      <c r="GG609">
        <v>13.069364534537328</v>
      </c>
      <c r="GH609">
        <v>12.003105727822573</v>
      </c>
      <c r="GI609">
        <v>22.354108482199937</v>
      </c>
      <c r="GJ609"/>
      <c r="GK609"/>
      <c r="GL609"/>
      <c r="GM609"/>
      <c r="GN609" s="208"/>
      <c r="GO609" s="208"/>
      <c r="GP609" s="208"/>
      <c r="GQ609" s="208"/>
      <c r="GR609" s="208"/>
      <c r="GS609" s="208"/>
      <c r="GT609" s="208"/>
      <c r="GU609" s="213">
        <v>604</v>
      </c>
    </row>
    <row r="610" spans="1:203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299.40164564317018</v>
      </c>
      <c r="AO610">
        <v>26.475322021924491</v>
      </c>
      <c r="AP610">
        <v>24.605732235053416</v>
      </c>
      <c r="AQ610">
        <v>188.79695466759344</v>
      </c>
      <c r="AR610">
        <v>27.458225816724312</v>
      </c>
      <c r="AS610">
        <v>405.48420066088278</v>
      </c>
      <c r="AT610">
        <v>16.580703455207679</v>
      </c>
      <c r="AU610">
        <v>-29.043680475127346</v>
      </c>
      <c r="AV610"/>
      <c r="AW610"/>
      <c r="FY610" s="213">
        <v>605</v>
      </c>
      <c r="FZ610">
        <v>40.443771736501411</v>
      </c>
      <c r="GA610">
        <v>54.001242266837913</v>
      </c>
      <c r="GB610">
        <v>27.466588449882181</v>
      </c>
      <c r="GC610">
        <v>8.8928699227640315</v>
      </c>
      <c r="GD610">
        <v>3.1328260778312913</v>
      </c>
      <c r="GE610">
        <v>5.6127371071772973</v>
      </c>
      <c r="GF610">
        <v>6.4685940490651515</v>
      </c>
      <c r="GG610">
        <v>7.8007070530152465</v>
      </c>
      <c r="GH610">
        <v>12.509786757193371</v>
      </c>
      <c r="GI610">
        <v>17.65971556658107</v>
      </c>
      <c r="GJ610"/>
      <c r="GK610"/>
      <c r="GL610"/>
      <c r="GM610"/>
      <c r="GN610" s="208"/>
      <c r="GO610" s="208"/>
      <c r="GP610" s="208"/>
      <c r="GQ610" s="208"/>
      <c r="GR610" s="208"/>
      <c r="GS610" s="208"/>
      <c r="GT610" s="208"/>
      <c r="GU610" s="213">
        <v>605</v>
      </c>
    </row>
    <row r="611" spans="1:203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266.18897019918131</v>
      </c>
      <c r="AO611">
        <v>26.347635785845927</v>
      </c>
      <c r="AP611">
        <v>24.592266899320506</v>
      </c>
      <c r="AQ611">
        <v>208.95664906386935</v>
      </c>
      <c r="AR611">
        <v>26.928847968842877</v>
      </c>
      <c r="AS611">
        <v>332.43296713345978</v>
      </c>
      <c r="AT611">
        <v>16.582242592707306</v>
      </c>
      <c r="AU611">
        <v>-29.950163594617123</v>
      </c>
      <c r="AV611"/>
      <c r="AW611"/>
      <c r="FY611" s="213">
        <v>606</v>
      </c>
      <c r="FZ611">
        <v>56.737199986609134</v>
      </c>
      <c r="GA611">
        <v>54.20053703029911</v>
      </c>
      <c r="GB611">
        <v>31.691098580306477</v>
      </c>
      <c r="GC611">
        <v>11.613345696923714</v>
      </c>
      <c r="GD611">
        <v>3.4421671952579951</v>
      </c>
      <c r="GE611">
        <v>4.4374914080815504</v>
      </c>
      <c r="GF611">
        <v>0.63872401768214693</v>
      </c>
      <c r="GG611">
        <v>2.5901985635615978</v>
      </c>
      <c r="GH611">
        <v>11.719235661534015</v>
      </c>
      <c r="GI611">
        <v>20.071533575135206</v>
      </c>
      <c r="GJ611"/>
      <c r="GK611"/>
      <c r="GL611"/>
      <c r="GM611"/>
      <c r="GN611" s="208"/>
      <c r="GO611" s="208"/>
      <c r="GP611" s="208"/>
      <c r="GQ611" s="208"/>
      <c r="GR611" s="208"/>
      <c r="GS611" s="208"/>
      <c r="GT611" s="208"/>
      <c r="GU611" s="213">
        <v>606</v>
      </c>
    </row>
    <row r="612" spans="1:203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252.00281079329505</v>
      </c>
      <c r="AO612">
        <v>24.636988434555391</v>
      </c>
      <c r="AP612">
        <v>28.911738388378673</v>
      </c>
      <c r="AQ612">
        <v>182.59823773718927</v>
      </c>
      <c r="AR612">
        <v>25.657391218292897</v>
      </c>
      <c r="AS612">
        <v>366.98941630417073</v>
      </c>
      <c r="AT612">
        <v>15.660624226442771</v>
      </c>
      <c r="AU612">
        <v>15.596626349816411</v>
      </c>
      <c r="AV612"/>
      <c r="AW612"/>
      <c r="FY612" s="213">
        <v>607</v>
      </c>
      <c r="FZ612">
        <v>37.624927701130169</v>
      </c>
      <c r="GA612">
        <v>44.633613637867903</v>
      </c>
      <c r="GB612">
        <v>31.918516293824648</v>
      </c>
      <c r="GC612">
        <v>13.835220440983553</v>
      </c>
      <c r="GD612">
        <v>4.1637077821120121</v>
      </c>
      <c r="GE612">
        <v>5.9104832296046634</v>
      </c>
      <c r="GF612">
        <v>4.0749728636644269</v>
      </c>
      <c r="GG612">
        <v>7.3698211977596895</v>
      </c>
      <c r="GH612">
        <v>10.198373931099427</v>
      </c>
      <c r="GI612">
        <v>18.124207489698492</v>
      </c>
      <c r="GJ612"/>
      <c r="GK612"/>
      <c r="GL612"/>
      <c r="GM612"/>
      <c r="GN612" s="208"/>
      <c r="GO612" s="208"/>
      <c r="GP612" s="208"/>
      <c r="GQ612" s="208"/>
      <c r="GR612" s="208"/>
      <c r="GS612" s="208"/>
      <c r="GT612" s="208"/>
      <c r="GU612" s="213">
        <v>607</v>
      </c>
    </row>
    <row r="613" spans="1:203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271.53721046654323</v>
      </c>
      <c r="AO613">
        <v>23.867468692576072</v>
      </c>
      <c r="AP613">
        <v>15.691713795589136</v>
      </c>
      <c r="AQ613">
        <v>168.48926101748972</v>
      </c>
      <c r="AR613">
        <v>24.927208787485529</v>
      </c>
      <c r="AS613">
        <v>381.94868548536425</v>
      </c>
      <c r="AT613">
        <v>15.195258074949365</v>
      </c>
      <c r="AU613">
        <v>-4.7912618503255544</v>
      </c>
      <c r="AV613"/>
      <c r="AW613"/>
      <c r="FY613" s="213">
        <v>608</v>
      </c>
      <c r="FZ613">
        <v>71.99890233232567</v>
      </c>
      <c r="GA613">
        <v>91.143850657265816</v>
      </c>
      <c r="GB613">
        <v>41.959424804259129</v>
      </c>
      <c r="GC613">
        <v>12.114715945014808</v>
      </c>
      <c r="GD613">
        <v>3.1512353634025998</v>
      </c>
      <c r="GE613">
        <v>5.5673732809979821</v>
      </c>
      <c r="GF613">
        <v>2.8753629692170755</v>
      </c>
      <c r="GG613">
        <v>1.033481590236474</v>
      </c>
      <c r="GH613">
        <v>5.5265000360509653</v>
      </c>
      <c r="GI613">
        <v>24.09286583337876</v>
      </c>
      <c r="GJ613"/>
      <c r="GK613"/>
      <c r="GL613"/>
      <c r="GM613"/>
      <c r="GN613" s="208"/>
      <c r="GO613" s="208"/>
      <c r="GP613" s="208"/>
      <c r="GQ613" s="208"/>
      <c r="GR613" s="208"/>
      <c r="GS613" s="208"/>
      <c r="GT613" s="208"/>
      <c r="GU613" s="213">
        <v>608</v>
      </c>
    </row>
    <row r="614" spans="1:203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253.6205493979638</v>
      </c>
      <c r="AO614">
        <v>23.848971646704342</v>
      </c>
      <c r="AP614">
        <v>97.279932999155349</v>
      </c>
      <c r="AQ614">
        <v>191.34668058842442</v>
      </c>
      <c r="AR614">
        <v>24.584934618773449</v>
      </c>
      <c r="AS614">
        <v>350.49951189058044</v>
      </c>
      <c r="AT614" t="e">
        <v>#DIV/0!</v>
      </c>
      <c r="AU614" t="e">
        <v>#DIV/0!</v>
      </c>
      <c r="AV614"/>
      <c r="AW614"/>
      <c r="FY614" s="213">
        <v>609</v>
      </c>
      <c r="FZ614">
        <v>48.87383531558509</v>
      </c>
      <c r="GA614">
        <v>38.942655653847496</v>
      </c>
      <c r="GB614">
        <v>29.863477280706906</v>
      </c>
      <c r="GC614">
        <v>16.090813457608256</v>
      </c>
      <c r="GD614">
        <v>5.2958534601187566</v>
      </c>
      <c r="GE614">
        <v>7.9549437562737424</v>
      </c>
      <c r="GF614">
        <v>5.3192740390974755</v>
      </c>
      <c r="GG614">
        <v>3.6835412128217868</v>
      </c>
      <c r="GH614">
        <v>4.2067809263188014</v>
      </c>
      <c r="GI614">
        <v>19.198502006171378</v>
      </c>
      <c r="GJ614"/>
      <c r="GK614"/>
      <c r="GL614"/>
      <c r="GM614"/>
      <c r="GN614" s="208"/>
      <c r="GO614" s="208"/>
      <c r="GP614" s="208"/>
      <c r="GQ614" s="208"/>
      <c r="GR614" s="208"/>
      <c r="GS614" s="208"/>
      <c r="GT614" s="208"/>
      <c r="GU614" s="213">
        <v>609</v>
      </c>
    </row>
    <row r="615" spans="1:203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230.60069326018703</v>
      </c>
      <c r="AO615">
        <v>22.394037182293474</v>
      </c>
      <c r="AP615">
        <v>33.635067750599681</v>
      </c>
      <c r="AQ615">
        <v>167.48437478166616</v>
      </c>
      <c r="AR615">
        <v>23.430405002204626</v>
      </c>
      <c r="AS615">
        <v>360.97519038898622</v>
      </c>
      <c r="AT615">
        <v>13.626165324742814</v>
      </c>
      <c r="AU615">
        <v>35.166025895915396</v>
      </c>
      <c r="AV615"/>
      <c r="AW615"/>
      <c r="FY615" s="213">
        <v>610</v>
      </c>
      <c r="FZ615">
        <v>50.542807430424467</v>
      </c>
      <c r="GA615">
        <v>29.605537564567868</v>
      </c>
      <c r="GB615">
        <v>32.163050289995176</v>
      </c>
      <c r="GC615">
        <v>19.377338913729616</v>
      </c>
      <c r="GD615">
        <v>4.3051433842320188</v>
      </c>
      <c r="GE615">
        <v>3.9661026267956956</v>
      </c>
      <c r="GF615">
        <v>7.058714143216843</v>
      </c>
      <c r="GG615">
        <v>8.7433364673881719</v>
      </c>
      <c r="GH615">
        <v>7.1823420032769283</v>
      </c>
      <c r="GI615">
        <v>20.232667972692607</v>
      </c>
      <c r="GJ615"/>
      <c r="GK615"/>
      <c r="GL615"/>
      <c r="GM615"/>
      <c r="GN615" s="208"/>
      <c r="GO615" s="208"/>
      <c r="GP615" s="208"/>
      <c r="GQ615" s="208"/>
      <c r="GR615" s="208"/>
      <c r="GS615" s="208"/>
      <c r="GT615" s="208"/>
      <c r="GU615" s="213">
        <v>610</v>
      </c>
    </row>
    <row r="616" spans="1:203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277.33497595290385</v>
      </c>
      <c r="AO616">
        <v>28.490671194323717</v>
      </c>
      <c r="AP616">
        <v>19.086372901811622</v>
      </c>
      <c r="AQ616">
        <v>221.7987892926501</v>
      </c>
      <c r="AR616">
        <v>29.415807428416727</v>
      </c>
      <c r="AS616">
        <v>408.77722885140793</v>
      </c>
      <c r="AT616">
        <v>18.19021414097147</v>
      </c>
      <c r="AU616">
        <v>-11.288782661997615</v>
      </c>
      <c r="AV616"/>
      <c r="AW616"/>
      <c r="FY616" s="213">
        <v>611</v>
      </c>
      <c r="FZ616">
        <v>64.495857212806598</v>
      </c>
      <c r="GA616">
        <v>42.797280555558515</v>
      </c>
      <c r="GB616">
        <v>24.028264623597373</v>
      </c>
      <c r="GC616">
        <v>13.044460405075029</v>
      </c>
      <c r="GD616">
        <v>4.985351476851994</v>
      </c>
      <c r="GE616">
        <v>6.3699287328072884</v>
      </c>
      <c r="GF616">
        <v>13.940566184066805</v>
      </c>
      <c r="GG616">
        <v>16.335818181521429</v>
      </c>
      <c r="GH616">
        <v>13.467437932760912</v>
      </c>
      <c r="GI616">
        <v>22.914138320947558</v>
      </c>
      <c r="GJ616"/>
      <c r="GK616"/>
      <c r="GL616"/>
      <c r="GM616"/>
      <c r="GN616" s="208"/>
      <c r="GO616" s="208"/>
      <c r="GP616" s="208"/>
      <c r="GQ616" s="208"/>
      <c r="GR616" s="208"/>
      <c r="GS616" s="208"/>
      <c r="GT616" s="208"/>
      <c r="GU616" s="213">
        <v>611</v>
      </c>
    </row>
    <row r="617" spans="1:203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263.48874734897129</v>
      </c>
      <c r="AO617">
        <v>22.055492946870313</v>
      </c>
      <c r="AP617">
        <v>22.00907931413121</v>
      </c>
      <c r="AQ617">
        <v>155.6576342527199</v>
      </c>
      <c r="AR617">
        <v>21.511861845676744</v>
      </c>
      <c r="AS617">
        <v>326.11271202313469</v>
      </c>
      <c r="AT617">
        <v>13.036528881340523</v>
      </c>
      <c r="AU617">
        <v>-14.508203654515697</v>
      </c>
      <c r="AV617"/>
      <c r="AW617"/>
      <c r="FY617" s="213">
        <v>612</v>
      </c>
      <c r="FZ617">
        <v>42.150712616777909</v>
      </c>
      <c r="GA617">
        <v>32.443073868225525</v>
      </c>
      <c r="GB617">
        <v>31.075727626406429</v>
      </c>
      <c r="GC617">
        <v>15.497037497355825</v>
      </c>
      <c r="GD617">
        <v>3.3733772029009019</v>
      </c>
      <c r="GE617">
        <v>4.7814600645775496</v>
      </c>
      <c r="GF617">
        <v>5.9275880408010284</v>
      </c>
      <c r="GG617">
        <v>5.654302045602055</v>
      </c>
      <c r="GH617">
        <v>9.4864974625438041</v>
      </c>
      <c r="GI617">
        <v>18.349494683557609</v>
      </c>
      <c r="GJ617"/>
      <c r="GK617"/>
      <c r="GL617"/>
      <c r="GM617"/>
      <c r="GN617" s="208"/>
      <c r="GO617" s="208"/>
      <c r="GP617" s="208"/>
      <c r="GQ617" s="208"/>
      <c r="GR617" s="208"/>
      <c r="GS617" s="208"/>
      <c r="GT617" s="208"/>
      <c r="GU617" s="213">
        <v>612</v>
      </c>
    </row>
    <row r="618" spans="1:203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269.79094333483579</v>
      </c>
      <c r="AO618">
        <v>23.21678788166113</v>
      </c>
      <c r="AP618">
        <v>11.917742137999502</v>
      </c>
      <c r="AQ618">
        <v>174.75769120699726</v>
      </c>
      <c r="AR618">
        <v>24.201922125417205</v>
      </c>
      <c r="AS618">
        <v>357.23034803502611</v>
      </c>
      <c r="AT618">
        <v>14.641026591117223</v>
      </c>
      <c r="AU618">
        <v>-3.4694244294249756</v>
      </c>
      <c r="AV618"/>
      <c r="AW618"/>
      <c r="FY618" s="213">
        <v>613</v>
      </c>
      <c r="FZ618">
        <v>50.978761343703816</v>
      </c>
      <c r="GA618">
        <v>50.439691687378293</v>
      </c>
      <c r="GB618">
        <v>36.439461100879655</v>
      </c>
      <c r="GC618">
        <v>16.225763638677574</v>
      </c>
      <c r="GD618">
        <v>3.8571873510892836</v>
      </c>
      <c r="GE618">
        <v>3.9916335316987341</v>
      </c>
      <c r="GF618">
        <v>5.2719806954607709</v>
      </c>
      <c r="GG618">
        <v>6.735842040720625</v>
      </c>
      <c r="GH618">
        <v>7.4655156698444571</v>
      </c>
      <c r="GI618">
        <v>20.79765407767411</v>
      </c>
      <c r="GJ618"/>
      <c r="GK618"/>
      <c r="GL618"/>
      <c r="GM618"/>
      <c r="GN618" s="208"/>
      <c r="GO618" s="208"/>
      <c r="GP618" s="208"/>
      <c r="GQ618" s="208"/>
      <c r="GR618" s="208"/>
      <c r="GS618" s="208"/>
      <c r="GT618" s="208"/>
      <c r="GU618" s="213">
        <v>613</v>
      </c>
    </row>
    <row r="619" spans="1:203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322.90785379095632</v>
      </c>
      <c r="AO619">
        <v>33.137738616207074</v>
      </c>
      <c r="AP619">
        <v>27.975574711419107</v>
      </c>
      <c r="AQ619">
        <v>248.35336333252687</v>
      </c>
      <c r="AR619">
        <v>33.239884397823083</v>
      </c>
      <c r="AS619">
        <v>546.11717152822507</v>
      </c>
      <c r="AT619">
        <v>20.221663184700304</v>
      </c>
      <c r="AU619">
        <v>2.6858375973999671</v>
      </c>
      <c r="AV619"/>
      <c r="AW619"/>
      <c r="FY619" s="213">
        <v>614</v>
      </c>
      <c r="FZ619">
        <v>49.441337400360375</v>
      </c>
      <c r="GA619">
        <v>45.004458622238488</v>
      </c>
      <c r="GB619">
        <v>36.267815832499146</v>
      </c>
      <c r="GC619">
        <v>19.681775730953294</v>
      </c>
      <c r="GD619">
        <v>6.3774439280042987</v>
      </c>
      <c r="GE619">
        <v>5.5646061504386504</v>
      </c>
      <c r="GF619">
        <v>10.255965037130178</v>
      </c>
      <c r="GG619">
        <v>11.331343343384376</v>
      </c>
      <c r="GH619">
        <v>7.7758920987099831</v>
      </c>
      <c r="GI619">
        <v>22.944940432065653</v>
      </c>
      <c r="GJ619"/>
      <c r="GK619"/>
      <c r="GL619"/>
      <c r="GM619"/>
      <c r="GN619" s="208"/>
      <c r="GO619" s="208"/>
      <c r="GP619" s="208"/>
      <c r="GQ619" s="208"/>
      <c r="GR619" s="208"/>
      <c r="GS619" s="208"/>
      <c r="GT619" s="208"/>
      <c r="GU619" s="213">
        <v>614</v>
      </c>
    </row>
    <row r="620" spans="1:203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288.24068467068486</v>
      </c>
      <c r="AO620">
        <v>30.171776329458861</v>
      </c>
      <c r="AP620">
        <v>51.779466753696816</v>
      </c>
      <c r="AQ620">
        <v>227.45076339545778</v>
      </c>
      <c r="AR620">
        <v>30.697860637765764</v>
      </c>
      <c r="AS620">
        <v>404.63247420371692</v>
      </c>
      <c r="AT620">
        <v>19.256949076903361</v>
      </c>
      <c r="AU620">
        <v>14.304809665636672</v>
      </c>
      <c r="AV620"/>
      <c r="AW620"/>
      <c r="FY620" s="213">
        <v>615</v>
      </c>
      <c r="FZ620">
        <v>49.627180664306287</v>
      </c>
      <c r="GA620">
        <v>55.902873872133917</v>
      </c>
      <c r="GB620">
        <v>37.582894528478342</v>
      </c>
      <c r="GC620">
        <v>14.492526410296065</v>
      </c>
      <c r="GD620">
        <v>1.700376988836908</v>
      </c>
      <c r="GE620">
        <v>2.9510037801015359</v>
      </c>
      <c r="GF620">
        <v>8.2172537207682819</v>
      </c>
      <c r="GG620">
        <v>8.7495023350437631</v>
      </c>
      <c r="GH620">
        <v>5.8194234170803112</v>
      </c>
      <c r="GI620">
        <v>19.932715286520256</v>
      </c>
      <c r="GJ620"/>
      <c r="GK620"/>
      <c r="GL620"/>
      <c r="GM620"/>
      <c r="GN620" s="208"/>
      <c r="GO620" s="208"/>
      <c r="GP620" s="208"/>
      <c r="GQ620" s="208"/>
      <c r="GR620" s="208"/>
      <c r="GS620" s="208"/>
      <c r="GT620" s="208"/>
      <c r="GU620" s="213">
        <v>615</v>
      </c>
    </row>
    <row r="621" spans="1:203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266.99460828188063</v>
      </c>
      <c r="AO621">
        <v>23.996685885233358</v>
      </c>
      <c r="AP621">
        <v>37.797003165774974</v>
      </c>
      <c r="AQ621">
        <v>183.988838986849</v>
      </c>
      <c r="AR621">
        <v>24.194263138358163</v>
      </c>
      <c r="AS621">
        <v>368.48469185398056</v>
      </c>
      <c r="AT621">
        <v>14.45514059845596</v>
      </c>
      <c r="AU621">
        <v>-0.9059844587287742</v>
      </c>
      <c r="AV621"/>
      <c r="AW621"/>
      <c r="FY621" s="213">
        <v>616</v>
      </c>
      <c r="FZ621">
        <v>51.903278504562842</v>
      </c>
      <c r="GA621">
        <v>58.894732624651098</v>
      </c>
      <c r="GB621">
        <v>40.652408668470102</v>
      </c>
      <c r="GC621">
        <v>15.038210963469512</v>
      </c>
      <c r="GD621">
        <v>2.76262278990106</v>
      </c>
      <c r="GE621">
        <v>4.314970732911334</v>
      </c>
      <c r="GF621">
        <v>6.3712560485644349</v>
      </c>
      <c r="GG621">
        <v>12.295082018258203</v>
      </c>
      <c r="GH621">
        <v>15.248334430583503</v>
      </c>
      <c r="GI621">
        <v>22.7723165621594</v>
      </c>
      <c r="GJ621"/>
      <c r="GK621"/>
      <c r="GL621"/>
      <c r="GM621"/>
      <c r="GN621" s="208"/>
      <c r="GO621" s="208"/>
      <c r="GP621" s="208"/>
      <c r="GQ621" s="208"/>
      <c r="GR621" s="208"/>
      <c r="GS621" s="208"/>
      <c r="GT621" s="208"/>
      <c r="GU621" s="213">
        <v>616</v>
      </c>
    </row>
    <row r="622" spans="1:203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275.1076940681487</v>
      </c>
      <c r="AO622">
        <v>26.00437851472708</v>
      </c>
      <c r="AP622">
        <v>39.085453382357031</v>
      </c>
      <c r="AQ622">
        <v>197.14153171539095</v>
      </c>
      <c r="AR622">
        <v>27.677930280713547</v>
      </c>
      <c r="AS622">
        <v>367.29432963963563</v>
      </c>
      <c r="AT622">
        <v>16.564447658225706</v>
      </c>
      <c r="AU622">
        <v>19.404488892521943</v>
      </c>
      <c r="AV622"/>
      <c r="AW622"/>
      <c r="FY622" s="213">
        <v>617</v>
      </c>
      <c r="FZ622">
        <v>46.988846620843837</v>
      </c>
      <c r="GA622">
        <v>28.571798201971102</v>
      </c>
      <c r="GB622">
        <v>36.248914023196498</v>
      </c>
      <c r="GC622">
        <v>19.556210826964531</v>
      </c>
      <c r="GD622">
        <v>5.2273454792913272</v>
      </c>
      <c r="GE622">
        <v>7.0020496081700507</v>
      </c>
      <c r="GF622">
        <v>1.5582801124392989</v>
      </c>
      <c r="GG622">
        <v>1.2678626434625926</v>
      </c>
      <c r="GH622">
        <v>5.6259255418023173</v>
      </c>
      <c r="GI622">
        <v>19.982179300335801</v>
      </c>
      <c r="GJ622"/>
      <c r="GK622"/>
      <c r="GL622"/>
      <c r="GM622"/>
      <c r="GN622" s="208"/>
      <c r="GO622" s="208"/>
      <c r="GP622" s="208"/>
      <c r="GQ622" s="208"/>
      <c r="GR622" s="208"/>
      <c r="GS622" s="208"/>
      <c r="GT622" s="208"/>
      <c r="GU622" s="213">
        <v>617</v>
      </c>
    </row>
    <row r="623" spans="1:203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275.43050695539284</v>
      </c>
      <c r="AO623">
        <v>25.013244625251652</v>
      </c>
      <c r="AP623">
        <v>27.702605429004834</v>
      </c>
      <c r="AQ623">
        <v>177.85384456774494</v>
      </c>
      <c r="AR623">
        <v>24.756486305280156</v>
      </c>
      <c r="AS623">
        <v>382.13268904868966</v>
      </c>
      <c r="AT623">
        <v>15.340161841490534</v>
      </c>
      <c r="AU623">
        <v>-9.9644557284592601</v>
      </c>
      <c r="AV623"/>
      <c r="AW623"/>
      <c r="FY623" s="213">
        <v>618</v>
      </c>
      <c r="FZ623">
        <v>47.845940245279593</v>
      </c>
      <c r="GA623">
        <v>45.944041877622439</v>
      </c>
      <c r="GB623">
        <v>32.684320352987989</v>
      </c>
      <c r="GC623">
        <v>15.058860549118414</v>
      </c>
      <c r="GD623">
        <v>4.7566216170673972</v>
      </c>
      <c r="GE623">
        <v>4.3397089040181411</v>
      </c>
      <c r="GF623">
        <v>9.1340729715727829</v>
      </c>
      <c r="GG623">
        <v>7.0537854352309095</v>
      </c>
      <c r="GH623">
        <v>4.5561676506988817</v>
      </c>
      <c r="GI623">
        <v>20.177199185118727</v>
      </c>
      <c r="GJ623"/>
      <c r="GK623"/>
      <c r="GL623"/>
      <c r="GM623"/>
      <c r="GN623" s="208"/>
      <c r="GO623" s="208"/>
      <c r="GP623" s="208"/>
      <c r="GQ623" s="208"/>
      <c r="GR623" s="208"/>
      <c r="GS623" s="208"/>
      <c r="GT623" s="208"/>
      <c r="GU623" s="213">
        <v>618</v>
      </c>
    </row>
    <row r="624" spans="1:203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288.48196507642007</v>
      </c>
      <c r="AO624">
        <v>32.681146289640537</v>
      </c>
      <c r="AP624">
        <v>9.152998636926533</v>
      </c>
      <c r="AQ624">
        <v>259.46371281214925</v>
      </c>
      <c r="AR624">
        <v>33.222494771259043</v>
      </c>
      <c r="AS624">
        <v>437.2418298587512</v>
      </c>
      <c r="AT624">
        <v>20.332194060746136</v>
      </c>
      <c r="AU624">
        <v>-51.191141493341298</v>
      </c>
      <c r="AV624"/>
      <c r="AW624"/>
      <c r="FY624" s="213">
        <v>619</v>
      </c>
      <c r="FZ624">
        <v>46.057447844060384</v>
      </c>
      <c r="GA624">
        <v>56.029677104978759</v>
      </c>
      <c r="GB624">
        <v>36.321647782873178</v>
      </c>
      <c r="GC624">
        <v>12.217983488059382</v>
      </c>
      <c r="GD624">
        <v>4.3538627572635598</v>
      </c>
      <c r="GE624">
        <v>5.6035188288834972</v>
      </c>
      <c r="GF624">
        <v>9.8271250661574765</v>
      </c>
      <c r="GG624">
        <v>6.6940246536686487</v>
      </c>
      <c r="GH624">
        <v>1.2232319338980344</v>
      </c>
      <c r="GI624">
        <v>20.166784250600674</v>
      </c>
      <c r="GJ624"/>
      <c r="GK624"/>
      <c r="GL624"/>
      <c r="GM624"/>
      <c r="GN624" s="208"/>
      <c r="GO624" s="208"/>
      <c r="GP624" s="208"/>
      <c r="GQ624" s="208"/>
      <c r="GR624" s="208"/>
      <c r="GS624" s="208"/>
      <c r="GT624" s="208"/>
      <c r="GU624" s="213">
        <v>619</v>
      </c>
    </row>
    <row r="625" spans="1:203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266.21537251170662</v>
      </c>
      <c r="AO625">
        <v>26.054018866887002</v>
      </c>
      <c r="AP625">
        <v>38.473181179072689</v>
      </c>
      <c r="AQ625">
        <v>179.42967710854967</v>
      </c>
      <c r="AR625">
        <v>26.354359949189295</v>
      </c>
      <c r="AS625">
        <v>384.72065543148085</v>
      </c>
      <c r="AT625">
        <v>16.167617727724988</v>
      </c>
      <c r="AU625">
        <v>-7.119523640150959</v>
      </c>
      <c r="AV625"/>
      <c r="AW625"/>
      <c r="FY625" s="213">
        <v>620</v>
      </c>
      <c r="FZ625">
        <v>54.216489401777473</v>
      </c>
      <c r="GA625">
        <v>39.929652146367431</v>
      </c>
      <c r="GB625">
        <v>29.754485446258073</v>
      </c>
      <c r="GC625">
        <v>15.595727287459468</v>
      </c>
      <c r="GD625">
        <v>3.6996417578955967</v>
      </c>
      <c r="GE625">
        <v>3.4495940601626343</v>
      </c>
      <c r="GF625">
        <v>13.725495524345344</v>
      </c>
      <c r="GG625">
        <v>10.969663722874545</v>
      </c>
      <c r="GH625">
        <v>3.0191373171363183</v>
      </c>
      <c r="GI625">
        <v>20.399782029877713</v>
      </c>
      <c r="GJ625"/>
      <c r="GK625"/>
      <c r="GL625"/>
      <c r="GM625"/>
      <c r="GN625" s="208"/>
      <c r="GO625" s="208"/>
      <c r="GP625" s="208"/>
      <c r="GQ625" s="208"/>
      <c r="GR625" s="208"/>
      <c r="GS625" s="208"/>
      <c r="GT625" s="208"/>
      <c r="GU625" s="213">
        <v>620</v>
      </c>
    </row>
    <row r="626" spans="1:203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270.83507628159271</v>
      </c>
      <c r="AO626">
        <v>27.034368604463037</v>
      </c>
      <c r="AP626">
        <v>115.41049902291915</v>
      </c>
      <c r="AQ626">
        <v>183.17704079631935</v>
      </c>
      <c r="AR626">
        <v>27.755296465303722</v>
      </c>
      <c r="AS626">
        <v>418.44105443036108</v>
      </c>
      <c r="AT626" t="e">
        <v>#DIV/0!</v>
      </c>
      <c r="AU626" t="e">
        <v>#DIV/0!</v>
      </c>
      <c r="AV626"/>
      <c r="AW626"/>
      <c r="FY626" s="213">
        <v>621</v>
      </c>
      <c r="FZ626">
        <v>44.942529730321553</v>
      </c>
      <c r="GA626">
        <v>57.219371573621252</v>
      </c>
      <c r="GB626">
        <v>32.962792360219112</v>
      </c>
      <c r="GC626">
        <v>11.721447210879846</v>
      </c>
      <c r="GD626">
        <v>5.3688516416211005</v>
      </c>
      <c r="GE626">
        <v>9.9755296017382467</v>
      </c>
      <c r="GF626">
        <v>4.6606701529142489</v>
      </c>
      <c r="GG626">
        <v>5.0070996328948025</v>
      </c>
      <c r="GH626">
        <v>12.725771617173374</v>
      </c>
      <c r="GI626">
        <v>20.627252564350229</v>
      </c>
      <c r="GJ626"/>
      <c r="GK626"/>
      <c r="GL626"/>
      <c r="GM626"/>
      <c r="GN626" s="208"/>
      <c r="GO626" s="208"/>
      <c r="GP626" s="208"/>
      <c r="GQ626" s="208"/>
      <c r="GR626" s="208"/>
      <c r="GS626" s="208"/>
      <c r="GT626" s="208"/>
      <c r="GU626" s="213">
        <v>621</v>
      </c>
    </row>
    <row r="627" spans="1:203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356.61412039554727</v>
      </c>
      <c r="AO627">
        <v>30.06865986058088</v>
      </c>
      <c r="AP627">
        <v>43.453900724782962</v>
      </c>
      <c r="AQ627">
        <v>222.37910362599351</v>
      </c>
      <c r="AR627">
        <v>31.543158546525458</v>
      </c>
      <c r="AS627">
        <v>475.90935849304941</v>
      </c>
      <c r="AT627">
        <v>18.167186669052754</v>
      </c>
      <c r="AU627">
        <v>21.019844026990079</v>
      </c>
      <c r="AV627"/>
      <c r="AW627"/>
      <c r="FY627" s="213">
        <v>622</v>
      </c>
      <c r="FZ627">
        <v>38.068499121168941</v>
      </c>
      <c r="GA627">
        <v>44.647736630170428</v>
      </c>
      <c r="GB627">
        <v>41.818543356021834</v>
      </c>
      <c r="GC627">
        <v>16.100064193904348</v>
      </c>
      <c r="GD627">
        <v>3.070235537795861</v>
      </c>
      <c r="GE627">
        <v>5.647831378234593</v>
      </c>
      <c r="GF627">
        <v>2.477192711113287</v>
      </c>
      <c r="GG627">
        <v>3.9021525572123648</v>
      </c>
      <c r="GH627">
        <v>11.163441339498608</v>
      </c>
      <c r="GI627">
        <v>19.849479083811875</v>
      </c>
      <c r="GJ627"/>
      <c r="GK627"/>
      <c r="GL627"/>
      <c r="GM627"/>
      <c r="GN627" s="208"/>
      <c r="GO627" s="208"/>
      <c r="GP627" s="208"/>
      <c r="GQ627" s="208"/>
      <c r="GR627" s="208"/>
      <c r="GS627" s="208"/>
      <c r="GT627" s="208"/>
      <c r="GU627" s="213">
        <v>622</v>
      </c>
    </row>
    <row r="628" spans="1:203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268.5007662165047</v>
      </c>
      <c r="AO628">
        <v>24.21128342238994</v>
      </c>
      <c r="AP628">
        <v>30.444489117988098</v>
      </c>
      <c r="AQ628">
        <v>168.73927110874865</v>
      </c>
      <c r="AR628">
        <v>25.114569108973789</v>
      </c>
      <c r="AS628">
        <v>368.85435762726689</v>
      </c>
      <c r="AT628">
        <v>15.681276958885869</v>
      </c>
      <c r="AU628">
        <v>-1.7502815921399488</v>
      </c>
      <c r="AV628"/>
      <c r="AW628"/>
      <c r="FY628" s="213">
        <v>623</v>
      </c>
      <c r="FZ628">
        <v>58.97260451862936</v>
      </c>
      <c r="GA628">
        <v>32.306891822720893</v>
      </c>
      <c r="GB628">
        <v>31.73929425244949</v>
      </c>
      <c r="GC628">
        <v>16.129856723006917</v>
      </c>
      <c r="GD628">
        <v>4.6137072504238361</v>
      </c>
      <c r="GE628">
        <v>4.7979093109599349</v>
      </c>
      <c r="GF628">
        <v>5.5712519077033011</v>
      </c>
      <c r="GG628">
        <v>8.3237450089073519</v>
      </c>
      <c r="GH628">
        <v>10.13477053438244</v>
      </c>
      <c r="GI628">
        <v>21.726761365888592</v>
      </c>
      <c r="GJ628"/>
      <c r="GK628"/>
      <c r="GL628"/>
      <c r="GM628"/>
      <c r="GN628" s="208"/>
      <c r="GO628" s="208"/>
      <c r="GP628" s="208"/>
      <c r="GQ628" s="208"/>
      <c r="GR628" s="208"/>
      <c r="GS628" s="208"/>
      <c r="GT628" s="208"/>
      <c r="GU628" s="213">
        <v>623</v>
      </c>
    </row>
    <row r="629" spans="1:203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280.95282567123019</v>
      </c>
      <c r="AO629">
        <v>28.06317983369264</v>
      </c>
      <c r="AP629">
        <v>39.989210859014719</v>
      </c>
      <c r="AQ629">
        <v>202.20349113712732</v>
      </c>
      <c r="AR629">
        <v>28.517965841644799</v>
      </c>
      <c r="AS629">
        <v>428.98043515486103</v>
      </c>
      <c r="AT629">
        <v>17.756715362137673</v>
      </c>
      <c r="AU629">
        <v>-11.723454681679108</v>
      </c>
      <c r="AV629"/>
      <c r="AW629"/>
      <c r="FY629" s="213">
        <v>624</v>
      </c>
      <c r="FZ629">
        <v>41.992417267105694</v>
      </c>
      <c r="GA629">
        <v>54.745077898189749</v>
      </c>
      <c r="GB629">
        <v>39.244726851968984</v>
      </c>
      <c r="GC629">
        <v>14.540383770820396</v>
      </c>
      <c r="GD629">
        <v>4.3855161885936758</v>
      </c>
      <c r="GE629">
        <v>5.1083593935634806</v>
      </c>
      <c r="GF629">
        <v>2.385957425326378</v>
      </c>
      <c r="GG629">
        <v>5.2545128394660141</v>
      </c>
      <c r="GH629">
        <v>8.1634291439430555</v>
      </c>
      <c r="GI629">
        <v>20.038418155754592</v>
      </c>
      <c r="GJ629"/>
      <c r="GK629"/>
      <c r="GL629"/>
      <c r="GM629"/>
      <c r="GN629" s="208"/>
      <c r="GO629" s="208"/>
      <c r="GP629" s="208"/>
      <c r="GQ629" s="208"/>
      <c r="GR629" s="208"/>
      <c r="GS629" s="208"/>
      <c r="GT629" s="208"/>
      <c r="GU629" s="213">
        <v>624</v>
      </c>
    </row>
    <row r="630" spans="1:203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306.83980483162395</v>
      </c>
      <c r="AO630">
        <v>31.292470702569737</v>
      </c>
      <c r="AP630">
        <v>69.536642011546249</v>
      </c>
      <c r="AQ630">
        <v>214.64557857578447</v>
      </c>
      <c r="AR630">
        <v>31.389548403296775</v>
      </c>
      <c r="AS630">
        <v>456.65372806440115</v>
      </c>
      <c r="AT630">
        <v>19.891518035845724</v>
      </c>
      <c r="AU630">
        <v>-12.980955346079803</v>
      </c>
      <c r="AV630"/>
      <c r="AW630"/>
      <c r="FY630" s="213">
        <v>625</v>
      </c>
      <c r="FZ630">
        <v>47.031642810757823</v>
      </c>
      <c r="GA630">
        <v>35.692658209436786</v>
      </c>
      <c r="GB630">
        <v>27.219644817812007</v>
      </c>
      <c r="GC630">
        <v>11.167515933939672</v>
      </c>
      <c r="GD630">
        <v>2.8055932065384583</v>
      </c>
      <c r="GE630">
        <v>6.4613083505583457</v>
      </c>
      <c r="GF630">
        <v>9.9721508884868602</v>
      </c>
      <c r="GG630">
        <v>6.3150962332108573</v>
      </c>
      <c r="GH630">
        <v>5.8103570549475476</v>
      </c>
      <c r="GI630">
        <v>17.959866594088375</v>
      </c>
      <c r="GJ630"/>
      <c r="GK630"/>
      <c r="GL630"/>
      <c r="GM630"/>
      <c r="GN630" s="208"/>
      <c r="GO630" s="208"/>
      <c r="GP630" s="208"/>
      <c r="GQ630" s="208"/>
      <c r="GR630" s="208"/>
      <c r="GS630" s="208"/>
      <c r="GT630" s="208"/>
      <c r="GU630" s="213">
        <v>625</v>
      </c>
    </row>
    <row r="631" spans="1:203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246.37880175874034</v>
      </c>
      <c r="AO631">
        <v>27.475688325954316</v>
      </c>
      <c r="AP631">
        <v>35.990041893312629</v>
      </c>
      <c r="AQ631">
        <v>204.97575100356568</v>
      </c>
      <c r="AR631">
        <v>27.413048870407067</v>
      </c>
      <c r="AS631">
        <v>358.50805954125968</v>
      </c>
      <c r="AT631">
        <v>16.34559307505759</v>
      </c>
      <c r="AU631">
        <v>5.0274090218856458</v>
      </c>
      <c r="AV631"/>
      <c r="AW631"/>
      <c r="FY631" s="213">
        <v>626</v>
      </c>
      <c r="FZ631">
        <v>47.402735264833098</v>
      </c>
      <c r="GA631">
        <v>23.648847911738187</v>
      </c>
      <c r="GB631">
        <v>28.316617260884506</v>
      </c>
      <c r="GC631">
        <v>17.130894734247388</v>
      </c>
      <c r="GD631">
        <v>4.5867666097463644</v>
      </c>
      <c r="GE631">
        <v>6.0458353446389923</v>
      </c>
      <c r="GF631">
        <v>12.377988182314317</v>
      </c>
      <c r="GG631">
        <v>14.080762839121547</v>
      </c>
      <c r="GH631">
        <v>11.138245123016624</v>
      </c>
      <c r="GI631">
        <v>20.575206837166867</v>
      </c>
      <c r="GJ631"/>
      <c r="GK631"/>
      <c r="GL631"/>
      <c r="GM631"/>
      <c r="GN631" s="208"/>
      <c r="GO631" s="208"/>
      <c r="GP631" s="208"/>
      <c r="GQ631" s="208"/>
      <c r="GR631" s="208"/>
      <c r="GS631" s="208"/>
      <c r="GT631" s="208"/>
      <c r="GU631" s="213">
        <v>626</v>
      </c>
    </row>
    <row r="632" spans="1:203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336.37622250348284</v>
      </c>
      <c r="AO632">
        <v>30.800724616039172</v>
      </c>
      <c r="AP632">
        <v>25.587424251923437</v>
      </c>
      <c r="AQ632">
        <v>230.25321334353148</v>
      </c>
      <c r="AR632">
        <v>31.118540652150774</v>
      </c>
      <c r="AS632">
        <v>482.00595844713803</v>
      </c>
      <c r="AT632">
        <v>19.581415855826084</v>
      </c>
      <c r="AU632">
        <v>-0.24882044943765891</v>
      </c>
      <c r="AV632"/>
      <c r="AW632"/>
      <c r="FY632" s="213">
        <v>627</v>
      </c>
      <c r="FZ632">
        <v>45.455855041673949</v>
      </c>
      <c r="GA632">
        <v>43.394373356485794</v>
      </c>
      <c r="GB632">
        <v>22.701931268824826</v>
      </c>
      <c r="GC632">
        <v>9.8676369753259419</v>
      </c>
      <c r="GD632">
        <v>4.4298477720512457</v>
      </c>
      <c r="GE632">
        <v>6.9570663498691108</v>
      </c>
      <c r="GF632">
        <v>5.0172659829022948</v>
      </c>
      <c r="GG632">
        <v>7.5940693286362944</v>
      </c>
      <c r="GH632">
        <v>12.639833777555822</v>
      </c>
      <c r="GI632">
        <v>17.709877676950953</v>
      </c>
      <c r="GJ632"/>
      <c r="GK632"/>
      <c r="GL632"/>
      <c r="GM632"/>
      <c r="GN632" s="208"/>
      <c r="GO632" s="208"/>
      <c r="GP632" s="208"/>
      <c r="GQ632" s="208"/>
      <c r="GR632" s="208"/>
      <c r="GS632" s="208"/>
      <c r="GT632" s="208"/>
      <c r="GU632" s="213">
        <v>627</v>
      </c>
    </row>
    <row r="633" spans="1:203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300.7213662807614</v>
      </c>
      <c r="AO633">
        <v>26.223775532381673</v>
      </c>
      <c r="AP633">
        <v>19.48887066187249</v>
      </c>
      <c r="AQ633">
        <v>172.02941235847737</v>
      </c>
      <c r="AR633">
        <v>27.336746804195879</v>
      </c>
      <c r="AS633">
        <v>380.46939298999797</v>
      </c>
      <c r="AT633">
        <v>16.977643634353736</v>
      </c>
      <c r="AU633">
        <v>-5.5917659392967067</v>
      </c>
      <c r="AV633"/>
      <c r="AW633"/>
      <c r="FY633" s="213">
        <v>628</v>
      </c>
      <c r="FZ633">
        <v>37.519960462751627</v>
      </c>
      <c r="GA633">
        <v>28.015978029864449</v>
      </c>
      <c r="GB633">
        <v>31.472282802189714</v>
      </c>
      <c r="GC633">
        <v>16.937693042713466</v>
      </c>
      <c r="GD633">
        <v>4.0964747928422067</v>
      </c>
      <c r="GE633">
        <v>6.0337457621724031</v>
      </c>
      <c r="GF633">
        <v>6.6667669118538466</v>
      </c>
      <c r="GG633">
        <v>6.2172344705382159</v>
      </c>
      <c r="GH633">
        <v>13.165364475180905</v>
      </c>
      <c r="GI633">
        <v>18.886481946775959</v>
      </c>
      <c r="GJ633"/>
      <c r="GK633"/>
      <c r="GL633"/>
      <c r="GM633"/>
      <c r="GN633" s="208"/>
      <c r="GO633" s="208"/>
      <c r="GP633" s="208"/>
      <c r="GQ633" s="208"/>
      <c r="GR633" s="208"/>
      <c r="GS633" s="208"/>
      <c r="GT633" s="208"/>
      <c r="GU633" s="213">
        <v>628</v>
      </c>
    </row>
    <row r="634" spans="1:203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280.39346264003177</v>
      </c>
      <c r="AO634">
        <v>26.820235035115104</v>
      </c>
      <c r="AP634">
        <v>18.023221968835163</v>
      </c>
      <c r="AQ634">
        <v>191.55071878871527</v>
      </c>
      <c r="AR634">
        <v>27.587195230036112</v>
      </c>
      <c r="AS634">
        <v>418.44570735992784</v>
      </c>
      <c r="AT634">
        <v>17.401473575896098</v>
      </c>
      <c r="AU634">
        <v>-11.624000883370122</v>
      </c>
      <c r="AV634"/>
      <c r="AW634"/>
      <c r="FY634" s="213">
        <v>629</v>
      </c>
      <c r="FZ634">
        <v>51.125939905915935</v>
      </c>
      <c r="GA634">
        <v>29.582039275321655</v>
      </c>
      <c r="GB634">
        <v>21.257709737821621</v>
      </c>
      <c r="GC634">
        <v>13.049844660785521</v>
      </c>
      <c r="GD634">
        <v>4.6725278462967568</v>
      </c>
      <c r="GE634">
        <v>4.8797980501185059</v>
      </c>
      <c r="GF634">
        <v>5.9579980567796227</v>
      </c>
      <c r="GG634">
        <v>5.679710544045971</v>
      </c>
      <c r="GH634">
        <v>6.6447642558556526</v>
      </c>
      <c r="GI634">
        <v>17.543992496986501</v>
      </c>
      <c r="GJ634"/>
      <c r="GK634"/>
      <c r="GL634"/>
      <c r="GM634"/>
      <c r="GN634" s="208"/>
      <c r="GO634" s="208"/>
      <c r="GP634" s="208"/>
      <c r="GQ634" s="208"/>
      <c r="GR634" s="208"/>
      <c r="GS634" s="208"/>
      <c r="GT634" s="208"/>
      <c r="GU634" s="213">
        <v>629</v>
      </c>
    </row>
    <row r="635" spans="1:203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284.28080270294271</v>
      </c>
      <c r="AO635">
        <v>27.115447418497137</v>
      </c>
      <c r="AP635">
        <v>22.333922232252185</v>
      </c>
      <c r="AQ635">
        <v>198.49530371044361</v>
      </c>
      <c r="AR635">
        <v>27.668097071463958</v>
      </c>
      <c r="AS635">
        <v>409.02451429393255</v>
      </c>
      <c r="AT635">
        <v>17.00828852712473</v>
      </c>
      <c r="AU635">
        <v>-9.0351495942793179</v>
      </c>
      <c r="AV635"/>
      <c r="AW635"/>
      <c r="FY635" s="213">
        <v>630</v>
      </c>
      <c r="FZ635">
        <v>40.115982729943212</v>
      </c>
      <c r="GA635">
        <v>35.337889530703364</v>
      </c>
      <c r="GB635">
        <v>29.893302084305311</v>
      </c>
      <c r="GC635">
        <v>13.797522439912061</v>
      </c>
      <c r="GD635">
        <v>2.7165894285787346</v>
      </c>
      <c r="GE635">
        <v>4.081068200221492</v>
      </c>
      <c r="GF635">
        <v>4.7875020676917703</v>
      </c>
      <c r="GG635">
        <v>6.7026192637928474</v>
      </c>
      <c r="GH635">
        <v>7.7850443866201076</v>
      </c>
      <c r="GI635">
        <v>16.913587995761958</v>
      </c>
      <c r="GJ635"/>
      <c r="GK635"/>
      <c r="GL635"/>
      <c r="GM635"/>
      <c r="GN635" s="208"/>
      <c r="GO635" s="208"/>
      <c r="GP635" s="208"/>
      <c r="GQ635" s="208"/>
      <c r="GR635" s="208"/>
      <c r="GS635" s="208"/>
      <c r="GT635" s="208"/>
      <c r="GU635" s="213">
        <v>630</v>
      </c>
    </row>
    <row r="636" spans="1:203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238.20351353070055</v>
      </c>
      <c r="AO636">
        <v>27.115561330743208</v>
      </c>
      <c r="AP636">
        <v>20.039351836145002</v>
      </c>
      <c r="AQ636">
        <v>194.75966869415458</v>
      </c>
      <c r="AR636">
        <v>27.968269521676834</v>
      </c>
      <c r="AS636">
        <v>410.56828685817379</v>
      </c>
      <c r="AT636">
        <v>17.190447811032271</v>
      </c>
      <c r="AU636">
        <v>1.4255321677029258</v>
      </c>
      <c r="AV636"/>
      <c r="AW636"/>
      <c r="FY636" s="213">
        <v>631</v>
      </c>
      <c r="FZ636">
        <v>49.521453602914569</v>
      </c>
      <c r="GA636">
        <v>54.189133919848807</v>
      </c>
      <c r="GB636">
        <v>26.297420351729258</v>
      </c>
      <c r="GC636">
        <v>11.524689339651356</v>
      </c>
      <c r="GD636">
        <v>3.1072821434154387</v>
      </c>
      <c r="GE636">
        <v>5.0948579799448677</v>
      </c>
      <c r="GF636">
        <v>9.1780004444483296</v>
      </c>
      <c r="GG636">
        <v>9.5299362068474576</v>
      </c>
      <c r="GH636">
        <v>8.7288809437710562</v>
      </c>
      <c r="GI636">
        <v>18.581381426081688</v>
      </c>
      <c r="GJ636"/>
      <c r="GK636"/>
      <c r="GL636"/>
      <c r="GM636"/>
      <c r="GN636" s="208"/>
      <c r="GO636" s="208"/>
      <c r="GP636" s="208"/>
      <c r="GQ636" s="208"/>
      <c r="GR636" s="208"/>
      <c r="GS636" s="208"/>
      <c r="GT636" s="208"/>
      <c r="GU636" s="213">
        <v>631</v>
      </c>
    </row>
    <row r="637" spans="1:203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353.33042256875399</v>
      </c>
      <c r="AO637">
        <v>27.977735645999399</v>
      </c>
      <c r="AP637">
        <v>34.167722220276801</v>
      </c>
      <c r="AQ637">
        <v>205.21131608573376</v>
      </c>
      <c r="AR637">
        <v>28.235138715659858</v>
      </c>
      <c r="AS637">
        <v>401.53413793528944</v>
      </c>
      <c r="AT637">
        <v>17.954441039067543</v>
      </c>
      <c r="AU637">
        <v>-20.034866911803391</v>
      </c>
      <c r="AV637"/>
      <c r="AW637"/>
      <c r="FY637" s="213">
        <v>632</v>
      </c>
      <c r="FZ637">
        <v>50.356526882951663</v>
      </c>
      <c r="GA637">
        <v>36.991378470449725</v>
      </c>
      <c r="GB637">
        <v>31.646810714857139</v>
      </c>
      <c r="GC637">
        <v>14.205094026195431</v>
      </c>
      <c r="GD637">
        <v>5.5698275021051566</v>
      </c>
      <c r="GE637">
        <v>9.8901988312949136</v>
      </c>
      <c r="GF637">
        <v>2.0031146873712848</v>
      </c>
      <c r="GG637">
        <v>0.61497208007973791</v>
      </c>
      <c r="GH637">
        <v>6.4533279830997765</v>
      </c>
      <c r="GI637">
        <v>19.748998029067756</v>
      </c>
      <c r="GJ637"/>
      <c r="GK637"/>
      <c r="GL637"/>
      <c r="GM637"/>
      <c r="GN637" s="208"/>
      <c r="GO637" s="208"/>
      <c r="GP637" s="208"/>
      <c r="GQ637" s="208"/>
      <c r="GR637" s="208"/>
      <c r="GS637" s="208"/>
      <c r="GT637" s="208"/>
      <c r="GU637" s="213">
        <v>632</v>
      </c>
    </row>
    <row r="638" spans="1:203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284.53161196698795</v>
      </c>
      <c r="AO638">
        <v>26.630333715085367</v>
      </c>
      <c r="AP638">
        <v>44.961570505499424</v>
      </c>
      <c r="AQ638">
        <v>186.74517590893214</v>
      </c>
      <c r="AR638">
        <v>27.212287051450716</v>
      </c>
      <c r="AS638">
        <v>415.08646651346351</v>
      </c>
      <c r="AT638">
        <v>17.095390920010438</v>
      </c>
      <c r="AU638">
        <v>9.114413303740708</v>
      </c>
      <c r="AV638"/>
      <c r="AW638"/>
      <c r="FY638" s="213">
        <v>633</v>
      </c>
      <c r="FZ638">
        <v>45.114219961861522</v>
      </c>
      <c r="GA638">
        <v>43.281544215590856</v>
      </c>
      <c r="GB638">
        <v>25.070404576166595</v>
      </c>
      <c r="GC638">
        <v>10.582856882967279</v>
      </c>
      <c r="GD638">
        <v>2.7401291559770442</v>
      </c>
      <c r="GE638">
        <v>3.3834415241414675</v>
      </c>
      <c r="GF638">
        <v>1.9183765944901441</v>
      </c>
      <c r="GG638">
        <v>1.1413635145259298</v>
      </c>
      <c r="GH638">
        <v>5.9712205721361808</v>
      </c>
      <c r="GI638">
        <v>15.665665414719228</v>
      </c>
      <c r="GJ638"/>
      <c r="GK638"/>
      <c r="GL638"/>
      <c r="GM638"/>
      <c r="GN638" s="208"/>
      <c r="GO638" s="208"/>
      <c r="GP638" s="208"/>
      <c r="GQ638" s="208"/>
      <c r="GR638" s="208"/>
      <c r="GS638" s="208"/>
      <c r="GT638" s="208"/>
      <c r="GU638" s="213">
        <v>633</v>
      </c>
    </row>
    <row r="639" spans="1:203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316.17391250912772</v>
      </c>
      <c r="AO639">
        <v>27.67993512862002</v>
      </c>
      <c r="AP639">
        <v>45.819230479229248</v>
      </c>
      <c r="AQ639">
        <v>194.31679269507208</v>
      </c>
      <c r="AR639">
        <v>29.956300864645925</v>
      </c>
      <c r="AS639">
        <v>448.01258627806942</v>
      </c>
      <c r="AT639">
        <v>17.563277726850004</v>
      </c>
      <c r="AU639">
        <v>81.407877683316656</v>
      </c>
      <c r="AV639"/>
      <c r="AW639"/>
      <c r="FY639" s="213">
        <v>634</v>
      </c>
      <c r="FZ639">
        <v>60.474877354651319</v>
      </c>
      <c r="GA639">
        <v>65.039548113497489</v>
      </c>
      <c r="GB639">
        <v>31.165738939255373</v>
      </c>
      <c r="GC639">
        <v>11.416396533388657</v>
      </c>
      <c r="GD639">
        <v>3.5473110351433399</v>
      </c>
      <c r="GE639">
        <v>6.1863884640095259</v>
      </c>
      <c r="GF639">
        <v>4.3994727167246594</v>
      </c>
      <c r="GG639">
        <v>2.3734351452861464</v>
      </c>
      <c r="GH639">
        <v>7.8954059561995749</v>
      </c>
      <c r="GI639">
        <v>20.634055546349011</v>
      </c>
      <c r="GJ639"/>
      <c r="GK639"/>
      <c r="GL639"/>
      <c r="GM639"/>
      <c r="GN639" s="208"/>
      <c r="GO639" s="208"/>
      <c r="GP639" s="208"/>
      <c r="GQ639" s="208"/>
      <c r="GR639" s="208"/>
      <c r="GS639" s="208"/>
      <c r="GT639" s="208"/>
      <c r="GU639" s="213">
        <v>634</v>
      </c>
    </row>
    <row r="640" spans="1:203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290.32899320866073</v>
      </c>
      <c r="AO640">
        <v>27.235385112437889</v>
      </c>
      <c r="AP640">
        <v>26.720344347739598</v>
      </c>
      <c r="AQ640">
        <v>195.85879893473202</v>
      </c>
      <c r="AR640">
        <v>27.447066913566683</v>
      </c>
      <c r="AS640">
        <v>379.2891661088567</v>
      </c>
      <c r="AT640">
        <v>17.587458169697513</v>
      </c>
      <c r="AU640">
        <v>-18.639110428685207</v>
      </c>
      <c r="AV640"/>
      <c r="AW640"/>
      <c r="FY640" s="213">
        <v>635</v>
      </c>
      <c r="FZ640">
        <v>55.625164144733716</v>
      </c>
      <c r="GA640">
        <v>42.006064485735841</v>
      </c>
      <c r="GB640">
        <v>27.701447280378702</v>
      </c>
      <c r="GC640">
        <v>15.932527884663727</v>
      </c>
      <c r="GD640">
        <v>3.8901949594679546</v>
      </c>
      <c r="GE640">
        <v>4.2862500175815734</v>
      </c>
      <c r="GF640">
        <v>3.0769161720415839</v>
      </c>
      <c r="GG640">
        <v>4.4000382472122936</v>
      </c>
      <c r="GH640">
        <v>10.591683310115634</v>
      </c>
      <c r="GI640">
        <v>19.451131719248476</v>
      </c>
      <c r="GJ640"/>
      <c r="GK640"/>
      <c r="GL640"/>
      <c r="GM640"/>
      <c r="GN640" s="208"/>
      <c r="GO640" s="208"/>
      <c r="GP640" s="208"/>
      <c r="GQ640" s="208"/>
      <c r="GR640" s="208"/>
      <c r="GS640" s="208"/>
      <c r="GT640" s="208"/>
      <c r="GU640" s="213">
        <v>635</v>
      </c>
    </row>
    <row r="641" spans="1:203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263.93879217917504</v>
      </c>
      <c r="AO641">
        <v>23.368184580986501</v>
      </c>
      <c r="AP641">
        <v>39.656189732721529</v>
      </c>
      <c r="AQ641">
        <v>170.43583409977674</v>
      </c>
      <c r="AR641">
        <v>24.701413439996113</v>
      </c>
      <c r="AS641">
        <v>331.9385241051836</v>
      </c>
      <c r="AT641">
        <v>14.875334154107394</v>
      </c>
      <c r="AU641">
        <v>-6.2284800076075229</v>
      </c>
      <c r="AV641"/>
      <c r="AW641"/>
      <c r="FY641" s="213">
        <v>636</v>
      </c>
      <c r="FZ641">
        <v>51.076398987853764</v>
      </c>
      <c r="GA641">
        <v>45.482439912123198</v>
      </c>
      <c r="GB641">
        <v>29.475278289604098</v>
      </c>
      <c r="GC641">
        <v>11.114261068889302</v>
      </c>
      <c r="GD641">
        <v>4.1312492478848162</v>
      </c>
      <c r="GE641">
        <v>5.3426167864120604</v>
      </c>
      <c r="GF641">
        <v>3.9717811663411045</v>
      </c>
      <c r="GG641">
        <v>3.7858756963673015</v>
      </c>
      <c r="GH641">
        <v>8.708131757870694</v>
      </c>
      <c r="GI641">
        <v>19.226261577769197</v>
      </c>
      <c r="GJ641"/>
      <c r="GK641"/>
      <c r="GL641"/>
      <c r="GM641"/>
      <c r="GN641" s="208"/>
      <c r="GO641" s="208"/>
      <c r="GP641" s="208"/>
      <c r="GQ641" s="208"/>
      <c r="GR641" s="208"/>
      <c r="GS641" s="208"/>
      <c r="GT641" s="208"/>
      <c r="GU641" s="213">
        <v>636</v>
      </c>
    </row>
    <row r="642" spans="1:203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267.56425521472653</v>
      </c>
      <c r="AO642">
        <v>27.38141129341663</v>
      </c>
      <c r="AP642">
        <v>40.6036911438093</v>
      </c>
      <c r="AQ642">
        <v>185.30390010770788</v>
      </c>
      <c r="AR642">
        <v>28.309060222020587</v>
      </c>
      <c r="AS642">
        <v>404.45172624058574</v>
      </c>
      <c r="AT642">
        <v>16.872613069847883</v>
      </c>
      <c r="AU642">
        <v>20.206203538919869</v>
      </c>
      <c r="AV642"/>
      <c r="AW642"/>
      <c r="FY642" s="213">
        <v>637</v>
      </c>
      <c r="FZ642">
        <v>28.846700453777636</v>
      </c>
      <c r="GA642">
        <v>27.175200979707618</v>
      </c>
      <c r="GB642">
        <v>30.267903671587259</v>
      </c>
      <c r="GC642">
        <v>14.519216965837463</v>
      </c>
      <c r="GD642">
        <v>2.8427484730675183</v>
      </c>
      <c r="GE642">
        <v>3.7767880671976837</v>
      </c>
      <c r="GF642">
        <v>8.2357073252104627</v>
      </c>
      <c r="GG642">
        <v>8.5163156743109596</v>
      </c>
      <c r="GH642">
        <v>6.126479983671401</v>
      </c>
      <c r="GI642">
        <v>15.781277989749031</v>
      </c>
      <c r="GJ642"/>
      <c r="GK642"/>
      <c r="GL642"/>
      <c r="GM642"/>
      <c r="GN642" s="208"/>
      <c r="GO642" s="208"/>
      <c r="GP642" s="208"/>
      <c r="GQ642" s="208"/>
      <c r="GR642" s="208"/>
      <c r="GS642" s="208"/>
      <c r="GT642" s="208"/>
      <c r="GU642" s="213">
        <v>637</v>
      </c>
    </row>
    <row r="643" spans="1:203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297.50682711230826</v>
      </c>
      <c r="AO643">
        <v>23.763050404499506</v>
      </c>
      <c r="AP643">
        <v>62.192758471473567</v>
      </c>
      <c r="AQ643">
        <v>175.76775753027624</v>
      </c>
      <c r="AR643">
        <v>24.369951312632676</v>
      </c>
      <c r="AS643">
        <v>353.66539141586571</v>
      </c>
      <c r="AT643">
        <v>14.4129477760087</v>
      </c>
      <c r="AU643">
        <v>2.3643100498236542</v>
      </c>
      <c r="AV643"/>
      <c r="AW643"/>
      <c r="FY643" s="213">
        <v>638</v>
      </c>
      <c r="FZ643">
        <v>51.269059873304627</v>
      </c>
      <c r="GA643">
        <v>48.621918334474373</v>
      </c>
      <c r="GB643">
        <v>29.82843150759129</v>
      </c>
      <c r="GC643">
        <v>12.310362671097259</v>
      </c>
      <c r="GD643">
        <v>4.1480064386175348</v>
      </c>
      <c r="GE643">
        <v>5.1723157393014372</v>
      </c>
      <c r="GF643">
        <v>4.9168111295316219</v>
      </c>
      <c r="GG643">
        <v>4.0546411592281562</v>
      </c>
      <c r="GH643">
        <v>7.3151942385676483</v>
      </c>
      <c r="GI643">
        <v>19.300310491405519</v>
      </c>
      <c r="GJ643"/>
      <c r="GK643"/>
      <c r="GL643"/>
      <c r="GM643"/>
      <c r="GN643" s="208"/>
      <c r="GO643" s="208"/>
      <c r="GP643" s="208"/>
      <c r="GQ643" s="208"/>
      <c r="GR643" s="208"/>
      <c r="GS643" s="208"/>
      <c r="GT643" s="208"/>
      <c r="GU643" s="213">
        <v>638</v>
      </c>
    </row>
    <row r="644" spans="1:203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287.46066149113528</v>
      </c>
      <c r="AO644">
        <v>25.024349747146765</v>
      </c>
      <c r="AP644">
        <v>35.882501858176227</v>
      </c>
      <c r="AQ644">
        <v>169.0119826968828</v>
      </c>
      <c r="AR644">
        <v>25.854270524573504</v>
      </c>
      <c r="AS644">
        <v>360.73330577667031</v>
      </c>
      <c r="AT644">
        <v>16.104827033100861</v>
      </c>
      <c r="AU644">
        <v>5.199139683305237</v>
      </c>
      <c r="AV644"/>
      <c r="AW644"/>
      <c r="FY644" s="213">
        <v>639</v>
      </c>
      <c r="FZ644">
        <v>56.824377448024443</v>
      </c>
      <c r="GA644">
        <v>37.757376281354347</v>
      </c>
      <c r="GB644">
        <v>27.012822461740413</v>
      </c>
      <c r="GC644">
        <v>16.063663635912704</v>
      </c>
      <c r="GD644">
        <v>4.4334288318198416</v>
      </c>
      <c r="GE644">
        <v>7.0108806710728775</v>
      </c>
      <c r="GF644">
        <v>2.021568291813467</v>
      </c>
      <c r="GG644">
        <v>2.4231115467764344</v>
      </c>
      <c r="GH644">
        <v>6.3192227804028498</v>
      </c>
      <c r="GI644">
        <v>18.909756017131414</v>
      </c>
      <c r="GJ644"/>
      <c r="GK644"/>
      <c r="GL644"/>
      <c r="GM644"/>
      <c r="GN644" s="208"/>
      <c r="GO644" s="208"/>
      <c r="GP644" s="208"/>
      <c r="GQ644" s="208"/>
      <c r="GR644" s="208"/>
      <c r="GS644" s="208"/>
      <c r="GT644" s="208"/>
      <c r="GU644" s="213">
        <v>639</v>
      </c>
    </row>
    <row r="645" spans="1:203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255.70979181929823</v>
      </c>
      <c r="AO645">
        <v>22.734770057624509</v>
      </c>
      <c r="AP645">
        <v>31.396344000928885</v>
      </c>
      <c r="AQ645">
        <v>160.39432482992774</v>
      </c>
      <c r="AR645">
        <v>24.214967598805551</v>
      </c>
      <c r="AS645">
        <v>339.92300696318893</v>
      </c>
      <c r="AT645">
        <v>14.528487050445813</v>
      </c>
      <c r="AU645">
        <v>38.219663563612045</v>
      </c>
      <c r="AV645"/>
      <c r="AW645"/>
      <c r="FY645" s="213">
        <v>640</v>
      </c>
      <c r="FZ645">
        <v>39.310231130503922</v>
      </c>
      <c r="GA645">
        <v>37.507767276554972</v>
      </c>
      <c r="GB645">
        <v>24.66191100146543</v>
      </c>
      <c r="GC645">
        <v>11.83742258410296</v>
      </c>
      <c r="GD645">
        <v>3.3875925649866758</v>
      </c>
      <c r="GE645">
        <v>2.708210627554084</v>
      </c>
      <c r="GF645">
        <v>1.785307183697173</v>
      </c>
      <c r="GG645">
        <v>4.4305754330570908</v>
      </c>
      <c r="GH645">
        <v>12.106069465742209</v>
      </c>
      <c r="GI645">
        <v>16.008069726405136</v>
      </c>
      <c r="GJ645"/>
      <c r="GK645"/>
      <c r="GL645"/>
      <c r="GM645"/>
      <c r="GN645" s="208"/>
      <c r="GO645" s="208"/>
      <c r="GP645" s="208"/>
      <c r="GQ645" s="208"/>
      <c r="GR645" s="208"/>
      <c r="GS645" s="208"/>
      <c r="GT645" s="208"/>
      <c r="GU645" s="213">
        <v>640</v>
      </c>
    </row>
    <row r="646" spans="1:203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244.43120798018654</v>
      </c>
      <c r="AO646">
        <v>22.860730336583401</v>
      </c>
      <c r="AP646">
        <v>21.46861198699278</v>
      </c>
      <c r="AQ646">
        <v>162.13110812753087</v>
      </c>
      <c r="AR646">
        <v>23.200331176819645</v>
      </c>
      <c r="AS646">
        <v>338.39063812021078</v>
      </c>
      <c r="AT646">
        <v>13.541137584649702</v>
      </c>
      <c r="AU646">
        <v>-12.732120004392151</v>
      </c>
      <c r="AV646"/>
      <c r="AW646"/>
      <c r="FY646" s="213">
        <v>641</v>
      </c>
      <c r="FZ646">
        <v>50.047303585173438</v>
      </c>
      <c r="GA646">
        <v>31.96035324036928</v>
      </c>
      <c r="GB646">
        <v>37.915716744164655</v>
      </c>
      <c r="GC646">
        <v>20.547134851526263</v>
      </c>
      <c r="GD646">
        <v>1.348342381768866</v>
      </c>
      <c r="GE646">
        <v>1.8954062925379886</v>
      </c>
      <c r="GF646">
        <v>1.4366348106737945</v>
      </c>
      <c r="GG646">
        <v>0.45513272099251556</v>
      </c>
      <c r="GH646">
        <v>6.3471109529131722</v>
      </c>
      <c r="GI646">
        <v>18.742584965727648</v>
      </c>
      <c r="GJ646"/>
      <c r="GK646"/>
      <c r="GL646"/>
      <c r="GM646"/>
      <c r="GN646" s="208"/>
      <c r="GO646" s="208"/>
      <c r="GP646" s="208"/>
      <c r="GQ646" s="208"/>
      <c r="GR646" s="208"/>
      <c r="GS646" s="208"/>
      <c r="GT646" s="208"/>
      <c r="GU646" s="213">
        <v>641</v>
      </c>
    </row>
    <row r="647" spans="1:203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237.97729649445887</v>
      </c>
      <c r="AO647">
        <v>25.912947067377694</v>
      </c>
      <c r="AP647">
        <v>49.974057943469973</v>
      </c>
      <c r="AQ647">
        <v>195.75303635865285</v>
      </c>
      <c r="AR647">
        <v>25.628141263659536</v>
      </c>
      <c r="AS647">
        <v>331.87869299949995</v>
      </c>
      <c r="AT647">
        <v>15.370899050491955</v>
      </c>
      <c r="AU647">
        <v>-21.403634785805966</v>
      </c>
      <c r="AV647"/>
      <c r="AW647"/>
      <c r="FY647" s="213">
        <v>642</v>
      </c>
      <c r="FZ647">
        <v>46.909539996717939</v>
      </c>
      <c r="GA647">
        <v>46.714430320395465</v>
      </c>
      <c r="GB647">
        <v>32.827287153555432</v>
      </c>
      <c r="GC647">
        <v>15.388363856421945</v>
      </c>
      <c r="GD647">
        <v>3.5493081450591761</v>
      </c>
      <c r="GE647">
        <v>4.262940554340851</v>
      </c>
      <c r="GF647">
        <v>8.9005487074091398</v>
      </c>
      <c r="GG647">
        <v>11.842171840987312</v>
      </c>
      <c r="GH647">
        <v>9.2135429362303469</v>
      </c>
      <c r="GI647">
        <v>20.076698581943013</v>
      </c>
      <c r="GJ647"/>
      <c r="GK647"/>
      <c r="GL647"/>
      <c r="GM647"/>
      <c r="GN647" s="208"/>
      <c r="GO647" s="208"/>
      <c r="GP647" s="208"/>
      <c r="GQ647" s="208"/>
      <c r="GR647" s="208"/>
      <c r="GS647" s="208"/>
      <c r="GT647" s="208"/>
      <c r="GU647" s="213">
        <v>642</v>
      </c>
    </row>
    <row r="648" spans="1:203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296.895247574998</v>
      </c>
      <c r="AO648">
        <v>25.626229339516385</v>
      </c>
      <c r="AP648">
        <v>24.259540558576248</v>
      </c>
      <c r="AQ648">
        <v>177.48024920747261</v>
      </c>
      <c r="AR648">
        <v>27.069095964081356</v>
      </c>
      <c r="AS648">
        <v>388.71987950518434</v>
      </c>
      <c r="AT648" t="e">
        <v>#DIV/0!</v>
      </c>
      <c r="AU648" t="e">
        <v>#DIV/0!</v>
      </c>
      <c r="AV648"/>
      <c r="AW648"/>
      <c r="FY648" s="213">
        <v>643</v>
      </c>
      <c r="FZ648">
        <v>49.684045862672512</v>
      </c>
      <c r="GA648">
        <v>70.461779526944838</v>
      </c>
      <c r="GB648">
        <v>45.102670811769137</v>
      </c>
      <c r="GC648">
        <v>14.138891387030082</v>
      </c>
      <c r="GD648">
        <v>2.4413806533511595</v>
      </c>
      <c r="GE648">
        <v>4.0587919770534562</v>
      </c>
      <c r="GF648">
        <v>2.6575554655429636</v>
      </c>
      <c r="GG648">
        <v>2.8381925864862905</v>
      </c>
      <c r="GH648">
        <v>8.84696786306632</v>
      </c>
      <c r="GI648">
        <v>21.664731075703845</v>
      </c>
      <c r="GJ648"/>
      <c r="GK648"/>
      <c r="GL648"/>
      <c r="GM648"/>
      <c r="GN648" s="208"/>
      <c r="GO648" s="208"/>
      <c r="GP648" s="208"/>
      <c r="GQ648" s="208"/>
      <c r="GR648" s="208"/>
      <c r="GS648" s="208"/>
      <c r="GT648" s="208"/>
      <c r="GU648" s="213">
        <v>643</v>
      </c>
    </row>
    <row r="649" spans="1:203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219.13405372647662</v>
      </c>
      <c r="AO649">
        <v>20.594657811267545</v>
      </c>
      <c r="AP649">
        <v>24.821590430492531</v>
      </c>
      <c r="AQ649">
        <v>154.86922241257625</v>
      </c>
      <c r="AR649">
        <v>21.501663750286948</v>
      </c>
      <c r="AS649">
        <v>291.08051364350035</v>
      </c>
      <c r="AT649">
        <v>13.027047732439989</v>
      </c>
      <c r="AU649">
        <v>-13.867850475450282</v>
      </c>
      <c r="AV649"/>
      <c r="AW649"/>
      <c r="FY649" s="213">
        <v>644</v>
      </c>
      <c r="FZ649">
        <v>51.828786775137111</v>
      </c>
      <c r="GA649">
        <v>56.562630523422385</v>
      </c>
      <c r="GB649">
        <v>42.681848490555495</v>
      </c>
      <c r="GC649">
        <v>20.565930999488334</v>
      </c>
      <c r="GD649">
        <v>4.4473163076632298</v>
      </c>
      <c r="GE649">
        <v>5.0374863049205398</v>
      </c>
      <c r="GF649">
        <v>2.4148116337955576</v>
      </c>
      <c r="GG649">
        <v>4.5034169102419863</v>
      </c>
      <c r="GH649">
        <v>6.6933041672212168</v>
      </c>
      <c r="GI649">
        <v>22.149716966780353</v>
      </c>
      <c r="GJ649"/>
      <c r="GK649"/>
      <c r="GL649"/>
      <c r="GM649"/>
      <c r="GN649" s="208"/>
      <c r="GO649" s="208"/>
      <c r="GP649" s="208"/>
      <c r="GQ649" s="208"/>
      <c r="GR649" s="208"/>
      <c r="GS649" s="208"/>
      <c r="GT649" s="208"/>
      <c r="GU649" s="213">
        <v>644</v>
      </c>
    </row>
    <row r="650" spans="1:203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280.24215765098046</v>
      </c>
      <c r="AO650">
        <v>27.607981691747334</v>
      </c>
      <c r="AP650">
        <v>63.924648788533759</v>
      </c>
      <c r="AQ650">
        <v>213.13262980450506</v>
      </c>
      <c r="AR650">
        <v>28.414372534937804</v>
      </c>
      <c r="AS650">
        <v>376.37941116364533</v>
      </c>
      <c r="AT650" t="e">
        <v>#DIV/0!</v>
      </c>
      <c r="AU650" t="e">
        <v>#DIV/0!</v>
      </c>
      <c r="AV650"/>
      <c r="AW650"/>
      <c r="FY650" s="213">
        <v>645</v>
      </c>
      <c r="FZ650">
        <v>41.622016180179372</v>
      </c>
      <c r="GA650">
        <v>25.737794556724754</v>
      </c>
      <c r="GB650">
        <v>19.178621132166349</v>
      </c>
      <c r="GC650">
        <v>11.859087523519735</v>
      </c>
      <c r="GD650">
        <v>2.470350139542449</v>
      </c>
      <c r="GE650">
        <v>2.2538845403584657</v>
      </c>
      <c r="GF650">
        <v>5.6467704330006789</v>
      </c>
      <c r="GG650">
        <v>4.2042677533012567</v>
      </c>
      <c r="GH650">
        <v>7.9519385181190492</v>
      </c>
      <c r="GI650">
        <v>14.557749612645546</v>
      </c>
      <c r="GJ650"/>
      <c r="GK650"/>
      <c r="GL650"/>
      <c r="GM650"/>
      <c r="GN650" s="208"/>
      <c r="GO650" s="208"/>
      <c r="GP650" s="208"/>
      <c r="GQ650" s="208"/>
      <c r="GR650" s="208"/>
      <c r="GS650" s="208"/>
      <c r="GT650" s="208"/>
      <c r="GU650" s="213">
        <v>645</v>
      </c>
    </row>
    <row r="651" spans="1:203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264.42739020946362</v>
      </c>
      <c r="AO651">
        <v>25.911320575619623</v>
      </c>
      <c r="AP651">
        <v>53.650201965536787</v>
      </c>
      <c r="AQ651">
        <v>186.96141822117951</v>
      </c>
      <c r="AR651">
        <v>26.707012130586843</v>
      </c>
      <c r="AS651">
        <v>410.65443521228389</v>
      </c>
      <c r="AT651">
        <v>16.384848856762762</v>
      </c>
      <c r="AU651">
        <v>21.620137856904606</v>
      </c>
      <c r="AV651"/>
      <c r="AW651"/>
      <c r="FY651" s="213">
        <v>646</v>
      </c>
      <c r="FZ651">
        <v>46.33714013360418</v>
      </c>
      <c r="GA651">
        <v>64.509071011694246</v>
      </c>
      <c r="GB651">
        <v>48.460865866253933</v>
      </c>
      <c r="GC651">
        <v>20.58217260154413</v>
      </c>
      <c r="GD651">
        <v>3.6733105592066</v>
      </c>
      <c r="GE651">
        <v>3.8257771838561947</v>
      </c>
      <c r="GF651">
        <v>1.1085093899620841</v>
      </c>
      <c r="GG651">
        <v>4.8631776918042471</v>
      </c>
      <c r="GH651">
        <v>5.8028040520151682</v>
      </c>
      <c r="GI651">
        <v>21.929655987457135</v>
      </c>
      <c r="GJ651"/>
      <c r="GK651"/>
      <c r="GL651"/>
      <c r="GM651"/>
      <c r="GN651" s="208"/>
      <c r="GO651" s="208"/>
      <c r="GP651" s="208"/>
      <c r="GQ651" s="208"/>
      <c r="GR651" s="208"/>
      <c r="GS651" s="208"/>
      <c r="GT651" s="208"/>
      <c r="GU651" s="213">
        <v>646</v>
      </c>
    </row>
    <row r="652" spans="1:203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249.2355144197326</v>
      </c>
      <c r="AO652">
        <v>24.724128842772284</v>
      </c>
      <c r="AP652">
        <v>27.830383712670443</v>
      </c>
      <c r="AQ652">
        <v>182.31429449111556</v>
      </c>
      <c r="AR652">
        <v>26.492402014755839</v>
      </c>
      <c r="AS652">
        <v>319.9568413817878</v>
      </c>
      <c r="AT652">
        <v>15.64970978139033</v>
      </c>
      <c r="AU652">
        <v>-3.9660872170180639</v>
      </c>
      <c r="AV652"/>
      <c r="AW652"/>
      <c r="FY652" s="213">
        <v>647</v>
      </c>
      <c r="FZ652">
        <v>35.576944577261152</v>
      </c>
      <c r="GA652">
        <v>49.959094588057866</v>
      </c>
      <c r="GB652">
        <v>43.27632092512507</v>
      </c>
      <c r="GC652">
        <v>16.847062244363784</v>
      </c>
      <c r="GD652">
        <v>4.765016472648278</v>
      </c>
      <c r="GE652">
        <v>7.3496953070046365</v>
      </c>
      <c r="GF652">
        <v>4.9917921144689288</v>
      </c>
      <c r="GG652">
        <v>5.7322722101878307</v>
      </c>
      <c r="GH652">
        <v>9.732908378431949</v>
      </c>
      <c r="GI652">
        <v>21.035467829137914</v>
      </c>
      <c r="GJ652"/>
      <c r="GK652"/>
      <c r="GL652"/>
      <c r="GM652"/>
      <c r="GN652" s="208"/>
      <c r="GO652" s="208"/>
      <c r="GP652" s="208"/>
      <c r="GQ652" s="208"/>
      <c r="GR652" s="208"/>
      <c r="GS652" s="208"/>
      <c r="GT652" s="208"/>
      <c r="GU652" s="213">
        <v>647</v>
      </c>
    </row>
    <row r="653" spans="1:203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217.89019529658745</v>
      </c>
      <c r="AO653">
        <v>21.581625858930657</v>
      </c>
      <c r="AP653">
        <v>20.901398746113394</v>
      </c>
      <c r="AQ653">
        <v>146.08833958411705</v>
      </c>
      <c r="AR653">
        <v>21.572644957123384</v>
      </c>
      <c r="AS653">
        <v>312.38267231596222</v>
      </c>
      <c r="AT653">
        <v>13.506054695758541</v>
      </c>
      <c r="AU653">
        <v>-2.9904657620570489</v>
      </c>
      <c r="AV653"/>
      <c r="AW653"/>
      <c r="FY653" s="213">
        <v>648</v>
      </c>
      <c r="FZ653">
        <v>35.465936464265077</v>
      </c>
      <c r="GA653">
        <v>48.540051024542549</v>
      </c>
      <c r="GB653">
        <v>32.066726412640548</v>
      </c>
      <c r="GC653">
        <v>11.851159818223159</v>
      </c>
      <c r="GD653">
        <v>4.9974286746823342</v>
      </c>
      <c r="GE653">
        <v>8.1894377911144272</v>
      </c>
      <c r="GF653">
        <v>4.043136583626934</v>
      </c>
      <c r="GG653">
        <v>3.0019613897092623</v>
      </c>
      <c r="GH653">
        <v>5.6828112137761755</v>
      </c>
      <c r="GI653">
        <v>17.585159674081368</v>
      </c>
      <c r="GJ653"/>
      <c r="GK653"/>
      <c r="GL653"/>
      <c r="GM653"/>
      <c r="GN653" s="208"/>
      <c r="GO653" s="208"/>
      <c r="GP653" s="208"/>
      <c r="GQ653" s="208"/>
      <c r="GR653" s="208"/>
      <c r="GS653" s="208"/>
      <c r="GT653" s="208"/>
      <c r="GU653" s="213">
        <v>648</v>
      </c>
    </row>
    <row r="654" spans="1:203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249.31017571248486</v>
      </c>
      <c r="AO654">
        <v>25.395213009064562</v>
      </c>
      <c r="AP654">
        <v>20.683608035593927</v>
      </c>
      <c r="AQ654">
        <v>186.93705158311948</v>
      </c>
      <c r="AR654">
        <v>26.548469767225974</v>
      </c>
      <c r="AS654">
        <v>377.75136608190644</v>
      </c>
      <c r="AT654">
        <v>16.204187181395223</v>
      </c>
      <c r="AU654">
        <v>-7.3234318429495318</v>
      </c>
      <c r="AV654"/>
      <c r="AW654"/>
      <c r="FY654" s="213">
        <v>649</v>
      </c>
      <c r="FZ654">
        <v>49.044470086938063</v>
      </c>
      <c r="GA654">
        <v>66.056326786442625</v>
      </c>
      <c r="GB654">
        <v>39.778524860677742</v>
      </c>
      <c r="GC654">
        <v>14.420434653983532</v>
      </c>
      <c r="GD654">
        <v>4.7061855266989516</v>
      </c>
      <c r="GE654">
        <v>5.4563768332655496</v>
      </c>
      <c r="GF654">
        <v>4.1168069886704881</v>
      </c>
      <c r="GG654">
        <v>4.9935830081677794</v>
      </c>
      <c r="GH654">
        <v>7.5277287558683286</v>
      </c>
      <c r="GI654">
        <v>21.619316008855122</v>
      </c>
      <c r="GJ654"/>
      <c r="GK654"/>
      <c r="GL654"/>
      <c r="GM654"/>
      <c r="GN654" s="208"/>
      <c r="GO654" s="208"/>
      <c r="GP654" s="208"/>
      <c r="GQ654" s="208"/>
      <c r="GR654" s="208"/>
      <c r="GS654" s="208"/>
      <c r="GT654" s="208"/>
      <c r="GU654" s="213">
        <v>649</v>
      </c>
    </row>
    <row r="655" spans="1:203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268.88370849991713</v>
      </c>
      <c r="AO655">
        <v>25.391486901291685</v>
      </c>
      <c r="AP655">
        <v>16.323092979900117</v>
      </c>
      <c r="AQ655">
        <v>178.77620796604879</v>
      </c>
      <c r="AR655">
        <v>25.980426817971484</v>
      </c>
      <c r="AS655">
        <v>362.50186937060892</v>
      </c>
      <c r="AT655">
        <v>15.692109606297116</v>
      </c>
      <c r="AU655">
        <v>1.9093023638709568</v>
      </c>
      <c r="AV655"/>
      <c r="AW655"/>
      <c r="FY655" s="213">
        <v>650</v>
      </c>
      <c r="FZ655">
        <v>48.428465378927719</v>
      </c>
      <c r="GA655">
        <v>71.982507751221732</v>
      </c>
      <c r="GB655">
        <v>45.818838864367791</v>
      </c>
      <c r="GC655">
        <v>13.661438282509513</v>
      </c>
      <c r="GD655">
        <v>3.7772245603308625</v>
      </c>
      <c r="GE655">
        <v>6.9093531943690039</v>
      </c>
      <c r="GF655">
        <v>3.2947236757156952</v>
      </c>
      <c r="GG655">
        <v>2.6704497614548535</v>
      </c>
      <c r="GH655">
        <v>10.067117995724704</v>
      </c>
      <c r="GI655">
        <v>22.717953785874318</v>
      </c>
      <c r="GJ655"/>
      <c r="GK655"/>
      <c r="GL655"/>
      <c r="GM655"/>
      <c r="GN655" s="208"/>
      <c r="GO655" s="208"/>
      <c r="GP655" s="208"/>
      <c r="GQ655" s="208"/>
      <c r="GR655" s="208"/>
      <c r="GS655" s="208"/>
      <c r="GT655" s="208"/>
      <c r="GU655" s="213">
        <v>650</v>
      </c>
    </row>
    <row r="656" spans="1:203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263.24204622872969</v>
      </c>
      <c r="AO656">
        <v>21.125179391540804</v>
      </c>
      <c r="AP656">
        <v>28.481763900255118</v>
      </c>
      <c r="AQ656">
        <v>153.74315699406964</v>
      </c>
      <c r="AR656">
        <v>21.965086228006481</v>
      </c>
      <c r="AS656">
        <v>330.37315453669061</v>
      </c>
      <c r="AT656">
        <v>12.808829118002881</v>
      </c>
      <c r="AU656">
        <v>7.7889819881097253</v>
      </c>
      <c r="AV656"/>
      <c r="AW656"/>
      <c r="FY656" s="213">
        <v>651</v>
      </c>
      <c r="FZ656">
        <v>48.548864274431665</v>
      </c>
      <c r="GA656">
        <v>25.844403662841749</v>
      </c>
      <c r="GB656">
        <v>21.155290180980032</v>
      </c>
      <c r="GC656">
        <v>14.028540569728248</v>
      </c>
      <c r="GD656">
        <v>4.6978661847691248</v>
      </c>
      <c r="GE656">
        <v>5.3995402748452364</v>
      </c>
      <c r="GF656">
        <v>6.0345400870774695</v>
      </c>
      <c r="GG656">
        <v>4.537434988722028</v>
      </c>
      <c r="GH656">
        <v>8.158608099831353</v>
      </c>
      <c r="GI656">
        <v>17.414042827409883</v>
      </c>
      <c r="GJ656"/>
      <c r="GK656"/>
      <c r="GL656"/>
      <c r="GM656"/>
      <c r="GN656" s="208"/>
      <c r="GO656" s="208"/>
      <c r="GP656" s="208"/>
      <c r="GQ656" s="208"/>
      <c r="GR656" s="208"/>
      <c r="GS656" s="208"/>
      <c r="GT656" s="208"/>
      <c r="GU656" s="213">
        <v>651</v>
      </c>
    </row>
    <row r="657" spans="1:203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206.27458241208683</v>
      </c>
      <c r="AO657">
        <v>24.858075350526814</v>
      </c>
      <c r="AP657">
        <v>19.300571415216709</v>
      </c>
      <c r="AQ657">
        <v>170.69572054584759</v>
      </c>
      <c r="AR657">
        <v>25.777802734392779</v>
      </c>
      <c r="AS657">
        <v>329.5003199815697</v>
      </c>
      <c r="AT657" t="e">
        <v>#DIV/0!</v>
      </c>
      <c r="AU657" t="e">
        <v>#DIV/0!</v>
      </c>
      <c r="AV657"/>
      <c r="AW657"/>
      <c r="FY657" s="213">
        <v>652</v>
      </c>
      <c r="FZ657">
        <v>51.201725365158374</v>
      </c>
      <c r="GA657">
        <v>36.934934882255973</v>
      </c>
      <c r="GB657">
        <v>30.451753138832348</v>
      </c>
      <c r="GC657">
        <v>19.784566319269139</v>
      </c>
      <c r="GD657">
        <v>4.2500777342868004</v>
      </c>
      <c r="GE657">
        <v>2.8352900751212804</v>
      </c>
      <c r="GF657">
        <v>6.9823068942206383</v>
      </c>
      <c r="GG657">
        <v>8.2463414651074967</v>
      </c>
      <c r="GH657">
        <v>10.581939884964097</v>
      </c>
      <c r="GI657">
        <v>20.417766689268372</v>
      </c>
      <c r="GJ657"/>
      <c r="GK657"/>
      <c r="GL657"/>
      <c r="GM657"/>
      <c r="GN657" s="208"/>
      <c r="GO657" s="208"/>
      <c r="GP657" s="208"/>
      <c r="GQ657" s="208"/>
      <c r="GR657" s="208"/>
      <c r="GS657" s="208"/>
      <c r="GT657" s="208"/>
      <c r="GU657" s="213">
        <v>652</v>
      </c>
    </row>
    <row r="658" spans="1:203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279.31138222335915</v>
      </c>
      <c r="AO658">
        <v>27.691485631588261</v>
      </c>
      <c r="AP658">
        <v>61.582464744604806</v>
      </c>
      <c r="AQ658">
        <v>199.68483209306061</v>
      </c>
      <c r="AR658">
        <v>27.524916557720747</v>
      </c>
      <c r="AS658">
        <v>375.22902942461246</v>
      </c>
      <c r="AT658">
        <v>16.831336000371284</v>
      </c>
      <c r="AU658">
        <v>32.653408781008345</v>
      </c>
      <c r="AV658"/>
      <c r="AW658"/>
      <c r="FY658" s="213">
        <v>653</v>
      </c>
      <c r="FZ658">
        <v>55.199764023684189</v>
      </c>
      <c r="GA658">
        <v>70.440853062632243</v>
      </c>
      <c r="GB658">
        <v>39.380379223039384</v>
      </c>
      <c r="GC658">
        <v>16.980907556062576</v>
      </c>
      <c r="GD658">
        <v>4.5643964600926772</v>
      </c>
      <c r="GE658">
        <v>4.5397806649773429</v>
      </c>
      <c r="GF658">
        <v>4.5567146474807769</v>
      </c>
      <c r="GG658">
        <v>7.6104431105341934</v>
      </c>
      <c r="GH658">
        <v>10.279482190952665</v>
      </c>
      <c r="GI658">
        <v>22.867024859732734</v>
      </c>
      <c r="GJ658"/>
      <c r="GK658"/>
      <c r="GL658"/>
      <c r="GM658"/>
      <c r="GN658" s="208"/>
      <c r="GO658" s="208"/>
      <c r="GP658" s="208"/>
      <c r="GQ658" s="208"/>
      <c r="GR658" s="208"/>
      <c r="GS658" s="208"/>
      <c r="GT658" s="208"/>
      <c r="GU658" s="213">
        <v>653</v>
      </c>
    </row>
    <row r="659" spans="1:203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277.28920722157875</v>
      </c>
      <c r="AO659">
        <v>29.393225423351076</v>
      </c>
      <c r="AP659">
        <v>20.117976463456468</v>
      </c>
      <c r="AQ659">
        <v>221.89500720962062</v>
      </c>
      <c r="AR659">
        <v>29.805491260611831</v>
      </c>
      <c r="AS659">
        <v>403.98712192578586</v>
      </c>
      <c r="AT659">
        <v>18.020131640455713</v>
      </c>
      <c r="AU659">
        <v>-33.077207436023492</v>
      </c>
      <c r="AV659"/>
      <c r="AW659"/>
      <c r="FY659" s="213">
        <v>654</v>
      </c>
      <c r="FZ659">
        <v>60.387861389749851</v>
      </c>
      <c r="GA659">
        <v>56.919046013557995</v>
      </c>
      <c r="GB659">
        <v>28.174533758762273</v>
      </c>
      <c r="GC659">
        <v>12.267825964716028</v>
      </c>
      <c r="GD659">
        <v>5.4818777068090787</v>
      </c>
      <c r="GE659">
        <v>8.2022726729745887</v>
      </c>
      <c r="GF659">
        <v>6.1850395973121532</v>
      </c>
      <c r="GG659">
        <v>6.3614168815225973</v>
      </c>
      <c r="GH659">
        <v>8.8927016233297458</v>
      </c>
      <c r="GI659">
        <v>21.466695244769035</v>
      </c>
      <c r="GJ659"/>
      <c r="GK659"/>
      <c r="GL659"/>
      <c r="GM659"/>
      <c r="GN659" s="208"/>
      <c r="GO659" s="208"/>
      <c r="GP659" s="208"/>
      <c r="GQ659" s="208"/>
      <c r="GR659" s="208"/>
      <c r="GS659" s="208"/>
      <c r="GT659" s="208"/>
      <c r="GU659" s="213">
        <v>654</v>
      </c>
    </row>
    <row r="660" spans="1:203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306.00942220891119</v>
      </c>
      <c r="AO660">
        <v>30.935890711735475</v>
      </c>
      <c r="AP660">
        <v>33.904085091413705</v>
      </c>
      <c r="AQ660">
        <v>216.88524907922621</v>
      </c>
      <c r="AR660">
        <v>30.378425155694138</v>
      </c>
      <c r="AS660">
        <v>458.38288837984436</v>
      </c>
      <c r="AT660">
        <v>18.512311517597301</v>
      </c>
      <c r="AU660">
        <v>-16.436177271707464</v>
      </c>
      <c r="AV660"/>
      <c r="AW660"/>
      <c r="FY660" s="213">
        <v>655</v>
      </c>
      <c r="FZ660">
        <v>50.290319228970006</v>
      </c>
      <c r="GA660">
        <v>54.138153627699793</v>
      </c>
      <c r="GB660">
        <v>34.804243489533462</v>
      </c>
      <c r="GC660">
        <v>12.703844983542293</v>
      </c>
      <c r="GD660">
        <v>3.0281322340864794</v>
      </c>
      <c r="GE660">
        <v>4.7832156038603664</v>
      </c>
      <c r="GF660">
        <v>13.873243721352722</v>
      </c>
      <c r="GG660">
        <v>12.15128331299422</v>
      </c>
      <c r="GH660">
        <v>7.6484825593596311</v>
      </c>
      <c r="GI660">
        <v>21.418017593344381</v>
      </c>
      <c r="GJ660"/>
      <c r="GK660"/>
      <c r="GL660"/>
      <c r="GM660"/>
      <c r="GN660" s="208"/>
      <c r="GO660" s="208"/>
      <c r="GP660" s="208"/>
      <c r="GQ660" s="208"/>
      <c r="GR660" s="208"/>
      <c r="GS660" s="208"/>
      <c r="GT660" s="208"/>
      <c r="GU660" s="213">
        <v>655</v>
      </c>
    </row>
    <row r="661" spans="1:203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184.45163278406207</v>
      </c>
      <c r="AO661">
        <v>18.795126622803693</v>
      </c>
      <c r="AP661">
        <v>26.061600404259082</v>
      </c>
      <c r="AQ661">
        <v>135.48248038955765</v>
      </c>
      <c r="AR661">
        <v>19.965298587981373</v>
      </c>
      <c r="AS661">
        <v>280.48326496855867</v>
      </c>
      <c r="AT661">
        <v>11.709422238532854</v>
      </c>
      <c r="AU661">
        <v>19.912260357825488</v>
      </c>
      <c r="AV661"/>
      <c r="AW661"/>
      <c r="FY661" s="213">
        <v>656</v>
      </c>
      <c r="FZ661">
        <v>52.153408008082259</v>
      </c>
      <c r="GA661">
        <v>46.050721522944002</v>
      </c>
      <c r="GB661">
        <v>29.063583793223579</v>
      </c>
      <c r="GC661">
        <v>13.369057052342672</v>
      </c>
      <c r="GD661">
        <v>3.7565563404968385</v>
      </c>
      <c r="GE661">
        <v>5.4285995361733104</v>
      </c>
      <c r="GF661">
        <v>5.5620323401195382</v>
      </c>
      <c r="GG661">
        <v>4.3410546391448364</v>
      </c>
      <c r="GH661">
        <v>8.7092945836638975</v>
      </c>
      <c r="GI661">
        <v>19.366092822960283</v>
      </c>
      <c r="GJ661"/>
      <c r="GK661"/>
      <c r="GL661"/>
      <c r="GM661"/>
      <c r="GN661" s="208"/>
      <c r="GO661" s="208"/>
      <c r="GP661" s="208"/>
      <c r="GQ661" s="208"/>
      <c r="GR661" s="208"/>
      <c r="GS661" s="208"/>
      <c r="GT661" s="208"/>
      <c r="GU661" s="213">
        <v>656</v>
      </c>
    </row>
    <row r="662" spans="1:203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299.57847315714793</v>
      </c>
      <c r="AO662">
        <v>31.355020230425161</v>
      </c>
      <c r="AP662">
        <v>60.693336189957591</v>
      </c>
      <c r="AQ662">
        <v>221.09248447739793</v>
      </c>
      <c r="AR662">
        <v>30.150168158349896</v>
      </c>
      <c r="AS662">
        <v>427.23946643643467</v>
      </c>
      <c r="AT662">
        <v>18.302779733617655</v>
      </c>
      <c r="AU662">
        <v>-48.051201405827541</v>
      </c>
      <c r="AV662"/>
      <c r="AW662"/>
      <c r="FY662" s="213">
        <v>657</v>
      </c>
      <c r="FZ662">
        <v>49.176656769529082</v>
      </c>
      <c r="GA662">
        <v>52.156701453359403</v>
      </c>
      <c r="GB662">
        <v>31.081796000618464</v>
      </c>
      <c r="GC662">
        <v>13.304710554781542</v>
      </c>
      <c r="GD662">
        <v>3.1008330473490919</v>
      </c>
      <c r="GE662">
        <v>3.0448337149619817</v>
      </c>
      <c r="GF662">
        <v>2.5309832476557617</v>
      </c>
      <c r="GG662">
        <v>3.8066469780217314</v>
      </c>
      <c r="GH662">
        <v>10.163059118014969</v>
      </c>
      <c r="GI662">
        <v>18.713831123313501</v>
      </c>
      <c r="GJ662"/>
      <c r="GK662"/>
      <c r="GL662"/>
      <c r="GM662"/>
      <c r="GN662" s="208"/>
      <c r="GO662" s="208"/>
      <c r="GP662" s="208"/>
      <c r="GQ662" s="208"/>
      <c r="GR662" s="208"/>
      <c r="GS662" s="208"/>
      <c r="GT662" s="208"/>
      <c r="GU662" s="213">
        <v>657</v>
      </c>
    </row>
    <row r="663" spans="1:203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310.5767017534975</v>
      </c>
      <c r="AO663">
        <v>28.872779736449882</v>
      </c>
      <c r="AP663">
        <v>31.784668895942765</v>
      </c>
      <c r="AQ663">
        <v>199.26657464668739</v>
      </c>
      <c r="AR663">
        <v>28.791820961684333</v>
      </c>
      <c r="AS663">
        <v>493.55000361194669</v>
      </c>
      <c r="AT663">
        <v>17.778767628625033</v>
      </c>
      <c r="AU663">
        <v>-14.451006413360602</v>
      </c>
      <c r="AV663"/>
      <c r="AW663"/>
      <c r="FY663" s="213">
        <v>658</v>
      </c>
      <c r="FZ663">
        <v>54.382885970634177</v>
      </c>
      <c r="GA663">
        <v>42.336736667279773</v>
      </c>
      <c r="GB663">
        <v>28.521807114164584</v>
      </c>
      <c r="GC663">
        <v>12.122681204347682</v>
      </c>
      <c r="GD663">
        <v>1.6429936533309522</v>
      </c>
      <c r="GE663">
        <v>2.0829314654886995</v>
      </c>
      <c r="GF663">
        <v>4.9260306971153858</v>
      </c>
      <c r="GG663">
        <v>3.9529251025942935</v>
      </c>
      <c r="GH663">
        <v>10.972475652176117</v>
      </c>
      <c r="GI663">
        <v>18.612462570524393</v>
      </c>
      <c r="GJ663"/>
      <c r="GK663"/>
      <c r="GL663"/>
      <c r="GM663"/>
      <c r="GN663" s="208"/>
      <c r="GO663" s="208"/>
      <c r="GP663" s="208"/>
      <c r="GQ663" s="208"/>
      <c r="GR663" s="208"/>
      <c r="GS663" s="208"/>
      <c r="GT663" s="208"/>
      <c r="GU663" s="213">
        <v>658</v>
      </c>
    </row>
    <row r="664" spans="1:203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291.63696607593272</v>
      </c>
      <c r="AO664">
        <v>24.078977754696744</v>
      </c>
      <c r="AP664">
        <v>11.423364414075348</v>
      </c>
      <c r="AQ664">
        <v>171.4238090466618</v>
      </c>
      <c r="AR664">
        <v>23.998504709251947</v>
      </c>
      <c r="AS664">
        <v>354.43450871633928</v>
      </c>
      <c r="AT664">
        <v>15.147686639089573</v>
      </c>
      <c r="AU664">
        <v>-34.924739301575791</v>
      </c>
      <c r="AV664"/>
      <c r="AW664"/>
      <c r="FY664" s="213">
        <v>659</v>
      </c>
      <c r="FZ664">
        <v>50.166802036418588</v>
      </c>
      <c r="GA664">
        <v>56.798793947374499</v>
      </c>
      <c r="GB664">
        <v>45.31569656275002</v>
      </c>
      <c r="GC664">
        <v>20.196004641379435</v>
      </c>
      <c r="GD664">
        <v>3.5297743196824061</v>
      </c>
      <c r="GE664">
        <v>7.5209037861952215</v>
      </c>
      <c r="GF664">
        <v>6.6016634598581234</v>
      </c>
      <c r="GG664">
        <v>7.3574448526608673</v>
      </c>
      <c r="GH664">
        <v>7.5140508726596291</v>
      </c>
      <c r="GI664">
        <v>22.917694014330461</v>
      </c>
      <c r="GJ664"/>
      <c r="GK664"/>
      <c r="GL664"/>
      <c r="GM664"/>
      <c r="GN664" s="208"/>
      <c r="GO664" s="208"/>
      <c r="GP664" s="208"/>
      <c r="GQ664" s="208"/>
      <c r="GR664" s="208"/>
      <c r="GS664" s="208"/>
      <c r="GT664" s="208"/>
      <c r="GU664" s="213">
        <v>659</v>
      </c>
    </row>
    <row r="665" spans="1:203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310.82714446966298</v>
      </c>
      <c r="AO665">
        <v>29.454893104871065</v>
      </c>
      <c r="AP665">
        <v>41.271748180354685</v>
      </c>
      <c r="AQ665">
        <v>217.71975350956819</v>
      </c>
      <c r="AR665">
        <v>29.552322163042231</v>
      </c>
      <c r="AS665">
        <v>436.18802469959672</v>
      </c>
      <c r="AT665">
        <v>19.32770318395438</v>
      </c>
      <c r="AU665">
        <v>-66.843913586662552</v>
      </c>
      <c r="AV665"/>
      <c r="AW665"/>
      <c r="FY665" s="213">
        <v>660</v>
      </c>
      <c r="FZ665">
        <v>65.896588832032165</v>
      </c>
      <c r="GA665">
        <v>64.782228323104846</v>
      </c>
      <c r="GB665">
        <v>40.837527437827795</v>
      </c>
      <c r="GC665">
        <v>13.754677239569611</v>
      </c>
      <c r="GD665">
        <v>2.8723095418808162</v>
      </c>
      <c r="GE665">
        <v>3.9603287599989025</v>
      </c>
      <c r="GF665">
        <v>5.7598251939909275</v>
      </c>
      <c r="GG665">
        <v>5.1771682593030892</v>
      </c>
      <c r="GH665">
        <v>13.783624958736329</v>
      </c>
      <c r="GI665">
        <v>24.618024989952961</v>
      </c>
      <c r="GJ665"/>
      <c r="GK665"/>
      <c r="GL665"/>
      <c r="GM665"/>
      <c r="GN665" s="208"/>
      <c r="GO665" s="208"/>
      <c r="GP665" s="208"/>
      <c r="GQ665" s="208"/>
      <c r="GR665" s="208"/>
      <c r="GS665" s="208"/>
      <c r="GT665" s="208"/>
      <c r="GU665" s="213">
        <v>660</v>
      </c>
    </row>
    <row r="666" spans="1:203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338.79179709424608</v>
      </c>
      <c r="AO666">
        <v>30.635016717891364</v>
      </c>
      <c r="AP666">
        <v>55.732606225645455</v>
      </c>
      <c r="AQ666">
        <v>229.3280732504962</v>
      </c>
      <c r="AR666">
        <v>31.112673823474449</v>
      </c>
      <c r="AS666">
        <v>461.578901736918</v>
      </c>
      <c r="AT666" t="e">
        <v>#DIV/0!</v>
      </c>
      <c r="AU666" t="e">
        <v>#DIV/0!</v>
      </c>
      <c r="AV666"/>
      <c r="AW666"/>
      <c r="FY666" s="213">
        <v>661</v>
      </c>
      <c r="FZ666">
        <v>39.807392044984049</v>
      </c>
      <c r="GA666">
        <v>42.862025438486917</v>
      </c>
      <c r="GB666">
        <v>41.846167923487798</v>
      </c>
      <c r="GC666">
        <v>16.12509324341563</v>
      </c>
      <c r="GD666">
        <v>4.2035620878217488</v>
      </c>
      <c r="GE666">
        <v>7.7802729150334597</v>
      </c>
      <c r="GF666">
        <v>11.795791545127294</v>
      </c>
      <c r="GG666">
        <v>12.739590504571542</v>
      </c>
      <c r="GH666">
        <v>9.9004145491948137</v>
      </c>
      <c r="GI666">
        <v>22.249663969447461</v>
      </c>
      <c r="GJ666"/>
      <c r="GK666"/>
      <c r="GL666"/>
      <c r="GM666"/>
      <c r="GN666" s="208"/>
      <c r="GO666" s="208"/>
      <c r="GP666" s="208"/>
      <c r="GQ666" s="208"/>
      <c r="GR666" s="208"/>
      <c r="GS666" s="208"/>
      <c r="GT666" s="208"/>
      <c r="GU666" s="213">
        <v>661</v>
      </c>
    </row>
    <row r="667" spans="1:203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242.45460432403212</v>
      </c>
      <c r="AO667">
        <v>22.533537355292324</v>
      </c>
      <c r="AP667">
        <v>29.408042957122902</v>
      </c>
      <c r="AQ667">
        <v>155.81913115063679</v>
      </c>
      <c r="AR667">
        <v>23.996568927870399</v>
      </c>
      <c r="AS667">
        <v>343.71010580284218</v>
      </c>
      <c r="AT667">
        <v>14.448998921243719</v>
      </c>
      <c r="AU667">
        <v>2.7507804566104923</v>
      </c>
      <c r="AV667"/>
      <c r="AW667"/>
      <c r="FY667" s="213">
        <v>662</v>
      </c>
      <c r="FZ667">
        <v>53.612259163534304</v>
      </c>
      <c r="GA667">
        <v>65.112809757137526</v>
      </c>
      <c r="GB667">
        <v>40.585916063801719</v>
      </c>
      <c r="GC667">
        <v>14.268469858578152</v>
      </c>
      <c r="GD667">
        <v>3.3669535619875832</v>
      </c>
      <c r="GE667">
        <v>4.8001745278445629</v>
      </c>
      <c r="GF667">
        <v>4.9168111295316219</v>
      </c>
      <c r="GG667">
        <v>4.1467182679719112</v>
      </c>
      <c r="GH667">
        <v>5.1181497463247005</v>
      </c>
      <c r="GI667">
        <v>21.493060069718041</v>
      </c>
      <c r="GJ667"/>
      <c r="GK667"/>
      <c r="GL667"/>
      <c r="GM667"/>
      <c r="GN667" s="208"/>
      <c r="GO667" s="208"/>
      <c r="GP667" s="208"/>
      <c r="GQ667" s="208"/>
      <c r="GR667" s="208"/>
      <c r="GS667" s="208"/>
      <c r="GT667" s="208"/>
      <c r="GU667" s="213">
        <v>662</v>
      </c>
    </row>
    <row r="668" spans="1:203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271.86971033609973</v>
      </c>
      <c r="AO668">
        <v>27.650695197655246</v>
      </c>
      <c r="AP668">
        <v>34.967315935127502</v>
      </c>
      <c r="AQ668">
        <v>191.68670244848454</v>
      </c>
      <c r="AR668">
        <v>27.989461419390771</v>
      </c>
      <c r="AS668">
        <v>368.58179354904013</v>
      </c>
      <c r="AT668">
        <v>16.721602555987996</v>
      </c>
      <c r="AU668">
        <v>24.698233010128764</v>
      </c>
      <c r="AV668"/>
      <c r="AW668"/>
      <c r="FY668" s="213">
        <v>663</v>
      </c>
      <c r="FZ668">
        <v>56.02916124655529</v>
      </c>
      <c r="GA668">
        <v>61.839911310420568</v>
      </c>
      <c r="GB668">
        <v>40.820953713180103</v>
      </c>
      <c r="GC668">
        <v>16.551851032297456</v>
      </c>
      <c r="GD668">
        <v>3.6013038875264654</v>
      </c>
      <c r="GE668">
        <v>4.7970140480026568</v>
      </c>
      <c r="GF668">
        <v>5.4105093248843854</v>
      </c>
      <c r="GG668">
        <v>9.1965778691035922</v>
      </c>
      <c r="GH668">
        <v>9.3795876436543377</v>
      </c>
      <c r="GI668">
        <v>22.797375529276</v>
      </c>
      <c r="GJ668"/>
      <c r="GK668"/>
      <c r="GL668"/>
      <c r="GM668"/>
      <c r="GN668" s="208"/>
      <c r="GO668" s="208"/>
      <c r="GP668" s="208"/>
      <c r="GQ668" s="208"/>
      <c r="GR668" s="208"/>
      <c r="GS668" s="208"/>
      <c r="GT668" s="208"/>
      <c r="GU668" s="213">
        <v>663</v>
      </c>
    </row>
    <row r="669" spans="1:203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306.0611218071619</v>
      </c>
      <c r="AO669">
        <v>31.970023094220728</v>
      </c>
      <c r="AP669">
        <v>35.049824324839683</v>
      </c>
      <c r="AQ669">
        <v>236.4197457991888</v>
      </c>
      <c r="AR669">
        <v>31.370928243405487</v>
      </c>
      <c r="AS669">
        <v>432.35829269374022</v>
      </c>
      <c r="AT669">
        <v>19.275897976146503</v>
      </c>
      <c r="AU669">
        <v>-8.9970723544657325</v>
      </c>
      <c r="AV669"/>
      <c r="AW669"/>
      <c r="FY669" s="213">
        <v>664</v>
      </c>
      <c r="FZ669">
        <v>46.765587963921618</v>
      </c>
      <c r="GA669">
        <v>55.7247355446098</v>
      </c>
      <c r="GB669">
        <v>36.243037593685266</v>
      </c>
      <c r="GC669">
        <v>12.510723465900131</v>
      </c>
      <c r="GD669">
        <v>4.0485628246334864</v>
      </c>
      <c r="GE669">
        <v>4.0175469467634457</v>
      </c>
      <c r="GF669">
        <v>4.3204535393644834</v>
      </c>
      <c r="GG669">
        <v>9.181323487806214</v>
      </c>
      <c r="GH669">
        <v>12.499573214888169</v>
      </c>
      <c r="GI669">
        <v>20.859286861069826</v>
      </c>
      <c r="GJ669"/>
      <c r="GK669"/>
      <c r="GL669"/>
      <c r="GM669"/>
      <c r="GN669" s="208"/>
      <c r="GO669" s="208"/>
      <c r="GP669" s="208"/>
      <c r="GQ669" s="208"/>
      <c r="GR669" s="208"/>
      <c r="GS669" s="208"/>
      <c r="GT669" s="208"/>
      <c r="GU669" s="213">
        <v>664</v>
      </c>
    </row>
    <row r="670" spans="1:203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299.48218249171043</v>
      </c>
      <c r="AO670">
        <v>28.798674591602708</v>
      </c>
      <c r="AP670">
        <v>28.688908972132356</v>
      </c>
      <c r="AQ670">
        <v>214.33927085350334</v>
      </c>
      <c r="AR670">
        <v>29.514028842945933</v>
      </c>
      <c r="AS670">
        <v>437.73090753654503</v>
      </c>
      <c r="AT670">
        <v>18.433454615413897</v>
      </c>
      <c r="AU670">
        <v>-29.868888510707983</v>
      </c>
      <c r="AV670"/>
      <c r="AW670"/>
      <c r="FY670" s="213">
        <v>665</v>
      </c>
      <c r="FZ670">
        <v>46.28169217311234</v>
      </c>
      <c r="GA670">
        <v>41.147680703489165</v>
      </c>
      <c r="GB670">
        <v>37.528476719307747</v>
      </c>
      <c r="GC670">
        <v>15.579056912006097</v>
      </c>
      <c r="GD670">
        <v>3.8764642069279285</v>
      </c>
      <c r="GE670">
        <v>4.4622298984521631</v>
      </c>
      <c r="GF670">
        <v>4.1634713054986872</v>
      </c>
      <c r="GG670">
        <v>5.7825670385897698</v>
      </c>
      <c r="GH670">
        <v>10.792448089632362</v>
      </c>
      <c r="GI670">
        <v>20.704929453590236</v>
      </c>
      <c r="GJ670"/>
      <c r="GK670"/>
      <c r="GL670"/>
      <c r="GM670"/>
      <c r="GN670" s="208"/>
      <c r="GO670" s="208"/>
      <c r="GP670" s="208"/>
      <c r="GQ670" s="208"/>
      <c r="GR670" s="208"/>
      <c r="GS670" s="208"/>
      <c r="GT670" s="208"/>
      <c r="GU670" s="213">
        <v>665</v>
      </c>
    </row>
    <row r="671" spans="1:203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296.77139866551687</v>
      </c>
      <c r="AO671">
        <v>28.74839820977224</v>
      </c>
      <c r="AP671">
        <v>27.29881305930515</v>
      </c>
      <c r="AQ671">
        <v>214.83893635474334</v>
      </c>
      <c r="AR671">
        <v>29.357742327518871</v>
      </c>
      <c r="AS671">
        <v>416.13136605475108</v>
      </c>
      <c r="AT671">
        <v>17.475818039518831</v>
      </c>
      <c r="AU671">
        <v>0.63318677113533539</v>
      </c>
      <c r="AV671"/>
      <c r="AW671"/>
      <c r="FY671" s="213">
        <v>666</v>
      </c>
      <c r="FZ671">
        <v>47.408513672769693</v>
      </c>
      <c r="GA671">
        <v>28.967140403457719</v>
      </c>
      <c r="GB671">
        <v>20.39264879682549</v>
      </c>
      <c r="GC671">
        <v>12.135989653894828</v>
      </c>
      <c r="GD671">
        <v>5.1454121153204015</v>
      </c>
      <c r="GE671">
        <v>7.6127265719096755</v>
      </c>
      <c r="GF671">
        <v>10.484302688281804</v>
      </c>
      <c r="GG671">
        <v>6.9232394089357143</v>
      </c>
      <c r="GH671">
        <v>6.5115840713179658</v>
      </c>
      <c r="GI671">
        <v>17.864691421868088</v>
      </c>
      <c r="GJ671"/>
      <c r="GK671"/>
      <c r="GL671"/>
      <c r="GM671"/>
      <c r="GN671" s="208"/>
      <c r="GO671" s="208"/>
      <c r="GP671" s="208"/>
      <c r="GQ671" s="208"/>
      <c r="GR671" s="208"/>
      <c r="GS671" s="208"/>
      <c r="GT671" s="208"/>
      <c r="GU671" s="213">
        <v>666</v>
      </c>
    </row>
    <row r="672" spans="1:203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256.07066211093729</v>
      </c>
      <c r="AO672">
        <v>25.576629941646249</v>
      </c>
      <c r="AP672">
        <v>29.697218249980949</v>
      </c>
      <c r="AQ672">
        <v>187.80040063915123</v>
      </c>
      <c r="AR672">
        <v>26.554022373101613</v>
      </c>
      <c r="AS672">
        <v>376.24931592349526</v>
      </c>
      <c r="AT672">
        <v>16.162329650729514</v>
      </c>
      <c r="AU672">
        <v>-17.904888917038896</v>
      </c>
      <c r="AV672"/>
      <c r="AW672"/>
      <c r="FY672" s="213">
        <v>667</v>
      </c>
      <c r="FZ672">
        <v>35.23546840797723</v>
      </c>
      <c r="GA672">
        <v>35.148453575294376</v>
      </c>
      <c r="GB672">
        <v>24.154189006679474</v>
      </c>
      <c r="GC672">
        <v>10.318601956648527</v>
      </c>
      <c r="GD672">
        <v>3.3210348482395369</v>
      </c>
      <c r="GE672">
        <v>6.9836027265739649</v>
      </c>
      <c r="GF672">
        <v>12.406842390783495</v>
      </c>
      <c r="GG672">
        <v>10.634958432704423</v>
      </c>
      <c r="GH672">
        <v>7.783291979901116</v>
      </c>
      <c r="GI672">
        <v>16.519064746688969</v>
      </c>
      <c r="GJ672"/>
      <c r="GK672"/>
      <c r="GL672"/>
      <c r="GM672"/>
      <c r="GN672" s="208"/>
      <c r="GO672" s="208"/>
      <c r="GP672" s="208"/>
      <c r="GQ672" s="208"/>
      <c r="GR672" s="208"/>
      <c r="GS672" s="208"/>
      <c r="GT672" s="208"/>
      <c r="GU672" s="213">
        <v>667</v>
      </c>
    </row>
    <row r="673" spans="1:203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247.19793450063486</v>
      </c>
      <c r="AO673">
        <v>25.062614234443064</v>
      </c>
      <c r="AP673">
        <v>25.205367464285821</v>
      </c>
      <c r="AQ673">
        <v>187.08005200760547</v>
      </c>
      <c r="AR673">
        <v>25.726290266109761</v>
      </c>
      <c r="AS673">
        <v>366.5242978963671</v>
      </c>
      <c r="AT673">
        <v>15.329820714414661</v>
      </c>
      <c r="AU673">
        <v>-2.5119275593478108</v>
      </c>
      <c r="AV673"/>
      <c r="AW673"/>
      <c r="FY673" s="213">
        <v>668</v>
      </c>
      <c r="FZ673">
        <v>63.870173964205385</v>
      </c>
      <c r="GA673">
        <v>57.637592759417316</v>
      </c>
      <c r="GB673">
        <v>31.821627133229153</v>
      </c>
      <c r="GC673">
        <v>12.019771634708681</v>
      </c>
      <c r="GD673">
        <v>2.2972121717947593</v>
      </c>
      <c r="GE673">
        <v>4.4299212697425858</v>
      </c>
      <c r="GF673">
        <v>5.0262403228703949</v>
      </c>
      <c r="GG673">
        <v>0.78618098611622633</v>
      </c>
      <c r="GH673">
        <v>4.9339215422097702</v>
      </c>
      <c r="GI673">
        <v>20.207419724026177</v>
      </c>
      <c r="GJ673"/>
      <c r="GK673"/>
      <c r="GL673"/>
      <c r="GM673"/>
      <c r="GN673" s="208"/>
      <c r="GO673" s="208"/>
      <c r="GP673" s="208"/>
      <c r="GQ673" s="208"/>
      <c r="GR673" s="208"/>
      <c r="GS673" s="208"/>
      <c r="GT673" s="208"/>
      <c r="GU673" s="213">
        <v>668</v>
      </c>
    </row>
    <row r="674" spans="1:203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217.15636388297509</v>
      </c>
      <c r="AO674">
        <v>23.667654753610126</v>
      </c>
      <c r="AP674">
        <v>38.205466235567997</v>
      </c>
      <c r="AQ674">
        <v>179.55393009765606</v>
      </c>
      <c r="AR674">
        <v>25.649947938306095</v>
      </c>
      <c r="AS674">
        <v>361.7218028000093</v>
      </c>
      <c r="AT674">
        <v>15.595104188396876</v>
      </c>
      <c r="AU674">
        <v>4.2491593816137438</v>
      </c>
      <c r="AV674"/>
      <c r="AW674"/>
      <c r="FY674" s="213">
        <v>669</v>
      </c>
      <c r="FZ674">
        <v>55.822496390218674</v>
      </c>
      <c r="GA674">
        <v>48.98141499018174</v>
      </c>
      <c r="GB674">
        <v>31.567862949569932</v>
      </c>
      <c r="GC674">
        <v>14.268435816968028</v>
      </c>
      <c r="GD674">
        <v>2.0328324558035638</v>
      </c>
      <c r="GE674">
        <v>3.4148279881969081</v>
      </c>
      <c r="GF674">
        <v>5.1622918052316784</v>
      </c>
      <c r="GG674">
        <v>7.9492518570459971</v>
      </c>
      <c r="GH674">
        <v>6.5967866171364324</v>
      </c>
      <c r="GI674">
        <v>19.119351036453757</v>
      </c>
      <c r="GJ674"/>
      <c r="GK674"/>
      <c r="GL674"/>
      <c r="GM674"/>
      <c r="GN674" s="208"/>
      <c r="GO674" s="208"/>
      <c r="GP674" s="208"/>
      <c r="GQ674" s="208"/>
      <c r="GR674" s="208"/>
      <c r="GS674" s="208"/>
      <c r="GT674" s="208"/>
      <c r="GU674" s="213">
        <v>669</v>
      </c>
    </row>
    <row r="675" spans="1:203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343.10955520002602</v>
      </c>
      <c r="AO675">
        <v>32.347385397504603</v>
      </c>
      <c r="AP675">
        <v>28.561207377941447</v>
      </c>
      <c r="AQ675">
        <v>227.91882849330926</v>
      </c>
      <c r="AR675">
        <v>31.440695657681911</v>
      </c>
      <c r="AS675">
        <v>504.33164834979635</v>
      </c>
      <c r="AT675">
        <v>18.998478000190371</v>
      </c>
      <c r="AU675">
        <v>-32.692271492547363</v>
      </c>
      <c r="AV675"/>
      <c r="AW675"/>
      <c r="FY675" s="213">
        <v>670</v>
      </c>
      <c r="FZ675">
        <v>47.735389722695224</v>
      </c>
      <c r="GA675">
        <v>54.65784855374018</v>
      </c>
      <c r="GB675">
        <v>31.181667467777377</v>
      </c>
      <c r="GC675">
        <v>10.315766374641919</v>
      </c>
      <c r="GD675">
        <v>1.8970188678270921</v>
      </c>
      <c r="GE675">
        <v>1.8433475106170367</v>
      </c>
      <c r="GF675">
        <v>5.3100544715137126</v>
      </c>
      <c r="GG675">
        <v>5.5617567229557867</v>
      </c>
      <c r="GH675">
        <v>9.5173505970334702</v>
      </c>
      <c r="GI675">
        <v>18.248701381485798</v>
      </c>
      <c r="GJ675"/>
      <c r="GK675"/>
      <c r="GL675"/>
      <c r="GM675"/>
      <c r="GN675" s="208"/>
      <c r="GO675" s="208"/>
      <c r="GP675" s="208"/>
      <c r="GQ675" s="208"/>
      <c r="GR675" s="208"/>
      <c r="GS675" s="208"/>
      <c r="GT675" s="208"/>
      <c r="GU675" s="213">
        <v>670</v>
      </c>
    </row>
    <row r="676" spans="1:203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305.83449204373602</v>
      </c>
      <c r="AO676">
        <v>31.41355720126403</v>
      </c>
      <c r="AP676">
        <v>37.813508510021947</v>
      </c>
      <c r="AQ676">
        <v>241.44230353639747</v>
      </c>
      <c r="AR676">
        <v>33.762773644204977</v>
      </c>
      <c r="AS676">
        <v>407.71059268717278</v>
      </c>
      <c r="AT676">
        <v>21.085832952009909</v>
      </c>
      <c r="AU676">
        <v>-2.8082659322507197E-2</v>
      </c>
      <c r="AV676"/>
      <c r="AW676"/>
      <c r="FY676" s="213">
        <v>671</v>
      </c>
      <c r="FZ676">
        <v>50.608508113405918</v>
      </c>
      <c r="GA676">
        <v>21.840283597582633</v>
      </c>
      <c r="GB676">
        <v>21.170697109249055</v>
      </c>
      <c r="GC676">
        <v>13.771934534997058</v>
      </c>
      <c r="GD676">
        <v>3.9070284348409929</v>
      </c>
      <c r="GE676">
        <v>3.3742935640364973</v>
      </c>
      <c r="GF676">
        <v>7.8424639832283729</v>
      </c>
      <c r="GG676">
        <v>8.7392895700296407</v>
      </c>
      <c r="GH676">
        <v>10.039447765593096</v>
      </c>
      <c r="GI676">
        <v>17.902920663907416</v>
      </c>
      <c r="GJ676"/>
      <c r="GK676"/>
      <c r="GL676"/>
      <c r="GM676"/>
      <c r="GN676" s="208"/>
      <c r="GO676" s="208"/>
      <c r="GP676" s="208"/>
      <c r="GQ676" s="208"/>
      <c r="GR676" s="208"/>
      <c r="GS676" s="208"/>
      <c r="GT676" s="208"/>
      <c r="GU676" s="213">
        <v>671</v>
      </c>
    </row>
    <row r="677" spans="1:203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349.7055905589562</v>
      </c>
      <c r="AO677">
        <v>30.044878441903496</v>
      </c>
      <c r="AP677">
        <v>49.004271639266889</v>
      </c>
      <c r="AQ677">
        <v>209.30997422157068</v>
      </c>
      <c r="AR677">
        <v>30.401772287135429</v>
      </c>
      <c r="AS677">
        <v>478.00060744157935</v>
      </c>
      <c r="AT677">
        <v>19.186923314354114</v>
      </c>
      <c r="AU677">
        <v>2.0319699952569721</v>
      </c>
      <c r="AV677"/>
      <c r="AW677"/>
      <c r="FY677" s="213">
        <v>672</v>
      </c>
      <c r="FZ677">
        <v>55.345476009474694</v>
      </c>
      <c r="GA677">
        <v>51.430893543756525</v>
      </c>
      <c r="GB677">
        <v>37.750390339985614</v>
      </c>
      <c r="GC677">
        <v>18.607410512744181</v>
      </c>
      <c r="GD677">
        <v>5.5402240838877272</v>
      </c>
      <c r="GE677">
        <v>6.2959912681177581</v>
      </c>
      <c r="GF677">
        <v>6.2854944506828261</v>
      </c>
      <c r="GG677">
        <v>6.0078969595087237</v>
      </c>
      <c r="GH677">
        <v>10.403624409119541</v>
      </c>
      <c r="GI677">
        <v>23.371752818626504</v>
      </c>
      <c r="GJ677"/>
      <c r="GK677"/>
      <c r="GL677"/>
      <c r="GM677"/>
      <c r="GN677" s="208"/>
      <c r="GO677" s="208"/>
      <c r="GP677" s="208"/>
      <c r="GQ677" s="208"/>
      <c r="GR677" s="208"/>
      <c r="GS677" s="208"/>
      <c r="GT677" s="208"/>
      <c r="GU677" s="213">
        <v>672</v>
      </c>
    </row>
    <row r="678" spans="1:203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321.45986021026209</v>
      </c>
      <c r="AO678">
        <v>29.075896594064808</v>
      </c>
      <c r="AP678">
        <v>28.052767343472564</v>
      </c>
      <c r="AQ678">
        <v>217.42132214643013</v>
      </c>
      <c r="AR678">
        <v>29.477631744614612</v>
      </c>
      <c r="AS678">
        <v>428.31856054605998</v>
      </c>
      <c r="AT678">
        <v>17.437681981715794</v>
      </c>
      <c r="AU678">
        <v>-38.692303189108827</v>
      </c>
      <c r="AV678"/>
      <c r="AW678"/>
      <c r="FY678" s="213">
        <v>673</v>
      </c>
      <c r="FZ678">
        <v>48.892501899422449</v>
      </c>
      <c r="GA678">
        <v>35.275587537250871</v>
      </c>
      <c r="GB678">
        <v>26.743078263074239</v>
      </c>
      <c r="GC678">
        <v>12.667695481644701</v>
      </c>
      <c r="GD678">
        <v>1.3690154734488316</v>
      </c>
      <c r="GE678">
        <v>2.0302226465331303</v>
      </c>
      <c r="GF678">
        <v>3.0154474061501064</v>
      </c>
      <c r="GG678">
        <v>3.3903362808266646</v>
      </c>
      <c r="GH678">
        <v>11.104880279369358</v>
      </c>
      <c r="GI678">
        <v>16.855239355592882</v>
      </c>
      <c r="GJ678"/>
      <c r="GK678"/>
      <c r="GL678"/>
      <c r="GM678"/>
      <c r="GN678" s="208"/>
      <c r="GO678" s="208"/>
      <c r="GP678" s="208"/>
      <c r="GQ678" s="208"/>
      <c r="GR678" s="208"/>
      <c r="GS678" s="208"/>
      <c r="GT678" s="208"/>
      <c r="GU678" s="213">
        <v>673</v>
      </c>
    </row>
    <row r="679" spans="1:203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330.11527220319442</v>
      </c>
      <c r="AO679">
        <v>31.279822105787606</v>
      </c>
      <c r="AP679">
        <v>32.199719161166726</v>
      </c>
      <c r="AQ679">
        <v>230.42424560490085</v>
      </c>
      <c r="AR679">
        <v>31.259223590981822</v>
      </c>
      <c r="AS679">
        <v>488.93524564596834</v>
      </c>
      <c r="AT679">
        <v>18.841162696128372</v>
      </c>
      <c r="AU679">
        <v>-17.500019580203279</v>
      </c>
      <c r="AV679"/>
      <c r="AW679"/>
      <c r="FY679" s="213">
        <v>674</v>
      </c>
      <c r="FZ679">
        <v>38.891046178774609</v>
      </c>
      <c r="GA679">
        <v>49.607766188392709</v>
      </c>
      <c r="GB679">
        <v>27.758156709380021</v>
      </c>
      <c r="GC679">
        <v>12.416375184679527</v>
      </c>
      <c r="GD679">
        <v>4.4768132690690594</v>
      </c>
      <c r="GE679">
        <v>6.3192799643797528</v>
      </c>
      <c r="GF679">
        <v>6.4566376375287398</v>
      </c>
      <c r="GG679">
        <v>4.1229723759238235</v>
      </c>
      <c r="GH679">
        <v>5.93074870783901</v>
      </c>
      <c r="GI679">
        <v>17.207169690404733</v>
      </c>
      <c r="GJ679"/>
      <c r="GK679"/>
      <c r="GL679"/>
      <c r="GM679"/>
      <c r="GN679" s="208"/>
      <c r="GO679" s="208"/>
      <c r="GP679" s="208"/>
      <c r="GQ679" s="208"/>
      <c r="GR679" s="208"/>
      <c r="GS679" s="208"/>
      <c r="GT679" s="208"/>
      <c r="GU679" s="213">
        <v>674</v>
      </c>
    </row>
    <row r="680" spans="1:203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300.65848514792208</v>
      </c>
      <c r="AO680">
        <v>27.731669216898524</v>
      </c>
      <c r="AP680">
        <v>27.571634833482008</v>
      </c>
      <c r="AQ680">
        <v>206.17083144264242</v>
      </c>
      <c r="AR680">
        <v>28.590837823242666</v>
      </c>
      <c r="AS680">
        <v>392.77165767323913</v>
      </c>
      <c r="AT680">
        <v>17.862322507052312</v>
      </c>
      <c r="AU680">
        <v>3.1193601509920654</v>
      </c>
      <c r="AV680"/>
      <c r="AW680"/>
      <c r="FY680" s="213">
        <v>675</v>
      </c>
      <c r="FZ680">
        <v>41.195732709765878</v>
      </c>
      <c r="GA680">
        <v>33.512590796800325</v>
      </c>
      <c r="GB680">
        <v>17.418521790572239</v>
      </c>
      <c r="GC680">
        <v>11.513152800491076</v>
      </c>
      <c r="GD680">
        <v>3.9949980121587876</v>
      </c>
      <c r="GE680">
        <v>2.9870513720173903</v>
      </c>
      <c r="GF680">
        <v>4.6962667819048614</v>
      </c>
      <c r="GG680">
        <v>6.1806934800482463</v>
      </c>
      <c r="GH680">
        <v>6.4744230452184048</v>
      </c>
      <c r="GI680">
        <v>14.505760756200125</v>
      </c>
      <c r="GJ680"/>
      <c r="GK680"/>
      <c r="GL680"/>
      <c r="GM680"/>
      <c r="GN680" s="208"/>
      <c r="GO680" s="208"/>
      <c r="GP680" s="208"/>
      <c r="GQ680" s="208"/>
      <c r="GR680" s="208"/>
      <c r="GS680" s="208"/>
      <c r="GT680" s="208"/>
      <c r="GU680" s="213">
        <v>675</v>
      </c>
    </row>
    <row r="681" spans="1:203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279.20519446216139</v>
      </c>
      <c r="AO681">
        <v>26.949423402004093</v>
      </c>
      <c r="AP681">
        <v>39.456869991807501</v>
      </c>
      <c r="AQ681">
        <v>190.31901650060649</v>
      </c>
      <c r="AR681">
        <v>28.466744540094467</v>
      </c>
      <c r="AS681">
        <v>366.41382179077755</v>
      </c>
      <c r="AT681">
        <v>17.442423988047953</v>
      </c>
      <c r="AU681">
        <v>-4.5053270061757189E-2</v>
      </c>
      <c r="AV681"/>
      <c r="AW681"/>
      <c r="FY681" s="213">
        <v>676</v>
      </c>
      <c r="FZ681">
        <v>80.34535919180523</v>
      </c>
      <c r="GA681">
        <v>75.104446292814387</v>
      </c>
      <c r="GB681">
        <v>34.493237873298007</v>
      </c>
      <c r="GC681">
        <v>12.158241457823475</v>
      </c>
      <c r="GD681">
        <v>3.5465973875099834</v>
      </c>
      <c r="GE681">
        <v>6.9376830248720491</v>
      </c>
      <c r="GF681">
        <v>2.1758136817266136</v>
      </c>
      <c r="GG681">
        <v>5.0262672717903332</v>
      </c>
      <c r="GH681">
        <v>11.236516634531105</v>
      </c>
      <c r="GI681">
        <v>24.475640375075031</v>
      </c>
      <c r="GJ681"/>
      <c r="GK681"/>
      <c r="GL681"/>
      <c r="GM681"/>
      <c r="GN681" s="208"/>
      <c r="GO681" s="208"/>
      <c r="GP681" s="208"/>
      <c r="GQ681" s="208"/>
      <c r="GR681" s="208"/>
      <c r="GS681" s="208"/>
      <c r="GT681" s="208"/>
      <c r="GU681" s="213">
        <v>676</v>
      </c>
    </row>
    <row r="682" spans="1:203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259.44673335797137</v>
      </c>
      <c r="AO682">
        <v>23.391401976249146</v>
      </c>
      <c r="AP682">
        <v>25.568470672759553</v>
      </c>
      <c r="AQ682">
        <v>163.44624880458136</v>
      </c>
      <c r="AR682">
        <v>24.634520341003242</v>
      </c>
      <c r="AS682">
        <v>344.35976520577537</v>
      </c>
      <c r="AT682">
        <v>14.278608306912991</v>
      </c>
      <c r="AU682">
        <v>11.03142559753838</v>
      </c>
      <c r="AV682"/>
      <c r="AW682"/>
      <c r="FY682" s="213">
        <v>677</v>
      </c>
      <c r="FZ682">
        <v>30.592792019882697</v>
      </c>
      <c r="GA682">
        <v>30.056828236377513</v>
      </c>
      <c r="GB682">
        <v>28.608080953024178</v>
      </c>
      <c r="GC682">
        <v>14.075487612934385</v>
      </c>
      <c r="GD682">
        <v>3.3726503993027745</v>
      </c>
      <c r="GE682">
        <v>3.3578190542201831</v>
      </c>
      <c r="GF682">
        <v>2.2974589834921186</v>
      </c>
      <c r="GG682">
        <v>1.8602504642012017</v>
      </c>
      <c r="GH682">
        <v>3.123358819987673</v>
      </c>
      <c r="GI682">
        <v>14.373395116337074</v>
      </c>
      <c r="GJ682"/>
      <c r="GK682"/>
      <c r="GL682"/>
      <c r="GM682"/>
      <c r="GN682" s="208"/>
      <c r="GO682" s="208"/>
      <c r="GP682" s="208"/>
      <c r="GQ682" s="208"/>
      <c r="GR682" s="208"/>
      <c r="GS682" s="208"/>
      <c r="GT682" s="208"/>
      <c r="GU682" s="213">
        <v>677</v>
      </c>
    </row>
    <row r="683" spans="1:203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261.05497469573731</v>
      </c>
      <c r="AO683">
        <v>22.515149604420692</v>
      </c>
      <c r="AP683">
        <v>35.673837127893009</v>
      </c>
      <c r="AQ683">
        <v>162.50550807149111</v>
      </c>
      <c r="AR683">
        <v>22.590639577739047</v>
      </c>
      <c r="AS683">
        <v>362.34606129083659</v>
      </c>
      <c r="AT683">
        <v>13.873455959933828</v>
      </c>
      <c r="AU683">
        <v>-18.571348205396006</v>
      </c>
      <c r="AV683"/>
      <c r="AW683"/>
      <c r="FY683" s="213">
        <v>678</v>
      </c>
      <c r="FZ683">
        <v>45.129179366680937</v>
      </c>
      <c r="GA683">
        <v>33.49130720424133</v>
      </c>
      <c r="GB683">
        <v>34.07298873707726</v>
      </c>
      <c r="GC683">
        <v>15.615924299211875</v>
      </c>
      <c r="GD683">
        <v>2.1622248200394494</v>
      </c>
      <c r="GE683">
        <v>3.7785098351322048</v>
      </c>
      <c r="GF683">
        <v>3.123580488869782</v>
      </c>
      <c r="GG683">
        <v>5.0834659964399451</v>
      </c>
      <c r="GH683">
        <v>9.0940254226674657</v>
      </c>
      <c r="GI683">
        <v>18.246922725121152</v>
      </c>
      <c r="GJ683"/>
      <c r="GK683"/>
      <c r="GL683"/>
      <c r="GM683"/>
      <c r="GN683" s="208"/>
      <c r="GO683" s="208"/>
      <c r="GP683" s="208"/>
      <c r="GQ683" s="208"/>
      <c r="GR683" s="208"/>
      <c r="GS683" s="208"/>
      <c r="GT683" s="208"/>
      <c r="GU683" s="213">
        <v>678</v>
      </c>
    </row>
    <row r="684" spans="1:203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256.99494239785901</v>
      </c>
      <c r="AO684">
        <v>26.342737948987498</v>
      </c>
      <c r="AP684">
        <v>35.221583053184418</v>
      </c>
      <c r="AQ684">
        <v>203.03006150832044</v>
      </c>
      <c r="AR684">
        <v>27.93814505988933</v>
      </c>
      <c r="AS684">
        <v>385.8225643120997</v>
      </c>
      <c r="AT684">
        <v>16.732014202717643</v>
      </c>
      <c r="AU684">
        <v>-2.5104476081044211</v>
      </c>
      <c r="AV684"/>
      <c r="AW684"/>
      <c r="FY684" s="213">
        <v>679</v>
      </c>
      <c r="FZ684">
        <v>67.467106176615914</v>
      </c>
      <c r="GA684">
        <v>47.989989937757784</v>
      </c>
      <c r="GB684">
        <v>39.055840410537442</v>
      </c>
      <c r="GC684">
        <v>17.890567629812029</v>
      </c>
      <c r="GD684">
        <v>3.1370297651706047</v>
      </c>
      <c r="GE684">
        <v>5.4290731112202932</v>
      </c>
      <c r="GF684">
        <v>6.1850395973121532</v>
      </c>
      <c r="GG684">
        <v>6.0644022653538912</v>
      </c>
      <c r="GH684">
        <v>7.2798400413794147</v>
      </c>
      <c r="GI684">
        <v>23.607070589972277</v>
      </c>
      <c r="GJ684"/>
      <c r="GK684"/>
      <c r="GL684"/>
      <c r="GM684"/>
      <c r="GN684" s="208"/>
      <c r="GO684" s="208"/>
      <c r="GP684" s="208"/>
      <c r="GQ684" s="208"/>
      <c r="GR684" s="208"/>
      <c r="GS684" s="208"/>
      <c r="GT684" s="208"/>
      <c r="GU684" s="213">
        <v>679</v>
      </c>
    </row>
    <row r="685" spans="1:203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221.69836800596212</v>
      </c>
      <c r="AO685">
        <v>26.099042445728696</v>
      </c>
      <c r="AP685">
        <v>10.66561626633715</v>
      </c>
      <c r="AQ685">
        <v>194.91555190680677</v>
      </c>
      <c r="AR685">
        <v>26.281804828785528</v>
      </c>
      <c r="AS685">
        <v>338.65530109884003</v>
      </c>
      <c r="AT685">
        <v>16.000624045025223</v>
      </c>
      <c r="AU685">
        <v>-13.098263324689469</v>
      </c>
      <c r="AV685"/>
      <c r="AW685"/>
      <c r="FY685" s="213">
        <v>680</v>
      </c>
      <c r="FZ685">
        <v>51.060213986211913</v>
      </c>
      <c r="GA685">
        <v>55.518950685828834</v>
      </c>
      <c r="GB685">
        <v>36.318987102740159</v>
      </c>
      <c r="GC685">
        <v>12.974292901679634</v>
      </c>
      <c r="GD685">
        <v>3.0638618996969584</v>
      </c>
      <c r="GE685">
        <v>3.9441217207571047</v>
      </c>
      <c r="GF685">
        <v>1.9954509272969378</v>
      </c>
      <c r="GG685">
        <v>3.8039025815835532</v>
      </c>
      <c r="GH685">
        <v>12.534588419913646</v>
      </c>
      <c r="GI685">
        <v>20.547116596156343</v>
      </c>
      <c r="GJ685"/>
      <c r="GK685"/>
      <c r="GL685"/>
      <c r="GM685"/>
      <c r="GN685" s="208"/>
      <c r="GO685" s="208"/>
      <c r="GP685" s="208"/>
      <c r="GQ685" s="208"/>
      <c r="GR685" s="208"/>
      <c r="GS685" s="208"/>
      <c r="GT685" s="208"/>
      <c r="GU685" s="213">
        <v>680</v>
      </c>
    </row>
    <row r="686" spans="1:203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228.10008286993934</v>
      </c>
      <c r="AO686">
        <v>23.966512322897142</v>
      </c>
      <c r="AP686">
        <v>25.30370956225682</v>
      </c>
      <c r="AQ686">
        <v>186.26890167028759</v>
      </c>
      <c r="AR686">
        <v>25.040306165366896</v>
      </c>
      <c r="AS686">
        <v>355.98119917617129</v>
      </c>
      <c r="AT686">
        <v>15.491112937644624</v>
      </c>
      <c r="AU686">
        <v>-2.1339040214788412</v>
      </c>
      <c r="AV686"/>
      <c r="AW686"/>
      <c r="FY686" s="213">
        <v>681</v>
      </c>
      <c r="FZ686">
        <v>43.539328716260805</v>
      </c>
      <c r="GA686">
        <v>46.09525656885306</v>
      </c>
      <c r="GB686">
        <v>35.158109110910303</v>
      </c>
      <c r="GC686">
        <v>14.157116452899164</v>
      </c>
      <c r="GD686">
        <v>4.5959757470595566</v>
      </c>
      <c r="GE686">
        <v>6.7544057301936036</v>
      </c>
      <c r="GF686">
        <v>14.422173186581514</v>
      </c>
      <c r="GG686">
        <v>16.01775761823691</v>
      </c>
      <c r="GH686">
        <v>7.4218183247548577</v>
      </c>
      <c r="GI686">
        <v>21.469534640946858</v>
      </c>
      <c r="GJ686"/>
      <c r="GK686"/>
      <c r="GL686"/>
      <c r="GM686"/>
      <c r="GN686" s="208"/>
      <c r="GO686" s="208"/>
      <c r="GP686" s="208"/>
      <c r="GQ686" s="208"/>
      <c r="GR686" s="208"/>
      <c r="GS686" s="208"/>
      <c r="GT686" s="208"/>
      <c r="GU686" s="213">
        <v>681</v>
      </c>
    </row>
    <row r="687" spans="1:203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220.11814489763174</v>
      </c>
      <c r="AO687">
        <v>22.694859333728136</v>
      </c>
      <c r="AP687">
        <v>24.25975389818564</v>
      </c>
      <c r="AQ687">
        <v>159.1968673368707</v>
      </c>
      <c r="AR687">
        <v>24.63959616722714</v>
      </c>
      <c r="AS687">
        <v>352.89863111621645</v>
      </c>
      <c r="AT687">
        <v>15.026968876754907</v>
      </c>
      <c r="AU687">
        <v>12.21761100098832</v>
      </c>
      <c r="AV687"/>
      <c r="AW687"/>
      <c r="FY687" s="213">
        <v>682</v>
      </c>
      <c r="FZ687">
        <v>50.904341469093424</v>
      </c>
      <c r="GA687">
        <v>35.566406431438445</v>
      </c>
      <c r="GB687">
        <v>26.167145018594486</v>
      </c>
      <c r="GC687">
        <v>14.264801816045024</v>
      </c>
      <c r="GD687">
        <v>4.140926639243375</v>
      </c>
      <c r="GE687">
        <v>6.3768515133054375</v>
      </c>
      <c r="GF687">
        <v>6.4516962521323862</v>
      </c>
      <c r="GG687">
        <v>3.852984254807224</v>
      </c>
      <c r="GH687">
        <v>6.9443769746813766</v>
      </c>
      <c r="GI687">
        <v>18.581132219847689</v>
      </c>
      <c r="GJ687"/>
      <c r="GK687"/>
      <c r="GL687"/>
      <c r="GM687"/>
      <c r="GN687" s="208"/>
      <c r="GO687" s="208"/>
      <c r="GP687" s="208"/>
      <c r="GQ687" s="208"/>
      <c r="GR687" s="208"/>
      <c r="GS687" s="208"/>
      <c r="GT687" s="208"/>
      <c r="GU687" s="213">
        <v>682</v>
      </c>
    </row>
    <row r="688" spans="1:203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348.07394421460924</v>
      </c>
      <c r="AO688">
        <v>31.330941203241526</v>
      </c>
      <c r="AP688">
        <v>24.606839923137962</v>
      </c>
      <c r="AQ688">
        <v>221.03915439590406</v>
      </c>
      <c r="AR688">
        <v>32.102712304911982</v>
      </c>
      <c r="AS688">
        <v>428.35106099399002</v>
      </c>
      <c r="AT688">
        <v>18.948871131626067</v>
      </c>
      <c r="AU688">
        <v>-11.285940657142767</v>
      </c>
      <c r="AV688"/>
      <c r="AW688"/>
      <c r="FY688" s="213">
        <v>683</v>
      </c>
      <c r="FZ688">
        <v>41.319293336801266</v>
      </c>
      <c r="GA688">
        <v>60.385221958538949</v>
      </c>
      <c r="GB688">
        <v>42.343106057704404</v>
      </c>
      <c r="GC688">
        <v>13.738757701567742</v>
      </c>
      <c r="GD688">
        <v>4.7775628188722283</v>
      </c>
      <c r="GE688">
        <v>6.9007619448662361</v>
      </c>
      <c r="GF688">
        <v>12.259079724501461</v>
      </c>
      <c r="GG688">
        <v>11.714156598190277</v>
      </c>
      <c r="GH688">
        <v>8.1854356433496172</v>
      </c>
      <c r="GI688">
        <v>22.72423601151916</v>
      </c>
      <c r="GJ688"/>
      <c r="GK688"/>
      <c r="GL688"/>
      <c r="GM688"/>
      <c r="GN688" s="208"/>
      <c r="GO688" s="208"/>
      <c r="GP688" s="208"/>
      <c r="GQ688" s="208"/>
      <c r="GR688" s="208"/>
      <c r="GS688" s="208"/>
      <c r="GT688" s="208"/>
      <c r="GU688" s="213">
        <v>683</v>
      </c>
    </row>
    <row r="689" spans="1:203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243.77748410221329</v>
      </c>
      <c r="AO689">
        <v>21.58010715906574</v>
      </c>
      <c r="AP689">
        <v>29.609665298908538</v>
      </c>
      <c r="AQ689">
        <v>161.34400462331323</v>
      </c>
      <c r="AR689">
        <v>23.133539854463905</v>
      </c>
      <c r="AS689">
        <v>336.97534477292612</v>
      </c>
      <c r="AT689">
        <v>13.772739642686084</v>
      </c>
      <c r="AU689">
        <v>9.5957115162853555</v>
      </c>
      <c r="AV689"/>
      <c r="AW689"/>
      <c r="FY689" s="213">
        <v>684</v>
      </c>
      <c r="FZ689">
        <v>62.973601590022916</v>
      </c>
      <c r="GA689">
        <v>58.476618602471881</v>
      </c>
      <c r="GB689">
        <v>33.116469738557832</v>
      </c>
      <c r="GC689">
        <v>13.574116341556682</v>
      </c>
      <c r="GD689">
        <v>3.4542768733819234</v>
      </c>
      <c r="GE689">
        <v>5.322503508417415</v>
      </c>
      <c r="GF689">
        <v>2.8492456047005459</v>
      </c>
      <c r="GG689">
        <v>3.9151097186646662</v>
      </c>
      <c r="GH689">
        <v>4.6082841198485891</v>
      </c>
      <c r="GI689">
        <v>20.605093630737059</v>
      </c>
      <c r="GJ689"/>
      <c r="GK689"/>
      <c r="GL689"/>
      <c r="GM689"/>
      <c r="GN689" s="208"/>
      <c r="GO689" s="208"/>
      <c r="GP689" s="208"/>
      <c r="GQ689" s="208"/>
      <c r="GR689" s="208"/>
      <c r="GS689" s="208"/>
      <c r="GT689" s="208"/>
      <c r="GU689" s="213">
        <v>684</v>
      </c>
    </row>
    <row r="690" spans="1:203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271.20162938670103</v>
      </c>
      <c r="AO690">
        <v>23.963539414927446</v>
      </c>
      <c r="AP690">
        <v>25.680165644254828</v>
      </c>
      <c r="AQ690">
        <v>173.18696590637197</v>
      </c>
      <c r="AR690">
        <v>23.594579852240425</v>
      </c>
      <c r="AS690">
        <v>335.04570907405014</v>
      </c>
      <c r="AT690">
        <v>14.578760146813556</v>
      </c>
      <c r="AU690">
        <v>-43.429637633550584</v>
      </c>
      <c r="AV690"/>
      <c r="AW690"/>
      <c r="FY690" s="213">
        <v>685</v>
      </c>
      <c r="FZ690">
        <v>47.308497086648259</v>
      </c>
      <c r="GA690">
        <v>22.948870626136426</v>
      </c>
      <c r="GB690">
        <v>23.998410220950358</v>
      </c>
      <c r="GC690">
        <v>14.373649819590154</v>
      </c>
      <c r="GD690">
        <v>4.1982732269947238</v>
      </c>
      <c r="GE690">
        <v>5.1781435979045298</v>
      </c>
      <c r="GF690">
        <v>9.0618288305881265</v>
      </c>
      <c r="GG690">
        <v>8.4739525776156661</v>
      </c>
      <c r="GH690">
        <v>7.255649994698457</v>
      </c>
      <c r="GI690">
        <v>18.062180552565593</v>
      </c>
      <c r="GJ690"/>
      <c r="GK690"/>
      <c r="GL690"/>
      <c r="GM690"/>
      <c r="GN690" s="208"/>
      <c r="GO690" s="208"/>
      <c r="GP690" s="208"/>
      <c r="GQ690" s="208"/>
      <c r="GR690" s="208"/>
      <c r="GS690" s="208"/>
      <c r="GT690" s="208"/>
      <c r="GU690" s="213">
        <v>685</v>
      </c>
    </row>
    <row r="691" spans="1:203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224.13489740101076</v>
      </c>
      <c r="AO691">
        <v>19.746696370668705</v>
      </c>
      <c r="AP691">
        <v>13.116594663807906</v>
      </c>
      <c r="AQ691">
        <v>142.47919154517734</v>
      </c>
      <c r="AR691">
        <v>19.897424097067315</v>
      </c>
      <c r="AS691">
        <v>274.385146011053</v>
      </c>
      <c r="AT691">
        <v>11.534242126840098</v>
      </c>
      <c r="AU691">
        <v>-5.1686847912208478</v>
      </c>
      <c r="AV691"/>
      <c r="AW691"/>
      <c r="FY691" s="213">
        <v>686</v>
      </c>
      <c r="FZ691">
        <v>60.640411807308027</v>
      </c>
      <c r="GA691">
        <v>63.600954845121436</v>
      </c>
      <c r="GB691">
        <v>37.846880743208672</v>
      </c>
      <c r="GC691">
        <v>13.90291493454882</v>
      </c>
      <c r="GD691">
        <v>2.3259382615294517</v>
      </c>
      <c r="GE691">
        <v>2.2542759392975951</v>
      </c>
      <c r="GF691">
        <v>2.374001013789965</v>
      </c>
      <c r="GG691">
        <v>1.9207155962872751</v>
      </c>
      <c r="GH691">
        <v>1.5632132383974109</v>
      </c>
      <c r="GI691">
        <v>20.207908873917049</v>
      </c>
      <c r="GJ691"/>
      <c r="GK691"/>
      <c r="GL691"/>
      <c r="GM691"/>
      <c r="GN691" s="208"/>
      <c r="GO691" s="208"/>
      <c r="GP691" s="208"/>
      <c r="GQ691" s="208"/>
      <c r="GR691" s="208"/>
      <c r="GS691" s="208"/>
      <c r="GT691" s="208"/>
      <c r="GU691" s="213">
        <v>686</v>
      </c>
    </row>
    <row r="692" spans="1:203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324.88224632718709</v>
      </c>
      <c r="AO692">
        <v>32.544175812185927</v>
      </c>
      <c r="AP692">
        <v>51.656492392239507</v>
      </c>
      <c r="AQ692">
        <v>255.49980319124626</v>
      </c>
      <c r="AR692">
        <v>33.819171082798988</v>
      </c>
      <c r="AS692">
        <v>441.44812051673625</v>
      </c>
      <c r="AT692">
        <v>20.07323523952132</v>
      </c>
      <c r="AU692">
        <v>-10.486256633071498</v>
      </c>
      <c r="AV692"/>
      <c r="AW692"/>
      <c r="FY692" s="213">
        <v>687</v>
      </c>
      <c r="FZ692">
        <v>47.222890928706164</v>
      </c>
      <c r="GA692">
        <v>46.835770207238816</v>
      </c>
      <c r="GB692">
        <v>44.062760876896057</v>
      </c>
      <c r="GC692">
        <v>18.432007395713693</v>
      </c>
      <c r="GD692">
        <v>4.8800764601254745</v>
      </c>
      <c r="GE692">
        <v>6.338878185947225</v>
      </c>
      <c r="GF692">
        <v>6.9674788574299331</v>
      </c>
      <c r="GG692">
        <v>6.4246407638961411</v>
      </c>
      <c r="GH692">
        <v>5.3508330390791796</v>
      </c>
      <c r="GI692">
        <v>22.670475386257451</v>
      </c>
      <c r="GJ692"/>
      <c r="GK692"/>
      <c r="GL692"/>
      <c r="GM692"/>
      <c r="GN692" s="208"/>
      <c r="GO692" s="208"/>
      <c r="GP692" s="208"/>
      <c r="GQ692" s="208"/>
      <c r="GR692" s="208"/>
      <c r="GS692" s="208"/>
      <c r="GT692" s="208"/>
      <c r="GU692" s="213">
        <v>687</v>
      </c>
    </row>
    <row r="693" spans="1:203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228.33332028554551</v>
      </c>
      <c r="AO693">
        <v>19.435647323562236</v>
      </c>
      <c r="AP693">
        <v>17.307897034913196</v>
      </c>
      <c r="AQ693">
        <v>131.71812165975979</v>
      </c>
      <c r="AR693">
        <v>19.596800893247831</v>
      </c>
      <c r="AS693">
        <v>265.36056760381098</v>
      </c>
      <c r="AT693">
        <v>12.609860821405897</v>
      </c>
      <c r="AU693">
        <v>-3.8298311038447075</v>
      </c>
      <c r="AV693"/>
      <c r="AW693"/>
      <c r="FY693" s="213">
        <v>688</v>
      </c>
      <c r="FZ693">
        <v>56.055726487709286</v>
      </c>
      <c r="GA693">
        <v>54.100491346660917</v>
      </c>
      <c r="GB693">
        <v>36.527208420476406</v>
      </c>
      <c r="GC693">
        <v>13.904907481377618</v>
      </c>
      <c r="GD693">
        <v>3.6278412491913352</v>
      </c>
      <c r="GE693">
        <v>5.9800830345678451</v>
      </c>
      <c r="GF693">
        <v>5.5527983032611195</v>
      </c>
      <c r="GG693">
        <v>3.9862158721854</v>
      </c>
      <c r="GH693">
        <v>6.3907291849427761</v>
      </c>
      <c r="GI693">
        <v>21.320924192903529</v>
      </c>
      <c r="GJ693"/>
      <c r="GK693"/>
      <c r="GL693"/>
      <c r="GM693"/>
      <c r="GN693" s="208"/>
      <c r="GO693" s="208"/>
      <c r="GP693" s="208"/>
      <c r="GQ693" s="208"/>
      <c r="GR693" s="208"/>
      <c r="GS693" s="208"/>
      <c r="GT693" s="208"/>
      <c r="GU693" s="213">
        <v>688</v>
      </c>
    </row>
    <row r="694" spans="1:203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269.95036408004557</v>
      </c>
      <c r="AO694">
        <v>23.97292204444808</v>
      </c>
      <c r="AP694">
        <v>37.767493553044375</v>
      </c>
      <c r="AQ694">
        <v>169.79812889548143</v>
      </c>
      <c r="AR694">
        <v>24.997609938223068</v>
      </c>
      <c r="AS694">
        <v>357.64671772101161</v>
      </c>
      <c r="AT694">
        <v>15.510079239438774</v>
      </c>
      <c r="AU694">
        <v>11.350373492541657</v>
      </c>
      <c r="AV694"/>
      <c r="AW694"/>
      <c r="FY694" s="213">
        <v>689</v>
      </c>
      <c r="FZ694">
        <v>44.934089521558867</v>
      </c>
      <c r="GA694">
        <v>34.830575545591984</v>
      </c>
      <c r="GB694">
        <v>35.549538409522818</v>
      </c>
      <c r="GC694">
        <v>17.254085936867096</v>
      </c>
      <c r="GD694">
        <v>2.7854009378643969</v>
      </c>
      <c r="GE694">
        <v>4.1404508327749463</v>
      </c>
      <c r="GF694">
        <v>1.2654916238278808</v>
      </c>
      <c r="GG694">
        <v>1.0611123166326741</v>
      </c>
      <c r="GH694">
        <v>2.8787841156647298</v>
      </c>
      <c r="GI694">
        <v>17.62377173763176</v>
      </c>
      <c r="GJ694"/>
      <c r="GK694"/>
      <c r="GL694"/>
      <c r="GM694"/>
      <c r="GN694" s="208"/>
      <c r="GO694" s="208"/>
      <c r="GP694" s="208"/>
      <c r="GQ694" s="208"/>
      <c r="GR694" s="208"/>
      <c r="GS694" s="208"/>
      <c r="GT694" s="208"/>
      <c r="GU694" s="213">
        <v>689</v>
      </c>
    </row>
    <row r="695" spans="1:203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310.47464444237465</v>
      </c>
      <c r="AO695">
        <v>30.897256361823111</v>
      </c>
      <c r="AP695">
        <v>41.332787425123357</v>
      </c>
      <c r="AQ695">
        <v>224.10595952513179</v>
      </c>
      <c r="AR695">
        <v>32.451109344804507</v>
      </c>
      <c r="AS695">
        <v>465.51960493555288</v>
      </c>
      <c r="AT695">
        <v>19.15951617576032</v>
      </c>
      <c r="AU695">
        <v>8.7830039908423885</v>
      </c>
      <c r="AV695"/>
      <c r="AW695"/>
      <c r="FY695" s="213">
        <v>690</v>
      </c>
      <c r="FZ695">
        <v>46.349182836275936</v>
      </c>
      <c r="GA695">
        <v>38.560675754201078</v>
      </c>
      <c r="GB695">
        <v>28.029427585646626</v>
      </c>
      <c r="GC695">
        <v>11.742543487617104</v>
      </c>
      <c r="GD695">
        <v>2.6929728071621977</v>
      </c>
      <c r="GE695">
        <v>4.9875321275850961</v>
      </c>
      <c r="GF695">
        <v>5.3665818520088369</v>
      </c>
      <c r="GG695">
        <v>4.0591444204879208</v>
      </c>
      <c r="GH695">
        <v>8.736360081426124</v>
      </c>
      <c r="GI695">
        <v>17.600482906112546</v>
      </c>
      <c r="GJ695"/>
      <c r="GK695"/>
      <c r="GL695"/>
      <c r="GM695"/>
      <c r="GN695" s="208"/>
      <c r="GO695" s="208"/>
      <c r="GP695" s="208"/>
      <c r="GQ695" s="208"/>
      <c r="GR695" s="208"/>
      <c r="GS695" s="208"/>
      <c r="GT695" s="208"/>
      <c r="GU695" s="213">
        <v>690</v>
      </c>
    </row>
    <row r="696" spans="1:203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263.01417214068402</v>
      </c>
      <c r="AO696">
        <v>26.905714890988303</v>
      </c>
      <c r="AP696">
        <v>43.400600179921653</v>
      </c>
      <c r="AQ696">
        <v>201.76148682186505</v>
      </c>
      <c r="AR696">
        <v>28.233909975710397</v>
      </c>
      <c r="AS696">
        <v>418.58506466420721</v>
      </c>
      <c r="AT696">
        <v>17.55561636559689</v>
      </c>
      <c r="AU696">
        <v>3.5395914853992849E-3</v>
      </c>
      <c r="AV696"/>
      <c r="AW696"/>
      <c r="FY696" s="213">
        <v>691</v>
      </c>
      <c r="FZ696">
        <v>37.457473507167379</v>
      </c>
      <c r="GA696">
        <v>35.897659043532983</v>
      </c>
      <c r="GB696">
        <v>29.559213283027773</v>
      </c>
      <c r="GC696">
        <v>12.026176895717148</v>
      </c>
      <c r="GD696">
        <v>4.8951065052449971</v>
      </c>
      <c r="GE696">
        <v>7.6073474277683548</v>
      </c>
      <c r="GF696">
        <v>6.8210267710416499</v>
      </c>
      <c r="GG696">
        <v>8.7991481961471614</v>
      </c>
      <c r="GH696">
        <v>12.18847371519519</v>
      </c>
      <c r="GI696">
        <v>18.746463853776905</v>
      </c>
      <c r="GJ696"/>
      <c r="GK696"/>
      <c r="GL696"/>
      <c r="GM696"/>
      <c r="GN696" s="208"/>
      <c r="GO696" s="208"/>
      <c r="GP696" s="208"/>
      <c r="GQ696" s="208"/>
      <c r="GR696" s="208"/>
      <c r="GS696" s="208"/>
      <c r="GT696" s="208"/>
      <c r="GU696" s="213">
        <v>691</v>
      </c>
    </row>
    <row r="697" spans="1:203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339.70100102553943</v>
      </c>
      <c r="AO697">
        <v>29.458154136711208</v>
      </c>
      <c r="AP697">
        <v>50.804228459870913</v>
      </c>
      <c r="AQ697">
        <v>209.63147609669664</v>
      </c>
      <c r="AR697">
        <v>29.437958480000933</v>
      </c>
      <c r="AS697">
        <v>445.01104368524659</v>
      </c>
      <c r="AT697">
        <v>18.30348487152969</v>
      </c>
      <c r="AU697">
        <v>-17.051137633254555</v>
      </c>
      <c r="AV697"/>
      <c r="AW697"/>
      <c r="FY697" s="213">
        <v>692</v>
      </c>
      <c r="FZ697">
        <v>31.703906583033568</v>
      </c>
      <c r="GA697">
        <v>47.985287240122069</v>
      </c>
      <c r="GB697">
        <v>42.905350444800057</v>
      </c>
      <c r="GC697">
        <v>15.559251623538957</v>
      </c>
      <c r="GD697">
        <v>2.9123735071571852</v>
      </c>
      <c r="GE697">
        <v>5.2122320373737576</v>
      </c>
      <c r="GF697">
        <v>4.8701468127034246</v>
      </c>
      <c r="GG697">
        <v>5.0924514107082421</v>
      </c>
      <c r="GH697">
        <v>5.9431635878521538</v>
      </c>
      <c r="GI697">
        <v>18.706313059814573</v>
      </c>
      <c r="GJ697"/>
      <c r="GK697"/>
      <c r="GL697"/>
      <c r="GM697"/>
      <c r="GN697" s="208"/>
      <c r="GO697" s="208"/>
      <c r="GP697" s="208"/>
      <c r="GQ697" s="208"/>
      <c r="GR697" s="208"/>
      <c r="GS697" s="208"/>
      <c r="GT697" s="208"/>
      <c r="GU697" s="213">
        <v>692</v>
      </c>
    </row>
    <row r="698" spans="1:203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252.71343281152002</v>
      </c>
      <c r="AO698">
        <v>24.487882545241757</v>
      </c>
      <c r="AP698">
        <v>58.550255867337277</v>
      </c>
      <c r="AQ698">
        <v>173.25066258918886</v>
      </c>
      <c r="AR698">
        <v>25.58725623736235</v>
      </c>
      <c r="AS698">
        <v>317.03094961529939</v>
      </c>
      <c r="AT698">
        <v>14.915984823145868</v>
      </c>
      <c r="AU698">
        <v>4.9171626660675187</v>
      </c>
      <c r="AV698"/>
      <c r="AW698"/>
      <c r="FY698" s="213">
        <v>693</v>
      </c>
      <c r="FZ698">
        <v>39.254160556898313</v>
      </c>
      <c r="GA698">
        <v>48.144310903404403</v>
      </c>
      <c r="GB698">
        <v>40.015178891717014</v>
      </c>
      <c r="GC698">
        <v>14.533885244823763</v>
      </c>
      <c r="GD698">
        <v>2.8163332249198958</v>
      </c>
      <c r="GE698">
        <v>3.638332196288812</v>
      </c>
      <c r="GF698">
        <v>5.0172659829022948</v>
      </c>
      <c r="GG698">
        <v>4.1590570025125615</v>
      </c>
      <c r="GH698">
        <v>4.5811002573088846</v>
      </c>
      <c r="GI698">
        <v>18.857110587175811</v>
      </c>
      <c r="GJ698"/>
      <c r="GK698"/>
      <c r="GL698"/>
      <c r="GM698"/>
      <c r="GN698" s="208"/>
      <c r="GO698" s="208"/>
      <c r="GP698" s="208"/>
      <c r="GQ698" s="208"/>
      <c r="GR698" s="208"/>
      <c r="GS698" s="208"/>
      <c r="GT698" s="208"/>
      <c r="GU698" s="213">
        <v>693</v>
      </c>
    </row>
    <row r="699" spans="1:203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368.94894683898872</v>
      </c>
      <c r="AO699">
        <v>30.962901200632341</v>
      </c>
      <c r="AP699">
        <v>48.951270362572899</v>
      </c>
      <c r="AQ699">
        <v>224.3476117959114</v>
      </c>
      <c r="AR699">
        <v>31.125484565848822</v>
      </c>
      <c r="AS699">
        <v>479.54335514856751</v>
      </c>
      <c r="AT699">
        <v>19.29040640754344</v>
      </c>
      <c r="AU699">
        <v>-67.711143434246665</v>
      </c>
      <c r="AV699"/>
      <c r="AW699"/>
      <c r="FY699" s="213">
        <v>694</v>
      </c>
      <c r="FZ699">
        <v>45.326172649419043</v>
      </c>
      <c r="GA699">
        <v>55.218152575057168</v>
      </c>
      <c r="GB699">
        <v>41.626396479172918</v>
      </c>
      <c r="GC699">
        <v>14.266372091213871</v>
      </c>
      <c r="GD699">
        <v>3.6403247494469881</v>
      </c>
      <c r="GE699">
        <v>6.3880398861490431</v>
      </c>
      <c r="GF699">
        <v>2.1496963172100845</v>
      </c>
      <c r="GG699">
        <v>3.5384623315143546</v>
      </c>
      <c r="GH699">
        <v>7.910708850966607</v>
      </c>
      <c r="GI699">
        <v>20.623090370560409</v>
      </c>
      <c r="GJ699"/>
      <c r="GK699"/>
      <c r="GL699"/>
      <c r="GM699"/>
      <c r="GN699" s="208"/>
      <c r="GO699" s="208"/>
      <c r="GP699" s="208"/>
      <c r="GQ699" s="208"/>
      <c r="GR699" s="208"/>
      <c r="GS699" s="208"/>
      <c r="GT699" s="208"/>
      <c r="GU699" s="213">
        <v>694</v>
      </c>
    </row>
    <row r="700" spans="1:203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263.49892987992087</v>
      </c>
      <c r="AO700">
        <v>27.797788073798937</v>
      </c>
      <c r="AP700">
        <v>16.640853336172722</v>
      </c>
      <c r="AQ700">
        <v>208.89531972835948</v>
      </c>
      <c r="AR700">
        <v>28.441479789523203</v>
      </c>
      <c r="AS700">
        <v>406.79060514168759</v>
      </c>
      <c r="AT700">
        <v>17.579557487402059</v>
      </c>
      <c r="AU700">
        <v>-23.435253802452159</v>
      </c>
      <c r="AV700"/>
      <c r="AW700"/>
      <c r="FY700" s="213">
        <v>695</v>
      </c>
      <c r="FZ700">
        <v>43.171696212796775</v>
      </c>
      <c r="GA700">
        <v>31.841089537488866</v>
      </c>
      <c r="GB700">
        <v>23.331272340583432</v>
      </c>
      <c r="GC700">
        <v>12.396937018020445</v>
      </c>
      <c r="GD700">
        <v>2.7146391644378567</v>
      </c>
      <c r="GE700">
        <v>3.1892251414655375</v>
      </c>
      <c r="GF700">
        <v>9.3665737307359578</v>
      </c>
      <c r="GG700">
        <v>6.4811460697413095</v>
      </c>
      <c r="GH700">
        <v>6.7462786010087195</v>
      </c>
      <c r="GI700">
        <v>16.428244994032248</v>
      </c>
      <c r="GJ700"/>
      <c r="GK700"/>
      <c r="GL700"/>
      <c r="GM700"/>
      <c r="GN700" s="208"/>
      <c r="GO700" s="208"/>
      <c r="GP700" s="208"/>
      <c r="GQ700" s="208"/>
      <c r="GR700" s="208"/>
      <c r="GS700" s="208"/>
      <c r="GT700" s="208"/>
      <c r="GU700" s="213">
        <v>695</v>
      </c>
    </row>
    <row r="701" spans="1:203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242.06175392033703</v>
      </c>
      <c r="AO701">
        <v>23.387652930636964</v>
      </c>
      <c r="AP701">
        <v>28.460324358230842</v>
      </c>
      <c r="AQ701">
        <v>160.85945653369231</v>
      </c>
      <c r="AR701">
        <v>24.836776608107378</v>
      </c>
      <c r="AS701">
        <v>355.55316856523876</v>
      </c>
      <c r="AT701">
        <v>14.840116897792177</v>
      </c>
      <c r="AU701">
        <v>9.1508574623656571</v>
      </c>
      <c r="AV701"/>
      <c r="AW701"/>
      <c r="FY701" s="213">
        <v>696</v>
      </c>
      <c r="FZ701">
        <v>46.64830628516696</v>
      </c>
      <c r="GA701">
        <v>48.665529937321452</v>
      </c>
      <c r="GB701">
        <v>33.542605558804695</v>
      </c>
      <c r="GC701">
        <v>13.152014129415406</v>
      </c>
      <c r="GD701">
        <v>3.5533642289475491</v>
      </c>
      <c r="GE701">
        <v>6.5310413947625667</v>
      </c>
      <c r="GF701">
        <v>5.1742482167680919</v>
      </c>
      <c r="GG701">
        <v>6.0084027839694087</v>
      </c>
      <c r="GH701">
        <v>6.1433671273732253</v>
      </c>
      <c r="GI701">
        <v>19.048618135497431</v>
      </c>
      <c r="GJ701"/>
      <c r="GK701"/>
      <c r="GL701"/>
      <c r="GM701"/>
      <c r="GN701" s="208"/>
      <c r="GO701" s="208"/>
      <c r="GP701" s="208"/>
      <c r="GQ701" s="208"/>
      <c r="GR701" s="208"/>
      <c r="GS701" s="208"/>
      <c r="GT701" s="208"/>
      <c r="GU701" s="213">
        <v>696</v>
      </c>
    </row>
    <row r="702" spans="1:203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241.35434946232462</v>
      </c>
      <c r="AO702">
        <v>27.198766633606169</v>
      </c>
      <c r="AP702">
        <v>29.311932651669679</v>
      </c>
      <c r="AQ702">
        <v>206.63721525340571</v>
      </c>
      <c r="AR702">
        <v>27.925578946722936</v>
      </c>
      <c r="AS702">
        <v>414.2865860405073</v>
      </c>
      <c r="AT702">
        <v>16.917526533921123</v>
      </c>
      <c r="AU702">
        <v>-30.04702874526339</v>
      </c>
      <c r="AV702"/>
      <c r="AW702"/>
      <c r="FY702" s="213">
        <v>697</v>
      </c>
      <c r="FZ702">
        <v>43.592461441905009</v>
      </c>
      <c r="GA702">
        <v>37.890582666594739</v>
      </c>
      <c r="GB702">
        <v>27.975148119621348</v>
      </c>
      <c r="GC702">
        <v>14.63448558215741</v>
      </c>
      <c r="GD702">
        <v>3.2220101610718959</v>
      </c>
      <c r="GE702">
        <v>4.0038577834277449</v>
      </c>
      <c r="GF702">
        <v>3.2658694672465165</v>
      </c>
      <c r="GG702">
        <v>1.2818639843990713</v>
      </c>
      <c r="GH702">
        <v>3.9786127147215837</v>
      </c>
      <c r="GI702">
        <v>16.349822686669082</v>
      </c>
      <c r="GJ702"/>
      <c r="GK702"/>
      <c r="GL702"/>
      <c r="GM702"/>
      <c r="GN702" s="208"/>
      <c r="GO702" s="208"/>
      <c r="GP702" s="208"/>
      <c r="GQ702" s="208"/>
      <c r="GR702" s="208"/>
      <c r="GS702" s="208"/>
      <c r="GT702" s="208"/>
      <c r="GU702" s="213">
        <v>697</v>
      </c>
    </row>
    <row r="703" spans="1:203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343.36467306738518</v>
      </c>
      <c r="AO703">
        <v>30.376374797841276</v>
      </c>
      <c r="AP703">
        <v>30.784150752215403</v>
      </c>
      <c r="AQ703">
        <v>209.1858121012902</v>
      </c>
      <c r="AR703">
        <v>31.146185129919591</v>
      </c>
      <c r="AS703">
        <v>426.4013566671012</v>
      </c>
      <c r="AT703">
        <v>18.238705076412344</v>
      </c>
      <c r="AU703">
        <v>-17.919217171975873</v>
      </c>
      <c r="AV703"/>
      <c r="AW703"/>
      <c r="FY703" s="213">
        <v>698</v>
      </c>
      <c r="FZ703">
        <v>63.710285232996817</v>
      </c>
      <c r="GA703">
        <v>52.33819553146013</v>
      </c>
      <c r="GB703">
        <v>28.321917683609247</v>
      </c>
      <c r="GC703">
        <v>14.477956982906296</v>
      </c>
      <c r="GD703">
        <v>3.4529708646635173</v>
      </c>
      <c r="GE703">
        <v>3.981505669116908</v>
      </c>
      <c r="GF703">
        <v>7.5404559270331921</v>
      </c>
      <c r="GG703">
        <v>8.9127207040184118</v>
      </c>
      <c r="GH703">
        <v>11.218724092003022</v>
      </c>
      <c r="GI703">
        <v>21.458971903650717</v>
      </c>
      <c r="GJ703"/>
      <c r="GK703"/>
      <c r="GL703"/>
      <c r="GM703"/>
      <c r="GN703" s="208"/>
      <c r="GO703" s="208"/>
      <c r="GP703" s="208"/>
      <c r="GQ703" s="208"/>
      <c r="GR703" s="208"/>
      <c r="GS703" s="208"/>
      <c r="GT703" s="208"/>
      <c r="GU703" s="213">
        <v>698</v>
      </c>
    </row>
    <row r="704" spans="1:203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311.32442593230644</v>
      </c>
      <c r="AO704">
        <v>28.122206843689575</v>
      </c>
      <c r="AP704">
        <v>16.994853399272717</v>
      </c>
      <c r="AQ704">
        <v>207.44692557327625</v>
      </c>
      <c r="AR704">
        <v>29.298670942713034</v>
      </c>
      <c r="AS704">
        <v>435.88022490238211</v>
      </c>
      <c r="AT704">
        <v>17.553641793065246</v>
      </c>
      <c r="AU704">
        <v>-17.440486176424081</v>
      </c>
      <c r="AV704"/>
      <c r="AW704"/>
      <c r="FY704" s="213">
        <v>699</v>
      </c>
      <c r="FZ704">
        <v>46.029195861346807</v>
      </c>
      <c r="GA704">
        <v>52.791652990489972</v>
      </c>
      <c r="GB704">
        <v>41.538513573096807</v>
      </c>
      <c r="GC704">
        <v>17.336753982353432</v>
      </c>
      <c r="GD704">
        <v>2.5114188693939026</v>
      </c>
      <c r="GE704">
        <v>2.1091274924621244</v>
      </c>
      <c r="GF704">
        <v>0.53553232035882459</v>
      </c>
      <c r="GG704">
        <v>2.8901196391789008</v>
      </c>
      <c r="GH704">
        <v>7.8338101816573378</v>
      </c>
      <c r="GI704">
        <v>19.752519793672974</v>
      </c>
      <c r="GJ704"/>
      <c r="GK704"/>
      <c r="GL704"/>
      <c r="GM704"/>
      <c r="GN704" s="208"/>
      <c r="GO704" s="208"/>
      <c r="GP704" s="208"/>
      <c r="GQ704" s="208"/>
      <c r="GR704" s="208"/>
      <c r="GS704" s="208"/>
      <c r="GT704" s="208"/>
      <c r="GU704" s="213">
        <v>699</v>
      </c>
    </row>
    <row r="705" spans="1:203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251.7648691943501</v>
      </c>
      <c r="AO705">
        <v>23.624619158751667</v>
      </c>
      <c r="AP705">
        <v>19.895670138850583</v>
      </c>
      <c r="AQ705">
        <v>162.32330097793715</v>
      </c>
      <c r="AR705">
        <v>24.185278035928825</v>
      </c>
      <c r="AS705">
        <v>332.79207201965687</v>
      </c>
      <c r="AT705">
        <v>14.647259438319033</v>
      </c>
      <c r="AU705">
        <v>-6.282741702051986</v>
      </c>
      <c r="AV705"/>
      <c r="AW705"/>
      <c r="FY705" s="213">
        <v>700</v>
      </c>
      <c r="FZ705">
        <v>66.182801473514658</v>
      </c>
      <c r="GA705">
        <v>81.459058339679459</v>
      </c>
      <c r="GB705">
        <v>41.310542435217144</v>
      </c>
      <c r="GC705">
        <v>10.907209000444551</v>
      </c>
      <c r="GD705">
        <v>2.3062914097539626</v>
      </c>
      <c r="GE705">
        <v>3.6874811912699013</v>
      </c>
      <c r="GF705">
        <v>11.64802887884526</v>
      </c>
      <c r="GG705">
        <v>11.275919827581555</v>
      </c>
      <c r="GH705">
        <v>5.8811511981516542</v>
      </c>
      <c r="GI705">
        <v>24.24299010101636</v>
      </c>
      <c r="GJ705"/>
      <c r="GK705"/>
      <c r="GL705"/>
      <c r="GM705"/>
      <c r="GN705" s="208"/>
      <c r="GO705" s="208"/>
      <c r="GP705" s="208"/>
      <c r="GQ705" s="208"/>
      <c r="GR705" s="208"/>
      <c r="GS705" s="208"/>
      <c r="GT705" s="208"/>
      <c r="GU705" s="213">
        <v>700</v>
      </c>
    </row>
    <row r="706" spans="1:203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265.23093954320518</v>
      </c>
      <c r="AO706">
        <v>22.835456348865673</v>
      </c>
      <c r="AP706">
        <v>29.800505981953741</v>
      </c>
      <c r="AQ706">
        <v>168.12490385852342</v>
      </c>
      <c r="AR706">
        <v>24.132246410773924</v>
      </c>
      <c r="AS706">
        <v>375.57078955383429</v>
      </c>
      <c r="AT706">
        <v>15.159866804938154</v>
      </c>
      <c r="AU706">
        <v>2.7275052885713578</v>
      </c>
      <c r="AV706"/>
      <c r="AW706"/>
      <c r="FY706" s="213">
        <v>701</v>
      </c>
      <c r="FZ706">
        <v>49.426538365779514</v>
      </c>
      <c r="GA706">
        <v>58.718140365689045</v>
      </c>
      <c r="GB706">
        <v>32.227551829710031</v>
      </c>
      <c r="GC706">
        <v>12.314925821128876</v>
      </c>
      <c r="GD706">
        <v>3.7400409105011017</v>
      </c>
      <c r="GE706">
        <v>8.086119733038764</v>
      </c>
      <c r="GF706">
        <v>4.660670152914248</v>
      </c>
      <c r="GG706">
        <v>3.008708073718334</v>
      </c>
      <c r="GH706">
        <v>5.3619504535330194</v>
      </c>
      <c r="GI706">
        <v>19.007697108820771</v>
      </c>
      <c r="GJ706"/>
      <c r="GK706"/>
      <c r="GL706"/>
      <c r="GM706"/>
      <c r="GN706" s="208"/>
      <c r="GO706" s="208"/>
      <c r="GP706" s="208"/>
      <c r="GQ706" s="208"/>
      <c r="GR706" s="208"/>
      <c r="GS706" s="208"/>
      <c r="GT706" s="208"/>
      <c r="GU706" s="213">
        <v>701</v>
      </c>
    </row>
    <row r="707" spans="1:203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305.8270742650887</v>
      </c>
      <c r="AO707">
        <v>24.72947902408216</v>
      </c>
      <c r="AP707">
        <v>26.772953212235915</v>
      </c>
      <c r="AQ707">
        <v>173.99808919861954</v>
      </c>
      <c r="AR707">
        <v>25.598253368385652</v>
      </c>
      <c r="AS707">
        <v>354.49838717948307</v>
      </c>
      <c r="AT707">
        <v>15.527724786187056</v>
      </c>
      <c r="AU707">
        <v>14.35992896375738</v>
      </c>
      <c r="AV707"/>
      <c r="AW707"/>
      <c r="FY707" s="213">
        <v>702</v>
      </c>
      <c r="FZ707">
        <v>57.842607460494683</v>
      </c>
      <c r="GA707">
        <v>55.899629365980083</v>
      </c>
      <c r="GB707">
        <v>36.418031953149807</v>
      </c>
      <c r="GC707">
        <v>15.694981583307239</v>
      </c>
      <c r="GD707">
        <v>3.0410711098377785</v>
      </c>
      <c r="GE707">
        <v>2.849429007545186</v>
      </c>
      <c r="GF707">
        <v>4.8440294481868946</v>
      </c>
      <c r="GG707">
        <v>5.5662223736573786</v>
      </c>
      <c r="GH707">
        <v>5.0129556702077203</v>
      </c>
      <c r="GI707">
        <v>20.869545977405217</v>
      </c>
      <c r="GJ707"/>
      <c r="GK707"/>
      <c r="GL707"/>
      <c r="GM707"/>
      <c r="GN707" s="208"/>
      <c r="GO707" s="208"/>
      <c r="GP707" s="208"/>
      <c r="GQ707" s="208"/>
      <c r="GR707" s="208"/>
      <c r="GS707" s="208"/>
      <c r="GT707" s="208"/>
      <c r="GU707" s="213">
        <v>702</v>
      </c>
    </row>
    <row r="708" spans="1:203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305.11875103491292</v>
      </c>
      <c r="AO708">
        <v>25.784883180424806</v>
      </c>
      <c r="AP708">
        <v>27.03075507315404</v>
      </c>
      <c r="AQ708">
        <v>180.89047630710397</v>
      </c>
      <c r="AR708">
        <v>25.505206914551572</v>
      </c>
      <c r="AS708">
        <v>408.78298280702381</v>
      </c>
      <c r="AT708">
        <v>15.919474572250152</v>
      </c>
      <c r="AU708">
        <v>-15.638561563970448</v>
      </c>
      <c r="AV708"/>
      <c r="AW708"/>
      <c r="FY708" s="213">
        <v>703</v>
      </c>
      <c r="FZ708">
        <v>59.385440690672063</v>
      </c>
      <c r="GA708">
        <v>48.901540733876665</v>
      </c>
      <c r="GB708">
        <v>25.558245127058701</v>
      </c>
      <c r="GC708">
        <v>10.654646757194941</v>
      </c>
      <c r="GD708">
        <v>3.0491558881836083</v>
      </c>
      <c r="GE708">
        <v>3.5113075860301963</v>
      </c>
      <c r="GF708">
        <v>1.8765424694840827</v>
      </c>
      <c r="GG708">
        <v>0.57496500858471611</v>
      </c>
      <c r="GH708">
        <v>5.7341034123514749</v>
      </c>
      <c r="GI708">
        <v>18.000075101692005</v>
      </c>
      <c r="GJ708"/>
      <c r="GK708"/>
      <c r="GL708"/>
      <c r="GM708"/>
      <c r="GN708" s="208"/>
      <c r="GO708" s="208"/>
      <c r="GP708" s="208"/>
      <c r="GQ708" s="208"/>
      <c r="GR708" s="208"/>
      <c r="GS708" s="208"/>
      <c r="GT708" s="208"/>
      <c r="GU708" s="213">
        <v>703</v>
      </c>
    </row>
    <row r="709" spans="1:203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290.28976462087883</v>
      </c>
      <c r="AO709">
        <v>25.170078395262674</v>
      </c>
      <c r="AP709">
        <v>10.660966543383717</v>
      </c>
      <c r="AQ709">
        <v>181.01673484795177</v>
      </c>
      <c r="AR709">
        <v>25.721790003207794</v>
      </c>
      <c r="AS709">
        <v>398.44456545436537</v>
      </c>
      <c r="AT709">
        <v>16.150543265896385</v>
      </c>
      <c r="AU709">
        <v>-9.5061454183421077</v>
      </c>
      <c r="AV709"/>
      <c r="AW709"/>
      <c r="FY709" s="213">
        <v>704</v>
      </c>
      <c r="FZ709">
        <v>39.458906426884049</v>
      </c>
      <c r="GA709">
        <v>55.149860211042572</v>
      </c>
      <c r="GB709">
        <v>50.983408291713381</v>
      </c>
      <c r="GC709">
        <v>17.341693727707405</v>
      </c>
      <c r="GD709">
        <v>2.7916481426139681</v>
      </c>
      <c r="GE709">
        <v>4.7333013799491148</v>
      </c>
      <c r="GF709">
        <v>4.5355241990859447</v>
      </c>
      <c r="GG709">
        <v>3.6315837780240199</v>
      </c>
      <c r="GH709">
        <v>4.8098757794912332</v>
      </c>
      <c r="GI709">
        <v>21.517327188943462</v>
      </c>
      <c r="GJ709"/>
      <c r="GK709"/>
      <c r="GL709"/>
      <c r="GM709"/>
      <c r="GN709" s="208"/>
      <c r="GO709" s="208"/>
      <c r="GP709" s="208"/>
      <c r="GQ709" s="208"/>
      <c r="GR709" s="208"/>
      <c r="GS709" s="208"/>
      <c r="GT709" s="208"/>
      <c r="GU709" s="213">
        <v>704</v>
      </c>
    </row>
    <row r="710" spans="1:203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283.56839219370738</v>
      </c>
      <c r="AO710">
        <v>27.697481948845528</v>
      </c>
      <c r="AP710">
        <v>27.987613406062128</v>
      </c>
      <c r="AQ710">
        <v>200.68741630071048</v>
      </c>
      <c r="AR710">
        <v>28.253656457281522</v>
      </c>
      <c r="AS710">
        <v>413.1549861790665</v>
      </c>
      <c r="AT710">
        <v>17.790900721014353</v>
      </c>
      <c r="AU710">
        <v>-3.728347705464536</v>
      </c>
      <c r="AV710"/>
      <c r="AW710"/>
      <c r="FY710" s="213">
        <v>705</v>
      </c>
      <c r="FZ710">
        <v>38.077230759298232</v>
      </c>
      <c r="GA710">
        <v>47.765978835771605</v>
      </c>
      <c r="GB710">
        <v>39.996769302010591</v>
      </c>
      <c r="GC710">
        <v>18.497854559703633</v>
      </c>
      <c r="GD710">
        <v>5.9898143510272126</v>
      </c>
      <c r="GE710">
        <v>7.9286783068544198</v>
      </c>
      <c r="GF710">
        <v>4.2913541032796401</v>
      </c>
      <c r="GG710">
        <v>1.5869229347253864</v>
      </c>
      <c r="GH710">
        <v>4.8896514909841216</v>
      </c>
      <c r="GI710">
        <v>20.403895652497155</v>
      </c>
      <c r="GJ710"/>
      <c r="GK710"/>
      <c r="GL710"/>
      <c r="GM710"/>
      <c r="GN710" s="208"/>
      <c r="GO710" s="208"/>
      <c r="GP710" s="208"/>
      <c r="GQ710" s="208"/>
      <c r="GR710" s="208"/>
      <c r="GS710" s="208"/>
      <c r="GT710" s="208"/>
      <c r="GU710" s="213">
        <v>705</v>
      </c>
    </row>
    <row r="711" spans="1:203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210.65658692948105</v>
      </c>
      <c r="AO711">
        <v>21.534128638953558</v>
      </c>
      <c r="AP711">
        <v>33.219401235432173</v>
      </c>
      <c r="AQ711">
        <v>155.66710281031115</v>
      </c>
      <c r="AR711">
        <v>22.585460252229169</v>
      </c>
      <c r="AS711">
        <v>309.38104549244258</v>
      </c>
      <c r="AT711">
        <v>13.337223156067743</v>
      </c>
      <c r="AU711">
        <v>9.8109538915990697</v>
      </c>
      <c r="AV711"/>
      <c r="AW711"/>
      <c r="FY711" s="213">
        <v>706</v>
      </c>
      <c r="FZ711">
        <v>63.09161161433714</v>
      </c>
      <c r="GA711">
        <v>72.954070968506926</v>
      </c>
      <c r="GB711">
        <v>33.413471662637349</v>
      </c>
      <c r="GC711">
        <v>8.7469189023450031</v>
      </c>
      <c r="GD711">
        <v>3.4216868347186833</v>
      </c>
      <c r="GE711">
        <v>6.2003889052056076</v>
      </c>
      <c r="GF711">
        <v>12.22100594844852</v>
      </c>
      <c r="GG711">
        <v>11.922644523308819</v>
      </c>
      <c r="GH711">
        <v>6.898086682972691</v>
      </c>
      <c r="GI711">
        <v>22.767217073865076</v>
      </c>
      <c r="GJ711"/>
      <c r="GK711"/>
      <c r="GL711"/>
      <c r="GM711"/>
      <c r="GN711" s="208"/>
      <c r="GO711" s="208"/>
      <c r="GP711" s="208"/>
      <c r="GQ711" s="208"/>
      <c r="GR711" s="208"/>
      <c r="GS711" s="208"/>
      <c r="GT711" s="208"/>
      <c r="GU711" s="213">
        <v>706</v>
      </c>
    </row>
    <row r="712" spans="1:203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275.0796057095796</v>
      </c>
      <c r="AO712">
        <v>25.903250534624469</v>
      </c>
      <c r="AP712">
        <v>27.577796142158675</v>
      </c>
      <c r="AQ712">
        <v>188.46749779802678</v>
      </c>
      <c r="AR712">
        <v>26.120898844856885</v>
      </c>
      <c r="AS712">
        <v>343.76159134541325</v>
      </c>
      <c r="AT712">
        <v>15.912281360050203</v>
      </c>
      <c r="AU712">
        <v>-20.169340769729303</v>
      </c>
      <c r="AV712"/>
      <c r="AW712"/>
      <c r="FY712" s="213">
        <v>707</v>
      </c>
      <c r="FZ712">
        <v>43.873812518550103</v>
      </c>
      <c r="GA712">
        <v>45.210920644450617</v>
      </c>
      <c r="GB712">
        <v>30.001612259160943</v>
      </c>
      <c r="GC712">
        <v>9.5171928335123539</v>
      </c>
      <c r="GD712">
        <v>1.751893903520005</v>
      </c>
      <c r="GE712">
        <v>1.1777169581994213</v>
      </c>
      <c r="GF712">
        <v>0.24548067570005655</v>
      </c>
      <c r="GG712">
        <v>0.72509742711850156</v>
      </c>
      <c r="GH712">
        <v>7.0962470148370915</v>
      </c>
      <c r="GI712">
        <v>16.000982692447799</v>
      </c>
      <c r="GJ712"/>
      <c r="GK712"/>
      <c r="GL712"/>
      <c r="GM712"/>
      <c r="GN712" s="208"/>
      <c r="GO712" s="208"/>
      <c r="GP712" s="208"/>
      <c r="GQ712" s="208"/>
      <c r="GR712" s="208"/>
      <c r="GS712" s="208"/>
      <c r="GT712" s="208"/>
      <c r="GU712" s="213">
        <v>707</v>
      </c>
    </row>
    <row r="713" spans="1:203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239.6827344400846</v>
      </c>
      <c r="AO713">
        <v>22.154536969018466</v>
      </c>
      <c r="AP713">
        <v>18.966553643991965</v>
      </c>
      <c r="AQ713">
        <v>156.1947146078144</v>
      </c>
      <c r="AR713">
        <v>22.497197198260722</v>
      </c>
      <c r="AS713">
        <v>340.20445807280566</v>
      </c>
      <c r="AT713">
        <v>12.908706439822167</v>
      </c>
      <c r="AU713">
        <v>0.11591955242852947</v>
      </c>
      <c r="AV713"/>
      <c r="AW713"/>
      <c r="FY713" s="213">
        <v>708</v>
      </c>
      <c r="FZ713">
        <v>53.868042233386319</v>
      </c>
      <c r="GA713">
        <v>28.727135207195975</v>
      </c>
      <c r="GB713">
        <v>20.686777057313101</v>
      </c>
      <c r="GC713">
        <v>12.352085272741189</v>
      </c>
      <c r="GD713">
        <v>3.292192689147404</v>
      </c>
      <c r="GE713">
        <v>4.5913817888610797</v>
      </c>
      <c r="GF713">
        <v>7.6974381608989884</v>
      </c>
      <c r="GG713">
        <v>10.692014014516179</v>
      </c>
      <c r="GH713">
        <v>13.572790809297281</v>
      </c>
      <c r="GI713">
        <v>18.456839980543318</v>
      </c>
      <c r="GJ713"/>
      <c r="GK713"/>
      <c r="GL713"/>
      <c r="GM713"/>
      <c r="GN713" s="208"/>
      <c r="GO713" s="208"/>
      <c r="GP713" s="208"/>
      <c r="GQ713" s="208"/>
      <c r="GR713" s="208"/>
      <c r="GS713" s="208"/>
      <c r="GT713" s="208"/>
      <c r="GU713" s="213">
        <v>708</v>
      </c>
    </row>
    <row r="714" spans="1:203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263.20286334005743</v>
      </c>
      <c r="AO714">
        <v>28.725688647521451</v>
      </c>
      <c r="AP714">
        <v>138.0747559451257</v>
      </c>
      <c r="AQ714">
        <v>215.41370459145821</v>
      </c>
      <c r="AR714">
        <v>29.580755259954287</v>
      </c>
      <c r="AS714">
        <v>385.54754957148441</v>
      </c>
      <c r="AT714" t="e">
        <v>#DIV/0!</v>
      </c>
      <c r="AU714" t="e">
        <v>#DIV/0!</v>
      </c>
      <c r="AV714"/>
      <c r="AW714"/>
      <c r="FY714" s="213">
        <v>709</v>
      </c>
      <c r="FZ714">
        <v>44.365338238847656</v>
      </c>
      <c r="GA714">
        <v>38.773376745933959</v>
      </c>
      <c r="GB714">
        <v>39.645957842557088</v>
      </c>
      <c r="GC714">
        <v>20.544977472832574</v>
      </c>
      <c r="GD714">
        <v>4.3190728089203239</v>
      </c>
      <c r="GE714">
        <v>3.9145143809416778</v>
      </c>
      <c r="GF714">
        <v>1.4990158879915247</v>
      </c>
      <c r="GG714">
        <v>1.4287461820339931</v>
      </c>
      <c r="GH714">
        <v>4.3767773392023681</v>
      </c>
      <c r="GI714">
        <v>19.717235841846811</v>
      </c>
      <c r="GJ714"/>
      <c r="GK714"/>
      <c r="GL714"/>
      <c r="GM714"/>
      <c r="GN714" s="208"/>
      <c r="GO714" s="208"/>
      <c r="GP714" s="208"/>
      <c r="GQ714" s="208"/>
      <c r="GR714" s="208"/>
      <c r="GS714" s="208"/>
      <c r="GT714" s="208"/>
      <c r="GU714" s="213">
        <v>709</v>
      </c>
    </row>
    <row r="715" spans="1:203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246.50721621899106</v>
      </c>
      <c r="AO715">
        <v>26.82847084059393</v>
      </c>
      <c r="AP715">
        <v>19.200501536899242</v>
      </c>
      <c r="AQ715">
        <v>193.32864470401105</v>
      </c>
      <c r="AR715">
        <v>27.10099203141608</v>
      </c>
      <c r="AS715">
        <v>358.46831296635321</v>
      </c>
      <c r="AT715">
        <v>17.026835756318555</v>
      </c>
      <c r="AU715">
        <v>-17.627859696029965</v>
      </c>
      <c r="AV715"/>
      <c r="AW715"/>
      <c r="FY715" s="213">
        <v>710</v>
      </c>
      <c r="FZ715">
        <v>67.585724500838225</v>
      </c>
      <c r="GA715">
        <v>43.069245800277479</v>
      </c>
      <c r="GB715">
        <v>23.557564005969297</v>
      </c>
      <c r="GC715">
        <v>12.842784115467932</v>
      </c>
      <c r="GD715">
        <v>4.481514082179773</v>
      </c>
      <c r="GE715">
        <v>7.5684812037396227</v>
      </c>
      <c r="GF715">
        <v>3.8796571568553677</v>
      </c>
      <c r="GG715">
        <v>2.6924954365489411</v>
      </c>
      <c r="GH715">
        <v>10.286150092755513</v>
      </c>
      <c r="GI715">
        <v>20.610991700945867</v>
      </c>
      <c r="GJ715"/>
      <c r="GK715"/>
      <c r="GL715"/>
      <c r="GM715"/>
      <c r="GN715" s="208"/>
      <c r="GO715" s="208"/>
      <c r="GP715" s="208"/>
      <c r="GQ715" s="208"/>
      <c r="GR715" s="208"/>
      <c r="GS715" s="208"/>
      <c r="GT715" s="208"/>
      <c r="GU715" s="213">
        <v>710</v>
      </c>
    </row>
    <row r="716" spans="1:203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306.96442654690043</v>
      </c>
      <c r="AO716">
        <v>32.686256131366662</v>
      </c>
      <c r="AP716">
        <v>52.336874554066803</v>
      </c>
      <c r="AQ716">
        <v>258.90147385547448</v>
      </c>
      <c r="AR716">
        <v>33.404556561174907</v>
      </c>
      <c r="AS716">
        <v>449.51960794287288</v>
      </c>
      <c r="AT716">
        <v>20.541000363308953</v>
      </c>
      <c r="AU716">
        <v>-84.058278051775829</v>
      </c>
      <c r="AV716"/>
      <c r="AW716"/>
      <c r="FY716" s="213">
        <v>711</v>
      </c>
      <c r="FZ716">
        <v>53.303837029872966</v>
      </c>
      <c r="GA716">
        <v>44.245518075847158</v>
      </c>
      <c r="GB716">
        <v>29.995199971357305</v>
      </c>
      <c r="GC716">
        <v>11.698790931004375</v>
      </c>
      <c r="GD716">
        <v>2.3934379353057054</v>
      </c>
      <c r="GE716">
        <v>4.3340676999832599</v>
      </c>
      <c r="GF716">
        <v>5.1650286491843289</v>
      </c>
      <c r="GG716">
        <v>3.6147417822236063</v>
      </c>
      <c r="GH716">
        <v>1.4334040912541064</v>
      </c>
      <c r="GI716">
        <v>17.742566102991656</v>
      </c>
      <c r="GJ716"/>
      <c r="GK716"/>
      <c r="GL716"/>
      <c r="GM716"/>
      <c r="GN716" s="208"/>
      <c r="GO716" s="208"/>
      <c r="GP716" s="208"/>
      <c r="GQ716" s="208"/>
      <c r="GR716" s="208"/>
      <c r="GS716" s="208"/>
      <c r="GT716" s="208"/>
      <c r="GU716" s="213">
        <v>711</v>
      </c>
    </row>
    <row r="717" spans="1:203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306.41013380945429</v>
      </c>
      <c r="AO717">
        <v>26.373603403517752</v>
      </c>
      <c r="AP717">
        <v>23.311036240844125</v>
      </c>
      <c r="AQ717">
        <v>196.55234281483368</v>
      </c>
      <c r="AR717">
        <v>26.060522000273185</v>
      </c>
      <c r="AS717">
        <v>376.08389691371013</v>
      </c>
      <c r="AT717">
        <v>16.18868678338206</v>
      </c>
      <c r="AU717">
        <v>-33.631263852644111</v>
      </c>
      <c r="AV717"/>
      <c r="AW717"/>
      <c r="FY717" s="213">
        <v>712</v>
      </c>
      <c r="FZ717">
        <v>30.885057929550676</v>
      </c>
      <c r="GA717">
        <v>32.811534273053653</v>
      </c>
      <c r="GB717">
        <v>32.967965988522387</v>
      </c>
      <c r="GC717">
        <v>15.294757996997014</v>
      </c>
      <c r="GD717">
        <v>4.2271977056674483</v>
      </c>
      <c r="GE717">
        <v>7.1408233529947234</v>
      </c>
      <c r="GF717">
        <v>5.6848442090536215</v>
      </c>
      <c r="GG717">
        <v>3.3566524475075727</v>
      </c>
      <c r="GH717">
        <v>3.3767708289553582</v>
      </c>
      <c r="GI717">
        <v>16.630212552123922</v>
      </c>
      <c r="GJ717"/>
      <c r="GK717"/>
      <c r="GL717"/>
      <c r="GM717"/>
      <c r="GN717" s="208"/>
      <c r="GO717" s="208"/>
      <c r="GP717" s="208"/>
      <c r="GQ717" s="208"/>
      <c r="GR717" s="208"/>
      <c r="GS717" s="208"/>
      <c r="GT717" s="208"/>
      <c r="GU717" s="213">
        <v>712</v>
      </c>
    </row>
    <row r="718" spans="1:203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238.91242464517003</v>
      </c>
      <c r="AO718">
        <v>28.177547640149349</v>
      </c>
      <c r="AP718">
        <v>20.548144311422572</v>
      </c>
      <c r="AQ718">
        <v>208.03850394977201</v>
      </c>
      <c r="AR718">
        <v>28.770394520448228</v>
      </c>
      <c r="AS718">
        <v>352.64565921765649</v>
      </c>
      <c r="AT718">
        <v>17.697732007793118</v>
      </c>
      <c r="AU718">
        <v>-5.7325206941730613</v>
      </c>
      <c r="AV718"/>
      <c r="AW718"/>
      <c r="FY718" s="213">
        <v>713</v>
      </c>
      <c r="FZ718">
        <v>25.120633308125008</v>
      </c>
      <c r="GA718">
        <v>36.576398165301157</v>
      </c>
      <c r="GB718">
        <v>25.159747655136091</v>
      </c>
      <c r="GC718">
        <v>9.5189011861445536</v>
      </c>
      <c r="GD718">
        <v>3.9742919485712602</v>
      </c>
      <c r="GE718">
        <v>7.6068668778848245</v>
      </c>
      <c r="GF718">
        <v>10.743944316961979</v>
      </c>
      <c r="GG718">
        <v>7.2717927065591281</v>
      </c>
      <c r="GH718">
        <v>5.6095095671778621</v>
      </c>
      <c r="GI718">
        <v>14.99161162691129</v>
      </c>
      <c r="GJ718"/>
      <c r="GK718"/>
      <c r="GL718"/>
      <c r="GM718"/>
      <c r="GN718" s="208"/>
      <c r="GO718" s="208"/>
      <c r="GP718" s="208"/>
      <c r="GQ718" s="208"/>
      <c r="GR718" s="208"/>
      <c r="GS718" s="208"/>
      <c r="GT718" s="208"/>
      <c r="GU718" s="213">
        <v>713</v>
      </c>
    </row>
    <row r="719" spans="1:203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223.13289395929101</v>
      </c>
      <c r="AO719">
        <v>23.095282627351583</v>
      </c>
      <c r="AP719">
        <v>20.309942164956908</v>
      </c>
      <c r="AQ719">
        <v>177.24602277512847</v>
      </c>
      <c r="AR719">
        <v>24.819535293390565</v>
      </c>
      <c r="AS719">
        <v>315.21890253919258</v>
      </c>
      <c r="AT719">
        <v>14.65579010487845</v>
      </c>
      <c r="AU719">
        <v>-3.1649925149763405</v>
      </c>
      <c r="AV719"/>
      <c r="AW719"/>
      <c r="FY719" s="213">
        <v>714</v>
      </c>
      <c r="FZ719">
        <v>47.531215092954135</v>
      </c>
      <c r="GA719">
        <v>29.220229602591736</v>
      </c>
      <c r="GB719">
        <v>20.954897243465606</v>
      </c>
      <c r="GC719">
        <v>9.7302262997061106</v>
      </c>
      <c r="GD719">
        <v>2.6325693908026309</v>
      </c>
      <c r="GE719">
        <v>4.8865417236940267</v>
      </c>
      <c r="GF719">
        <v>4.8283126876973625</v>
      </c>
      <c r="GG719">
        <v>7.3184445793154023</v>
      </c>
      <c r="GH719">
        <v>10.406136118277141</v>
      </c>
      <c r="GI719">
        <v>16.178976156261264</v>
      </c>
      <c r="GJ719"/>
      <c r="GK719"/>
      <c r="GL719"/>
      <c r="GM719"/>
      <c r="GN719" s="208"/>
      <c r="GO719" s="208"/>
      <c r="GP719" s="208"/>
      <c r="GQ719" s="208"/>
      <c r="GR719" s="208"/>
      <c r="GS719" s="208"/>
      <c r="GT719" s="208"/>
      <c r="GU719" s="213">
        <v>714</v>
      </c>
    </row>
    <row r="720" spans="1:203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297.6325856862403</v>
      </c>
      <c r="AO720">
        <v>28.952484159626511</v>
      </c>
      <c r="AP720">
        <v>10.036759579277584</v>
      </c>
      <c r="AQ720">
        <v>204.95312912545515</v>
      </c>
      <c r="AR720">
        <v>29.37980611252895</v>
      </c>
      <c r="AS720">
        <v>476.718385767482</v>
      </c>
      <c r="AT720">
        <v>18.586501752150038</v>
      </c>
      <c r="AU720">
        <v>-27.057405336871589</v>
      </c>
      <c r="AV720"/>
      <c r="AW720"/>
      <c r="FY720" s="213">
        <v>715</v>
      </c>
      <c r="FZ720">
        <v>55.650161953868121</v>
      </c>
      <c r="GA720">
        <v>66.14245352830666</v>
      </c>
      <c r="GB720">
        <v>40.227714383579873</v>
      </c>
      <c r="GC720">
        <v>16.776487078575169</v>
      </c>
      <c r="GD720">
        <v>4.6307570750969456</v>
      </c>
      <c r="GE720">
        <v>6.5851401316081688</v>
      </c>
      <c r="GF720">
        <v>6.0188233265879383</v>
      </c>
      <c r="GG720">
        <v>7.8989570286440589</v>
      </c>
      <c r="GH720">
        <v>11.577488922379711</v>
      </c>
      <c r="GI720">
        <v>23.647092781750708</v>
      </c>
      <c r="GJ720"/>
      <c r="GK720"/>
      <c r="GL720"/>
      <c r="GM720"/>
      <c r="GN720" s="208"/>
      <c r="GO720" s="208"/>
      <c r="GP720" s="208"/>
      <c r="GQ720" s="208"/>
      <c r="GR720" s="208"/>
      <c r="GS720" s="208"/>
      <c r="GT720" s="208"/>
      <c r="GU720" s="213">
        <v>715</v>
      </c>
    </row>
    <row r="721" spans="1:203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331.80003040775142</v>
      </c>
      <c r="AO721">
        <v>28.131667731252492</v>
      </c>
      <c r="AP721">
        <v>22.753435942014494</v>
      </c>
      <c r="AQ721">
        <v>189.42815029615201</v>
      </c>
      <c r="AR721">
        <v>27.90242675993446</v>
      </c>
      <c r="AS721">
        <v>432.59442618021512</v>
      </c>
      <c r="AT721">
        <v>17.070387565303974</v>
      </c>
      <c r="AU721">
        <v>-24.401934014650347</v>
      </c>
      <c r="AV721"/>
      <c r="AW721"/>
      <c r="FY721" s="213">
        <v>716</v>
      </c>
      <c r="FZ721">
        <v>53.085584116798195</v>
      </c>
      <c r="GA721">
        <v>47.194850868095941</v>
      </c>
      <c r="GB721">
        <v>27.457792794434575</v>
      </c>
      <c r="GC721">
        <v>10.226369294320769</v>
      </c>
      <c r="GD721">
        <v>2.1269003804808926</v>
      </c>
      <c r="GE721">
        <v>3.8149524901220744</v>
      </c>
      <c r="GF721">
        <v>12.635425269550787</v>
      </c>
      <c r="GG721">
        <v>11.923569101112564</v>
      </c>
      <c r="GH721">
        <v>8.1269022778318423</v>
      </c>
      <c r="GI721">
        <v>19.378401303897199</v>
      </c>
      <c r="GJ721"/>
      <c r="GK721"/>
      <c r="GL721"/>
      <c r="GM721"/>
      <c r="GN721" s="208"/>
      <c r="GO721" s="208"/>
      <c r="GP721" s="208"/>
      <c r="GQ721" s="208"/>
      <c r="GR721" s="208"/>
      <c r="GS721" s="208"/>
      <c r="GT721" s="208"/>
      <c r="GU721" s="213">
        <v>716</v>
      </c>
    </row>
    <row r="722" spans="1:203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305.17357273839059</v>
      </c>
      <c r="AO722">
        <v>30.654878507330938</v>
      </c>
      <c r="AP722">
        <v>38.960874272153646</v>
      </c>
      <c r="AQ722">
        <v>241.63710311634583</v>
      </c>
      <c r="AR722">
        <v>31.377594824581436</v>
      </c>
      <c r="AS722">
        <v>414.4742032690317</v>
      </c>
      <c r="AT722">
        <v>18.674614961382577</v>
      </c>
      <c r="AU722">
        <v>-29.272739997510747</v>
      </c>
      <c r="AV722"/>
      <c r="AW722"/>
      <c r="FY722" s="213">
        <v>717</v>
      </c>
      <c r="FZ722">
        <v>36.695544039747325</v>
      </c>
      <c r="GA722">
        <v>52.894969619770471</v>
      </c>
      <c r="GB722">
        <v>36.743377550613289</v>
      </c>
      <c r="GC722">
        <v>12.434437109032183</v>
      </c>
      <c r="GD722">
        <v>2.5527270491512559</v>
      </c>
      <c r="GE722">
        <v>3.2695963510082326</v>
      </c>
      <c r="GF722">
        <v>4.9287675410680354</v>
      </c>
      <c r="GG722">
        <v>3.3040319760105166</v>
      </c>
      <c r="GH722">
        <v>3.9871503603314373</v>
      </c>
      <c r="GI722">
        <v>17.426207534555086</v>
      </c>
      <c r="GJ722"/>
      <c r="GK722"/>
      <c r="GL722"/>
      <c r="GM722"/>
      <c r="GN722" s="208"/>
      <c r="GO722" s="208"/>
      <c r="GP722" s="208"/>
      <c r="GQ722" s="208"/>
      <c r="GR722" s="208"/>
      <c r="GS722" s="208"/>
      <c r="GT722" s="208"/>
      <c r="GU722" s="213">
        <v>717</v>
      </c>
    </row>
    <row r="723" spans="1:203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198.17030208033609</v>
      </c>
      <c r="AO723">
        <v>20.287133713438216</v>
      </c>
      <c r="AP723">
        <v>22.812323002847563</v>
      </c>
      <c r="AQ723">
        <v>155.6009569274969</v>
      </c>
      <c r="AR723">
        <v>22.012363557119823</v>
      </c>
      <c r="AS723">
        <v>299.18986823901105</v>
      </c>
      <c r="AT723" t="e">
        <v>#DIV/0!</v>
      </c>
      <c r="AU723" t="e">
        <v>#DIV/0!</v>
      </c>
      <c r="AV723"/>
      <c r="AW723"/>
      <c r="FY723" s="213">
        <v>718</v>
      </c>
      <c r="FZ723">
        <v>62.659511991775105</v>
      </c>
      <c r="GA723">
        <v>54.322351230892302</v>
      </c>
      <c r="GB723">
        <v>35.347981885495194</v>
      </c>
      <c r="GC723">
        <v>15.217974185833524</v>
      </c>
      <c r="GD723">
        <v>3.229290151380896</v>
      </c>
      <c r="GE723">
        <v>4.4191299233533057</v>
      </c>
      <c r="GF723">
        <v>2.0639347193284747</v>
      </c>
      <c r="GG723">
        <v>2.8268230395370235</v>
      </c>
      <c r="GH723">
        <v>8.7013318290086747</v>
      </c>
      <c r="GI723">
        <v>21.507623479332622</v>
      </c>
      <c r="GJ723"/>
      <c r="GK723"/>
      <c r="GL723"/>
      <c r="GM723"/>
      <c r="GN723" s="208"/>
      <c r="GO723" s="208"/>
      <c r="GP723" s="208"/>
      <c r="GQ723" s="208"/>
      <c r="GR723" s="208"/>
      <c r="GS723" s="208"/>
      <c r="GT723" s="208"/>
      <c r="GU723" s="213">
        <v>718</v>
      </c>
    </row>
    <row r="724" spans="1:203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218.54123739027514</v>
      </c>
      <c r="AO724">
        <v>23.839713502835817</v>
      </c>
      <c r="AP724">
        <v>42.739602819683867</v>
      </c>
      <c r="AQ724">
        <v>173.93669721390086</v>
      </c>
      <c r="AR724">
        <v>25.397122094230451</v>
      </c>
      <c r="AS724">
        <v>367.0428758414393</v>
      </c>
      <c r="AT724">
        <v>16.024877833307624</v>
      </c>
      <c r="AU724">
        <v>43.4136585641672</v>
      </c>
      <c r="AV724"/>
      <c r="AW724"/>
      <c r="FY724" s="213">
        <v>719</v>
      </c>
      <c r="FZ724">
        <v>42.610306582189793</v>
      </c>
      <c r="GA724">
        <v>47.618260109686865</v>
      </c>
      <c r="GB724">
        <v>33.701663306970445</v>
      </c>
      <c r="GC724">
        <v>14.848077360198184</v>
      </c>
      <c r="GD724">
        <v>4.492320690048091</v>
      </c>
      <c r="GE724">
        <v>5.4902089028443184</v>
      </c>
      <c r="GF724">
        <v>7.8240103787861912</v>
      </c>
      <c r="GG724">
        <v>8.1593579370544624</v>
      </c>
      <c r="GH724">
        <v>6.8326995342193397</v>
      </c>
      <c r="GI724">
        <v>19.617614477889244</v>
      </c>
      <c r="GJ724"/>
      <c r="GK724"/>
      <c r="GL724"/>
      <c r="GM724"/>
      <c r="GN724" s="208"/>
      <c r="GO724" s="208"/>
      <c r="GP724" s="208"/>
      <c r="GQ724" s="208"/>
      <c r="GR724" s="208"/>
      <c r="GS724" s="208"/>
      <c r="GT724" s="208"/>
      <c r="GU724" s="213">
        <v>719</v>
      </c>
    </row>
    <row r="725" spans="1:203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275.43439373750891</v>
      </c>
      <c r="AO725">
        <v>26.717158896815398</v>
      </c>
      <c r="AP725">
        <v>14.344738576732853</v>
      </c>
      <c r="AQ725">
        <v>178.58501274110799</v>
      </c>
      <c r="AR725">
        <v>27.069437163876042</v>
      </c>
      <c r="AS725">
        <v>350.44987057572035</v>
      </c>
      <c r="AT725">
        <v>16.343268380081494</v>
      </c>
      <c r="AU725">
        <v>-3.9213133482349818</v>
      </c>
      <c r="AV725"/>
      <c r="AW725"/>
      <c r="FY725" s="213">
        <v>720</v>
      </c>
      <c r="FZ725">
        <v>42.307207304603878</v>
      </c>
      <c r="GA725">
        <v>42.968398120634077</v>
      </c>
      <c r="GB725">
        <v>29.545619344019581</v>
      </c>
      <c r="GC725">
        <v>13.965380939929094</v>
      </c>
      <c r="GD725">
        <v>4.5981978633027198</v>
      </c>
      <c r="GE725">
        <v>4.9383010049373786</v>
      </c>
      <c r="GF725">
        <v>5.9933494581545705</v>
      </c>
      <c r="GG725">
        <v>3.6175448265293699</v>
      </c>
      <c r="GH725">
        <v>5.7860229068362781</v>
      </c>
      <c r="GI725">
        <v>18.116648767555187</v>
      </c>
      <c r="GJ725"/>
      <c r="GK725"/>
      <c r="GL725"/>
      <c r="GM725"/>
      <c r="GN725" s="208"/>
      <c r="GO725" s="208"/>
      <c r="GP725" s="208"/>
      <c r="GQ725" s="208"/>
      <c r="GR725" s="208"/>
      <c r="GS725" s="208"/>
      <c r="GT725" s="208"/>
      <c r="GU725" s="213">
        <v>720</v>
      </c>
    </row>
    <row r="726" spans="1:203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287.42665096840227</v>
      </c>
      <c r="AO726">
        <v>26.603979245824711</v>
      </c>
      <c r="AP726">
        <v>30.821897187499694</v>
      </c>
      <c r="AQ726">
        <v>196.57460809557801</v>
      </c>
      <c r="AR726">
        <v>28.582455699151094</v>
      </c>
      <c r="AS726">
        <v>372.9490848285115</v>
      </c>
      <c r="AT726">
        <v>16.642043243471893</v>
      </c>
      <c r="AU726">
        <v>17.120150056101942</v>
      </c>
      <c r="AV726"/>
      <c r="AW726"/>
      <c r="FY726" s="213">
        <v>721</v>
      </c>
      <c r="FZ726">
        <v>46.760981846509445</v>
      </c>
      <c r="GA726">
        <v>38.469348756754073</v>
      </c>
      <c r="GB726">
        <v>32.630067803268737</v>
      </c>
      <c r="GC726">
        <v>14.327549341616093</v>
      </c>
      <c r="GD726">
        <v>3.4417504443158689</v>
      </c>
      <c r="GE726">
        <v>4.8745648145278366</v>
      </c>
      <c r="GF726">
        <v>3.0062278385663426</v>
      </c>
      <c r="GG726">
        <v>5.2753430847573739</v>
      </c>
      <c r="GH726">
        <v>11.926205899630951</v>
      </c>
      <c r="GI726">
        <v>19.303557023973323</v>
      </c>
      <c r="GJ726"/>
      <c r="GK726"/>
      <c r="GL726"/>
      <c r="GM726"/>
      <c r="GN726" s="208"/>
      <c r="GO726" s="208"/>
      <c r="GP726" s="208"/>
      <c r="GQ726" s="208"/>
      <c r="GR726" s="208"/>
      <c r="GS726" s="208"/>
      <c r="GT726" s="208"/>
      <c r="GU726" s="213">
        <v>721</v>
      </c>
    </row>
    <row r="727" spans="1:203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241.2470169916979</v>
      </c>
      <c r="AO727">
        <v>23.282938811397841</v>
      </c>
      <c r="AP727">
        <v>24.285336517790377</v>
      </c>
      <c r="AQ727">
        <v>173.92659226902447</v>
      </c>
      <c r="AR727">
        <v>24.384549611090765</v>
      </c>
      <c r="AS727">
        <v>367.94452253560723</v>
      </c>
      <c r="AT727">
        <v>14.779637686905986</v>
      </c>
      <c r="AU727">
        <v>-10.541956000976832</v>
      </c>
      <c r="AV727"/>
      <c r="AW727"/>
      <c r="FY727" s="213">
        <v>722</v>
      </c>
      <c r="FZ727">
        <v>37.960611732007465</v>
      </c>
      <c r="GA727">
        <v>56.768994309414218</v>
      </c>
      <c r="GB727">
        <v>44.672373047517922</v>
      </c>
      <c r="GC727">
        <v>13.917082987340416</v>
      </c>
      <c r="GD727">
        <v>2.9976616249957182</v>
      </c>
      <c r="GE727">
        <v>5.8842933221059361</v>
      </c>
      <c r="GF727">
        <v>2.4848564711876349</v>
      </c>
      <c r="GG727">
        <v>2.6315244800021813</v>
      </c>
      <c r="GH727">
        <v>5.3564778965868101</v>
      </c>
      <c r="GI727">
        <v>19.565957598235777</v>
      </c>
      <c r="GJ727"/>
      <c r="GK727"/>
      <c r="GL727"/>
      <c r="GM727"/>
      <c r="GN727" s="208"/>
      <c r="GO727" s="208"/>
      <c r="GP727" s="208"/>
      <c r="GQ727" s="208"/>
      <c r="GR727" s="208"/>
      <c r="GS727" s="208"/>
      <c r="GT727" s="208"/>
      <c r="GU727" s="213">
        <v>722</v>
      </c>
    </row>
    <row r="728" spans="1:203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261.34796791409968</v>
      </c>
      <c r="AO728">
        <v>22.90572888089515</v>
      </c>
      <c r="AP728">
        <v>20.911973548007346</v>
      </c>
      <c r="AQ728">
        <v>152.37581728442638</v>
      </c>
      <c r="AR728">
        <v>22.753412919708698</v>
      </c>
      <c r="AS728">
        <v>347.38819010753929</v>
      </c>
      <c r="AT728">
        <v>14.098130976351207</v>
      </c>
      <c r="AU728">
        <v>-13.118243989139721</v>
      </c>
      <c r="AV728"/>
      <c r="AW728"/>
      <c r="FY728" s="213">
        <v>723</v>
      </c>
      <c r="FZ728">
        <v>52.558689158701931</v>
      </c>
      <c r="GA728">
        <v>51.60225455197385</v>
      </c>
      <c r="GB728">
        <v>29.763980811021195</v>
      </c>
      <c r="GC728">
        <v>10.738076107363973</v>
      </c>
      <c r="GD728">
        <v>2.2738022810392478</v>
      </c>
      <c r="GE728">
        <v>3.7824099324247222</v>
      </c>
      <c r="GF728">
        <v>6.1257753728643785</v>
      </c>
      <c r="GG728">
        <v>4.7719404944003934</v>
      </c>
      <c r="GH728">
        <v>6.8279690895425427</v>
      </c>
      <c r="GI728">
        <v>18.541481339766751</v>
      </c>
      <c r="GJ728"/>
      <c r="GK728"/>
      <c r="GL728"/>
      <c r="GM728"/>
      <c r="GN728" s="208"/>
      <c r="GO728" s="208"/>
      <c r="GP728" s="208"/>
      <c r="GQ728" s="208"/>
      <c r="GR728" s="208"/>
      <c r="GS728" s="208"/>
      <c r="GT728" s="208"/>
      <c r="GU728" s="213">
        <v>723</v>
      </c>
    </row>
    <row r="729" spans="1:203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277.44287045636145</v>
      </c>
      <c r="AO729">
        <v>20.692267626157651</v>
      </c>
      <c r="AP729">
        <v>26.264013010768657</v>
      </c>
      <c r="AQ729">
        <v>146.57369735877316</v>
      </c>
      <c r="AR729">
        <v>20.416156306102316</v>
      </c>
      <c r="AS729">
        <v>326.83205748471033</v>
      </c>
      <c r="AT729">
        <v>12.528567468690609</v>
      </c>
      <c r="AU729">
        <v>-26.034148075423097</v>
      </c>
      <c r="AV729"/>
      <c r="AW729"/>
      <c r="FY729" s="213">
        <v>724</v>
      </c>
      <c r="FZ729">
        <v>53.884480633702253</v>
      </c>
      <c r="GA729">
        <v>18.790260363971733</v>
      </c>
      <c r="GB729">
        <v>22.103169363517026</v>
      </c>
      <c r="GC729">
        <v>13.030945406728373</v>
      </c>
      <c r="GD729">
        <v>2.5646599392914964</v>
      </c>
      <c r="GE729">
        <v>2.1826014363023494</v>
      </c>
      <c r="GF729">
        <v>2.9589344949296379</v>
      </c>
      <c r="GG729">
        <v>7.783806093577903</v>
      </c>
      <c r="GH729">
        <v>12.280817845466835</v>
      </c>
      <c r="GI729">
        <v>17.303533581788358</v>
      </c>
      <c r="GJ729"/>
      <c r="GK729"/>
      <c r="GL729"/>
      <c r="GM729"/>
      <c r="GN729" s="208"/>
      <c r="GO729" s="208"/>
      <c r="GP729" s="208"/>
      <c r="GQ729" s="208"/>
      <c r="GR729" s="208"/>
      <c r="GS729" s="208"/>
      <c r="GT729" s="208"/>
      <c r="GU729" s="213">
        <v>724</v>
      </c>
    </row>
    <row r="730" spans="1:203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224.06230812406375</v>
      </c>
      <c r="AO730">
        <v>20.683023916372296</v>
      </c>
      <c r="AP730">
        <v>32.607978117868164</v>
      </c>
      <c r="AQ730">
        <v>153.6875488947654</v>
      </c>
      <c r="AR730">
        <v>22.14228320145979</v>
      </c>
      <c r="AS730">
        <v>302.51266741140819</v>
      </c>
      <c r="AT730">
        <v>14.021710929175898</v>
      </c>
      <c r="AU730">
        <v>13.984644116799657</v>
      </c>
      <c r="AV730"/>
      <c r="AW730"/>
      <c r="FY730" s="213">
        <v>725</v>
      </c>
      <c r="FZ730">
        <v>49.141500897161762</v>
      </c>
      <c r="GA730">
        <v>47.511166557317459</v>
      </c>
      <c r="GB730">
        <v>38.603459243715335</v>
      </c>
      <c r="GC730">
        <v>17.425928402867559</v>
      </c>
      <c r="GD730">
        <v>2.7204498486465765</v>
      </c>
      <c r="GE730">
        <v>4.2849721204966276</v>
      </c>
      <c r="GF730">
        <v>7.6089397190647299</v>
      </c>
      <c r="GG730">
        <v>6.8786916948463084</v>
      </c>
      <c r="GH730">
        <v>7.2811181961339173</v>
      </c>
      <c r="GI730">
        <v>20.825112328393917</v>
      </c>
      <c r="GJ730"/>
      <c r="GK730"/>
      <c r="GL730"/>
      <c r="GM730"/>
      <c r="GN730" s="208"/>
      <c r="GO730" s="208"/>
      <c r="GP730" s="208"/>
      <c r="GQ730" s="208"/>
      <c r="GR730" s="208"/>
      <c r="GS730" s="208"/>
      <c r="GT730" s="208"/>
      <c r="GU730" s="213">
        <v>725</v>
      </c>
    </row>
    <row r="731" spans="1:203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342.1336389467844</v>
      </c>
      <c r="AO731">
        <v>32.608743273388697</v>
      </c>
      <c r="AP731">
        <v>34.722071735251866</v>
      </c>
      <c r="AQ731">
        <v>239.15507621039734</v>
      </c>
      <c r="AR731">
        <v>32.41322635128504</v>
      </c>
      <c r="AS731">
        <v>527.92533083180615</v>
      </c>
      <c r="AT731">
        <v>19.768204969854811</v>
      </c>
      <c r="AU731">
        <v>-20.368235373847305</v>
      </c>
      <c r="AV731"/>
      <c r="AW731"/>
      <c r="FY731" s="213">
        <v>726</v>
      </c>
      <c r="FZ731">
        <v>52.019013665758969</v>
      </c>
      <c r="GA731">
        <v>54.065421347950718</v>
      </c>
      <c r="GB731">
        <v>35.234567412772712</v>
      </c>
      <c r="GC731">
        <v>16.898102412134932</v>
      </c>
      <c r="GD731">
        <v>4.2601782244111464</v>
      </c>
      <c r="GE731">
        <v>5.8589602087228991</v>
      </c>
      <c r="GF731">
        <v>5.307317627561063</v>
      </c>
      <c r="GG731">
        <v>4.1076803840682734</v>
      </c>
      <c r="GH731">
        <v>2.204784428531763</v>
      </c>
      <c r="GI731">
        <v>20.072877444510951</v>
      </c>
      <c r="GJ731"/>
      <c r="GK731"/>
      <c r="GL731"/>
      <c r="GM731"/>
      <c r="GN731" s="208"/>
      <c r="GO731" s="208"/>
      <c r="GP731" s="208"/>
      <c r="GQ731" s="208"/>
      <c r="GR731" s="208"/>
      <c r="GS731" s="208"/>
      <c r="GT731" s="208"/>
      <c r="GU731" s="213">
        <v>726</v>
      </c>
    </row>
    <row r="732" spans="1:203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256.52748083868306</v>
      </c>
      <c r="AO732">
        <v>25.516515830492498</v>
      </c>
      <c r="AP732">
        <v>37.973505369148967</v>
      </c>
      <c r="AQ732">
        <v>195.97074789664481</v>
      </c>
      <c r="AR732">
        <v>26.606591511023225</v>
      </c>
      <c r="AS732">
        <v>387.12646773731279</v>
      </c>
      <c r="AT732">
        <v>15.321771489577515</v>
      </c>
      <c r="AU732">
        <v>6.3913256423012683</v>
      </c>
      <c r="AV732"/>
      <c r="AW732"/>
      <c r="FY732" s="213">
        <v>727</v>
      </c>
      <c r="FZ732">
        <v>42.694332341920926</v>
      </c>
      <c r="GA732">
        <v>47.412324235414673</v>
      </c>
      <c r="GB732">
        <v>38.991787598932618</v>
      </c>
      <c r="GC732">
        <v>17.508996909757951</v>
      </c>
      <c r="GD732">
        <v>4.2083983556643831</v>
      </c>
      <c r="GE732">
        <v>6.147757037858697</v>
      </c>
      <c r="GF732">
        <v>13.890141518285489</v>
      </c>
      <c r="GG732">
        <v>11.134800930796761</v>
      </c>
      <c r="GH732">
        <v>7.5560131093024312</v>
      </c>
      <c r="GI732">
        <v>21.992273582023458</v>
      </c>
      <c r="GJ732"/>
      <c r="GK732"/>
      <c r="GL732"/>
      <c r="GM732"/>
      <c r="GN732" s="208"/>
      <c r="GO732" s="208"/>
      <c r="GP732" s="208"/>
      <c r="GQ732" s="208"/>
      <c r="GR732" s="208"/>
      <c r="GS732" s="208"/>
      <c r="GT732" s="208"/>
      <c r="GU732" s="213">
        <v>727</v>
      </c>
    </row>
    <row r="733" spans="1:203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236.11896084705592</v>
      </c>
      <c r="AO733">
        <v>23.670419146262741</v>
      </c>
      <c r="AP733">
        <v>21.773578644693611</v>
      </c>
      <c r="AQ733">
        <v>174.23680913128783</v>
      </c>
      <c r="AR733">
        <v>23.860000668783808</v>
      </c>
      <c r="AS733">
        <v>344.14241248188091</v>
      </c>
      <c r="AT733">
        <v>14.650431743865601</v>
      </c>
      <c r="AU733">
        <v>-23.407732698669744</v>
      </c>
      <c r="AV733"/>
      <c r="AW733"/>
      <c r="FY733" s="213">
        <v>728</v>
      </c>
      <c r="FZ733">
        <v>50.363225632310524</v>
      </c>
      <c r="GA733">
        <v>42.234669339809308</v>
      </c>
      <c r="GB733">
        <v>25.755259510409374</v>
      </c>
      <c r="GC733">
        <v>11.409210666265947</v>
      </c>
      <c r="GD733">
        <v>2.7658932216445078</v>
      </c>
      <c r="GE733">
        <v>4.9138045831571704</v>
      </c>
      <c r="GF733">
        <v>1.3948006856677326</v>
      </c>
      <c r="GG733">
        <v>4.1436561286797264</v>
      </c>
      <c r="GH733">
        <v>12.701881239985124</v>
      </c>
      <c r="GI733">
        <v>17.583023228389319</v>
      </c>
      <c r="GJ733"/>
      <c r="GK733"/>
      <c r="GL733"/>
      <c r="GM733"/>
      <c r="GN733" s="208"/>
      <c r="GO733" s="208"/>
      <c r="GP733" s="208"/>
      <c r="GQ733" s="208"/>
      <c r="GR733" s="208"/>
      <c r="GS733" s="208"/>
      <c r="GT733" s="208"/>
      <c r="GU733" s="213">
        <v>728</v>
      </c>
    </row>
    <row r="734" spans="1:203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255.69626752545179</v>
      </c>
      <c r="AO734">
        <v>28.326341841455427</v>
      </c>
      <c r="AP734">
        <v>38.570137900006245</v>
      </c>
      <c r="AQ734">
        <v>210.29595243593712</v>
      </c>
      <c r="AR734">
        <v>29.654752886221079</v>
      </c>
      <c r="AS734">
        <v>393.96161242320107</v>
      </c>
      <c r="AT734">
        <v>17.906882126271416</v>
      </c>
      <c r="AU734">
        <v>13.13704293645857</v>
      </c>
      <c r="AV734"/>
      <c r="AW734"/>
      <c r="FY734" s="213">
        <v>729</v>
      </c>
      <c r="FZ734">
        <v>48.298569331445954</v>
      </c>
      <c r="GA734">
        <v>48.771159608798271</v>
      </c>
      <c r="GB734">
        <v>23.008546722784661</v>
      </c>
      <c r="GC734">
        <v>11.012612522478243</v>
      </c>
      <c r="GD734">
        <v>4.4803636647476734</v>
      </c>
      <c r="GE734">
        <v>6.275884631770368</v>
      </c>
      <c r="GF734">
        <v>5.7005609695431527</v>
      </c>
      <c r="GG734">
        <v>7.9492518570459971</v>
      </c>
      <c r="GH734">
        <v>8.246796041863643</v>
      </c>
      <c r="GI734">
        <v>17.658683724837111</v>
      </c>
      <c r="GJ734"/>
      <c r="GK734"/>
      <c r="GL734"/>
      <c r="GM734"/>
      <c r="GN734" s="208"/>
      <c r="GO734" s="208"/>
      <c r="GP734" s="208"/>
      <c r="GQ734" s="208"/>
      <c r="GR734" s="208"/>
      <c r="GS734" s="208"/>
      <c r="GT734" s="208"/>
      <c r="GU734" s="213">
        <v>729</v>
      </c>
    </row>
    <row r="735" spans="1:203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269.33913692019354</v>
      </c>
      <c r="AO735">
        <v>26.965041308831566</v>
      </c>
      <c r="AP735">
        <v>35.731839643329742</v>
      </c>
      <c r="AQ735">
        <v>191.19451927988698</v>
      </c>
      <c r="AR735">
        <v>26.959496249136006</v>
      </c>
      <c r="AS735">
        <v>389.87831142074333</v>
      </c>
      <c r="AT735">
        <v>16.717895834230664</v>
      </c>
      <c r="AU735">
        <v>-20.821788588707673</v>
      </c>
      <c r="AV735"/>
      <c r="AW735"/>
      <c r="FY735" s="213">
        <v>730</v>
      </c>
      <c r="FZ735">
        <v>47.250070273578949</v>
      </c>
      <c r="GA735">
        <v>60.611723849469563</v>
      </c>
      <c r="GB735">
        <v>44.233587704389187</v>
      </c>
      <c r="GC735">
        <v>13.621087916912023</v>
      </c>
      <c r="GD735">
        <v>3.1110082849319154</v>
      </c>
      <c r="GE735">
        <v>5.0449617352267646</v>
      </c>
      <c r="GF735">
        <v>6.4658572051125027</v>
      </c>
      <c r="GG735">
        <v>6.0569763581079332</v>
      </c>
      <c r="GH735">
        <v>6.7312083029399332</v>
      </c>
      <c r="GI735">
        <v>21.816719276835524</v>
      </c>
      <c r="GJ735"/>
      <c r="GK735"/>
      <c r="GL735"/>
      <c r="GM735"/>
      <c r="GN735" s="208"/>
      <c r="GO735" s="208"/>
      <c r="GP735" s="208"/>
      <c r="GQ735" s="208"/>
      <c r="GR735" s="208"/>
      <c r="GS735" s="208"/>
      <c r="GT735" s="208"/>
      <c r="GU735" s="213">
        <v>730</v>
      </c>
    </row>
    <row r="736" spans="1:203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246.22783877863617</v>
      </c>
      <c r="AO736">
        <v>24.237817997753886</v>
      </c>
      <c r="AP736">
        <v>24.096402918166426</v>
      </c>
      <c r="AQ736">
        <v>171.83667053650214</v>
      </c>
      <c r="AR736">
        <v>24.814266103885476</v>
      </c>
      <c r="AS736">
        <v>338.8960117519257</v>
      </c>
      <c r="AT736">
        <v>15.510523246694243</v>
      </c>
      <c r="AU736">
        <v>-10.920698323201755</v>
      </c>
      <c r="AV736"/>
      <c r="AW736"/>
      <c r="FY736" s="213">
        <v>731</v>
      </c>
      <c r="FZ736">
        <v>43.614196153703013</v>
      </c>
      <c r="GA736">
        <v>38.519386717108503</v>
      </c>
      <c r="GB736">
        <v>34.634085556755295</v>
      </c>
      <c r="GC736">
        <v>14.809571791190477</v>
      </c>
      <c r="GD736">
        <v>3.7274906433981445</v>
      </c>
      <c r="GE736">
        <v>5.1328975179599432</v>
      </c>
      <c r="GF736">
        <v>3.3875147690120206</v>
      </c>
      <c r="GG736">
        <v>5.6509086818653351</v>
      </c>
      <c r="GH736">
        <v>11.011317690367417</v>
      </c>
      <c r="GI736">
        <v>19.412887228998247</v>
      </c>
      <c r="GJ736"/>
      <c r="GK736"/>
      <c r="GL736"/>
      <c r="GM736"/>
      <c r="GN736" s="208"/>
      <c r="GO736" s="208"/>
      <c r="GP736" s="208"/>
      <c r="GQ736" s="208"/>
      <c r="GR736" s="208"/>
      <c r="GS736" s="208"/>
      <c r="GT736" s="208"/>
      <c r="GU736" s="213">
        <v>731</v>
      </c>
    </row>
    <row r="737" spans="1:203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294.42700065008876</v>
      </c>
      <c r="AO737">
        <v>25.108531834316487</v>
      </c>
      <c r="AP737">
        <v>31.888916379030917</v>
      </c>
      <c r="AQ737">
        <v>180.01559685392004</v>
      </c>
      <c r="AR737">
        <v>26.426368042719623</v>
      </c>
      <c r="AS737">
        <v>398.92857129552669</v>
      </c>
      <c r="AT737">
        <v>16.153494830836745</v>
      </c>
      <c r="AU737">
        <v>10.451223029797717</v>
      </c>
      <c r="AV737"/>
      <c r="AW737"/>
      <c r="FY737" s="213">
        <v>732</v>
      </c>
      <c r="FZ737">
        <v>49.063140888541071</v>
      </c>
      <c r="GA737">
        <v>56.986516858994634</v>
      </c>
      <c r="GB737">
        <v>42.604036304268369</v>
      </c>
      <c r="GC737">
        <v>16.87456953076487</v>
      </c>
      <c r="GD737">
        <v>3.6304947321775711</v>
      </c>
      <c r="GE737">
        <v>4.2037293651472734</v>
      </c>
      <c r="GF737">
        <v>7.26026734604135</v>
      </c>
      <c r="GG737">
        <v>6.4297694512970223</v>
      </c>
      <c r="GH737">
        <v>11.168211188899269</v>
      </c>
      <c r="GI737">
        <v>22.855067434606461</v>
      </c>
      <c r="GJ737"/>
      <c r="GK737"/>
      <c r="GL737"/>
      <c r="GM737"/>
      <c r="GN737" s="208"/>
      <c r="GO737" s="208"/>
      <c r="GP737" s="208"/>
      <c r="GQ737" s="208"/>
      <c r="GR737" s="208"/>
      <c r="GS737" s="208"/>
      <c r="GT737" s="208"/>
      <c r="GU737" s="213">
        <v>732</v>
      </c>
    </row>
    <row r="738" spans="1:203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296.20929996406483</v>
      </c>
      <c r="AO738">
        <v>26.525986975794915</v>
      </c>
      <c r="AP738">
        <v>15.342089755848033</v>
      </c>
      <c r="AQ738">
        <v>192.23983346939409</v>
      </c>
      <c r="AR738">
        <v>26.691569175894656</v>
      </c>
      <c r="AS738">
        <v>390.4714668424491</v>
      </c>
      <c r="AT738">
        <v>17.117735888098654</v>
      </c>
      <c r="AU738">
        <v>-44.33933436164164</v>
      </c>
      <c r="AV738"/>
      <c r="AW738"/>
      <c r="FY738" s="213">
        <v>733</v>
      </c>
      <c r="FZ738">
        <v>36.794631063358082</v>
      </c>
      <c r="GA738">
        <v>40.486746357465577</v>
      </c>
      <c r="GB738">
        <v>32.225330059136134</v>
      </c>
      <c r="GC738">
        <v>12.506768242710327</v>
      </c>
      <c r="GD738">
        <v>2.7024754979834595</v>
      </c>
      <c r="GE738">
        <v>5.0019910587923908</v>
      </c>
      <c r="GF738">
        <v>1.7591898191806439</v>
      </c>
      <c r="GG738">
        <v>3.4351282782723001</v>
      </c>
      <c r="GH738">
        <v>5.5783681124728197</v>
      </c>
      <c r="GI738">
        <v>16.076622705144334</v>
      </c>
      <c r="GJ738"/>
      <c r="GK738"/>
      <c r="GL738"/>
      <c r="GM738"/>
      <c r="GN738" s="208"/>
      <c r="GO738" s="208"/>
      <c r="GP738" s="208"/>
      <c r="GQ738" s="208"/>
      <c r="GR738" s="208"/>
      <c r="GS738" s="208"/>
      <c r="GT738" s="208"/>
      <c r="GU738" s="213">
        <v>733</v>
      </c>
    </row>
    <row r="739" spans="1:203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223.79363871669972</v>
      </c>
      <c r="AO739">
        <v>24.443116907385271</v>
      </c>
      <c r="AP739">
        <v>24.697796235639402</v>
      </c>
      <c r="AQ739">
        <v>186.98637913909897</v>
      </c>
      <c r="AR739">
        <v>25.546438466090457</v>
      </c>
      <c r="AS739">
        <v>325.02317305424071</v>
      </c>
      <c r="AT739">
        <v>15.2488464633569</v>
      </c>
      <c r="AU739">
        <v>-19.379768437382928</v>
      </c>
      <c r="AV739"/>
      <c r="AW739"/>
      <c r="FY739" s="213">
        <v>734</v>
      </c>
      <c r="FZ739">
        <v>48.803827136096068</v>
      </c>
      <c r="GA739">
        <v>32.996893611156828</v>
      </c>
      <c r="GB739">
        <v>26.84785917745662</v>
      </c>
      <c r="GC739">
        <v>14.069708871305021</v>
      </c>
      <c r="GD739">
        <v>4.1484377652813853</v>
      </c>
      <c r="GE739">
        <v>5.7607056841232414</v>
      </c>
      <c r="GF739">
        <v>4.9352647339738045</v>
      </c>
      <c r="GG739">
        <v>4.1687639430659988</v>
      </c>
      <c r="GH739">
        <v>8.0318300163951406</v>
      </c>
      <c r="GI739">
        <v>18.336122198626519</v>
      </c>
      <c r="GJ739"/>
      <c r="GK739"/>
      <c r="GL739"/>
      <c r="GM739"/>
      <c r="GN739" s="208"/>
      <c r="GO739" s="208"/>
      <c r="GP739" s="208"/>
      <c r="GQ739" s="208"/>
      <c r="GR739" s="208"/>
      <c r="GS739" s="208"/>
      <c r="GT739" s="208"/>
      <c r="GU739" s="213">
        <v>734</v>
      </c>
    </row>
    <row r="740" spans="1:203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219.72860373417257</v>
      </c>
      <c r="AO740">
        <v>21.24966141878766</v>
      </c>
      <c r="AP740">
        <v>33.539974868693172</v>
      </c>
      <c r="AQ740">
        <v>152.88320915927596</v>
      </c>
      <c r="AR740">
        <v>23.735694392354574</v>
      </c>
      <c r="AS740">
        <v>332.73371057078293</v>
      </c>
      <c r="AT740">
        <v>15.324750921775186</v>
      </c>
      <c r="AU740">
        <v>56.303213188892656</v>
      </c>
      <c r="AV740"/>
      <c r="AW740"/>
      <c r="FY740" s="213">
        <v>735</v>
      </c>
      <c r="FZ740">
        <v>47.257563903237205</v>
      </c>
      <c r="GA740">
        <v>38.255189345997103</v>
      </c>
      <c r="GB740">
        <v>30.197772926131467</v>
      </c>
      <c r="GC740">
        <v>14.913534710688291</v>
      </c>
      <c r="GD740">
        <v>1.8460599594868237</v>
      </c>
      <c r="GE740">
        <v>2.0054169265402506</v>
      </c>
      <c r="GF740">
        <v>2.5005732316771669</v>
      </c>
      <c r="GG740">
        <v>3.5869771002976831</v>
      </c>
      <c r="GH740">
        <v>6.3039555076691602</v>
      </c>
      <c r="GI740">
        <v>16.876830859061059</v>
      </c>
      <c r="GJ740"/>
      <c r="GK740"/>
      <c r="GL740"/>
      <c r="GM740"/>
      <c r="GN740" s="208"/>
      <c r="GO740" s="208"/>
      <c r="GP740" s="208"/>
      <c r="GQ740" s="208"/>
      <c r="GR740" s="208"/>
      <c r="GS740" s="208"/>
      <c r="GT740" s="208"/>
      <c r="GU740" s="213">
        <v>735</v>
      </c>
    </row>
    <row r="741" spans="1:203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262.06579491509677</v>
      </c>
      <c r="AO741">
        <v>28.422330238613775</v>
      </c>
      <c r="AP741">
        <v>79.18132866646441</v>
      </c>
      <c r="AQ741">
        <v>202.28133900864421</v>
      </c>
      <c r="AR741">
        <v>28.674852730834996</v>
      </c>
      <c r="AS741">
        <v>384.7231245878985</v>
      </c>
      <c r="AT741">
        <v>17.454966696537472</v>
      </c>
      <c r="AU741">
        <v>-13.185447052775977</v>
      </c>
      <c r="AV741"/>
      <c r="AW741"/>
      <c r="FY741" s="213">
        <v>736</v>
      </c>
      <c r="FZ741">
        <v>53.168228699321709</v>
      </c>
      <c r="GA741">
        <v>63.896399369889878</v>
      </c>
      <c r="GB741">
        <v>46.058709203911242</v>
      </c>
      <c r="GC741">
        <v>15.878095441368892</v>
      </c>
      <c r="GD741">
        <v>3.3012601590606332</v>
      </c>
      <c r="GE741">
        <v>4.4716839229951368</v>
      </c>
      <c r="GF741">
        <v>5.6821073651009719</v>
      </c>
      <c r="GG741">
        <v>3.9247135598446139</v>
      </c>
      <c r="GH741">
        <v>7.5192378504633659</v>
      </c>
      <c r="GI741">
        <v>23.252812162166826</v>
      </c>
      <c r="GJ741"/>
      <c r="GK741"/>
      <c r="GL741"/>
      <c r="GM741"/>
      <c r="GN741" s="208"/>
      <c r="GO741" s="208"/>
      <c r="GP741" s="208"/>
      <c r="GQ741" s="208"/>
      <c r="GR741" s="208"/>
      <c r="GS741" s="208"/>
      <c r="GT741" s="208"/>
      <c r="GU741" s="213">
        <v>736</v>
      </c>
    </row>
    <row r="742" spans="1:203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316.54973719782186</v>
      </c>
      <c r="AO742">
        <v>27.9256307880732</v>
      </c>
      <c r="AP742">
        <v>44.312731460012856</v>
      </c>
      <c r="AQ742">
        <v>200.02890315642338</v>
      </c>
      <c r="AR742">
        <v>27.450372963224872</v>
      </c>
      <c r="AS742">
        <v>417.40290262403585</v>
      </c>
      <c r="AT742">
        <v>16.439763415588008</v>
      </c>
      <c r="AU742">
        <v>-17.81810416021775</v>
      </c>
      <c r="AV742"/>
      <c r="AW742"/>
      <c r="FY742" s="213">
        <v>737</v>
      </c>
      <c r="FZ742">
        <v>41.576922122823866</v>
      </c>
      <c r="GA742">
        <v>36.920285913788994</v>
      </c>
      <c r="GB742">
        <v>36.218605797136888</v>
      </c>
      <c r="GC742">
        <v>18.551146575111932</v>
      </c>
      <c r="GD742">
        <v>4.1812491671446423</v>
      </c>
      <c r="GE742">
        <v>6.6693589674215605</v>
      </c>
      <c r="GF742">
        <v>2.2643121235608734</v>
      </c>
      <c r="GG742">
        <v>10.424630709985975</v>
      </c>
      <c r="GH742">
        <v>20.91682221167412</v>
      </c>
      <c r="GI742">
        <v>21.120736616327655</v>
      </c>
      <c r="GJ742"/>
      <c r="GK742"/>
      <c r="GL742"/>
      <c r="GM742"/>
      <c r="GN742" s="208"/>
      <c r="GO742" s="208"/>
      <c r="GP742" s="208"/>
      <c r="GQ742" s="208"/>
      <c r="GR742" s="208"/>
      <c r="GS742" s="208"/>
      <c r="GT742" s="208"/>
      <c r="GU742" s="213">
        <v>737</v>
      </c>
    </row>
    <row r="743" spans="1:203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319.70181743888514</v>
      </c>
      <c r="AO743">
        <v>30.161681182589142</v>
      </c>
      <c r="AP743">
        <v>41.218761692844154</v>
      </c>
      <c r="AQ743">
        <v>211.53682561995737</v>
      </c>
      <c r="AR743">
        <v>30.110524336252094</v>
      </c>
      <c r="AS743">
        <v>492.97126311851321</v>
      </c>
      <c r="AT743">
        <v>19.053723370537245</v>
      </c>
      <c r="AU743">
        <v>4.1448696009867803</v>
      </c>
      <c r="AV743"/>
      <c r="AW743"/>
      <c r="FY743" s="213">
        <v>738</v>
      </c>
      <c r="FZ743">
        <v>43.303583292513764</v>
      </c>
      <c r="GA743">
        <v>47.43789499224561</v>
      </c>
      <c r="GB743">
        <v>36.779584398606744</v>
      </c>
      <c r="GC743">
        <v>15.399782928529936</v>
      </c>
      <c r="GD743">
        <v>5.2088099989951751</v>
      </c>
      <c r="GE743">
        <v>9.7494417725872911</v>
      </c>
      <c r="GF743">
        <v>2.7303371468876914</v>
      </c>
      <c r="GG743">
        <v>2.7624892596404353</v>
      </c>
      <c r="GH743">
        <v>10.202776382117563</v>
      </c>
      <c r="GI743">
        <v>20.493833344281338</v>
      </c>
      <c r="GJ743"/>
      <c r="GK743"/>
      <c r="GL743"/>
      <c r="GM743"/>
      <c r="GN743" s="208"/>
      <c r="GO743" s="208"/>
      <c r="GP743" s="208"/>
      <c r="GQ743" s="208"/>
      <c r="GR743" s="208"/>
      <c r="GS743" s="208"/>
      <c r="GT743" s="208"/>
      <c r="GU743" s="213">
        <v>738</v>
      </c>
    </row>
    <row r="744" spans="1:203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246.41813937087426</v>
      </c>
      <c r="AO744">
        <v>23.111483719434155</v>
      </c>
      <c r="AP744">
        <v>106.74420955457316</v>
      </c>
      <c r="AQ744">
        <v>173.26542423631875</v>
      </c>
      <c r="AR744">
        <v>24.153813442339775</v>
      </c>
      <c r="AS744">
        <v>325.21265586966547</v>
      </c>
      <c r="AT744" t="e">
        <v>#DIV/0!</v>
      </c>
      <c r="AU744" t="e">
        <v>#DIV/0!</v>
      </c>
      <c r="AV744"/>
      <c r="AW744"/>
      <c r="FY744" s="213">
        <v>739</v>
      </c>
      <c r="FZ744">
        <v>39.904294098175484</v>
      </c>
      <c r="GA744">
        <v>66.737731666811953</v>
      </c>
      <c r="GB744">
        <v>41.852138378622406</v>
      </c>
      <c r="GC744">
        <v>13.196764983776365</v>
      </c>
      <c r="GD744">
        <v>3.1992156871838127</v>
      </c>
      <c r="GE744">
        <v>4.788082690187629</v>
      </c>
      <c r="GF744">
        <v>8.9705935448012184</v>
      </c>
      <c r="GG744">
        <v>6.3625880173070328</v>
      </c>
      <c r="GH744">
        <v>5.9289617029772961</v>
      </c>
      <c r="GI744">
        <v>20.555135122124483</v>
      </c>
      <c r="GJ744"/>
      <c r="GK744"/>
      <c r="GL744"/>
      <c r="GM744"/>
      <c r="GN744" s="208"/>
      <c r="GO744" s="208"/>
      <c r="GP744" s="208"/>
      <c r="GQ744" s="208"/>
      <c r="GR744" s="208"/>
      <c r="GS744" s="208"/>
      <c r="GT744" s="208"/>
      <c r="GU744" s="213">
        <v>739</v>
      </c>
    </row>
    <row r="745" spans="1:203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273.207428671586</v>
      </c>
      <c r="AO745">
        <v>24.372277696657598</v>
      </c>
      <c r="AP745">
        <v>24.91207886567949</v>
      </c>
      <c r="AQ745">
        <v>181.40242907531507</v>
      </c>
      <c r="AR745">
        <v>24.217083221674621</v>
      </c>
      <c r="AS745">
        <v>362.78686666525647</v>
      </c>
      <c r="AT745">
        <v>14.659282811128605</v>
      </c>
      <c r="AU745">
        <v>-19.024592519798968</v>
      </c>
      <c r="AV745"/>
      <c r="AW745"/>
      <c r="FY745" s="213">
        <v>740</v>
      </c>
      <c r="FZ745">
        <v>46.336631083203905</v>
      </c>
      <c r="GA745">
        <v>42.601806929648141</v>
      </c>
      <c r="GB745">
        <v>29.819844731719872</v>
      </c>
      <c r="GC745">
        <v>12.232476918780474</v>
      </c>
      <c r="GD745">
        <v>3.8663583970421174</v>
      </c>
      <c r="GE745">
        <v>6.6797347675281573</v>
      </c>
      <c r="GF745">
        <v>3.2424889466826365</v>
      </c>
      <c r="GG745">
        <v>3.5768817885063413</v>
      </c>
      <c r="GH745">
        <v>6.2952947177788676</v>
      </c>
      <c r="GI745">
        <v>17.929181454828388</v>
      </c>
      <c r="GJ745"/>
      <c r="GK745"/>
      <c r="GL745"/>
      <c r="GM745"/>
      <c r="GN745" s="208"/>
      <c r="GO745" s="208"/>
      <c r="GP745" s="208"/>
      <c r="GQ745" s="208"/>
      <c r="GR745" s="208"/>
      <c r="GS745" s="208"/>
      <c r="GT745" s="208"/>
      <c r="GU745" s="213">
        <v>740</v>
      </c>
    </row>
    <row r="746" spans="1:203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354.82988535245761</v>
      </c>
      <c r="AO746">
        <v>28.980603741008981</v>
      </c>
      <c r="AP746">
        <v>17.639736378003469</v>
      </c>
      <c r="AQ746">
        <v>214.94320090750432</v>
      </c>
      <c r="AR746">
        <v>29.855799293460773</v>
      </c>
      <c r="AS746">
        <v>488.80410163443702</v>
      </c>
      <c r="AT746">
        <v>18.615423723596326</v>
      </c>
      <c r="AU746">
        <v>-20.108175171382456</v>
      </c>
      <c r="AV746"/>
      <c r="AW746"/>
      <c r="FY746" s="213">
        <v>741</v>
      </c>
      <c r="FZ746">
        <v>45.687433153777093</v>
      </c>
      <c r="GA746">
        <v>56.007350911281165</v>
      </c>
      <c r="GB746">
        <v>43.264945914777968</v>
      </c>
      <c r="GC746">
        <v>16.389517816090297</v>
      </c>
      <c r="GD746">
        <v>3.2113117042264427</v>
      </c>
      <c r="GE746">
        <v>4.3798206699113589</v>
      </c>
      <c r="GF746">
        <v>4.9032936726346694</v>
      </c>
      <c r="GG746">
        <v>4.9354150959267828</v>
      </c>
      <c r="GH746">
        <v>7.7281014888865274</v>
      </c>
      <c r="GI746">
        <v>21.314729269693128</v>
      </c>
      <c r="GJ746"/>
      <c r="GK746"/>
      <c r="GL746"/>
      <c r="GM746"/>
      <c r="GN746" s="208"/>
      <c r="GO746" s="208"/>
      <c r="GP746" s="208"/>
      <c r="GQ746" s="208"/>
      <c r="GR746" s="208"/>
      <c r="GS746" s="208"/>
      <c r="GT746" s="208"/>
      <c r="GU746" s="213">
        <v>741</v>
      </c>
    </row>
    <row r="747" spans="1:203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299.527724221818</v>
      </c>
      <c r="AO747">
        <v>25.420932021436414</v>
      </c>
      <c r="AP747">
        <v>30.338982269681232</v>
      </c>
      <c r="AQ747">
        <v>179.90025675035838</v>
      </c>
      <c r="AR747">
        <v>26.560329460871909</v>
      </c>
      <c r="AS747">
        <v>404.50294613845602</v>
      </c>
      <c r="AT747">
        <v>16.822045993799538</v>
      </c>
      <c r="AU747">
        <v>9.6958974128932098</v>
      </c>
      <c r="AV747"/>
      <c r="AW747"/>
      <c r="FY747" s="213">
        <v>742</v>
      </c>
      <c r="FZ747">
        <v>60.893266947313542</v>
      </c>
      <c r="GA747">
        <v>46.516870615185297</v>
      </c>
      <c r="GB747">
        <v>37.419032914397569</v>
      </c>
      <c r="GC747">
        <v>16.054393399415851</v>
      </c>
      <c r="GD747">
        <v>3.2185814817892511</v>
      </c>
      <c r="GE747">
        <v>4.8080217129437601</v>
      </c>
      <c r="GF747">
        <v>4.699003625857511</v>
      </c>
      <c r="GG747">
        <v>4.3178145715574345</v>
      </c>
      <c r="GH747">
        <v>6.4779231236712382</v>
      </c>
      <c r="GI747">
        <v>21.872295651160307</v>
      </c>
      <c r="GJ747"/>
      <c r="GK747"/>
      <c r="GL747"/>
      <c r="GM747"/>
      <c r="GN747" s="208"/>
      <c r="GO747" s="208"/>
      <c r="GP747" s="208"/>
      <c r="GQ747" s="208"/>
      <c r="GR747" s="208"/>
      <c r="GS747" s="208"/>
      <c r="GT747" s="208"/>
      <c r="GU747" s="213">
        <v>742</v>
      </c>
    </row>
    <row r="748" spans="1:203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290.71919492415992</v>
      </c>
      <c r="AO748">
        <v>30.496435233978566</v>
      </c>
      <c r="AP748">
        <v>32.740499459437743</v>
      </c>
      <c r="AQ748">
        <v>221.07580310073791</v>
      </c>
      <c r="AR748">
        <v>31.334216883255419</v>
      </c>
      <c r="AS748">
        <v>420.50916719840245</v>
      </c>
      <c r="AT748">
        <v>19.937635690542741</v>
      </c>
      <c r="AU748">
        <v>-20.952602351236614</v>
      </c>
      <c r="AV748"/>
      <c r="AW748"/>
      <c r="FY748" s="213">
        <v>743</v>
      </c>
      <c r="FZ748">
        <v>41.866064182084308</v>
      </c>
      <c r="GA748">
        <v>37.652433208684698</v>
      </c>
      <c r="GB748">
        <v>28.803343871777972</v>
      </c>
      <c r="GC748">
        <v>13.744966151458343</v>
      </c>
      <c r="GD748">
        <v>3.6662718694988494</v>
      </c>
      <c r="GE748">
        <v>4.3201287580252625</v>
      </c>
      <c r="GF748">
        <v>6.6787377926649167</v>
      </c>
      <c r="GG748">
        <v>6.3049115756774299</v>
      </c>
      <c r="GH748">
        <v>7.1292665214983861</v>
      </c>
      <c r="GI748">
        <v>17.663298244151374</v>
      </c>
      <c r="GJ748"/>
      <c r="GK748"/>
      <c r="GL748"/>
      <c r="GM748"/>
      <c r="GN748" s="208"/>
      <c r="GO748" s="208"/>
      <c r="GP748" s="208"/>
      <c r="GQ748" s="208"/>
      <c r="GR748" s="208"/>
      <c r="GS748" s="208"/>
      <c r="GT748" s="208"/>
      <c r="GU748" s="213">
        <v>743</v>
      </c>
    </row>
    <row r="749" spans="1:203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272.69216436554746</v>
      </c>
      <c r="AO749">
        <v>21.844460658736899</v>
      </c>
      <c r="AP749">
        <v>26.837445078885409</v>
      </c>
      <c r="AQ749">
        <v>156.56725119451605</v>
      </c>
      <c r="AR749">
        <v>21.978081484658532</v>
      </c>
      <c r="AS749">
        <v>313.55572076053193</v>
      </c>
      <c r="AT749">
        <v>13.153355689261387</v>
      </c>
      <c r="AU749">
        <v>-3.4341374082300291</v>
      </c>
      <c r="AV749"/>
      <c r="AW749"/>
      <c r="FY749" s="213">
        <v>744</v>
      </c>
      <c r="FZ749">
        <v>41.628379543748878</v>
      </c>
      <c r="GA749">
        <v>28.145974020541097</v>
      </c>
      <c r="GB749">
        <v>20.731701333922953</v>
      </c>
      <c r="GC749">
        <v>9.9544785519881369</v>
      </c>
      <c r="GD749">
        <v>4.0026970664981594</v>
      </c>
      <c r="GE749">
        <v>6.5318318733684526</v>
      </c>
      <c r="GF749">
        <v>8.6989955045846319</v>
      </c>
      <c r="GG749">
        <v>7.0368308369795303</v>
      </c>
      <c r="GH749">
        <v>7.3240415545667119</v>
      </c>
      <c r="GI749">
        <v>16.259282080437394</v>
      </c>
      <c r="GJ749"/>
      <c r="GK749"/>
      <c r="GL749"/>
      <c r="GM749"/>
      <c r="GN749" s="208"/>
      <c r="GO749" s="208"/>
      <c r="GP749" s="208"/>
      <c r="GQ749" s="208"/>
      <c r="GR749" s="208"/>
      <c r="GS749" s="208"/>
      <c r="GT749" s="208"/>
      <c r="GU749" s="213">
        <v>744</v>
      </c>
    </row>
    <row r="750" spans="1:203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261.61072225415018</v>
      </c>
      <c r="AO750">
        <v>23.889555796503601</v>
      </c>
      <c r="AP750">
        <v>34.89875869530696</v>
      </c>
      <c r="AQ750">
        <v>168.09941313748064</v>
      </c>
      <c r="AR750">
        <v>25.199371661390607</v>
      </c>
      <c r="AS750">
        <v>361.18707579395743</v>
      </c>
      <c r="AT750">
        <v>14.763505433510467</v>
      </c>
      <c r="AU750">
        <v>4.9148561630973262</v>
      </c>
      <c r="AV750"/>
      <c r="AW750"/>
      <c r="FY750" s="213">
        <v>745</v>
      </c>
      <c r="FZ750">
        <v>39.882238846722601</v>
      </c>
      <c r="GA750">
        <v>64.454041735081574</v>
      </c>
      <c r="GB750">
        <v>48.050608440489569</v>
      </c>
      <c r="GC750">
        <v>16.830156086359086</v>
      </c>
      <c r="GD750">
        <v>4.0843957374679141</v>
      </c>
      <c r="GE750">
        <v>8.2191805477510886</v>
      </c>
      <c r="GF750">
        <v>11.665593759588617</v>
      </c>
      <c r="GG750">
        <v>11.309864130794475</v>
      </c>
      <c r="GH750">
        <v>17.159763279300442</v>
      </c>
      <c r="GI750">
        <v>24.848995749126882</v>
      </c>
      <c r="GJ750"/>
      <c r="GK750"/>
      <c r="GL750"/>
      <c r="GM750"/>
      <c r="GN750" s="208"/>
      <c r="GO750" s="208"/>
      <c r="GP750" s="208"/>
      <c r="GQ750" s="208"/>
      <c r="GR750" s="208"/>
      <c r="GS750" s="208"/>
      <c r="GT750" s="208"/>
      <c r="GU750" s="213">
        <v>745</v>
      </c>
    </row>
    <row r="751" spans="1:203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222.98829850588217</v>
      </c>
      <c r="AO751">
        <v>22.581056939454921</v>
      </c>
      <c r="AP751">
        <v>36.496637730656602</v>
      </c>
      <c r="AQ751">
        <v>163.74387447078624</v>
      </c>
      <c r="AR751">
        <v>23.166141746840573</v>
      </c>
      <c r="AS751">
        <v>323.16698453161592</v>
      </c>
      <c r="AT751">
        <v>14.054495238164792</v>
      </c>
      <c r="AU751">
        <v>15.577497827002183</v>
      </c>
      <c r="AV751"/>
      <c r="AW751"/>
      <c r="FY751" s="213">
        <v>746</v>
      </c>
      <c r="FZ751">
        <v>67.772730151861083</v>
      </c>
      <c r="GA751">
        <v>45.590495389952721</v>
      </c>
      <c r="GB751">
        <v>18.271857531017687</v>
      </c>
      <c r="GC751">
        <v>10.635297715041284</v>
      </c>
      <c r="GD751">
        <v>2.783887376856673</v>
      </c>
      <c r="GE751">
        <v>4.3181799305871209</v>
      </c>
      <c r="GF751">
        <v>5.4105093248843854</v>
      </c>
      <c r="GG751">
        <v>6.0440191966556318</v>
      </c>
      <c r="GH751">
        <v>7.3277553158545672</v>
      </c>
      <c r="GI751">
        <v>18.207526745009869</v>
      </c>
      <c r="GJ751"/>
      <c r="GK751"/>
      <c r="GL751"/>
      <c r="GM751"/>
      <c r="GN751" s="208"/>
      <c r="GO751" s="208"/>
      <c r="GP751" s="208"/>
      <c r="GQ751" s="208"/>
      <c r="GR751" s="208"/>
      <c r="GS751" s="208"/>
      <c r="GT751" s="208"/>
      <c r="GU751" s="213">
        <v>746</v>
      </c>
    </row>
    <row r="752" spans="1:203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351.10495708282156</v>
      </c>
      <c r="AO752">
        <v>30.776564963989834</v>
      </c>
      <c r="AP752">
        <v>33.965855094067024</v>
      </c>
      <c r="AQ752">
        <v>227.15324773412323</v>
      </c>
      <c r="AR752">
        <v>31.871982469667515</v>
      </c>
      <c r="AS752">
        <v>512.76545003257183</v>
      </c>
      <c r="AT752">
        <v>19.506332057897762</v>
      </c>
      <c r="AU752">
        <v>-24.693532026410104</v>
      </c>
      <c r="AV752"/>
      <c r="AW752"/>
      <c r="FY752" s="213">
        <v>747</v>
      </c>
      <c r="FZ752">
        <v>40.459525328881391</v>
      </c>
      <c r="GA752">
        <v>42.163599520556268</v>
      </c>
      <c r="GB752">
        <v>31.450946795996437</v>
      </c>
      <c r="GC752">
        <v>13.319610091199586</v>
      </c>
      <c r="GD752">
        <v>3.6743965957493385</v>
      </c>
      <c r="GE752">
        <v>4.3605655454798189</v>
      </c>
      <c r="GF752">
        <v>7.3487657878756103</v>
      </c>
      <c r="GG752">
        <v>8.658619618793324</v>
      </c>
      <c r="GH752">
        <v>7.2220707684127632</v>
      </c>
      <c r="GI752">
        <v>18.271708017419982</v>
      </c>
      <c r="GJ752"/>
      <c r="GK752"/>
      <c r="GL752"/>
      <c r="GM752"/>
      <c r="GN752" s="208"/>
      <c r="GO752" s="208"/>
      <c r="GP752" s="208"/>
      <c r="GQ752" s="208"/>
      <c r="GR752" s="208"/>
      <c r="GS752" s="208"/>
      <c r="GT752" s="208"/>
      <c r="GU752" s="213">
        <v>747</v>
      </c>
    </row>
    <row r="753" spans="1:203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325.01063803140948</v>
      </c>
      <c r="AO753">
        <v>28.870687437570858</v>
      </c>
      <c r="AP753">
        <v>57.04700925557389</v>
      </c>
      <c r="AQ753">
        <v>198.8440702049765</v>
      </c>
      <c r="AR753">
        <v>28.925082283924546</v>
      </c>
      <c r="AS753">
        <v>435.62925967134021</v>
      </c>
      <c r="AT753">
        <v>18.213632092810229</v>
      </c>
      <c r="AU753">
        <v>20.959112334633744</v>
      </c>
      <c r="AV753"/>
      <c r="AW753"/>
      <c r="FY753" s="213">
        <v>748</v>
      </c>
      <c r="FZ753">
        <v>44.130495487616599</v>
      </c>
      <c r="GA753">
        <v>33.936711565120198</v>
      </c>
      <c r="GB753">
        <v>29.66111479614537</v>
      </c>
      <c r="GC753">
        <v>14.790387748010275</v>
      </c>
      <c r="GD753">
        <v>5.1256163873781579</v>
      </c>
      <c r="GE753">
        <v>8.2946439249489625</v>
      </c>
      <c r="GF753">
        <v>6.9503358328815015</v>
      </c>
      <c r="GG753">
        <v>6.4839185736601825</v>
      </c>
      <c r="GH753">
        <v>4.8607628734603603</v>
      </c>
      <c r="GI753">
        <v>18.741563353141348</v>
      </c>
      <c r="GJ753"/>
      <c r="GK753"/>
      <c r="GL753"/>
      <c r="GM753"/>
      <c r="GN753" s="208"/>
      <c r="GO753" s="208"/>
      <c r="GP753" s="208"/>
      <c r="GQ753" s="208"/>
      <c r="GR753" s="208"/>
      <c r="GS753" s="208"/>
      <c r="GT753" s="208"/>
      <c r="GU753" s="213">
        <v>748</v>
      </c>
    </row>
    <row r="754" spans="1:203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327.68003666859738</v>
      </c>
      <c r="AO754">
        <v>27.82937723991235</v>
      </c>
      <c r="AP754">
        <v>25.015659303519655</v>
      </c>
      <c r="AQ754">
        <v>194.06853351640555</v>
      </c>
      <c r="AR754">
        <v>28.089090400091109</v>
      </c>
      <c r="AS754">
        <v>429.95159120363104</v>
      </c>
      <c r="AT754">
        <v>17.419317466689261</v>
      </c>
      <c r="AU754">
        <v>-33.800321991799755</v>
      </c>
      <c r="AV754"/>
      <c r="AW754"/>
      <c r="FY754" s="213">
        <v>749</v>
      </c>
      <c r="FZ754">
        <v>54.665337568701062</v>
      </c>
      <c r="GA754">
        <v>41.884333159675975</v>
      </c>
      <c r="GB754">
        <v>30.332160224935077</v>
      </c>
      <c r="GC754">
        <v>14.982638059969252</v>
      </c>
      <c r="GD754">
        <v>3.2384985243506792</v>
      </c>
      <c r="GE754">
        <v>3.5707901866633196</v>
      </c>
      <c r="GF754">
        <v>0.78374984001153103</v>
      </c>
      <c r="GG754">
        <v>2.4235679106776664</v>
      </c>
      <c r="GH754">
        <v>8.0369335491438179</v>
      </c>
      <c r="GI754">
        <v>18.750125420420929</v>
      </c>
      <c r="GJ754"/>
      <c r="GK754"/>
      <c r="GL754"/>
      <c r="GM754"/>
      <c r="GN754" s="208"/>
      <c r="GO754" s="208"/>
      <c r="GP754" s="208"/>
      <c r="GQ754" s="208"/>
      <c r="GR754" s="208"/>
      <c r="GS754" s="208"/>
      <c r="GT754" s="208"/>
      <c r="GU754" s="213">
        <v>749</v>
      </c>
    </row>
    <row r="755" spans="1:203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282.34648648598079</v>
      </c>
      <c r="AO755">
        <v>28.38807531387776</v>
      </c>
      <c r="AP755">
        <v>30.638800175994604</v>
      </c>
      <c r="AQ755">
        <v>211.49550589196767</v>
      </c>
      <c r="AR755">
        <v>28.124091768004202</v>
      </c>
      <c r="AS755">
        <v>367.91437703265683</v>
      </c>
      <c r="AT755">
        <v>17.855696795093056</v>
      </c>
      <c r="AU755">
        <v>-52.296918085799661</v>
      </c>
      <c r="AV755"/>
      <c r="AW755"/>
      <c r="FY755" s="213">
        <v>750</v>
      </c>
      <c r="FZ755">
        <v>49.237152077301957</v>
      </c>
      <c r="GA755">
        <v>36.972002875051039</v>
      </c>
      <c r="GB755">
        <v>28.856177776659948</v>
      </c>
      <c r="GC755">
        <v>15.690144605219707</v>
      </c>
      <c r="GD755">
        <v>5.2584756452494243</v>
      </c>
      <c r="GE755">
        <v>7.515961989524155</v>
      </c>
      <c r="GF755">
        <v>5.8298700313830061</v>
      </c>
      <c r="GG755">
        <v>3.4690000224986197</v>
      </c>
      <c r="GH755">
        <v>1.8963307587647096</v>
      </c>
      <c r="GI755">
        <v>18.69892130756001</v>
      </c>
      <c r="GJ755"/>
      <c r="GK755"/>
      <c r="GL755"/>
      <c r="GM755"/>
      <c r="GN755" s="208"/>
      <c r="GO755" s="208"/>
      <c r="GP755" s="208"/>
      <c r="GQ755" s="208"/>
      <c r="GR755" s="208"/>
      <c r="GS755" s="208"/>
      <c r="GT755" s="208"/>
      <c r="GU755" s="213">
        <v>750</v>
      </c>
    </row>
    <row r="756" spans="1:203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297.1760065656963</v>
      </c>
      <c r="AO756">
        <v>23.820017375850874</v>
      </c>
      <c r="AP756">
        <v>23.484493035525151</v>
      </c>
      <c r="AQ756">
        <v>172.58069973571887</v>
      </c>
      <c r="AR756">
        <v>24.552258772679362</v>
      </c>
      <c r="AS756">
        <v>371.37826548639396</v>
      </c>
      <c r="AT756">
        <v>14.842636671098523</v>
      </c>
      <c r="AU756">
        <v>-7.1590511483428969</v>
      </c>
      <c r="AV756"/>
      <c r="AW756"/>
      <c r="FY756" s="213">
        <v>751</v>
      </c>
      <c r="FZ756">
        <v>45.181378222978857</v>
      </c>
      <c r="GA756">
        <v>56.268455319841024</v>
      </c>
      <c r="GB756">
        <v>32.980119602521746</v>
      </c>
      <c r="GC756">
        <v>11.201408875388768</v>
      </c>
      <c r="GD756">
        <v>4.5340378140454414</v>
      </c>
      <c r="GE756">
        <v>5.9970631634597158</v>
      </c>
      <c r="GF756">
        <v>5.8602800473616004</v>
      </c>
      <c r="GG756">
        <v>5.3081330389413441</v>
      </c>
      <c r="GH756">
        <v>10.409981014718173</v>
      </c>
      <c r="GI756">
        <v>20.046265596371374</v>
      </c>
      <c r="GJ756"/>
      <c r="GK756"/>
      <c r="GL756"/>
      <c r="GM756"/>
      <c r="GN756" s="208"/>
      <c r="GO756" s="208"/>
      <c r="GP756" s="208"/>
      <c r="GQ756" s="208"/>
      <c r="GR756" s="208"/>
      <c r="GS756" s="208"/>
      <c r="GT756" s="208"/>
      <c r="GU756" s="213">
        <v>751</v>
      </c>
    </row>
    <row r="757" spans="1:203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297.56665101489</v>
      </c>
      <c r="AO757">
        <v>28.730126727554627</v>
      </c>
      <c r="AP757">
        <v>21.351940974020046</v>
      </c>
      <c r="AQ757">
        <v>207.8219196972054</v>
      </c>
      <c r="AR757">
        <v>29.155080049232478</v>
      </c>
      <c r="AS757">
        <v>397.65669284214965</v>
      </c>
      <c r="AT757">
        <v>17.882782515134483</v>
      </c>
      <c r="AU757">
        <v>-18.518504852772267</v>
      </c>
      <c r="AV757"/>
      <c r="AW757"/>
      <c r="FY757" s="213">
        <v>752</v>
      </c>
      <c r="FZ757">
        <v>66.948259418623536</v>
      </c>
      <c r="GA757">
        <v>62.455286332598817</v>
      </c>
      <c r="GB757">
        <v>30.394348315958545</v>
      </c>
      <c r="GC757">
        <v>12.367209487355126</v>
      </c>
      <c r="GD757">
        <v>2.8324836514894991</v>
      </c>
      <c r="GE757">
        <v>2.0694624151624641</v>
      </c>
      <c r="GF757">
        <v>5.6467704330006789</v>
      </c>
      <c r="GG757">
        <v>9.6207170403500797</v>
      </c>
      <c r="GH757">
        <v>9.1509326168055871</v>
      </c>
      <c r="GI757">
        <v>21.41009907845417</v>
      </c>
      <c r="GJ757"/>
      <c r="GK757"/>
      <c r="GL757"/>
      <c r="GM757"/>
      <c r="GN757" s="208"/>
      <c r="GO757" s="208"/>
      <c r="GP757" s="208"/>
      <c r="GQ757" s="208"/>
      <c r="GR757" s="208"/>
      <c r="GS757" s="208"/>
      <c r="GT757" s="208"/>
      <c r="GU757" s="213">
        <v>752</v>
      </c>
    </row>
    <row r="758" spans="1:203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271.25414465834251</v>
      </c>
      <c r="AO758">
        <v>28.383560701902763</v>
      </c>
      <c r="AP758">
        <v>19.32746067716586</v>
      </c>
      <c r="AQ758">
        <v>206.27720404329176</v>
      </c>
      <c r="AR758">
        <v>30.08116391300641</v>
      </c>
      <c r="AS758">
        <v>413.0158693107341</v>
      </c>
      <c r="AT758">
        <v>18.301040020405924</v>
      </c>
      <c r="AU758">
        <v>0.28826185589632303</v>
      </c>
      <c r="AV758"/>
      <c r="AW758"/>
      <c r="FY758" s="213">
        <v>753</v>
      </c>
      <c r="FZ758">
        <v>57.030617553133766</v>
      </c>
      <c r="GA758">
        <v>73.800832377163402</v>
      </c>
      <c r="GB758">
        <v>44.032712114649193</v>
      </c>
      <c r="GC758">
        <v>15.298009358039018</v>
      </c>
      <c r="GD758">
        <v>4.4380067511057906</v>
      </c>
      <c r="GE758">
        <v>6.5672611251212647</v>
      </c>
      <c r="GF758">
        <v>2.9970082709825796</v>
      </c>
      <c r="GG758">
        <v>4.9151351266020127</v>
      </c>
      <c r="GH758">
        <v>7.8949127961248236</v>
      </c>
      <c r="GI758">
        <v>23.533922439645302</v>
      </c>
      <c r="GJ758"/>
      <c r="GK758"/>
      <c r="GL758"/>
      <c r="GM758"/>
      <c r="GN758" s="208"/>
      <c r="GO758" s="208"/>
      <c r="GP758" s="208"/>
      <c r="GQ758" s="208"/>
      <c r="GR758" s="208"/>
      <c r="GS758" s="208"/>
      <c r="GT758" s="208"/>
      <c r="GU758" s="213">
        <v>753</v>
      </c>
    </row>
    <row r="759" spans="1:203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252.09699487375141</v>
      </c>
      <c r="AO759">
        <v>23.613214228112227</v>
      </c>
      <c r="AP759">
        <v>20.537313215659154</v>
      </c>
      <c r="AQ759">
        <v>167.82942217552153</v>
      </c>
      <c r="AR759">
        <v>24.207509054128259</v>
      </c>
      <c r="AS759">
        <v>358.2523945161833</v>
      </c>
      <c r="AT759">
        <v>15.169195025619061</v>
      </c>
      <c r="AU759">
        <v>0.47607428861498136</v>
      </c>
      <c r="AV759"/>
      <c r="AW759"/>
      <c r="FY759" s="213">
        <v>754</v>
      </c>
      <c r="FZ759">
        <v>54.365870865568553</v>
      </c>
      <c r="GA759">
        <v>57.201015656820566</v>
      </c>
      <c r="GB759">
        <v>35.821358658173168</v>
      </c>
      <c r="GC759">
        <v>13.266896697825542</v>
      </c>
      <c r="GD759">
        <v>2.79894649653746</v>
      </c>
      <c r="GE759">
        <v>2.4085122833982631</v>
      </c>
      <c r="GF759">
        <v>1.5109722995279375</v>
      </c>
      <c r="GG759">
        <v>3.0097898637606835</v>
      </c>
      <c r="GH759">
        <v>7.8242910345969792</v>
      </c>
      <c r="GI759">
        <v>19.916279987762671</v>
      </c>
      <c r="GJ759"/>
      <c r="GK759"/>
      <c r="GL759"/>
      <c r="GM759"/>
      <c r="GN759" s="208"/>
      <c r="GO759" s="208"/>
      <c r="GP759" s="208"/>
      <c r="GQ759" s="208"/>
      <c r="GR759" s="208"/>
      <c r="GS759" s="208"/>
      <c r="GT759" s="208"/>
      <c r="GU759" s="213">
        <v>754</v>
      </c>
    </row>
    <row r="760" spans="1:203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231.06748928069663</v>
      </c>
      <c r="AO760">
        <v>20.999344760904098</v>
      </c>
      <c r="AP760">
        <v>19.695850446836168</v>
      </c>
      <c r="AQ760">
        <v>150.31421236663596</v>
      </c>
      <c r="AR760">
        <v>22.256438030420828</v>
      </c>
      <c r="AS760">
        <v>306.72462684889888</v>
      </c>
      <c r="AT760">
        <v>13.79687993326405</v>
      </c>
      <c r="AU760">
        <v>-0.86995976622417004</v>
      </c>
      <c r="AV760"/>
      <c r="AW760"/>
      <c r="FY760" s="213">
        <v>755</v>
      </c>
      <c r="FZ760">
        <v>55.6305607028427</v>
      </c>
      <c r="GA760">
        <v>50.850178830081553</v>
      </c>
      <c r="GB760">
        <v>45.418557806340054</v>
      </c>
      <c r="GC760">
        <v>22.383036186691037</v>
      </c>
      <c r="GD760">
        <v>2.704174679527739</v>
      </c>
      <c r="GE760">
        <v>1.6083738296958976</v>
      </c>
      <c r="GF760">
        <v>4.8021953231808334</v>
      </c>
      <c r="GG760">
        <v>6.019191514565196</v>
      </c>
      <c r="GH760">
        <v>8.5716181053666674</v>
      </c>
      <c r="GI760">
        <v>23.139044653310922</v>
      </c>
      <c r="GJ760"/>
      <c r="GK760"/>
      <c r="GL760"/>
      <c r="GM760"/>
      <c r="GN760" s="208"/>
      <c r="GO760" s="208"/>
      <c r="GP760" s="208"/>
      <c r="GQ760" s="208"/>
      <c r="GR760" s="208"/>
      <c r="GS760" s="208"/>
      <c r="GT760" s="208"/>
      <c r="GU760" s="213">
        <v>755</v>
      </c>
    </row>
    <row r="761" spans="1:203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375.44604406513491</v>
      </c>
      <c r="AO761">
        <v>34.122400157621712</v>
      </c>
      <c r="AP761">
        <v>66.186382276306048</v>
      </c>
      <c r="AQ761">
        <v>246.50483831268227</v>
      </c>
      <c r="AR761">
        <v>33.948039698087726</v>
      </c>
      <c r="AS761">
        <v>534.39522036342396</v>
      </c>
      <c r="AT761">
        <v>21.608053942776632</v>
      </c>
      <c r="AU761">
        <v>-63.906827707070029</v>
      </c>
      <c r="AV761"/>
      <c r="AW761"/>
      <c r="FY761" s="213">
        <v>756</v>
      </c>
      <c r="FZ761">
        <v>49.148754033784215</v>
      </c>
      <c r="GA761">
        <v>48.931093533328294</v>
      </c>
      <c r="GB761">
        <v>42.314870988566156</v>
      </c>
      <c r="GC761">
        <v>17.090753131231406</v>
      </c>
      <c r="GD761">
        <v>2.0454798504850826</v>
      </c>
      <c r="GE761">
        <v>1.5422578405152647</v>
      </c>
      <c r="GF761">
        <v>1.3632096332459036</v>
      </c>
      <c r="GG761">
        <v>1.4524474642944425</v>
      </c>
      <c r="GH761">
        <v>3.4443380361953926</v>
      </c>
      <c r="GI761">
        <v>19.590077559488922</v>
      </c>
      <c r="GJ761"/>
      <c r="GK761"/>
      <c r="GL761"/>
      <c r="GM761"/>
      <c r="GN761" s="208"/>
      <c r="GO761" s="208"/>
      <c r="GP761" s="208"/>
      <c r="GQ761" s="208"/>
      <c r="GR761" s="208"/>
      <c r="GS761" s="208"/>
      <c r="GT761" s="208"/>
      <c r="GU761" s="213">
        <v>756</v>
      </c>
    </row>
    <row r="762" spans="1:203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224.01495224099654</v>
      </c>
      <c r="AO762">
        <v>23.951509840426702</v>
      </c>
      <c r="AP762">
        <v>41.451036630030053</v>
      </c>
      <c r="AQ762">
        <v>186.362258677721</v>
      </c>
      <c r="AR762">
        <v>25.121417724503733</v>
      </c>
      <c r="AS762">
        <v>323.18497839018488</v>
      </c>
      <c r="AT762">
        <v>14.386639270643856</v>
      </c>
      <c r="AU762">
        <v>36.864211035070184</v>
      </c>
      <c r="AV762"/>
      <c r="AW762"/>
      <c r="FY762" s="213">
        <v>757</v>
      </c>
      <c r="FZ762">
        <v>36.26730526691864</v>
      </c>
      <c r="GA762">
        <v>34.814568142963324</v>
      </c>
      <c r="GB762">
        <v>36.717585735907839</v>
      </c>
      <c r="GC762">
        <v>15.54875040752748</v>
      </c>
      <c r="GD762">
        <v>2.7365303301519486</v>
      </c>
      <c r="GE762">
        <v>3.5296926554811545</v>
      </c>
      <c r="GF762">
        <v>1.5398265079971167</v>
      </c>
      <c r="GG762">
        <v>7.9033137973683658</v>
      </c>
      <c r="GH762">
        <v>14.214049650750315</v>
      </c>
      <c r="GI762">
        <v>18.449680005427204</v>
      </c>
      <c r="GJ762"/>
      <c r="GK762"/>
      <c r="GL762"/>
      <c r="GM762"/>
      <c r="GN762" s="208"/>
      <c r="GO762" s="208"/>
      <c r="GP762" s="208"/>
      <c r="GQ762" s="208"/>
      <c r="GR762" s="208"/>
      <c r="GS762" s="208"/>
      <c r="GT762" s="208"/>
      <c r="GU762" s="213">
        <v>757</v>
      </c>
    </row>
    <row r="763" spans="1:203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281.26178335294384</v>
      </c>
      <c r="AO763">
        <v>24.706810512281507</v>
      </c>
      <c r="AP763">
        <v>36.952300617053837</v>
      </c>
      <c r="AQ763">
        <v>176.92980807036452</v>
      </c>
      <c r="AR763">
        <v>25.033192027413346</v>
      </c>
      <c r="AS763">
        <v>360.23766198830668</v>
      </c>
      <c r="AT763">
        <v>15.063018459176675</v>
      </c>
      <c r="AU763">
        <v>-2.3021791082839727</v>
      </c>
      <c r="AV763"/>
      <c r="AW763"/>
      <c r="FY763" s="213">
        <v>758</v>
      </c>
      <c r="FZ763">
        <v>64.368280995805108</v>
      </c>
      <c r="GA763">
        <v>72.126279404257389</v>
      </c>
      <c r="GB763">
        <v>42.15127388049882</v>
      </c>
      <c r="GC763">
        <v>14.073497659087179</v>
      </c>
      <c r="GD763">
        <v>3.2170214918567139</v>
      </c>
      <c r="GE763">
        <v>3.1099991595910517</v>
      </c>
      <c r="GF763">
        <v>1.3632096332459036</v>
      </c>
      <c r="GG763">
        <v>3.2967091681380483</v>
      </c>
      <c r="GH763">
        <v>7.5213491380409412</v>
      </c>
      <c r="GI763">
        <v>23.094037004928783</v>
      </c>
      <c r="GJ763"/>
      <c r="GK763"/>
      <c r="GL763"/>
      <c r="GM763"/>
      <c r="GN763" s="208"/>
      <c r="GO763" s="208"/>
      <c r="GP763" s="208"/>
      <c r="GQ763" s="208"/>
      <c r="GR763" s="208"/>
      <c r="GS763" s="208"/>
      <c r="GT763" s="208"/>
      <c r="GU763" s="213">
        <v>758</v>
      </c>
    </row>
    <row r="764" spans="1:203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312.64424670444652</v>
      </c>
      <c r="AO764">
        <v>25.209593625178766</v>
      </c>
      <c r="AP764">
        <v>10.737297789497507</v>
      </c>
      <c r="AQ764">
        <v>172.97555054236298</v>
      </c>
      <c r="AR764">
        <v>25.607274391823626</v>
      </c>
      <c r="AS764">
        <v>403.32670465748686</v>
      </c>
      <c r="AT764">
        <v>15.333894456350755</v>
      </c>
      <c r="AU764">
        <v>-10.882765576607007</v>
      </c>
      <c r="AV764"/>
      <c r="AW764"/>
      <c r="FY764" s="213">
        <v>759</v>
      </c>
      <c r="FZ764">
        <v>39.294632359092681</v>
      </c>
      <c r="GA764">
        <v>53.920515682765277</v>
      </c>
      <c r="GB764">
        <v>36.583946269050074</v>
      </c>
      <c r="GC764">
        <v>12.608911688302459</v>
      </c>
      <c r="GD764">
        <v>5.8900697441683949</v>
      </c>
      <c r="GE764">
        <v>7.6502235064769231</v>
      </c>
      <c r="GF764">
        <v>9.7005528482702736</v>
      </c>
      <c r="GG764">
        <v>9.0827141802521734</v>
      </c>
      <c r="GH764">
        <v>9.7210662045548553</v>
      </c>
      <c r="GI764">
        <v>21.450520415474266</v>
      </c>
      <c r="GJ764"/>
      <c r="GK764"/>
      <c r="GL764"/>
      <c r="GM764"/>
      <c r="GN764" s="208"/>
      <c r="GO764" s="208"/>
      <c r="GP764" s="208"/>
      <c r="GQ764" s="208"/>
      <c r="GR764" s="208"/>
      <c r="GS764" s="208"/>
      <c r="GT764" s="208"/>
      <c r="GU764" s="213">
        <v>759</v>
      </c>
    </row>
    <row r="765" spans="1:203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242.94983290796728</v>
      </c>
      <c r="AO765">
        <v>24.839183398865742</v>
      </c>
      <c r="AP765">
        <v>38.362534685063274</v>
      </c>
      <c r="AQ765">
        <v>178.66813444454931</v>
      </c>
      <c r="AR765">
        <v>26.008407225074603</v>
      </c>
      <c r="AS765">
        <v>341.92546056948771</v>
      </c>
      <c r="AT765">
        <v>14.9666406523778</v>
      </c>
      <c r="AU765">
        <v>9.1863635480279484</v>
      </c>
      <c r="AV765"/>
      <c r="AW765"/>
      <c r="FY765" s="213">
        <v>760</v>
      </c>
      <c r="FZ765">
        <v>38.523482121894737</v>
      </c>
      <c r="GA765">
        <v>40.484257838898856</v>
      </c>
      <c r="GB765">
        <v>32.697569902839433</v>
      </c>
      <c r="GC765">
        <v>14.135640964150038</v>
      </c>
      <c r="GD765">
        <v>2.4929451615900931</v>
      </c>
      <c r="GE765">
        <v>3.7431550787596191</v>
      </c>
      <c r="GF765">
        <v>6.893808452386379</v>
      </c>
      <c r="GG765">
        <v>6.953223885907728</v>
      </c>
      <c r="GH765">
        <v>12.044711645443938</v>
      </c>
      <c r="GI765">
        <v>18.289657166729075</v>
      </c>
      <c r="GJ765"/>
      <c r="GK765"/>
      <c r="GL765"/>
      <c r="GM765"/>
      <c r="GN765" s="208"/>
      <c r="GO765" s="208"/>
      <c r="GP765" s="208"/>
      <c r="GQ765" s="208"/>
      <c r="GR765" s="208"/>
      <c r="GS765" s="208"/>
      <c r="GT765" s="208"/>
      <c r="GU765" s="213">
        <v>760</v>
      </c>
    </row>
    <row r="766" spans="1:203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285.53250872030821</v>
      </c>
      <c r="AO766">
        <v>25.211588152740028</v>
      </c>
      <c r="AP766">
        <v>24.652125392480265</v>
      </c>
      <c r="AQ766">
        <v>173.42403708921259</v>
      </c>
      <c r="AR766">
        <v>25.635722475577065</v>
      </c>
      <c r="AS766">
        <v>389.58541325653255</v>
      </c>
      <c r="AT766">
        <v>15.684398806877523</v>
      </c>
      <c r="AU766">
        <v>7.4757482085135791</v>
      </c>
      <c r="AV766"/>
      <c r="AW766"/>
      <c r="FY766" s="213">
        <v>761</v>
      </c>
      <c r="FZ766">
        <v>50.098658769236344</v>
      </c>
      <c r="GA766">
        <v>30.409833698717613</v>
      </c>
      <c r="GB766">
        <v>20.455446117118644</v>
      </c>
      <c r="GC766">
        <v>13.407643092875134</v>
      </c>
      <c r="GD766">
        <v>5.3791024920941064</v>
      </c>
      <c r="GE766">
        <v>5.0578730628105966</v>
      </c>
      <c r="GF766">
        <v>0.87498512579844034</v>
      </c>
      <c r="GG766">
        <v>6.6408083959061859</v>
      </c>
      <c r="GH766">
        <v>12.534107229151857</v>
      </c>
      <c r="GI766">
        <v>17.609471093856676</v>
      </c>
      <c r="GJ766"/>
      <c r="GK766"/>
      <c r="GL766"/>
      <c r="GM766"/>
      <c r="GN766" s="208"/>
      <c r="GO766" s="208"/>
      <c r="GP766" s="208"/>
      <c r="GQ766" s="208"/>
      <c r="GR766" s="208"/>
      <c r="GS766" s="208"/>
      <c r="GT766" s="208"/>
      <c r="GU766" s="213">
        <v>761</v>
      </c>
    </row>
    <row r="767" spans="1:203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319.5407008006481</v>
      </c>
      <c r="AO767">
        <v>26.608836582366745</v>
      </c>
      <c r="AP767">
        <v>32.62838842887524</v>
      </c>
      <c r="AQ767">
        <v>197.78712269562806</v>
      </c>
      <c r="AR767">
        <v>27.527572962858869</v>
      </c>
      <c r="AS767">
        <v>424.97973171533005</v>
      </c>
      <c r="AT767">
        <v>16.813508401822098</v>
      </c>
      <c r="AU767">
        <v>-3.2818454611621846</v>
      </c>
      <c r="AV767"/>
      <c r="AW767"/>
      <c r="FY767" s="213">
        <v>762</v>
      </c>
      <c r="FZ767">
        <v>51.109944283203113</v>
      </c>
      <c r="GA767">
        <v>41.086962207353352</v>
      </c>
      <c r="GB767">
        <v>28.014533767728402</v>
      </c>
      <c r="GC767">
        <v>13.973535358593185</v>
      </c>
      <c r="GD767">
        <v>1.7291363240503397</v>
      </c>
      <c r="GE767">
        <v>2.098906122578752</v>
      </c>
      <c r="GF767">
        <v>8.4839248448631714</v>
      </c>
      <c r="GG767">
        <v>8.6021143129481548</v>
      </c>
      <c r="GH767">
        <v>6.0952599900315017</v>
      </c>
      <c r="GI767">
        <v>17.895487526278551</v>
      </c>
      <c r="GJ767"/>
      <c r="GK767"/>
      <c r="GL767"/>
      <c r="GM767"/>
      <c r="GN767" s="208"/>
      <c r="GO767" s="208"/>
      <c r="GP767" s="208"/>
      <c r="GQ767" s="208"/>
      <c r="GR767" s="208"/>
      <c r="GS767" s="208"/>
      <c r="GT767" s="208"/>
      <c r="GU767" s="213">
        <v>762</v>
      </c>
    </row>
    <row r="768" spans="1:203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279.32782868683506</v>
      </c>
      <c r="AO768">
        <v>28.497392116448275</v>
      </c>
      <c r="AP768">
        <v>36.099172437314692</v>
      </c>
      <c r="AQ768">
        <v>222.89556878979852</v>
      </c>
      <c r="AR768">
        <v>29.418003891521824</v>
      </c>
      <c r="AS768">
        <v>447.83434682857688</v>
      </c>
      <c r="AT768">
        <v>18.230388561949116</v>
      </c>
      <c r="AU768">
        <v>-25.105473387302212</v>
      </c>
      <c r="AV768"/>
      <c r="AW768"/>
      <c r="FY768" s="213">
        <v>763</v>
      </c>
      <c r="FZ768">
        <v>41.46769452949836</v>
      </c>
      <c r="GA768">
        <v>46.66189234490021</v>
      </c>
      <c r="GB768">
        <v>37.527126611743505</v>
      </c>
      <c r="GC768">
        <v>16.456156377149664</v>
      </c>
      <c r="GD768">
        <v>3.6993699567270291</v>
      </c>
      <c r="GE768">
        <v>4.3935503006163827</v>
      </c>
      <c r="GF768">
        <v>4.3084971278280708</v>
      </c>
      <c r="GG768">
        <v>5.3494589553819267</v>
      </c>
      <c r="GH768">
        <v>5.513866522670904</v>
      </c>
      <c r="GI768">
        <v>19.091849159974643</v>
      </c>
      <c r="GJ768"/>
      <c r="GK768"/>
      <c r="GL768"/>
      <c r="GM768"/>
      <c r="GN768" s="208"/>
      <c r="GO768" s="208"/>
      <c r="GP768" s="208"/>
      <c r="GQ768" s="208"/>
      <c r="GR768" s="208"/>
      <c r="GS768" s="208"/>
      <c r="GT768" s="208"/>
      <c r="GU768" s="213">
        <v>763</v>
      </c>
    </row>
    <row r="769" spans="1:203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349.31889026810279</v>
      </c>
      <c r="AO769">
        <v>32.209044884705619</v>
      </c>
      <c r="AP769">
        <v>31.623489962786401</v>
      </c>
      <c r="AQ769">
        <v>240.50841791256718</v>
      </c>
      <c r="AR769">
        <v>32.240419694815479</v>
      </c>
      <c r="AS769">
        <v>457.00802586371685</v>
      </c>
      <c r="AT769">
        <v>19.787793580305035</v>
      </c>
      <c r="AU769">
        <v>-18.593746063606922</v>
      </c>
      <c r="AV769"/>
      <c r="AW769"/>
      <c r="FY769" s="213">
        <v>764</v>
      </c>
      <c r="FZ769">
        <v>50.414174862979088</v>
      </c>
      <c r="GA769">
        <v>29.679598983806088</v>
      </c>
      <c r="GB769">
        <v>20.282630126449536</v>
      </c>
      <c r="GC769">
        <v>12.072733916403472</v>
      </c>
      <c r="GD769">
        <v>4.0507382771917797</v>
      </c>
      <c r="GE769">
        <v>5.7184965312181788</v>
      </c>
      <c r="GF769">
        <v>4.6424762453623867</v>
      </c>
      <c r="GG769">
        <v>9.771542877688308</v>
      </c>
      <c r="GH769">
        <v>10.532900479158382</v>
      </c>
      <c r="GI769">
        <v>17.221651997259009</v>
      </c>
      <c r="GJ769"/>
      <c r="GK769"/>
      <c r="GL769"/>
      <c r="GM769"/>
      <c r="GN769" s="208"/>
      <c r="GO769" s="208"/>
      <c r="GP769" s="208"/>
      <c r="GQ769" s="208"/>
      <c r="GR769" s="208"/>
      <c r="GS769" s="208"/>
      <c r="GT769" s="208"/>
      <c r="GU769" s="213">
        <v>764</v>
      </c>
    </row>
    <row r="770" spans="1:203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253.18267361448474</v>
      </c>
      <c r="AO770">
        <v>26.1494956118534</v>
      </c>
      <c r="AP770">
        <v>20.286804059675163</v>
      </c>
      <c r="AQ770">
        <v>198.12393384397183</v>
      </c>
      <c r="AR770">
        <v>27.314867368441586</v>
      </c>
      <c r="AS770">
        <v>402.50641484814037</v>
      </c>
      <c r="AT770">
        <v>17.014315296454921</v>
      </c>
      <c r="AU770">
        <v>1.049171588275712</v>
      </c>
      <c r="AV770"/>
      <c r="AW770"/>
      <c r="FY770" s="213">
        <v>765</v>
      </c>
      <c r="FZ770">
        <v>43.84934220588795</v>
      </c>
      <c r="GA770">
        <v>39.587691380354443</v>
      </c>
      <c r="GB770">
        <v>35.849009419725952</v>
      </c>
      <c r="GC770">
        <v>15.036311790050318</v>
      </c>
      <c r="GD770">
        <v>2.4695764905204771</v>
      </c>
      <c r="GE770">
        <v>3.3270084510829374</v>
      </c>
      <c r="GF770">
        <v>10.110939214800794</v>
      </c>
      <c r="GG770">
        <v>9.3892950270426532</v>
      </c>
      <c r="GH770">
        <v>8.1218149749013158</v>
      </c>
      <c r="GI770">
        <v>19.818190750286355</v>
      </c>
      <c r="GJ770"/>
      <c r="GK770"/>
      <c r="GL770"/>
      <c r="GM770"/>
      <c r="GN770" s="208"/>
      <c r="GO770" s="208"/>
      <c r="GP770" s="208"/>
      <c r="GQ770" s="208"/>
      <c r="GR770" s="208"/>
      <c r="GS770" s="208"/>
      <c r="GT770" s="208"/>
      <c r="GU770" s="213">
        <v>765</v>
      </c>
    </row>
    <row r="771" spans="1:203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266.56486834764257</v>
      </c>
      <c r="AO771">
        <v>31.454910838852506</v>
      </c>
      <c r="AP771">
        <v>44.178477142509323</v>
      </c>
      <c r="AQ771">
        <v>221.12693163160259</v>
      </c>
      <c r="AR771">
        <v>31.869300016471325</v>
      </c>
      <c r="AS771">
        <v>470.60315274582848</v>
      </c>
      <c r="AT771">
        <v>19.079881140685817</v>
      </c>
      <c r="AU771">
        <v>6.6896120013371245</v>
      </c>
      <c r="AV771"/>
      <c r="AW771"/>
      <c r="FY771" s="213">
        <v>766</v>
      </c>
      <c r="FZ771">
        <v>67.698293768306414</v>
      </c>
      <c r="GA771">
        <v>59.473897481680901</v>
      </c>
      <c r="GB771">
        <v>30.515109017224166</v>
      </c>
      <c r="GC771">
        <v>12.476922040032511</v>
      </c>
      <c r="GD771">
        <v>4.5577067534715354</v>
      </c>
      <c r="GE771">
        <v>6.4672673660211242</v>
      </c>
      <c r="GF771">
        <v>1.7733507721607604</v>
      </c>
      <c r="GG771">
        <v>4.7451700736182927</v>
      </c>
      <c r="GH771">
        <v>8.0863601222543071</v>
      </c>
      <c r="GI771">
        <v>21.648003192526811</v>
      </c>
      <c r="GJ771"/>
      <c r="GK771"/>
      <c r="GL771"/>
      <c r="GM771"/>
      <c r="GN771" s="208"/>
      <c r="GO771" s="208"/>
      <c r="GP771" s="208"/>
      <c r="GQ771" s="208"/>
      <c r="GR771" s="208"/>
      <c r="GS771" s="208"/>
      <c r="GT771" s="208"/>
      <c r="GU771" s="213">
        <v>766</v>
      </c>
    </row>
    <row r="772" spans="1:203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271.02260695154393</v>
      </c>
      <c r="AO772">
        <v>26.05770390796971</v>
      </c>
      <c r="AP772">
        <v>41.707953209642298</v>
      </c>
      <c r="AQ772">
        <v>186.92328207113508</v>
      </c>
      <c r="AR772">
        <v>26.959074624441623</v>
      </c>
      <c r="AS772">
        <v>344.15663478438751</v>
      </c>
      <c r="AT772">
        <v>15.829000880624191</v>
      </c>
      <c r="AU772">
        <v>-18.874879322254074</v>
      </c>
      <c r="AV772"/>
      <c r="AW772"/>
      <c r="FY772" s="213">
        <v>767</v>
      </c>
      <c r="FZ772">
        <v>54.859888801345669</v>
      </c>
      <c r="GA772">
        <v>63.823168167384082</v>
      </c>
      <c r="GB772">
        <v>29.50623177145826</v>
      </c>
      <c r="GC772">
        <v>10.08497473412714</v>
      </c>
      <c r="GD772">
        <v>3.0608539618868282</v>
      </c>
      <c r="GE772">
        <v>4.5104453626724776</v>
      </c>
      <c r="GF772">
        <v>4.9287675410680354</v>
      </c>
      <c r="GG772">
        <v>5.4651693537228034</v>
      </c>
      <c r="GH772">
        <v>10.221915779356681</v>
      </c>
      <c r="GI772">
        <v>19.594581815386647</v>
      </c>
      <c r="GJ772"/>
      <c r="GK772"/>
      <c r="GL772"/>
      <c r="GM772"/>
      <c r="GN772" s="208"/>
      <c r="GO772" s="208"/>
      <c r="GP772" s="208"/>
      <c r="GQ772" s="208"/>
      <c r="GR772" s="208"/>
      <c r="GS772" s="208"/>
      <c r="GT772" s="208"/>
      <c r="GU772" s="213">
        <v>767</v>
      </c>
    </row>
    <row r="773" spans="1:203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276.53470235202593</v>
      </c>
      <c r="AO773">
        <v>24.530537313914856</v>
      </c>
      <c r="AP773">
        <v>145.33463432002299</v>
      </c>
      <c r="AQ773">
        <v>171.72130250049338</v>
      </c>
      <c r="AR773">
        <v>25.19281967023775</v>
      </c>
      <c r="AS773">
        <v>395.26455431101971</v>
      </c>
      <c r="AT773" t="e">
        <v>#DIV/0!</v>
      </c>
      <c r="AU773" t="e">
        <v>#DIV/0!</v>
      </c>
      <c r="AV773"/>
      <c r="AW773"/>
      <c r="FY773" s="213">
        <v>768</v>
      </c>
      <c r="FZ773">
        <v>54.53130539255362</v>
      </c>
      <c r="GA773">
        <v>46.054058684724382</v>
      </c>
      <c r="GB773">
        <v>24.13810592635215</v>
      </c>
      <c r="GC773">
        <v>11.516378785622138</v>
      </c>
      <c r="GD773">
        <v>4.565626050376002</v>
      </c>
      <c r="GE773">
        <v>5.0257791296333432</v>
      </c>
      <c r="GF773">
        <v>4.9591775570466297</v>
      </c>
      <c r="GG773">
        <v>3.7310329969179623</v>
      </c>
      <c r="GH773">
        <v>3.0894792941013947</v>
      </c>
      <c r="GI773">
        <v>17.947930813762451</v>
      </c>
      <c r="GJ773"/>
      <c r="GK773"/>
      <c r="GL773"/>
      <c r="GM773"/>
      <c r="GN773" s="208"/>
      <c r="GO773" s="208"/>
      <c r="GP773" s="208"/>
      <c r="GQ773" s="208"/>
      <c r="GR773" s="208"/>
      <c r="GS773" s="208"/>
      <c r="GT773" s="208"/>
      <c r="GU773" s="213">
        <v>768</v>
      </c>
    </row>
    <row r="774" spans="1:203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303.15873957269184</v>
      </c>
      <c r="AO774">
        <v>30.652323771257631</v>
      </c>
      <c r="AP774">
        <v>18.791444173217307</v>
      </c>
      <c r="AQ774">
        <v>234.3216575354499</v>
      </c>
      <c r="AR774">
        <v>31.868321797955176</v>
      </c>
      <c r="AS774">
        <v>437.83426120630651</v>
      </c>
      <c r="AT774">
        <v>19.024262598186763</v>
      </c>
      <c r="AU774">
        <v>-14.661942765835477</v>
      </c>
      <c r="AV774"/>
      <c r="AW774"/>
      <c r="FY774" s="213">
        <v>769</v>
      </c>
      <c r="FZ774">
        <v>53.682870825103521</v>
      </c>
      <c r="GA774">
        <v>47.81583262889211</v>
      </c>
      <c r="GB774">
        <v>30.268733291072504</v>
      </c>
      <c r="GC774">
        <v>13.057674009712992</v>
      </c>
      <c r="GD774">
        <v>3.4017166382045283</v>
      </c>
      <c r="GE774">
        <v>2.8852534123136886</v>
      </c>
      <c r="GF774">
        <v>7.2129595331299896</v>
      </c>
      <c r="GG774">
        <v>6.3957661844471732</v>
      </c>
      <c r="GH774">
        <v>6.4681246704000825</v>
      </c>
      <c r="GI774">
        <v>19.622820526200325</v>
      </c>
      <c r="GJ774"/>
      <c r="GK774"/>
      <c r="GL774"/>
      <c r="GM774"/>
      <c r="GN774" s="208"/>
      <c r="GO774" s="208"/>
      <c r="GP774" s="208"/>
      <c r="GQ774" s="208"/>
      <c r="GR774" s="208"/>
      <c r="GS774" s="208"/>
      <c r="GT774" s="208"/>
      <c r="GU774" s="213">
        <v>769</v>
      </c>
    </row>
    <row r="775" spans="1:203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346.34656136627962</v>
      </c>
      <c r="AO775">
        <v>28.653458573829493</v>
      </c>
      <c r="AP775">
        <v>29.803008646446749</v>
      </c>
      <c r="AQ775">
        <v>205.90315289840737</v>
      </c>
      <c r="AR775">
        <v>29.223955155370174</v>
      </c>
      <c r="AS775">
        <v>430.72377245796071</v>
      </c>
      <c r="AT775">
        <v>18.33581467992526</v>
      </c>
      <c r="AU775">
        <v>-11.564654281681918</v>
      </c>
      <c r="AV775"/>
      <c r="AW775"/>
      <c r="FY775" s="213">
        <v>770</v>
      </c>
      <c r="FZ775">
        <v>52.75130307840432</v>
      </c>
      <c r="GA775">
        <v>53.814948387799248</v>
      </c>
      <c r="GB775">
        <v>32.46545931640042</v>
      </c>
      <c r="GC775">
        <v>12.354735611507705</v>
      </c>
      <c r="GD775">
        <v>4.6170513397309501</v>
      </c>
      <c r="GE775">
        <v>6.9547479741526317</v>
      </c>
      <c r="GF775">
        <v>12.380725026266965</v>
      </c>
      <c r="GG775">
        <v>17.681825001775731</v>
      </c>
      <c r="GH775">
        <v>13.63925119127752</v>
      </c>
      <c r="GI775">
        <v>22.786870569858618</v>
      </c>
      <c r="GJ775"/>
      <c r="GK775"/>
      <c r="GL775"/>
      <c r="GM775"/>
      <c r="GN775" s="208"/>
      <c r="GO775" s="208"/>
      <c r="GP775" s="208"/>
      <c r="GQ775" s="208"/>
      <c r="GR775" s="208"/>
      <c r="GS775" s="208"/>
      <c r="GT775" s="208"/>
      <c r="GU775" s="213">
        <v>770</v>
      </c>
    </row>
    <row r="776" spans="1:203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262.22171236826546</v>
      </c>
      <c r="AO776">
        <v>24.445593321690612</v>
      </c>
      <c r="AP776">
        <v>35.004777743419083</v>
      </c>
      <c r="AQ776">
        <v>176.2584522185999</v>
      </c>
      <c r="AR776">
        <v>25.026914456810459</v>
      </c>
      <c r="AS776">
        <v>377.59501544708456</v>
      </c>
      <c r="AT776">
        <v>15.477877382929359</v>
      </c>
      <c r="AU776">
        <v>2.3353405129981297</v>
      </c>
      <c r="AV776"/>
      <c r="AW776"/>
      <c r="FY776" s="213">
        <v>771</v>
      </c>
      <c r="FZ776">
        <v>51.411147275600442</v>
      </c>
      <c r="GA776">
        <v>30.986053568078464</v>
      </c>
      <c r="GB776">
        <v>29.285589692461713</v>
      </c>
      <c r="GC776">
        <v>17.239786611723805</v>
      </c>
      <c r="GD776">
        <v>2.884920639281372</v>
      </c>
      <c r="GE776">
        <v>3.3159816421826043</v>
      </c>
      <c r="GF776">
        <v>7.5969833075283164</v>
      </c>
      <c r="GG776">
        <v>8.2321994142393589</v>
      </c>
      <c r="GH776">
        <v>11.324860371895316</v>
      </c>
      <c r="GI776">
        <v>19.595688573592945</v>
      </c>
      <c r="GJ776"/>
      <c r="GK776"/>
      <c r="GL776"/>
      <c r="GM776"/>
      <c r="GN776" s="208"/>
      <c r="GO776" s="208"/>
      <c r="GP776" s="208"/>
      <c r="GQ776" s="208"/>
      <c r="GR776" s="208"/>
      <c r="GS776" s="208"/>
      <c r="GT776" s="208"/>
      <c r="GU776" s="213">
        <v>771</v>
      </c>
    </row>
    <row r="777" spans="1:203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290.86070516807121</v>
      </c>
      <c r="AO777">
        <v>23.037756721992203</v>
      </c>
      <c r="AP777">
        <v>41.478763453164689</v>
      </c>
      <c r="AQ777">
        <v>162.4679290775656</v>
      </c>
      <c r="AR777">
        <v>24.179676607922907</v>
      </c>
      <c r="AS777">
        <v>320.67024545964563</v>
      </c>
      <c r="AT777">
        <v>14.267749632944289</v>
      </c>
      <c r="AU777">
        <v>37.481591373788959</v>
      </c>
      <c r="AV777"/>
      <c r="AW777"/>
      <c r="FY777" s="213">
        <v>772</v>
      </c>
      <c r="FZ777">
        <v>50.318254370924393</v>
      </c>
      <c r="GA777">
        <v>57.056259439890127</v>
      </c>
      <c r="GB777">
        <v>40.029235297953285</v>
      </c>
      <c r="GC777">
        <v>14.998655046682417</v>
      </c>
      <c r="GD777">
        <v>2.7490257082287699</v>
      </c>
      <c r="GE777">
        <v>2.6974982234979894</v>
      </c>
      <c r="GF777">
        <v>2.3001958274447682</v>
      </c>
      <c r="GG777">
        <v>3.2843024409340704</v>
      </c>
      <c r="GH777">
        <v>9.334422562294197</v>
      </c>
      <c r="GI777">
        <v>20.70026406915277</v>
      </c>
      <c r="GJ777"/>
      <c r="GK777"/>
      <c r="GL777"/>
      <c r="GM777"/>
      <c r="GN777" s="208"/>
      <c r="GO777" s="208"/>
      <c r="GP777" s="208"/>
      <c r="GQ777" s="208"/>
      <c r="GR777" s="208"/>
      <c r="GS777" s="208"/>
      <c r="GT777" s="208"/>
      <c r="GU777" s="213">
        <v>772</v>
      </c>
    </row>
    <row r="778" spans="1:203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217.24485225320831</v>
      </c>
      <c r="AO778">
        <v>24.275452506526104</v>
      </c>
      <c r="AP778">
        <v>39.443344158136235</v>
      </c>
      <c r="AQ778">
        <v>179.0898047376285</v>
      </c>
      <c r="AR778">
        <v>24.732694851561121</v>
      </c>
      <c r="AS778">
        <v>336.34014245299744</v>
      </c>
      <c r="AT778">
        <v>14.114808360580826</v>
      </c>
      <c r="AU778">
        <v>8.2466073656001768</v>
      </c>
      <c r="AV778"/>
      <c r="AW778"/>
      <c r="FY778" s="213">
        <v>773</v>
      </c>
      <c r="FZ778">
        <v>51.418187137627889</v>
      </c>
      <c r="GA778">
        <v>44.102923311869731</v>
      </c>
      <c r="GB778">
        <v>24.209652694948755</v>
      </c>
      <c r="GC778">
        <v>12.277787091295828</v>
      </c>
      <c r="GD778">
        <v>3.0131979815876395</v>
      </c>
      <c r="GE778">
        <v>3.6489388940778413</v>
      </c>
      <c r="GF778">
        <v>5.5527983032611195</v>
      </c>
      <c r="GG778">
        <v>7.612686533283501</v>
      </c>
      <c r="GH778">
        <v>11.528287659201323</v>
      </c>
      <c r="GI778">
        <v>18.059228884105806</v>
      </c>
      <c r="GJ778"/>
      <c r="GK778"/>
      <c r="GL778"/>
      <c r="GM778"/>
      <c r="GN778" s="208"/>
      <c r="GO778" s="208"/>
      <c r="GP778" s="208"/>
      <c r="GQ778" s="208"/>
      <c r="GR778" s="208"/>
      <c r="GS778" s="208"/>
      <c r="GT778" s="208"/>
      <c r="GU778" s="213">
        <v>773</v>
      </c>
    </row>
    <row r="779" spans="1:203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273.99667584754104</v>
      </c>
      <c r="AO779">
        <v>26.231739175934838</v>
      </c>
      <c r="AP779">
        <v>15.835436051514497</v>
      </c>
      <c r="AQ779">
        <v>184.46946188649065</v>
      </c>
      <c r="AR779">
        <v>26.144867752998891</v>
      </c>
      <c r="AS779">
        <v>408.89293949554582</v>
      </c>
      <c r="AT779">
        <v>15.712868387863402</v>
      </c>
      <c r="AU779">
        <v>-16.304067209906048</v>
      </c>
      <c r="AV779"/>
      <c r="AW779"/>
      <c r="FY779" s="213">
        <v>774</v>
      </c>
      <c r="FZ779">
        <v>42.846017173590063</v>
      </c>
      <c r="GA779">
        <v>41.356603865372676</v>
      </c>
      <c r="GB779">
        <v>34.646034628467412</v>
      </c>
      <c r="GC779">
        <v>12.039277323111017</v>
      </c>
      <c r="GD779">
        <v>3.0526491234976163</v>
      </c>
      <c r="GE779">
        <v>5.1101280132320532</v>
      </c>
      <c r="GF779">
        <v>1.6440417103209086</v>
      </c>
      <c r="GG779">
        <v>3.6164324961001308</v>
      </c>
      <c r="GH779">
        <v>6.7430578287666849</v>
      </c>
      <c r="GI779">
        <v>17.926628931935387</v>
      </c>
      <c r="GJ779"/>
      <c r="GK779"/>
      <c r="GL779"/>
      <c r="GM779"/>
      <c r="GN779" s="208"/>
      <c r="GO779" s="208"/>
      <c r="GP779" s="208"/>
      <c r="GQ779" s="208"/>
      <c r="GR779" s="208"/>
      <c r="GS779" s="208"/>
      <c r="GT779" s="208"/>
      <c r="GU779" s="213">
        <v>774</v>
      </c>
    </row>
    <row r="780" spans="1:203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248.1474222343108</v>
      </c>
      <c r="AO780">
        <v>22.927475137645359</v>
      </c>
      <c r="AP780">
        <v>27.1082894958775</v>
      </c>
      <c r="AQ780">
        <v>164.38694429751624</v>
      </c>
      <c r="AR780">
        <v>23.713765777751412</v>
      </c>
      <c r="AS780">
        <v>323.59449709563467</v>
      </c>
      <c r="AT780">
        <v>14.09242035522823</v>
      </c>
      <c r="AU780">
        <v>23.219349606658973</v>
      </c>
      <c r="AV780"/>
      <c r="AW780"/>
      <c r="FY780" s="213">
        <v>775</v>
      </c>
      <c r="FZ780">
        <v>57.017908031334507</v>
      </c>
      <c r="GA780">
        <v>61.013112063580749</v>
      </c>
      <c r="GB780">
        <v>26.80169402931498</v>
      </c>
      <c r="GC780">
        <v>8.6469082703430171</v>
      </c>
      <c r="GD780">
        <v>2.3328235115888476</v>
      </c>
      <c r="GE780">
        <v>4.3065368073919608</v>
      </c>
      <c r="GF780">
        <v>6.9030280199701419</v>
      </c>
      <c r="GG780">
        <v>6.4449486824198736</v>
      </c>
      <c r="GH780">
        <v>8.6186493311893919</v>
      </c>
      <c r="GI780">
        <v>18.93733826621866</v>
      </c>
      <c r="GJ780"/>
      <c r="GK780"/>
      <c r="GL780"/>
      <c r="GM780"/>
      <c r="GN780" s="208"/>
      <c r="GO780" s="208"/>
      <c r="GP780" s="208"/>
      <c r="GQ780" s="208"/>
      <c r="GR780" s="208"/>
      <c r="GS780" s="208"/>
      <c r="GT780" s="208"/>
      <c r="GU780" s="213">
        <v>775</v>
      </c>
    </row>
    <row r="781" spans="1:203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242.29494183677298</v>
      </c>
      <c r="AO781">
        <v>26.200793682027246</v>
      </c>
      <c r="AP781">
        <v>166.56933814064516</v>
      </c>
      <c r="AQ781">
        <v>187.55917970465322</v>
      </c>
      <c r="AR781">
        <v>27.146015666529923</v>
      </c>
      <c r="AS781">
        <v>364.60647441474958</v>
      </c>
      <c r="AT781" t="e">
        <v>#DIV/0!</v>
      </c>
      <c r="AU781" t="e">
        <v>#DIV/0!</v>
      </c>
      <c r="AV781"/>
      <c r="AW781"/>
      <c r="FY781" s="213">
        <v>776</v>
      </c>
      <c r="FZ781">
        <v>51.088711912787197</v>
      </c>
      <c r="GA781">
        <v>34.208825764134012</v>
      </c>
      <c r="GB781">
        <v>24.447685582872811</v>
      </c>
      <c r="GC781">
        <v>12.42196141137406</v>
      </c>
      <c r="GD781">
        <v>3.9627716699092583</v>
      </c>
      <c r="GE781">
        <v>7.7035106848308654</v>
      </c>
      <c r="GF781">
        <v>2.5386470077301091</v>
      </c>
      <c r="GG781">
        <v>4.0516470125993003</v>
      </c>
      <c r="GH781">
        <v>13.088522822642231</v>
      </c>
      <c r="GI781">
        <v>18.319550539214589</v>
      </c>
      <c r="GJ781"/>
      <c r="GK781"/>
      <c r="GL781"/>
      <c r="GM781"/>
      <c r="GN781" s="208"/>
      <c r="GO781" s="208"/>
      <c r="GP781" s="208"/>
      <c r="GQ781" s="208"/>
      <c r="GR781" s="208"/>
      <c r="GS781" s="208"/>
      <c r="GT781" s="208"/>
      <c r="GU781" s="213">
        <v>776</v>
      </c>
    </row>
    <row r="782" spans="1:203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295.97138222184014</v>
      </c>
      <c r="AO782">
        <v>28.706713671467377</v>
      </c>
      <c r="AP782">
        <v>28.542548039335166</v>
      </c>
      <c r="AQ782">
        <v>217.44208058729686</v>
      </c>
      <c r="AR782">
        <v>29.834377395632504</v>
      </c>
      <c r="AS782">
        <v>438.76597943089899</v>
      </c>
      <c r="AT782">
        <v>18.554488493423275</v>
      </c>
      <c r="AU782">
        <v>-12.092493402102676</v>
      </c>
      <c r="AV782"/>
      <c r="AW782"/>
      <c r="FY782" s="213">
        <v>777</v>
      </c>
      <c r="FZ782">
        <v>55.960493111418749</v>
      </c>
      <c r="GA782">
        <v>44.452193152498531</v>
      </c>
      <c r="GB782">
        <v>33.371568290286291</v>
      </c>
      <c r="GC782">
        <v>16.37147603377139</v>
      </c>
      <c r="GD782">
        <v>3.655033106915333</v>
      </c>
      <c r="GE782">
        <v>4.8468254723320516</v>
      </c>
      <c r="GF782">
        <v>1.2682284677805309</v>
      </c>
      <c r="GG782">
        <v>2.3373129081392374</v>
      </c>
      <c r="GH782">
        <v>13.502880724907872</v>
      </c>
      <c r="GI782">
        <v>20.900485102491526</v>
      </c>
      <c r="GJ782"/>
      <c r="GK782"/>
      <c r="GL782"/>
      <c r="GM782"/>
      <c r="GN782" s="208"/>
      <c r="GO782" s="208"/>
      <c r="GP782" s="208"/>
      <c r="GQ782" s="208"/>
      <c r="GR782" s="208"/>
      <c r="GS782" s="208"/>
      <c r="GT782" s="208"/>
      <c r="GU782" s="213">
        <v>777</v>
      </c>
    </row>
    <row r="783" spans="1:203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259.74065399006128</v>
      </c>
      <c r="AO783">
        <v>26.317209299103098</v>
      </c>
      <c r="AP783">
        <v>35.442202272930537</v>
      </c>
      <c r="AQ783">
        <v>206.05599728840863</v>
      </c>
      <c r="AR783">
        <v>26.922892253511812</v>
      </c>
      <c r="AS783">
        <v>397.46903491003349</v>
      </c>
      <c r="AT783">
        <v>16.602525309634625</v>
      </c>
      <c r="AU783">
        <v>-37.721271576480596</v>
      </c>
      <c r="AV783"/>
      <c r="AW783"/>
      <c r="FY783" s="213">
        <v>778</v>
      </c>
      <c r="FZ783">
        <v>49.266764670406076</v>
      </c>
      <c r="GA783">
        <v>56.959047007482958</v>
      </c>
      <c r="GB783">
        <v>37.941993024836528</v>
      </c>
      <c r="GC783">
        <v>15.766435442569286</v>
      </c>
      <c r="GD783">
        <v>3.5185065124033437</v>
      </c>
      <c r="GE783">
        <v>6.3665532597694501</v>
      </c>
      <c r="GF783">
        <v>1.3948006856677326</v>
      </c>
      <c r="GG783">
        <v>3.9138909391643359</v>
      </c>
      <c r="GH783">
        <v>10.305592307020669</v>
      </c>
      <c r="GI783">
        <v>20.462157046180344</v>
      </c>
      <c r="GJ783"/>
      <c r="GK783"/>
      <c r="GL783"/>
      <c r="GM783"/>
      <c r="GN783" s="208"/>
      <c r="GO783" s="208"/>
      <c r="GP783" s="208"/>
      <c r="GQ783" s="208"/>
      <c r="GR783" s="208"/>
      <c r="GS783" s="208"/>
      <c r="GT783" s="208"/>
      <c r="GU783" s="213">
        <v>778</v>
      </c>
    </row>
    <row r="784" spans="1:203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272.53256608962789</v>
      </c>
      <c r="AO784">
        <v>23.731596282046336</v>
      </c>
      <c r="AP784">
        <v>20.781717860712458</v>
      </c>
      <c r="AQ784">
        <v>175.55887463109011</v>
      </c>
      <c r="AR784">
        <v>24.699287321678231</v>
      </c>
      <c r="AS784">
        <v>355.75213029110341</v>
      </c>
      <c r="AT784">
        <v>14.751802179212596</v>
      </c>
      <c r="AU784">
        <v>8.0935778318818024</v>
      </c>
      <c r="AV784"/>
      <c r="AW784"/>
      <c r="FY784" s="213">
        <v>779</v>
      </c>
      <c r="FZ784">
        <v>52.61427089341651</v>
      </c>
      <c r="GA784">
        <v>89.425259954918204</v>
      </c>
      <c r="GB784">
        <v>58.083614481129359</v>
      </c>
      <c r="GC784">
        <v>19.712877262378079</v>
      </c>
      <c r="GD784">
        <v>3.7420741788559964</v>
      </c>
      <c r="GE784">
        <v>4.225806423422406</v>
      </c>
      <c r="GF784">
        <v>1.5017527319441746</v>
      </c>
      <c r="GG784">
        <v>2.974330663313062</v>
      </c>
      <c r="GH784">
        <v>8.6610538120775935</v>
      </c>
      <c r="GI784">
        <v>25.782082948355502</v>
      </c>
      <c r="GJ784"/>
      <c r="GK784"/>
      <c r="GL784"/>
      <c r="GM784"/>
      <c r="GN784" s="208"/>
      <c r="GO784" s="208"/>
      <c r="GP784" s="208"/>
      <c r="GQ784" s="208"/>
      <c r="GR784" s="208"/>
      <c r="GS784" s="208"/>
      <c r="GT784" s="208"/>
      <c r="GU784" s="213">
        <v>779</v>
      </c>
    </row>
    <row r="785" spans="1:203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229.44638324244875</v>
      </c>
      <c r="AO785">
        <v>25.738669745036653</v>
      </c>
      <c r="AP785">
        <v>34.138927578597141</v>
      </c>
      <c r="AQ785">
        <v>190.81175171947692</v>
      </c>
      <c r="AR785">
        <v>27.010899652819514</v>
      </c>
      <c r="AS785">
        <v>345.31505265171359</v>
      </c>
      <c r="AT785">
        <v>16.382286141277387</v>
      </c>
      <c r="AU785">
        <v>1.192881838148935</v>
      </c>
      <c r="AV785"/>
      <c r="AW785"/>
      <c r="FY785" s="213">
        <v>780</v>
      </c>
      <c r="FZ785">
        <v>40.587161204439276</v>
      </c>
      <c r="GA785">
        <v>32.590471635759073</v>
      </c>
      <c r="GB785">
        <v>33.617539008979293</v>
      </c>
      <c r="GC785">
        <v>13.787926857014339</v>
      </c>
      <c r="GD785">
        <v>2.5340781403405419</v>
      </c>
      <c r="GE785">
        <v>3.3031664183940879</v>
      </c>
      <c r="GF785">
        <v>5.7190145739853353</v>
      </c>
      <c r="GG785">
        <v>8.309012638608257</v>
      </c>
      <c r="GH785">
        <v>14.036367292874814</v>
      </c>
      <c r="GI785">
        <v>18.941122370717949</v>
      </c>
      <c r="GJ785"/>
      <c r="GK785"/>
      <c r="GL785"/>
      <c r="GM785"/>
      <c r="GN785" s="208"/>
      <c r="GO785" s="208"/>
      <c r="GP785" s="208"/>
      <c r="GQ785" s="208"/>
      <c r="GR785" s="208"/>
      <c r="GS785" s="208"/>
      <c r="GT785" s="208"/>
      <c r="GU785" s="213">
        <v>780</v>
      </c>
    </row>
    <row r="786" spans="1:203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347.80493269211001</v>
      </c>
      <c r="AO786">
        <v>30.953426145833124</v>
      </c>
      <c r="AP786">
        <v>53.02233299989031</v>
      </c>
      <c r="AQ786">
        <v>229.4469174971741</v>
      </c>
      <c r="AR786">
        <v>31.258818870883527</v>
      </c>
      <c r="AS786">
        <v>454.8024113558705</v>
      </c>
      <c r="AT786">
        <v>18.83432368067594</v>
      </c>
      <c r="AU786">
        <v>-5.151565210377683</v>
      </c>
      <c r="AV786"/>
      <c r="AW786"/>
      <c r="FY786" s="213">
        <v>781</v>
      </c>
      <c r="FZ786">
        <v>49.960277531049655</v>
      </c>
      <c r="GA786">
        <v>46.026463255382971</v>
      </c>
      <c r="GB786">
        <v>25.608493552791405</v>
      </c>
      <c r="GC786">
        <v>11.035839079757642</v>
      </c>
      <c r="GD786">
        <v>2.6324571553266511</v>
      </c>
      <c r="GE786">
        <v>6.2784370820408117</v>
      </c>
      <c r="GF786">
        <v>7.3131691588849979</v>
      </c>
      <c r="GG786">
        <v>3.7745811413108292</v>
      </c>
      <c r="GH786">
        <v>1.5635700966511421</v>
      </c>
      <c r="GI786">
        <v>16.720188009138035</v>
      </c>
      <c r="GJ786"/>
      <c r="GK786"/>
      <c r="GL786"/>
      <c r="GM786"/>
      <c r="GN786" s="208"/>
      <c r="GO786" s="208"/>
      <c r="GP786" s="208"/>
      <c r="GQ786" s="208"/>
      <c r="GR786" s="208"/>
      <c r="GS786" s="208"/>
      <c r="GT786" s="208"/>
      <c r="GU786" s="213">
        <v>781</v>
      </c>
    </row>
    <row r="787" spans="1:203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230.7461218404419</v>
      </c>
      <c r="AO787">
        <v>25.841115712877002</v>
      </c>
      <c r="AP787">
        <v>48.409097828143672</v>
      </c>
      <c r="AQ787">
        <v>181.87321109658433</v>
      </c>
      <c r="AR787">
        <v>26.899106205410607</v>
      </c>
      <c r="AS787">
        <v>357.1118904046607</v>
      </c>
      <c r="AT787">
        <v>16.737739492398664</v>
      </c>
      <c r="AU787">
        <v>19.959092681634147</v>
      </c>
      <c r="AV787"/>
      <c r="AW787"/>
      <c r="FY787" s="213">
        <v>782</v>
      </c>
      <c r="FZ787">
        <v>57.565065684748333</v>
      </c>
      <c r="GA787">
        <v>43.115680638097878</v>
      </c>
      <c r="GB787">
        <v>28.166167269035018</v>
      </c>
      <c r="GC787">
        <v>16.549157060366433</v>
      </c>
      <c r="GD787">
        <v>4.1521192685753725</v>
      </c>
      <c r="GE787">
        <v>5.9920210234352238</v>
      </c>
      <c r="GF787">
        <v>11.112496558486434</v>
      </c>
      <c r="GG787">
        <v>11.686525871794077</v>
      </c>
      <c r="GH787">
        <v>7.0802811569203676</v>
      </c>
      <c r="GI787">
        <v>20.910909196243807</v>
      </c>
      <c r="GJ787"/>
      <c r="GK787"/>
      <c r="GL787"/>
      <c r="GM787"/>
      <c r="GN787" s="208"/>
      <c r="GO787" s="208"/>
      <c r="GP787" s="208"/>
      <c r="GQ787" s="208"/>
      <c r="GR787" s="208"/>
      <c r="GS787" s="208"/>
      <c r="GT787" s="208"/>
      <c r="GU787" s="213">
        <v>782</v>
      </c>
    </row>
    <row r="788" spans="1:203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244.21817633271652</v>
      </c>
      <c r="AO788">
        <v>27.55465230424441</v>
      </c>
      <c r="AP788">
        <v>31.180975652477599</v>
      </c>
      <c r="AQ788">
        <v>203.46811298700285</v>
      </c>
      <c r="AR788">
        <v>28.515115461126321</v>
      </c>
      <c r="AS788">
        <v>396.51178828599029</v>
      </c>
      <c r="AT788">
        <v>17.275463371912419</v>
      </c>
      <c r="AU788">
        <v>-8.6853208368482839</v>
      </c>
      <c r="AV788"/>
      <c r="AW788"/>
      <c r="FY788" s="213">
        <v>783</v>
      </c>
      <c r="FZ788">
        <v>55.948686293591727</v>
      </c>
      <c r="GA788">
        <v>38.495975202128093</v>
      </c>
      <c r="GB788">
        <v>27.013782681068836</v>
      </c>
      <c r="GC788">
        <v>14.742522786596673</v>
      </c>
      <c r="GD788">
        <v>3.4990447058359515</v>
      </c>
      <c r="GE788">
        <v>3.8336755430177067</v>
      </c>
      <c r="GF788">
        <v>1.785307183697173</v>
      </c>
      <c r="GG788">
        <v>0.37379973305691061</v>
      </c>
      <c r="GH788">
        <v>4.9392279363291181</v>
      </c>
      <c r="GI788">
        <v>17.97879177490335</v>
      </c>
      <c r="GJ788"/>
      <c r="GK788"/>
      <c r="GL788"/>
      <c r="GM788"/>
      <c r="GN788" s="208"/>
      <c r="GO788" s="208"/>
      <c r="GP788" s="208"/>
      <c r="GQ788" s="208"/>
      <c r="GR788" s="208"/>
      <c r="GS788" s="208"/>
      <c r="GT788" s="208"/>
      <c r="GU788" s="213">
        <v>783</v>
      </c>
    </row>
    <row r="789" spans="1:203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244.6322911147019</v>
      </c>
      <c r="AO789">
        <v>24.223034988086376</v>
      </c>
      <c r="AP789">
        <v>27.093040510908239</v>
      </c>
      <c r="AQ789">
        <v>181.42368849125941</v>
      </c>
      <c r="AR789">
        <v>24.856126394791445</v>
      </c>
      <c r="AS789">
        <v>383.06491978633511</v>
      </c>
      <c r="AT789">
        <v>15.343393191394009</v>
      </c>
      <c r="AU789">
        <v>-1.012043231250054</v>
      </c>
      <c r="AV789"/>
      <c r="AW789"/>
      <c r="FY789" s="213">
        <v>784</v>
      </c>
      <c r="FZ789">
        <v>40.369464341862958</v>
      </c>
      <c r="GA789">
        <v>44.947539637666289</v>
      </c>
      <c r="GB789">
        <v>33.08858952510672</v>
      </c>
      <c r="GC789">
        <v>12.563603534933424</v>
      </c>
      <c r="GD789">
        <v>2.8893041765879084</v>
      </c>
      <c r="GE789">
        <v>5.8371894796085186</v>
      </c>
      <c r="GF789">
        <v>6.0753507070830626</v>
      </c>
      <c r="GG789">
        <v>5.3793707150856074</v>
      </c>
      <c r="GH789">
        <v>6.6689616544862682</v>
      </c>
      <c r="GI789">
        <v>17.887512393950971</v>
      </c>
      <c r="GJ789"/>
      <c r="GK789"/>
      <c r="GL789"/>
      <c r="GM789"/>
      <c r="GN789" s="208"/>
      <c r="GO789" s="208"/>
      <c r="GP789" s="208"/>
      <c r="GQ789" s="208"/>
      <c r="GR789" s="208"/>
      <c r="GS789" s="208"/>
      <c r="GT789" s="208"/>
      <c r="GU789" s="213">
        <v>784</v>
      </c>
    </row>
    <row r="790" spans="1:203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275.44979422535226</v>
      </c>
      <c r="AO790">
        <v>23.304742712115051</v>
      </c>
      <c r="AP790">
        <v>11.102899716641222</v>
      </c>
      <c r="AQ790">
        <v>168.98087109439396</v>
      </c>
      <c r="AR790">
        <v>24.486487762468627</v>
      </c>
      <c r="AS790">
        <v>377.76139037910815</v>
      </c>
      <c r="AT790">
        <v>15.607556363423882</v>
      </c>
      <c r="AU790">
        <v>-8.4250566421278776</v>
      </c>
      <c r="AV790"/>
      <c r="AW790"/>
      <c r="FY790" s="213">
        <v>785</v>
      </c>
      <c r="FZ790">
        <v>34.917409358764921</v>
      </c>
      <c r="GA790">
        <v>17.201170550056116</v>
      </c>
      <c r="GB790">
        <v>28.66935433375788</v>
      </c>
      <c r="GC790">
        <v>16.010877898407813</v>
      </c>
      <c r="GD790">
        <v>2.7737824880337021</v>
      </c>
      <c r="GE790">
        <v>4.0569994533983671</v>
      </c>
      <c r="GF790">
        <v>2.7487907513298735</v>
      </c>
      <c r="GG790">
        <v>7.2173325957438967</v>
      </c>
      <c r="GH790">
        <v>12.703430300675119</v>
      </c>
      <c r="GI790">
        <v>16.28118331025459</v>
      </c>
      <c r="GJ790"/>
      <c r="GK790"/>
      <c r="GL790"/>
      <c r="GM790"/>
      <c r="GN790" s="208"/>
      <c r="GO790" s="208"/>
      <c r="GP790" s="208"/>
      <c r="GQ790" s="208"/>
      <c r="GR790" s="208"/>
      <c r="GS790" s="208"/>
      <c r="GT790" s="208"/>
      <c r="GU790" s="213">
        <v>785</v>
      </c>
    </row>
    <row r="791" spans="1:203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250.44975130656181</v>
      </c>
      <c r="AO791">
        <v>25.168959322365954</v>
      </c>
      <c r="AP791">
        <v>22.231853830419833</v>
      </c>
      <c r="AQ791">
        <v>201.02294701335211</v>
      </c>
      <c r="AR791">
        <v>25.984951530173458</v>
      </c>
      <c r="AS791">
        <v>342.28036564835332</v>
      </c>
      <c r="AT791">
        <v>15.984739187806184</v>
      </c>
      <c r="AU791">
        <v>-12.774434148574336</v>
      </c>
      <c r="AV791"/>
      <c r="AW791"/>
      <c r="FY791" s="213">
        <v>786</v>
      </c>
      <c r="FZ791">
        <v>47.977088869888078</v>
      </c>
      <c r="GA791">
        <v>41.250743659595358</v>
      </c>
      <c r="GB791">
        <v>41.995560787833099</v>
      </c>
      <c r="GC791">
        <v>19.604111096055714</v>
      </c>
      <c r="GD791">
        <v>2.2100415782416523</v>
      </c>
      <c r="GE791">
        <v>2.8993196467337246</v>
      </c>
      <c r="GF791">
        <v>5.789059411377413</v>
      </c>
      <c r="GG791">
        <v>6.1914822106440326</v>
      </c>
      <c r="GH791">
        <v>13.911247254910105</v>
      </c>
      <c r="GI791">
        <v>21.898094522556384</v>
      </c>
      <c r="GJ791"/>
      <c r="GK791"/>
      <c r="GL791"/>
      <c r="GM791"/>
      <c r="GN791" s="208"/>
      <c r="GO791" s="208"/>
      <c r="GP791" s="208"/>
      <c r="GQ791" s="208"/>
      <c r="GR791" s="208"/>
      <c r="GS791" s="208"/>
      <c r="GT791" s="208"/>
      <c r="GU791" s="213">
        <v>786</v>
      </c>
    </row>
    <row r="792" spans="1:203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277.27650387724555</v>
      </c>
      <c r="AO792">
        <v>23.768689822332743</v>
      </c>
      <c r="AP792">
        <v>44.062316144220084</v>
      </c>
      <c r="AQ792">
        <v>171.83183440809441</v>
      </c>
      <c r="AR792">
        <v>25.113216646305737</v>
      </c>
      <c r="AS792">
        <v>357.12284539629371</v>
      </c>
      <c r="AT792">
        <v>15.660713329489683</v>
      </c>
      <c r="AU792">
        <v>18.657521485082114</v>
      </c>
      <c r="AV792"/>
      <c r="AW792"/>
      <c r="FY792" s="213">
        <v>787</v>
      </c>
      <c r="FZ792">
        <v>37.940115958188933</v>
      </c>
      <c r="GA792">
        <v>47.357584727309053</v>
      </c>
      <c r="GB792">
        <v>30.748349825443455</v>
      </c>
      <c r="GC792">
        <v>11.780217731658803</v>
      </c>
      <c r="GD792">
        <v>5.2572858528273683</v>
      </c>
      <c r="GE792">
        <v>7.0060008795248851</v>
      </c>
      <c r="GF792">
        <v>4.9733385100267462</v>
      </c>
      <c r="GG792">
        <v>5.3036673882397523</v>
      </c>
      <c r="GH792">
        <v>5.9122035186656827</v>
      </c>
      <c r="GI792">
        <v>17.984488606851691</v>
      </c>
      <c r="GJ792"/>
      <c r="GK792"/>
      <c r="GL792"/>
      <c r="GM792"/>
      <c r="GN792" s="208"/>
      <c r="GO792" s="208"/>
      <c r="GP792" s="208"/>
      <c r="GQ792" s="208"/>
      <c r="GR792" s="208"/>
      <c r="GS792" s="208"/>
      <c r="GT792" s="208"/>
      <c r="GU792" s="213">
        <v>787</v>
      </c>
    </row>
    <row r="793" spans="1:203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244.50409288902833</v>
      </c>
      <c r="AO793">
        <v>27.313677960915818</v>
      </c>
      <c r="AP793">
        <v>49.897366393503091</v>
      </c>
      <c r="AQ793">
        <v>196.66649637054152</v>
      </c>
      <c r="AR793">
        <v>28.783707769206757</v>
      </c>
      <c r="AS793">
        <v>378.63986687129113</v>
      </c>
      <c r="AT793">
        <v>17.90957961349913</v>
      </c>
      <c r="AU793">
        <v>25.141138540796483</v>
      </c>
      <c r="AV793"/>
      <c r="AW793"/>
      <c r="FY793" s="213">
        <v>788</v>
      </c>
      <c r="FZ793">
        <v>54.680584793932006</v>
      </c>
      <c r="GA793">
        <v>36.826584855092271</v>
      </c>
      <c r="GB793">
        <v>30.194424911214721</v>
      </c>
      <c r="GC793">
        <v>17.176326407448833</v>
      </c>
      <c r="GD793">
        <v>3.8585071540441285</v>
      </c>
      <c r="GE793">
        <v>4.6302756426104983</v>
      </c>
      <c r="GF793">
        <v>3.1235804888697816</v>
      </c>
      <c r="GG793">
        <v>1.8416332595539942</v>
      </c>
      <c r="GH793">
        <v>7.0183767543937829</v>
      </c>
      <c r="GI793">
        <v>19.354846257267965</v>
      </c>
      <c r="GJ793"/>
      <c r="GK793"/>
      <c r="GL793"/>
      <c r="GM793"/>
      <c r="GN793" s="208"/>
      <c r="GO793" s="208"/>
      <c r="GP793" s="208"/>
      <c r="GQ793" s="208"/>
      <c r="GR793" s="208"/>
      <c r="GS793" s="208"/>
      <c r="GT793" s="208"/>
      <c r="GU793" s="213">
        <v>788</v>
      </c>
    </row>
    <row r="794" spans="1:203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294.98296963624318</v>
      </c>
      <c r="AO794">
        <v>28.287664004090846</v>
      </c>
      <c r="AP794">
        <v>81.42565614475987</v>
      </c>
      <c r="AQ794">
        <v>205.89574089550075</v>
      </c>
      <c r="AR794">
        <v>28.072658720128</v>
      </c>
      <c r="AS794">
        <v>400.19985083913127</v>
      </c>
      <c r="AT794" t="e">
        <v>#DIV/0!</v>
      </c>
      <c r="AU794" t="e">
        <v>#DIV/0!</v>
      </c>
      <c r="AV794"/>
      <c r="AW794"/>
      <c r="FY794" s="213">
        <v>789</v>
      </c>
      <c r="FZ794">
        <v>48.348986598760625</v>
      </c>
      <c r="GA794">
        <v>49.330587495280156</v>
      </c>
      <c r="GB794">
        <v>27.487891189042035</v>
      </c>
      <c r="GC794">
        <v>11.601622566354495</v>
      </c>
      <c r="GD794">
        <v>4.7351300094867002</v>
      </c>
      <c r="GE794">
        <v>6.0556572457650955</v>
      </c>
      <c r="GF794">
        <v>3.5140869868992222</v>
      </c>
      <c r="GG794">
        <v>4.8671213315075548</v>
      </c>
      <c r="GH794">
        <v>10.100628451101288</v>
      </c>
      <c r="GI794">
        <v>18.793538387895126</v>
      </c>
      <c r="GJ794"/>
      <c r="GK794"/>
      <c r="GL794"/>
      <c r="GM794"/>
      <c r="GN794" s="208"/>
      <c r="GO794" s="208"/>
      <c r="GP794" s="208"/>
      <c r="GQ794" s="208"/>
      <c r="GR794" s="208"/>
      <c r="GS794" s="208"/>
      <c r="GT794" s="208"/>
      <c r="GU794" s="213">
        <v>789</v>
      </c>
    </row>
    <row r="795" spans="1:203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348.30713110980162</v>
      </c>
      <c r="AO795">
        <v>36.05739856897047</v>
      </c>
      <c r="AP795">
        <v>46.660032167231499</v>
      </c>
      <c r="AQ795">
        <v>266.72312334981086</v>
      </c>
      <c r="AR795">
        <v>35.377512992985501</v>
      </c>
      <c r="AS795">
        <v>531.63027207456832</v>
      </c>
      <c r="AT795">
        <v>22.927608334620732</v>
      </c>
      <c r="AU795">
        <v>-127.44331088705523</v>
      </c>
      <c r="AV795"/>
      <c r="AW795"/>
      <c r="FY795" s="213">
        <v>790</v>
      </c>
      <c r="FZ795">
        <v>51.891364511482003</v>
      </c>
      <c r="GA795">
        <v>61.584817111918305</v>
      </c>
      <c r="GB795">
        <v>33.480158099302322</v>
      </c>
      <c r="GC795">
        <v>11.630359866936564</v>
      </c>
      <c r="GD795">
        <v>2.04334655978497</v>
      </c>
      <c r="GE795">
        <v>3.1166926173350946</v>
      </c>
      <c r="GF795">
        <v>5.5555351472137691</v>
      </c>
      <c r="GG795">
        <v>8.1033817123788605</v>
      </c>
      <c r="GH795">
        <v>11.279517555079076</v>
      </c>
      <c r="GI795">
        <v>19.829741506852876</v>
      </c>
      <c r="GJ795"/>
      <c r="GK795"/>
      <c r="GL795"/>
      <c r="GM795"/>
      <c r="GN795" s="208"/>
      <c r="GO795" s="208"/>
      <c r="GP795" s="208"/>
      <c r="GQ795" s="208"/>
      <c r="GR795" s="208"/>
      <c r="GS795" s="208"/>
      <c r="GT795" s="208"/>
      <c r="GU795" s="213">
        <v>790</v>
      </c>
    </row>
    <row r="796" spans="1:203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256.0586822422319</v>
      </c>
      <c r="AO796">
        <v>24.238419127310411</v>
      </c>
      <c r="AP796">
        <v>25.408045635796256</v>
      </c>
      <c r="AQ796">
        <v>173.42586014111299</v>
      </c>
      <c r="AR796">
        <v>25.884481250641599</v>
      </c>
      <c r="AS796">
        <v>348.5223340833108</v>
      </c>
      <c r="AT796">
        <v>16.554139878302305</v>
      </c>
      <c r="AU796">
        <v>26.208763961188751</v>
      </c>
      <c r="AV796"/>
      <c r="AW796"/>
      <c r="FY796" s="213">
        <v>791</v>
      </c>
      <c r="FZ796">
        <v>47.353998658037845</v>
      </c>
      <c r="GA796">
        <v>29.368975374295232</v>
      </c>
      <c r="GB796">
        <v>27.532563667440161</v>
      </c>
      <c r="GC796">
        <v>14.359434537685555</v>
      </c>
      <c r="GD796">
        <v>2.9314166747306176</v>
      </c>
      <c r="GE796">
        <v>5.518507779743052</v>
      </c>
      <c r="GF796">
        <v>3.1392972493593136</v>
      </c>
      <c r="GG796">
        <v>3.4277185575639399</v>
      </c>
      <c r="GH796">
        <v>8.1053732736962729</v>
      </c>
      <c r="GI796">
        <v>17.262512100311689</v>
      </c>
      <c r="GJ796"/>
      <c r="GK796"/>
      <c r="GL796"/>
      <c r="GM796"/>
      <c r="GN796" s="208"/>
      <c r="GO796" s="208"/>
      <c r="GP796" s="208"/>
      <c r="GQ796" s="208"/>
      <c r="GR796" s="208"/>
      <c r="GS796" s="208"/>
      <c r="GT796" s="208"/>
      <c r="GU796" s="213">
        <v>791</v>
      </c>
    </row>
    <row r="797" spans="1:203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243.48086828871359</v>
      </c>
      <c r="AO797">
        <v>22.857125723211066</v>
      </c>
      <c r="AP797">
        <v>22.045629949180825</v>
      </c>
      <c r="AQ797">
        <v>170.91347606233413</v>
      </c>
      <c r="AR797">
        <v>23.007092279745375</v>
      </c>
      <c r="AS797">
        <v>346.12111765724165</v>
      </c>
      <c r="AT797">
        <v>13.48303309009278</v>
      </c>
      <c r="AU797">
        <v>-17.293313526273323</v>
      </c>
      <c r="AV797"/>
      <c r="AW797"/>
      <c r="FY797" s="213">
        <v>792</v>
      </c>
      <c r="FZ797">
        <v>40.567224062203678</v>
      </c>
      <c r="GA797">
        <v>62.572170616802751</v>
      </c>
      <c r="GB797">
        <v>56.796934031380573</v>
      </c>
      <c r="GC797">
        <v>22.481945772207876</v>
      </c>
      <c r="GD797">
        <v>2.9022592040943858</v>
      </c>
      <c r="GE797">
        <v>3.737464837627051</v>
      </c>
      <c r="GF797">
        <v>6.645590932733672</v>
      </c>
      <c r="GG797">
        <v>8.4936796797859166</v>
      </c>
      <c r="GH797">
        <v>11.384681704605033</v>
      </c>
      <c r="GI797">
        <v>24.605904612145789</v>
      </c>
      <c r="GJ797"/>
      <c r="GK797"/>
      <c r="GL797"/>
      <c r="GM797"/>
      <c r="GN797" s="208"/>
      <c r="GO797" s="208"/>
      <c r="GP797" s="208"/>
      <c r="GQ797" s="208"/>
      <c r="GR797" s="208"/>
      <c r="GS797" s="208"/>
      <c r="GT797" s="208"/>
      <c r="GU797" s="213">
        <v>792</v>
      </c>
    </row>
    <row r="798" spans="1:203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279.30129185005433</v>
      </c>
      <c r="AO798">
        <v>28.906071217186543</v>
      </c>
      <c r="AP798">
        <v>54.120874834207768</v>
      </c>
      <c r="AQ798">
        <v>206.33042372770296</v>
      </c>
      <c r="AR798">
        <v>28.842010333112228</v>
      </c>
      <c r="AS798">
        <v>377.88208612078495</v>
      </c>
      <c r="AT798">
        <v>17.093115648106497</v>
      </c>
      <c r="AU798">
        <v>19.669883377850876</v>
      </c>
      <c r="AV798"/>
      <c r="AW798"/>
      <c r="FY798" s="213">
        <v>793</v>
      </c>
      <c r="FZ798">
        <v>46.465654083270479</v>
      </c>
      <c r="GA798">
        <v>51.674117912224382</v>
      </c>
      <c r="GB798">
        <v>24.2328823845302</v>
      </c>
      <c r="GC798">
        <v>9.1500831714694257</v>
      </c>
      <c r="GD798">
        <v>2.9017421598352087</v>
      </c>
      <c r="GE798">
        <v>4.0718221940379058</v>
      </c>
      <c r="GF798">
        <v>3.2120789307040414</v>
      </c>
      <c r="GG798">
        <v>5.1331423979302331</v>
      </c>
      <c r="GH798">
        <v>11.30217634157583</v>
      </c>
      <c r="GI798">
        <v>16.822222479408271</v>
      </c>
      <c r="GJ798"/>
      <c r="GK798"/>
      <c r="GL798"/>
      <c r="GM798"/>
      <c r="GN798" s="208"/>
      <c r="GO798" s="208"/>
      <c r="GP798" s="208"/>
      <c r="GQ798" s="208"/>
      <c r="GR798" s="208"/>
      <c r="GS798" s="208"/>
      <c r="GT798" s="208"/>
      <c r="GU798" s="213">
        <v>793</v>
      </c>
    </row>
    <row r="799" spans="1:203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235.68138576284395</v>
      </c>
      <c r="AO799">
        <v>23.364523207501229</v>
      </c>
      <c r="AP799">
        <v>11.741458738349849</v>
      </c>
      <c r="AQ799">
        <v>168.61081384022555</v>
      </c>
      <c r="AR799">
        <v>24.727005131141443</v>
      </c>
      <c r="AS799">
        <v>358.66908316871979</v>
      </c>
      <c r="AT799">
        <v>14.85270669290111</v>
      </c>
      <c r="AU799">
        <v>-1.5275531130152586</v>
      </c>
      <c r="AV799"/>
      <c r="AW799"/>
      <c r="FY799" s="213">
        <v>794</v>
      </c>
      <c r="FZ799">
        <v>49.803286985865732</v>
      </c>
      <c r="GA799">
        <v>36.554344322378725</v>
      </c>
      <c r="GB799">
        <v>33.472213292517225</v>
      </c>
      <c r="GC799">
        <v>16.805460725672756</v>
      </c>
      <c r="GD799">
        <v>3.2928380235613108</v>
      </c>
      <c r="GE799">
        <v>4.5251447517150059</v>
      </c>
      <c r="GF799">
        <v>1.3632096332459036</v>
      </c>
      <c r="GG799">
        <v>3.5434289559048167</v>
      </c>
      <c r="GH799">
        <v>13.261554020891356</v>
      </c>
      <c r="GI799">
        <v>19.791491834124475</v>
      </c>
      <c r="GJ799"/>
      <c r="GK799"/>
      <c r="GL799"/>
      <c r="GM799"/>
      <c r="GN799" s="208"/>
      <c r="GO799" s="208"/>
      <c r="GP799" s="208"/>
      <c r="GQ799" s="208"/>
      <c r="GR799" s="208"/>
      <c r="GS799" s="208"/>
      <c r="GT799" s="208"/>
      <c r="GU799" s="213">
        <v>794</v>
      </c>
    </row>
    <row r="800" spans="1:203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271.81570251641017</v>
      </c>
      <c r="AO800">
        <v>24.193687361975687</v>
      </c>
      <c r="AP800">
        <v>20.074626752838775</v>
      </c>
      <c r="AQ800">
        <v>175.70688616637173</v>
      </c>
      <c r="AR800">
        <v>24.479564867467566</v>
      </c>
      <c r="AS800">
        <v>322.09273797024764</v>
      </c>
      <c r="AT800">
        <v>14.902640848246085</v>
      </c>
      <c r="AU800">
        <v>-17.359865924424696</v>
      </c>
      <c r="AV800"/>
      <c r="AW800"/>
      <c r="FY800" s="213">
        <v>795</v>
      </c>
      <c r="FZ800">
        <v>47.827623856025305</v>
      </c>
      <c r="GA800">
        <v>21.291083324610923</v>
      </c>
      <c r="GB800">
        <v>25.843652355982616</v>
      </c>
      <c r="GC800">
        <v>12.841315071155829</v>
      </c>
      <c r="GD800">
        <v>1.204856566298083</v>
      </c>
      <c r="GE800">
        <v>2.2752331251507854</v>
      </c>
      <c r="GF800">
        <v>5.9368220776594463</v>
      </c>
      <c r="GG800">
        <v>4.2783084737512826</v>
      </c>
      <c r="GH800">
        <v>5.5361606613768837</v>
      </c>
      <c r="GI800">
        <v>16.049478991481649</v>
      </c>
      <c r="GJ800"/>
      <c r="GK800"/>
      <c r="GL800"/>
      <c r="GM800"/>
      <c r="GN800" s="208"/>
      <c r="GO800" s="208"/>
      <c r="GP800" s="208"/>
      <c r="GQ800" s="208"/>
      <c r="GR800" s="208"/>
      <c r="GS800" s="208"/>
      <c r="GT800" s="208"/>
      <c r="GU800" s="213">
        <v>795</v>
      </c>
    </row>
    <row r="801" spans="1:203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228.18951906732619</v>
      </c>
      <c r="AO801">
        <v>21.467904838659173</v>
      </c>
      <c r="AP801">
        <v>30.014572974618055</v>
      </c>
      <c r="AQ801">
        <v>142.58033104042227</v>
      </c>
      <c r="AR801">
        <v>22.316849601393326</v>
      </c>
      <c r="AS801">
        <v>331.21062220395731</v>
      </c>
      <c r="AT801">
        <v>13.622610920584899</v>
      </c>
      <c r="AU801">
        <v>17.995589208375989</v>
      </c>
      <c r="AV801"/>
      <c r="AW801"/>
      <c r="FY801" s="213">
        <v>796</v>
      </c>
      <c r="FZ801">
        <v>45.423817992560913</v>
      </c>
      <c r="GA801">
        <v>57.861866034649665</v>
      </c>
      <c r="GB801">
        <v>31.400587146955459</v>
      </c>
      <c r="GC801">
        <v>11.151052895407529</v>
      </c>
      <c r="GD801">
        <v>4.0628061202097872</v>
      </c>
      <c r="GE801">
        <v>4.7756322059744551</v>
      </c>
      <c r="GF801">
        <v>1.2916089883444104</v>
      </c>
      <c r="GG801">
        <v>2.3496892532380591</v>
      </c>
      <c r="GH801">
        <v>7.9203506233096279</v>
      </c>
      <c r="GI801">
        <v>18.214880051592793</v>
      </c>
      <c r="GJ801"/>
      <c r="GK801"/>
      <c r="GL801"/>
      <c r="GM801"/>
      <c r="GN801" s="208"/>
      <c r="GO801" s="208"/>
      <c r="GP801" s="208"/>
      <c r="GQ801" s="208"/>
      <c r="GR801" s="208"/>
      <c r="GS801" s="208"/>
      <c r="GT801" s="208"/>
      <c r="GU801" s="213">
        <v>796</v>
      </c>
    </row>
    <row r="802" spans="1:203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273.62410661550871</v>
      </c>
      <c r="AO802">
        <v>28.89762318096269</v>
      </c>
      <c r="AP802">
        <v>83.870243314331844</v>
      </c>
      <c r="AQ802">
        <v>203.72674903783559</v>
      </c>
      <c r="AR802">
        <v>30.026133742512762</v>
      </c>
      <c r="AS802">
        <v>442.36960709331112</v>
      </c>
      <c r="AT802">
        <v>18.869099523910261</v>
      </c>
      <c r="AU802">
        <v>5.609038208057143</v>
      </c>
      <c r="AV802"/>
      <c r="AW802"/>
      <c r="FY802" s="213">
        <v>797</v>
      </c>
      <c r="FZ802">
        <v>49.648688871724005</v>
      </c>
      <c r="GA802">
        <v>62.524476820798192</v>
      </c>
      <c r="GB802">
        <v>36.487046092555708</v>
      </c>
      <c r="GC802">
        <v>14.918608895469598</v>
      </c>
      <c r="GD802">
        <v>6.665178775237016</v>
      </c>
      <c r="GE802">
        <v>10.653969647560194</v>
      </c>
      <c r="GF802">
        <v>5.3611081641035376</v>
      </c>
      <c r="GG802">
        <v>4.2974315028591761</v>
      </c>
      <c r="GH802">
        <v>5.7365622482744829</v>
      </c>
      <c r="GI802">
        <v>21.946266795761176</v>
      </c>
      <c r="GJ802"/>
      <c r="GK802"/>
      <c r="GL802"/>
      <c r="GM802"/>
      <c r="GN802" s="208"/>
      <c r="GO802" s="208"/>
      <c r="GP802" s="208"/>
      <c r="GQ802" s="208"/>
      <c r="GR802" s="208"/>
      <c r="GS802" s="208"/>
      <c r="GT802" s="208"/>
      <c r="GU802" s="213">
        <v>797</v>
      </c>
    </row>
    <row r="803" spans="1:203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289.17654277767804</v>
      </c>
      <c r="AO803">
        <v>24.434748293114907</v>
      </c>
      <c r="AP803">
        <v>23.756444819852284</v>
      </c>
      <c r="AQ803">
        <v>174.26325299873636</v>
      </c>
      <c r="AR803">
        <v>24.576776443033939</v>
      </c>
      <c r="AS803">
        <v>413.33658762548146</v>
      </c>
      <c r="AT803">
        <v>15.150201548016506</v>
      </c>
      <c r="AU803">
        <v>-5.614556352996793</v>
      </c>
      <c r="AV803"/>
      <c r="AW803"/>
      <c r="FY803" s="213">
        <v>798</v>
      </c>
      <c r="FZ803">
        <v>60.196402610056225</v>
      </c>
      <c r="GA803">
        <v>83.36298175068373</v>
      </c>
      <c r="GB803">
        <v>43.930237842614254</v>
      </c>
      <c r="GC803">
        <v>14.105185350209736</v>
      </c>
      <c r="GD803">
        <v>3.2944133947626888</v>
      </c>
      <c r="GE803">
        <v>6.1629431447006766</v>
      </c>
      <c r="GF803">
        <v>3.5429411953684018</v>
      </c>
      <c r="GG803">
        <v>2.4354878918752556</v>
      </c>
      <c r="GH803">
        <v>5.2139645676904491</v>
      </c>
      <c r="GI803">
        <v>22.990663639361102</v>
      </c>
      <c r="GJ803"/>
      <c r="GK803"/>
      <c r="GL803"/>
      <c r="GM803"/>
      <c r="GN803" s="208"/>
      <c r="GO803" s="208"/>
      <c r="GP803" s="208"/>
      <c r="GQ803" s="208"/>
      <c r="GR803" s="208"/>
      <c r="GS803" s="208"/>
      <c r="GT803" s="208"/>
      <c r="GU803" s="213">
        <v>798</v>
      </c>
    </row>
    <row r="804" spans="1:203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265.91597173800477</v>
      </c>
      <c r="AO804">
        <v>25.458929806812392</v>
      </c>
      <c r="AP804">
        <v>25.099772768471009</v>
      </c>
      <c r="AQ804">
        <v>178.70514052442797</v>
      </c>
      <c r="AR804">
        <v>26.586910790148551</v>
      </c>
      <c r="AS804">
        <v>369.03475157635569</v>
      </c>
      <c r="AT804">
        <v>15.252207087311987</v>
      </c>
      <c r="AU804">
        <v>13.567251600557292</v>
      </c>
      <c r="AV804"/>
      <c r="AW804"/>
      <c r="FY804" s="213">
        <v>799</v>
      </c>
      <c r="FZ804">
        <v>32.244638777819141</v>
      </c>
      <c r="GA804">
        <v>35.433971404573469</v>
      </c>
      <c r="GB804">
        <v>37.143449303873979</v>
      </c>
      <c r="GC804">
        <v>17.154112951370923</v>
      </c>
      <c r="GD804">
        <v>5.4604084415934704</v>
      </c>
      <c r="GE804">
        <v>9.447436378440548</v>
      </c>
      <c r="GF804">
        <v>3.120843644917132</v>
      </c>
      <c r="GG804">
        <v>1.2226142821157253</v>
      </c>
      <c r="GH804">
        <v>1.565929329296937</v>
      </c>
      <c r="GI804">
        <v>17.802193536954981</v>
      </c>
      <c r="GJ804"/>
      <c r="GK804"/>
      <c r="GL804"/>
      <c r="GM804"/>
      <c r="GN804" s="208"/>
      <c r="GO804" s="208"/>
      <c r="GP804" s="208"/>
      <c r="GQ804" s="208"/>
      <c r="GR804" s="208"/>
      <c r="GS804" s="208"/>
      <c r="GT804" s="208"/>
      <c r="GU804" s="213">
        <v>799</v>
      </c>
    </row>
    <row r="805" spans="1:203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322.12622544528978</v>
      </c>
      <c r="AO805">
        <v>25.032968739059438</v>
      </c>
      <c r="AP805">
        <v>22.505345461621708</v>
      </c>
      <c r="AQ805">
        <v>184.83525026209233</v>
      </c>
      <c r="AR805">
        <v>25.785317574760587</v>
      </c>
      <c r="AS805">
        <v>405.73146311614988</v>
      </c>
      <c r="AT805">
        <v>15.635983483464381</v>
      </c>
      <c r="AU805">
        <v>-23.109192310831126</v>
      </c>
      <c r="AV805"/>
      <c r="AW805"/>
      <c r="FY805" s="213">
        <v>800</v>
      </c>
      <c r="FZ805">
        <v>52.687727183844757</v>
      </c>
      <c r="GA805">
        <v>35.928492286469861</v>
      </c>
      <c r="GB805">
        <v>26.999966044265765</v>
      </c>
      <c r="GC805">
        <v>13.047253472391626</v>
      </c>
      <c r="GD805">
        <v>4.4499228089545921</v>
      </c>
      <c r="GE805">
        <v>6.9907970568945599</v>
      </c>
      <c r="GF805">
        <v>5.3985529133479719</v>
      </c>
      <c r="GG805">
        <v>6.1502009039910872</v>
      </c>
      <c r="GH805">
        <v>5.6586447286285075</v>
      </c>
      <c r="GI805">
        <v>18.792074066501161</v>
      </c>
      <c r="GJ805"/>
      <c r="GK805"/>
      <c r="GL805"/>
      <c r="GM805"/>
      <c r="GN805" s="208"/>
      <c r="GO805" s="208"/>
      <c r="GP805" s="208"/>
      <c r="GQ805" s="208"/>
      <c r="GR805" s="208"/>
      <c r="GS805" s="208"/>
      <c r="GT805" s="208"/>
      <c r="GU805" s="213">
        <v>800</v>
      </c>
    </row>
    <row r="806" spans="1:203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249.05977488009881</v>
      </c>
      <c r="AO806">
        <v>26.885601304679881</v>
      </c>
      <c r="AP806">
        <v>25.011347658913007</v>
      </c>
      <c r="AQ806">
        <v>208.51491468828385</v>
      </c>
      <c r="AR806">
        <v>27.24026655130578</v>
      </c>
      <c r="AS806">
        <v>379.52877716552598</v>
      </c>
      <c r="AT806">
        <v>16.648850502194193</v>
      </c>
      <c r="AU806">
        <v>-7.2252488039736136</v>
      </c>
      <c r="AV806"/>
      <c r="AW806"/>
      <c r="FY806" s="213">
        <v>801</v>
      </c>
      <c r="FZ806">
        <v>66.289318534716372</v>
      </c>
      <c r="GA806">
        <v>58.998069366983316</v>
      </c>
      <c r="GB806">
        <v>23.080499639975201</v>
      </c>
      <c r="GC806">
        <v>10.299205407154075</v>
      </c>
      <c r="GD806">
        <v>2.1876742242423521</v>
      </c>
      <c r="GE806">
        <v>3.1006983160988844</v>
      </c>
      <c r="GF806">
        <v>1.7379993707858121</v>
      </c>
      <c r="GG806">
        <v>1.0118546684854475</v>
      </c>
      <c r="GH806">
        <v>2.1799933001873226</v>
      </c>
      <c r="GI806">
        <v>17.324078889237832</v>
      </c>
      <c r="GJ806"/>
      <c r="GK806"/>
      <c r="GL806"/>
      <c r="GM806"/>
      <c r="GN806" s="208"/>
      <c r="GO806" s="208"/>
      <c r="GP806" s="208"/>
      <c r="GQ806" s="208"/>
      <c r="GR806" s="208"/>
      <c r="GS806" s="208"/>
      <c r="GT806" s="208"/>
      <c r="GU806" s="213">
        <v>801</v>
      </c>
    </row>
    <row r="807" spans="1:203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219.22856660068192</v>
      </c>
      <c r="AO807">
        <v>22.659779922001476</v>
      </c>
      <c r="AP807">
        <v>21.14821301886267</v>
      </c>
      <c r="AQ807">
        <v>158.99979787286364</v>
      </c>
      <c r="AR807">
        <v>23.72749087869995</v>
      </c>
      <c r="AS807">
        <v>304.78198558481529</v>
      </c>
      <c r="AT807">
        <v>14.233057063681825</v>
      </c>
      <c r="AU807">
        <v>13.427144009176658</v>
      </c>
      <c r="AV807"/>
      <c r="AW807"/>
      <c r="FY807" s="213">
        <v>802</v>
      </c>
      <c r="FZ807">
        <v>50.643111288508941</v>
      </c>
      <c r="GA807">
        <v>57.483380741048151</v>
      </c>
      <c r="GB807">
        <v>47.827053454049192</v>
      </c>
      <c r="GC807">
        <v>18.345408517478351</v>
      </c>
      <c r="GD807">
        <v>3.9072972509450183</v>
      </c>
      <c r="GE807">
        <v>7.7477729417698065</v>
      </c>
      <c r="GF807">
        <v>6.8910716084337285</v>
      </c>
      <c r="GG807">
        <v>4.8057370884521866</v>
      </c>
      <c r="GH807">
        <v>9.9845429458470374</v>
      </c>
      <c r="GI807">
        <v>24.272405265479712</v>
      </c>
      <c r="GJ807"/>
      <c r="GK807"/>
      <c r="GL807"/>
      <c r="GM807"/>
      <c r="GN807" s="208"/>
      <c r="GO807" s="208"/>
      <c r="GP807" s="208"/>
      <c r="GQ807" s="208"/>
      <c r="GR807" s="208"/>
      <c r="GS807" s="208"/>
      <c r="GT807" s="208"/>
      <c r="GU807" s="213">
        <v>802</v>
      </c>
    </row>
    <row r="808" spans="1:203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333.48324226973051</v>
      </c>
      <c r="AO808">
        <v>34.251330201661823</v>
      </c>
      <c r="AP808">
        <v>45.644061220525401</v>
      </c>
      <c r="AQ808">
        <v>240.18785545358671</v>
      </c>
      <c r="AR808">
        <v>33.663624856956261</v>
      </c>
      <c r="AS808">
        <v>506.87124482759276</v>
      </c>
      <c r="AT808">
        <v>21.027449361722116</v>
      </c>
      <c r="AU808">
        <v>-15.72861307710718</v>
      </c>
      <c r="AV808"/>
      <c r="AW808"/>
      <c r="FY808" s="213">
        <v>803</v>
      </c>
      <c r="FZ808">
        <v>42.979452410293725</v>
      </c>
      <c r="GA808">
        <v>55.214077063707904</v>
      </c>
      <c r="GB808">
        <v>44.838643574459937</v>
      </c>
      <c r="GC808">
        <v>18.951343707478614</v>
      </c>
      <c r="GD808">
        <v>6.3000213131406548</v>
      </c>
      <c r="GE808">
        <v>8.0038924618073679</v>
      </c>
      <c r="GF808">
        <v>7.9336992690152819</v>
      </c>
      <c r="GG808">
        <v>12.304229495536914</v>
      </c>
      <c r="GH808">
        <v>12.454232544489631</v>
      </c>
      <c r="GI808">
        <v>24.336203794479555</v>
      </c>
      <c r="GJ808"/>
      <c r="GK808"/>
      <c r="GL808"/>
      <c r="GM808"/>
      <c r="GN808" s="208"/>
      <c r="GO808" s="208"/>
      <c r="GP808" s="208"/>
      <c r="GQ808" s="208"/>
      <c r="GR808" s="208"/>
      <c r="GS808" s="208"/>
      <c r="GT808" s="208"/>
      <c r="GU808" s="213">
        <v>803</v>
      </c>
    </row>
    <row r="809" spans="1:203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237.75745945098078</v>
      </c>
      <c r="AO809">
        <v>22.542311897418241</v>
      </c>
      <c r="AP809">
        <v>26.928367506239638</v>
      </c>
      <c r="AQ809">
        <v>174.96592205498601</v>
      </c>
      <c r="AR809">
        <v>23.088388146123467</v>
      </c>
      <c r="AS809">
        <v>324.55792898987926</v>
      </c>
      <c r="AT809">
        <v>13.940364966567385</v>
      </c>
      <c r="AU809">
        <v>1.3426459549317755</v>
      </c>
      <c r="AV809"/>
      <c r="AW809"/>
      <c r="FY809" s="213">
        <v>804</v>
      </c>
      <c r="FZ809">
        <v>33.065596790326325</v>
      </c>
      <c r="GA809">
        <v>17.711095149731868</v>
      </c>
      <c r="GB809">
        <v>36.424488182938312</v>
      </c>
      <c r="GC809">
        <v>19.015674507567464</v>
      </c>
      <c r="GD809">
        <v>4.9783928552206289</v>
      </c>
      <c r="GE809">
        <v>9.8746751924654905</v>
      </c>
      <c r="GF809">
        <v>2.0400218962556487</v>
      </c>
      <c r="GG809">
        <v>3.0483713837630884</v>
      </c>
      <c r="GH809">
        <v>4.2447976312963158</v>
      </c>
      <c r="GI809">
        <v>17.696420400954526</v>
      </c>
      <c r="GJ809"/>
      <c r="GK809"/>
      <c r="GL809"/>
      <c r="GM809"/>
      <c r="GN809" s="208"/>
      <c r="GO809" s="208"/>
      <c r="GP809" s="208"/>
      <c r="GQ809" s="208"/>
      <c r="GR809" s="208"/>
      <c r="GS809" s="208"/>
      <c r="GT809" s="208"/>
      <c r="GU809" s="213">
        <v>804</v>
      </c>
    </row>
    <row r="810" spans="1:203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260.10840940526174</v>
      </c>
      <c r="AO810">
        <v>25.870453364977529</v>
      </c>
      <c r="AP810">
        <v>47.06611952536565</v>
      </c>
      <c r="AQ810">
        <v>182.41297254587732</v>
      </c>
      <c r="AR810">
        <v>27.143727079120676</v>
      </c>
      <c r="AS810">
        <v>352.97381460768992</v>
      </c>
      <c r="AT810">
        <v>16.703445411043372</v>
      </c>
      <c r="AU810">
        <v>9.8193439860265954</v>
      </c>
      <c r="AV810"/>
      <c r="AW810"/>
      <c r="FY810" s="213">
        <v>805</v>
      </c>
      <c r="FZ810">
        <v>57.805522793998861</v>
      </c>
      <c r="GA810">
        <v>79.648940926490837</v>
      </c>
      <c r="GB810">
        <v>42.989851835690502</v>
      </c>
      <c r="GC810">
        <v>11.627293210111386</v>
      </c>
      <c r="GD810">
        <v>2.8022128841638088</v>
      </c>
      <c r="GE810">
        <v>5.3393944944250267</v>
      </c>
      <c r="GF810">
        <v>6.5570924908994126</v>
      </c>
      <c r="GG810">
        <v>8.024374367538373</v>
      </c>
      <c r="GH810">
        <v>14.699979968096535</v>
      </c>
      <c r="GI810">
        <v>24.185845826786615</v>
      </c>
      <c r="GJ810"/>
      <c r="GK810"/>
      <c r="GL810"/>
      <c r="GM810"/>
      <c r="GN810" s="208"/>
      <c r="GO810" s="208"/>
      <c r="GP810" s="208"/>
      <c r="GQ810" s="208"/>
      <c r="GR810" s="208"/>
      <c r="GS810" s="208"/>
      <c r="GT810" s="208"/>
      <c r="GU810" s="213">
        <v>805</v>
      </c>
    </row>
    <row r="811" spans="1:203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182.55454676071298</v>
      </c>
      <c r="AO811">
        <v>19.95723785974084</v>
      </c>
      <c r="AP811">
        <v>17.212162852839874</v>
      </c>
      <c r="AQ811">
        <v>143.08453450349279</v>
      </c>
      <c r="AR811">
        <v>22.045875185352109</v>
      </c>
      <c r="AS811">
        <v>282.30747324140395</v>
      </c>
      <c r="AT811">
        <v>13.098692092338696</v>
      </c>
      <c r="AU811">
        <v>8.9449982054148194</v>
      </c>
      <c r="AV811"/>
      <c r="AW811"/>
      <c r="FY811" s="213">
        <v>806</v>
      </c>
      <c r="FZ811">
        <v>50.611490599363705</v>
      </c>
      <c r="GA811">
        <v>51.98505689693306</v>
      </c>
      <c r="GB811">
        <v>28.829396467274258</v>
      </c>
      <c r="GC811">
        <v>11.583199576103658</v>
      </c>
      <c r="GD811">
        <v>5.1100283404908948</v>
      </c>
      <c r="GE811">
        <v>8.6355859036322169</v>
      </c>
      <c r="GF811">
        <v>2.5033100756298166</v>
      </c>
      <c r="GG811">
        <v>1.6620454452177618</v>
      </c>
      <c r="GH811">
        <v>6.3297501931076976</v>
      </c>
      <c r="GI811">
        <v>18.891612219654462</v>
      </c>
      <c r="GJ811"/>
      <c r="GK811"/>
      <c r="GL811"/>
      <c r="GM811"/>
      <c r="GN811" s="208"/>
      <c r="GO811" s="208"/>
      <c r="GP811" s="208"/>
      <c r="GQ811" s="208"/>
      <c r="GR811" s="208"/>
      <c r="GS811" s="208"/>
      <c r="GT811" s="208"/>
      <c r="GU811" s="213">
        <v>806</v>
      </c>
    </row>
    <row r="812" spans="1:203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250.88221411376989</v>
      </c>
      <c r="AO812">
        <v>24.504018166138184</v>
      </c>
      <c r="AP812">
        <v>52.668116211440562</v>
      </c>
      <c r="AQ812">
        <v>184.45229131224272</v>
      </c>
      <c r="AR812">
        <v>24.926976405514083</v>
      </c>
      <c r="AS812">
        <v>374.17485420566447</v>
      </c>
      <c r="AT812" t="e">
        <v>#DIV/0!</v>
      </c>
      <c r="AU812" t="e">
        <v>#DIV/0!</v>
      </c>
      <c r="AV812"/>
      <c r="AW812"/>
      <c r="FY812" s="213">
        <v>807</v>
      </c>
      <c r="FZ812">
        <v>42.325990421610356</v>
      </c>
      <c r="GA812">
        <v>39.811580621876843</v>
      </c>
      <c r="GB812">
        <v>36.105909236611097</v>
      </c>
      <c r="GC812">
        <v>17.228332627470376</v>
      </c>
      <c r="GD812">
        <v>5.1314101426944427</v>
      </c>
      <c r="GE812">
        <v>7.0127553160378362</v>
      </c>
      <c r="GF812">
        <v>6.5598293348520613</v>
      </c>
      <c r="GG812">
        <v>4.2619723024115546</v>
      </c>
      <c r="GH812">
        <v>2.910389821437759</v>
      </c>
      <c r="GI812">
        <v>19.684839284796233</v>
      </c>
      <c r="GJ812"/>
      <c r="GK812"/>
      <c r="GL812"/>
      <c r="GM812"/>
      <c r="GN812" s="208"/>
      <c r="GO812" s="208"/>
      <c r="GP812" s="208"/>
      <c r="GQ812" s="208"/>
      <c r="GR812" s="208"/>
      <c r="GS812" s="208"/>
      <c r="GT812" s="208"/>
      <c r="GU812" s="213">
        <v>807</v>
      </c>
    </row>
    <row r="813" spans="1:203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365.63771139607309</v>
      </c>
      <c r="AO813">
        <v>30.570155716955288</v>
      </c>
      <c r="AP813">
        <v>39.129487612886564</v>
      </c>
      <c r="AQ813">
        <v>218.23933781434309</v>
      </c>
      <c r="AR813">
        <v>30.094700601463185</v>
      </c>
      <c r="AS813">
        <v>429.66214801946478</v>
      </c>
      <c r="AT813">
        <v>18.70214606119535</v>
      </c>
      <c r="AU813">
        <v>-54.799112271187653</v>
      </c>
      <c r="AV813"/>
      <c r="AW813"/>
      <c r="FY813" s="213">
        <v>808</v>
      </c>
      <c r="FZ813">
        <v>27.8065904876532</v>
      </c>
      <c r="GA813">
        <v>30.89628907916827</v>
      </c>
      <c r="GB813">
        <v>41.615889254805786</v>
      </c>
      <c r="GC813">
        <v>19.563348254084385</v>
      </c>
      <c r="GD813">
        <v>2.2199984278432172</v>
      </c>
      <c r="GE813">
        <v>2.9782963437620884</v>
      </c>
      <c r="GF813">
        <v>4.6253332208139568</v>
      </c>
      <c r="GG813">
        <v>2.373684737195092</v>
      </c>
      <c r="GH813">
        <v>3.9202670446527486</v>
      </c>
      <c r="GI813">
        <v>17.050466489064011</v>
      </c>
      <c r="GJ813"/>
      <c r="GK813"/>
      <c r="GL813"/>
      <c r="GM813"/>
      <c r="GN813" s="208"/>
      <c r="GO813" s="208"/>
      <c r="GP813" s="208"/>
      <c r="GQ813" s="208"/>
      <c r="GR813" s="208"/>
      <c r="GS813" s="208"/>
      <c r="GT813" s="208"/>
      <c r="GU813" s="213">
        <v>808</v>
      </c>
    </row>
    <row r="814" spans="1:203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304.86030417042741</v>
      </c>
      <c r="AO814">
        <v>31.949495154714818</v>
      </c>
      <c r="AP814">
        <v>57.109569208888914</v>
      </c>
      <c r="AQ814">
        <v>245.2352213873225</v>
      </c>
      <c r="AR814">
        <v>31.584154749462975</v>
      </c>
      <c r="AS814">
        <v>434.52074647142234</v>
      </c>
      <c r="AT814" t="e">
        <v>#DIV/0!</v>
      </c>
      <c r="AU814" t="e">
        <v>#DIV/0!</v>
      </c>
      <c r="AV814"/>
      <c r="AW814"/>
      <c r="FY814" s="213">
        <v>809</v>
      </c>
      <c r="FZ814">
        <v>42.770473697766455</v>
      </c>
      <c r="GA814">
        <v>46.901635982383908</v>
      </c>
      <c r="GB814">
        <v>36.436008732721291</v>
      </c>
      <c r="GC814">
        <v>14.839179094510987</v>
      </c>
      <c r="GD814">
        <v>4.7895639703809536</v>
      </c>
      <c r="GE814">
        <v>7.5283102020260904</v>
      </c>
      <c r="GF814">
        <v>13.716261487486925</v>
      </c>
      <c r="GG814">
        <v>12.292456006874783</v>
      </c>
      <c r="GH814">
        <v>7.0821168599456135</v>
      </c>
      <c r="GI814">
        <v>21.602420804064803</v>
      </c>
      <c r="GJ814"/>
      <c r="GK814"/>
      <c r="GL814"/>
      <c r="GM814"/>
      <c r="GN814" s="208"/>
      <c r="GO814" s="208"/>
      <c r="GP814" s="208"/>
      <c r="GQ814" s="208"/>
      <c r="GR814" s="208"/>
      <c r="GS814" s="208"/>
      <c r="GT814" s="208"/>
      <c r="GU814" s="213">
        <v>809</v>
      </c>
    </row>
    <row r="815" spans="1:203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301.57945749694528</v>
      </c>
      <c r="AO815">
        <v>24.746129505445232</v>
      </c>
      <c r="AP815">
        <v>5.2887055929041438</v>
      </c>
      <c r="AQ815">
        <v>160.59559805095631</v>
      </c>
      <c r="AR815">
        <v>24.284856329551459</v>
      </c>
      <c r="AS815">
        <v>397.50774302980494</v>
      </c>
      <c r="AT815">
        <v>15.234812954181926</v>
      </c>
      <c r="AU815">
        <v>-29.444585654310327</v>
      </c>
      <c r="AV815"/>
      <c r="AW815"/>
      <c r="FY815" s="213">
        <v>810</v>
      </c>
      <c r="FZ815">
        <v>47.851680912256654</v>
      </c>
      <c r="GA815">
        <v>36.575327916743547</v>
      </c>
      <c r="GB815">
        <v>37.901556422144658</v>
      </c>
      <c r="GC815">
        <v>20.593389308091666</v>
      </c>
      <c r="GD815">
        <v>3.5745875577384698</v>
      </c>
      <c r="GE815">
        <v>3.9136303811087574</v>
      </c>
      <c r="GF815">
        <v>2.6864096740121433</v>
      </c>
      <c r="GG815">
        <v>2.0803053634655524</v>
      </c>
      <c r="GH815">
        <v>3.5087431500189079</v>
      </c>
      <c r="GI815">
        <v>19.440020189477252</v>
      </c>
      <c r="GJ815"/>
      <c r="GK815"/>
      <c r="GL815"/>
      <c r="GM815"/>
      <c r="GN815" s="208"/>
      <c r="GO815" s="208"/>
      <c r="GP815" s="208"/>
      <c r="GQ815" s="208"/>
      <c r="GR815" s="208"/>
      <c r="GS815" s="208"/>
      <c r="GT815" s="208"/>
      <c r="GU815" s="213">
        <v>810</v>
      </c>
    </row>
    <row r="816" spans="1:203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292.85440450038919</v>
      </c>
      <c r="AO816">
        <v>24.699504179309663</v>
      </c>
      <c r="AP816">
        <v>21.183903512999585</v>
      </c>
      <c r="AQ816">
        <v>176.10363146528988</v>
      </c>
      <c r="AR816">
        <v>25.842360408756058</v>
      </c>
      <c r="AS816">
        <v>367.94761912135993</v>
      </c>
      <c r="AT816">
        <v>15.741496668094221</v>
      </c>
      <c r="AU816">
        <v>-6.6094672971664963</v>
      </c>
      <c r="AV816"/>
      <c r="AW816"/>
      <c r="FY816" s="213">
        <v>811</v>
      </c>
      <c r="FZ816">
        <v>51.611571660770821</v>
      </c>
      <c r="GA816">
        <v>36.055680929399848</v>
      </c>
      <c r="GB816">
        <v>22.259169136056638</v>
      </c>
      <c r="GC816">
        <v>12.397606657873752</v>
      </c>
      <c r="GD816">
        <v>2.1637950515132469</v>
      </c>
      <c r="GE816">
        <v>2.1331831449740051</v>
      </c>
      <c r="GF816">
        <v>2.3555474093477828</v>
      </c>
      <c r="GG816">
        <v>3.6401783881482181</v>
      </c>
      <c r="GH816">
        <v>6.0518294429930197</v>
      </c>
      <c r="GI816">
        <v>15.675835718183706</v>
      </c>
      <c r="GJ816"/>
      <c r="GK816"/>
      <c r="GL816"/>
      <c r="GM816"/>
      <c r="GN816" s="208"/>
      <c r="GO816" s="208"/>
      <c r="GP816" s="208"/>
      <c r="GQ816" s="208"/>
      <c r="GR816" s="208"/>
      <c r="GS816" s="208"/>
      <c r="GT816" s="208"/>
      <c r="GU816" s="213">
        <v>811</v>
      </c>
    </row>
    <row r="817" spans="1:203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211.85800043675573</v>
      </c>
      <c r="AO817">
        <v>23.454068295669742</v>
      </c>
      <c r="AP817">
        <v>14.577557328653974</v>
      </c>
      <c r="AQ817">
        <v>186.20939171786662</v>
      </c>
      <c r="AR817">
        <v>24.020918737911206</v>
      </c>
      <c r="AS817">
        <v>289.50234307711497</v>
      </c>
      <c r="AT817">
        <v>13.915922193385635</v>
      </c>
      <c r="AU817">
        <v>-13.910603415359439</v>
      </c>
      <c r="AV817"/>
      <c r="AW817"/>
      <c r="FY817" s="213">
        <v>812</v>
      </c>
      <c r="FZ817">
        <v>57.947887208875706</v>
      </c>
      <c r="GA817">
        <v>63.900143693187296</v>
      </c>
      <c r="GB817">
        <v>45.143461206032804</v>
      </c>
      <c r="GC817">
        <v>18.021141976633995</v>
      </c>
      <c r="GD817">
        <v>3.2414589298105589</v>
      </c>
      <c r="GE817">
        <v>3.7894643837276889</v>
      </c>
      <c r="GF817">
        <v>1.5647628360704122</v>
      </c>
      <c r="GG817">
        <v>2.6370273109584841</v>
      </c>
      <c r="GH817">
        <v>10.885157451892166</v>
      </c>
      <c r="GI817">
        <v>23.492742423557473</v>
      </c>
      <c r="GJ817"/>
      <c r="GK817"/>
      <c r="GL817"/>
      <c r="GM817"/>
      <c r="GN817" s="208"/>
      <c r="GO817" s="208"/>
      <c r="GP817" s="208"/>
      <c r="GQ817" s="208"/>
      <c r="GR817" s="208"/>
      <c r="GS817" s="208"/>
      <c r="GT817" s="208"/>
      <c r="GU817" s="213">
        <v>812</v>
      </c>
    </row>
    <row r="818" spans="1:203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330.95066056529379</v>
      </c>
      <c r="AO818">
        <v>32.565820170641487</v>
      </c>
      <c r="AP818">
        <v>31.236263967617695</v>
      </c>
      <c r="AQ818">
        <v>231.90778110201208</v>
      </c>
      <c r="AR818">
        <v>33.263534989442881</v>
      </c>
      <c r="AS818">
        <v>457.94695276623554</v>
      </c>
      <c r="AT818">
        <v>20.611603690399736</v>
      </c>
      <c r="AU818">
        <v>-24.37472544312304</v>
      </c>
      <c r="AV818"/>
      <c r="AW818"/>
      <c r="FY818" s="213">
        <v>813</v>
      </c>
      <c r="FZ818">
        <v>86.750280386921261</v>
      </c>
      <c r="GA818">
        <v>70.711226905163286</v>
      </c>
      <c r="GB818">
        <v>36.434928015127305</v>
      </c>
      <c r="GC818">
        <v>16.371986369343382</v>
      </c>
      <c r="GD818">
        <v>3.9381905292873425</v>
      </c>
      <c r="GE818">
        <v>5.6641251801484032</v>
      </c>
      <c r="GF818">
        <v>3.8267553440117208</v>
      </c>
      <c r="GG818">
        <v>8.0684283363919249</v>
      </c>
      <c r="GH818">
        <v>11.567084226825738</v>
      </c>
      <c r="GI818">
        <v>26.473744906766488</v>
      </c>
      <c r="GJ818"/>
      <c r="GK818"/>
      <c r="GL818"/>
      <c r="GM818"/>
      <c r="GN818" s="208"/>
      <c r="GO818" s="208"/>
      <c r="GP818" s="208"/>
      <c r="GQ818" s="208"/>
      <c r="GR818" s="208"/>
      <c r="GS818" s="208"/>
      <c r="GT818" s="208"/>
      <c r="GU818" s="213">
        <v>813</v>
      </c>
    </row>
    <row r="819" spans="1:203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415.27885804542359</v>
      </c>
      <c r="AO819">
        <v>33.721540220637287</v>
      </c>
      <c r="AP819">
        <v>63.516266649536149</v>
      </c>
      <c r="AQ819">
        <v>233.31579563440957</v>
      </c>
      <c r="AR819">
        <v>33.333746917697646</v>
      </c>
      <c r="AS819">
        <v>539.05903246609341</v>
      </c>
      <c r="AT819">
        <v>20.302666226358443</v>
      </c>
      <c r="AU819">
        <v>1.224034058310032</v>
      </c>
      <c r="AV819"/>
      <c r="AW819"/>
      <c r="FY819" s="213">
        <v>814</v>
      </c>
      <c r="FZ819">
        <v>44.172821487729266</v>
      </c>
      <c r="GA819">
        <v>49.02494234470042</v>
      </c>
      <c r="GB819">
        <v>31.972803687574455</v>
      </c>
      <c r="GC819">
        <v>13.080394471907935</v>
      </c>
      <c r="GD819">
        <v>3.4581163719532553</v>
      </c>
      <c r="GE819">
        <v>4.3063903629105482</v>
      </c>
      <c r="GF819">
        <v>2.2735461604192926</v>
      </c>
      <c r="GG819">
        <v>3.2245469141900389</v>
      </c>
      <c r="GH819">
        <v>7.147729379125817</v>
      </c>
      <c r="GI819">
        <v>17.881316964725212</v>
      </c>
      <c r="GJ819"/>
      <c r="GK819"/>
      <c r="GL819"/>
      <c r="GM819"/>
      <c r="GN819" s="208"/>
      <c r="GO819" s="208"/>
      <c r="GP819" s="208"/>
      <c r="GQ819" s="208"/>
      <c r="GR819" s="208"/>
      <c r="GS819" s="208"/>
      <c r="GT819" s="208"/>
      <c r="GU819" s="213">
        <v>814</v>
      </c>
    </row>
    <row r="820" spans="1:203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305.40517776860924</v>
      </c>
      <c r="AO820">
        <v>24.010705451087791</v>
      </c>
      <c r="AP820">
        <v>23.997616209390465</v>
      </c>
      <c r="AQ820">
        <v>148.09953399051969</v>
      </c>
      <c r="AR820">
        <v>24.139677436802167</v>
      </c>
      <c r="AS820">
        <v>365.24909643968982</v>
      </c>
      <c r="AT820">
        <v>15.002570032094601</v>
      </c>
      <c r="AU820">
        <v>6.1323108293512902</v>
      </c>
      <c r="AV820"/>
      <c r="AW820"/>
      <c r="FY820" s="213">
        <v>815</v>
      </c>
      <c r="FZ820">
        <v>50.337980527925104</v>
      </c>
      <c r="GA820">
        <v>32.845616683814882</v>
      </c>
      <c r="GB820">
        <v>31.398929642978011</v>
      </c>
      <c r="GC820">
        <v>15.909446746057906</v>
      </c>
      <c r="GD820">
        <v>2.3735935567300501</v>
      </c>
      <c r="GE820">
        <v>2.5761993810003592</v>
      </c>
      <c r="GF820">
        <v>3.9717811663411045</v>
      </c>
      <c r="GG820">
        <v>6.8824300366589641</v>
      </c>
      <c r="GH820">
        <v>11.542916673375757</v>
      </c>
      <c r="GI820">
        <v>19.03349337949151</v>
      </c>
      <c r="GJ820"/>
      <c r="GK820"/>
      <c r="GL820"/>
      <c r="GM820"/>
      <c r="GN820" s="208"/>
      <c r="GO820" s="208"/>
      <c r="GP820" s="208"/>
      <c r="GQ820" s="208"/>
      <c r="GR820" s="208"/>
      <c r="GS820" s="208"/>
      <c r="GT820" s="208"/>
      <c r="GU820" s="213">
        <v>815</v>
      </c>
    </row>
    <row r="821" spans="1:203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336.63018704864533</v>
      </c>
      <c r="AO821">
        <v>32.440953157656743</v>
      </c>
      <c r="AP821">
        <v>41.142419642996742</v>
      </c>
      <c r="AQ821">
        <v>253.68050879820134</v>
      </c>
      <c r="AR821">
        <v>33.234810097787339</v>
      </c>
      <c r="AS821">
        <v>537.62203623536152</v>
      </c>
      <c r="AT821">
        <v>20.656315757649327</v>
      </c>
      <c r="AU821">
        <v>-12.468789701775989</v>
      </c>
      <c r="AV821"/>
      <c r="AW821"/>
      <c r="FY821" s="213">
        <v>816</v>
      </c>
      <c r="FZ821">
        <v>47.489099475241304</v>
      </c>
      <c r="GA821">
        <v>51.019747742171482</v>
      </c>
      <c r="GB821">
        <v>35.320031689089625</v>
      </c>
      <c r="GC821">
        <v>18.363245489488303</v>
      </c>
      <c r="GD821">
        <v>4.0719221110202275</v>
      </c>
      <c r="GE821">
        <v>2.1427622846333065</v>
      </c>
      <c r="GF821">
        <v>13.399425394501041</v>
      </c>
      <c r="GG821">
        <v>14.674926026988681</v>
      </c>
      <c r="GH821">
        <v>4.8277962501059069</v>
      </c>
      <c r="GI821">
        <v>21.218552610296243</v>
      </c>
      <c r="GJ821"/>
      <c r="GK821"/>
      <c r="GL821"/>
      <c r="GM821"/>
      <c r="GN821" s="208"/>
      <c r="GO821" s="208"/>
      <c r="GP821" s="208"/>
      <c r="GQ821" s="208"/>
      <c r="GR821" s="208"/>
      <c r="GS821" s="208"/>
      <c r="GT821" s="208"/>
      <c r="GU821" s="213">
        <v>816</v>
      </c>
    </row>
    <row r="822" spans="1:203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293.62324875038161</v>
      </c>
      <c r="AO822">
        <v>25.355195446016062</v>
      </c>
      <c r="AP822">
        <v>13.973399366705237</v>
      </c>
      <c r="AQ822">
        <v>186.1414757174075</v>
      </c>
      <c r="AR822">
        <v>25.882128342449953</v>
      </c>
      <c r="AS822">
        <v>401.93556067585627</v>
      </c>
      <c r="AT822">
        <v>16.608568664642593</v>
      </c>
      <c r="AU822">
        <v>-30.191913132991544</v>
      </c>
      <c r="AV822"/>
      <c r="AW822"/>
      <c r="FY822" s="213">
        <v>817</v>
      </c>
      <c r="FZ822">
        <v>60.062277932265424</v>
      </c>
      <c r="GA822">
        <v>54.736942540992288</v>
      </c>
      <c r="GB822">
        <v>28.748009472404398</v>
      </c>
      <c r="GC822">
        <v>12.053625040128107</v>
      </c>
      <c r="GD822">
        <v>1.4369278441394433</v>
      </c>
      <c r="GE822">
        <v>2.9846114968782458</v>
      </c>
      <c r="GF822">
        <v>6.704855157181445</v>
      </c>
      <c r="GG822">
        <v>5.9502794815160494</v>
      </c>
      <c r="GH822">
        <v>5.7790296133660286</v>
      </c>
      <c r="GI822">
        <v>18.873026179948258</v>
      </c>
      <c r="GJ822"/>
      <c r="GK822"/>
      <c r="GL822"/>
      <c r="GM822"/>
      <c r="GN822" s="208"/>
      <c r="GO822" s="208"/>
      <c r="GP822" s="208"/>
      <c r="GQ822" s="208"/>
      <c r="GR822" s="208"/>
      <c r="GS822" s="208"/>
      <c r="GT822" s="208"/>
      <c r="GU822" s="213">
        <v>817</v>
      </c>
    </row>
    <row r="823" spans="1:203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315.1678381858884</v>
      </c>
      <c r="AO823">
        <v>26.693179258568126</v>
      </c>
      <c r="AP823">
        <v>30.731156962949676</v>
      </c>
      <c r="AQ823">
        <v>181.03300910979854</v>
      </c>
      <c r="AR823">
        <v>26.956358043384441</v>
      </c>
      <c r="AS823">
        <v>401.59255111104284</v>
      </c>
      <c r="AT823">
        <v>16.344732168476259</v>
      </c>
      <c r="AU823">
        <v>-4.712977194705779</v>
      </c>
      <c r="AV823"/>
      <c r="AW823"/>
      <c r="FY823" s="213">
        <v>818</v>
      </c>
      <c r="FZ823">
        <v>49.086794408625444</v>
      </c>
      <c r="GA823">
        <v>48.801291011823587</v>
      </c>
      <c r="GB823">
        <v>33.943856076536214</v>
      </c>
      <c r="GC823">
        <v>15.627355848235677</v>
      </c>
      <c r="GD823">
        <v>4.3988524093576142</v>
      </c>
      <c r="GE823">
        <v>4.1391481015603828</v>
      </c>
      <c r="GF823">
        <v>1.3920638417150828</v>
      </c>
      <c r="GG823">
        <v>0.86227268419998582</v>
      </c>
      <c r="GH823">
        <v>6.9784981008126596</v>
      </c>
      <c r="GI823">
        <v>19.433743848520827</v>
      </c>
      <c r="GJ823"/>
      <c r="GK823"/>
      <c r="GL823"/>
      <c r="GM823"/>
      <c r="GN823" s="208"/>
      <c r="GO823" s="208"/>
      <c r="GP823" s="208"/>
      <c r="GQ823" s="208"/>
      <c r="GR823" s="208"/>
      <c r="GS823" s="208"/>
      <c r="GT823" s="208"/>
      <c r="GU823" s="213">
        <v>818</v>
      </c>
    </row>
    <row r="824" spans="1:203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264.02012794841721</v>
      </c>
      <c r="AO824">
        <v>23.367291771447135</v>
      </c>
      <c r="AP824">
        <v>34.257772945425877</v>
      </c>
      <c r="AQ824">
        <v>153.05016333904277</v>
      </c>
      <c r="AR824">
        <v>23.257995312857435</v>
      </c>
      <c r="AS824">
        <v>351.18815831529605</v>
      </c>
      <c r="AT824">
        <v>14.633059505619533</v>
      </c>
      <c r="AU824">
        <v>-35.064605201506986</v>
      </c>
      <c r="AV824"/>
      <c r="AW824"/>
      <c r="FY824" s="213">
        <v>819</v>
      </c>
      <c r="FZ824">
        <v>50.879933155200462</v>
      </c>
      <c r="GA824">
        <v>64.284123928404554</v>
      </c>
      <c r="GB824">
        <v>44.388949987231747</v>
      </c>
      <c r="GC824">
        <v>18.084244284788014</v>
      </c>
      <c r="GD824">
        <v>2.4965467202728613</v>
      </c>
      <c r="GE824">
        <v>1.7080229071909701</v>
      </c>
      <c r="GF824">
        <v>11.493783488932113</v>
      </c>
      <c r="GG824">
        <v>10.173813406763053</v>
      </c>
      <c r="GH824">
        <v>6.2987571007237237</v>
      </c>
      <c r="GI824">
        <v>22.907357182222853</v>
      </c>
      <c r="GJ824"/>
      <c r="GK824"/>
      <c r="GL824"/>
      <c r="GM824"/>
      <c r="GN824" s="208"/>
      <c r="GO824" s="208"/>
      <c r="GP824" s="208"/>
      <c r="GQ824" s="208"/>
      <c r="GR824" s="208"/>
      <c r="GS824" s="208"/>
      <c r="GT824" s="208"/>
      <c r="GU824" s="213">
        <v>819</v>
      </c>
    </row>
    <row r="825" spans="1:203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325.39333761895631</v>
      </c>
      <c r="AO825">
        <v>29.439198973218843</v>
      </c>
      <c r="AP825">
        <v>36.427160769535824</v>
      </c>
      <c r="AQ825">
        <v>207.95842683816178</v>
      </c>
      <c r="AR825">
        <v>29.628631867313132</v>
      </c>
      <c r="AS825">
        <v>433.52039932878961</v>
      </c>
      <c r="AT825">
        <v>17.711933471822032</v>
      </c>
      <c r="AU825">
        <v>-14.624626283785567</v>
      </c>
      <c r="AV825"/>
      <c r="AW825"/>
      <c r="FY825" s="213">
        <v>820</v>
      </c>
      <c r="FZ825">
        <v>63.645982720074556</v>
      </c>
      <c r="GA825">
        <v>44.551434316315607</v>
      </c>
      <c r="GB825">
        <v>24.189637477121344</v>
      </c>
      <c r="GC825">
        <v>11.288313295026954</v>
      </c>
      <c r="GD825">
        <v>6.592017865843915</v>
      </c>
      <c r="GE825">
        <v>8.1369956235711189</v>
      </c>
      <c r="GF825">
        <v>1.2470380193856989</v>
      </c>
      <c r="GG825">
        <v>2.5111912187211103</v>
      </c>
      <c r="GH825">
        <v>8.4984704351213516</v>
      </c>
      <c r="GI825">
        <v>20.636372030231556</v>
      </c>
      <c r="GJ825"/>
      <c r="GK825"/>
      <c r="GL825"/>
      <c r="GM825"/>
      <c r="GN825" s="208"/>
      <c r="GO825" s="208"/>
      <c r="GP825" s="208"/>
      <c r="GQ825" s="208"/>
      <c r="GR825" s="208"/>
      <c r="GS825" s="208"/>
      <c r="GT825" s="208"/>
      <c r="GU825" s="213">
        <v>820</v>
      </c>
    </row>
    <row r="826" spans="1:203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275.59764056080587</v>
      </c>
      <c r="AO826">
        <v>26.434951584911552</v>
      </c>
      <c r="AP826">
        <v>51.736524897463205</v>
      </c>
      <c r="AQ826">
        <v>178.12565087505763</v>
      </c>
      <c r="AR826">
        <v>26.707661571697589</v>
      </c>
      <c r="AS826">
        <v>393.38988547858099</v>
      </c>
      <c r="AT826" t="e">
        <v>#DIV/0!</v>
      </c>
      <c r="AU826" t="e">
        <v>#DIV/0!</v>
      </c>
      <c r="AV826"/>
      <c r="AW826"/>
      <c r="FY826" s="213">
        <v>821</v>
      </c>
      <c r="FZ826">
        <v>47.934136120778078</v>
      </c>
      <c r="GA826">
        <v>40.680264839547014</v>
      </c>
      <c r="GB826">
        <v>34.666601833500948</v>
      </c>
      <c r="GC826">
        <v>15.028463770450523</v>
      </c>
      <c r="GD826">
        <v>2.5773128704675576</v>
      </c>
      <c r="GE826">
        <v>2.3214077252885308</v>
      </c>
      <c r="GF826">
        <v>4.2900435233858882</v>
      </c>
      <c r="GG826">
        <v>5.0381683328153581</v>
      </c>
      <c r="GH826">
        <v>7.4407245415000176</v>
      </c>
      <c r="GI826">
        <v>19.01455161474524</v>
      </c>
      <c r="GJ826"/>
      <c r="GK826"/>
      <c r="GL826"/>
      <c r="GM826"/>
      <c r="GN826" s="208"/>
      <c r="GO826" s="208"/>
      <c r="GP826" s="208"/>
      <c r="GQ826" s="208"/>
      <c r="GR826" s="208"/>
      <c r="GS826" s="208"/>
      <c r="GT826" s="208"/>
      <c r="GU826" s="213">
        <v>821</v>
      </c>
    </row>
    <row r="827" spans="1:203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208.65084873884706</v>
      </c>
      <c r="AO827">
        <v>20.847073442088465</v>
      </c>
      <c r="AP827">
        <v>40.344024960018999</v>
      </c>
      <c r="AQ827">
        <v>154.34439753926108</v>
      </c>
      <c r="AR827">
        <v>21.67564998701739</v>
      </c>
      <c r="AS827">
        <v>271.09489961387527</v>
      </c>
      <c r="AT827">
        <v>12.562535067883454</v>
      </c>
      <c r="AU827">
        <v>19.163141131928878</v>
      </c>
      <c r="AV827"/>
      <c r="AW827"/>
      <c r="FY827" s="213">
        <v>822</v>
      </c>
      <c r="FZ827">
        <v>35.253308316142125</v>
      </c>
      <c r="GA827">
        <v>34.186146848372054</v>
      </c>
      <c r="GB827">
        <v>34.213888102252731</v>
      </c>
      <c r="GC827">
        <v>15.238920822289611</v>
      </c>
      <c r="GD827">
        <v>5.7548029304145851</v>
      </c>
      <c r="GE827">
        <v>9.4238562432589497</v>
      </c>
      <c r="GF827">
        <v>2.3767233884679588</v>
      </c>
      <c r="GG827">
        <v>1.3293111587076085</v>
      </c>
      <c r="GH827">
        <v>5.5272352747226874</v>
      </c>
      <c r="GI827">
        <v>18.172200746838534</v>
      </c>
      <c r="GJ827"/>
      <c r="GK827"/>
      <c r="GL827"/>
      <c r="GM827"/>
      <c r="GN827" s="208"/>
      <c r="GO827" s="208"/>
      <c r="GP827" s="208"/>
      <c r="GQ827" s="208"/>
      <c r="GR827" s="208"/>
      <c r="GS827" s="208"/>
      <c r="GT827" s="208"/>
      <c r="GU827" s="213">
        <v>822</v>
      </c>
    </row>
    <row r="828" spans="1:203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301.22203644788607</v>
      </c>
      <c r="AO828">
        <v>31.414241486125594</v>
      </c>
      <c r="AP828">
        <v>40.219267039957224</v>
      </c>
      <c r="AQ828">
        <v>230.62324742074654</v>
      </c>
      <c r="AR828">
        <v>32.287659255516374</v>
      </c>
      <c r="AS828">
        <v>436.3177273831933</v>
      </c>
      <c r="AT828">
        <v>19.634843211763393</v>
      </c>
      <c r="AU828">
        <v>-29.572485582524031</v>
      </c>
      <c r="AV828"/>
      <c r="AW828"/>
      <c r="FY828" s="213">
        <v>823</v>
      </c>
      <c r="FZ828">
        <v>46.63229821028046</v>
      </c>
      <c r="GA828">
        <v>49.281110568720528</v>
      </c>
      <c r="GB828">
        <v>38.715699629705817</v>
      </c>
      <c r="GC828">
        <v>14.18130739422695</v>
      </c>
      <c r="GD828">
        <v>2.3739056558328784</v>
      </c>
      <c r="GE828">
        <v>3.9225317622004159</v>
      </c>
      <c r="GF828">
        <v>2.6630291534482637</v>
      </c>
      <c r="GG828">
        <v>2.4638120370759</v>
      </c>
      <c r="GH828">
        <v>8.5592125352618211</v>
      </c>
      <c r="GI828">
        <v>19.565268293283435</v>
      </c>
      <c r="GJ828"/>
      <c r="GK828"/>
      <c r="GL828"/>
      <c r="GM828"/>
      <c r="GN828" s="208"/>
      <c r="GO828" s="208"/>
      <c r="GP828" s="208"/>
      <c r="GQ828" s="208"/>
      <c r="GR828" s="208"/>
      <c r="GS828" s="208"/>
      <c r="GT828" s="208"/>
      <c r="GU828" s="213">
        <v>823</v>
      </c>
    </row>
    <row r="829" spans="1:203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309.08636168534798</v>
      </c>
      <c r="AO829">
        <v>35.30304169310871</v>
      </c>
      <c r="AP829">
        <v>55.941412422795878</v>
      </c>
      <c r="AQ829">
        <v>269.80675019998682</v>
      </c>
      <c r="AR829">
        <v>36.647875869423551</v>
      </c>
      <c r="AS829">
        <v>467.45744340373284</v>
      </c>
      <c r="AT829">
        <v>22.830194649710609</v>
      </c>
      <c r="AU829">
        <v>-12.724031271230345</v>
      </c>
      <c r="AV829"/>
      <c r="AW829"/>
      <c r="FY829" s="213">
        <v>824</v>
      </c>
      <c r="FZ829">
        <v>61.064408782889281</v>
      </c>
      <c r="GA829">
        <v>50.502542518430978</v>
      </c>
      <c r="GB829">
        <v>35.562323882746497</v>
      </c>
      <c r="GC829">
        <v>16.952441777964019</v>
      </c>
      <c r="GD829">
        <v>3.5479408426251795</v>
      </c>
      <c r="GE829">
        <v>6.7782322698761401</v>
      </c>
      <c r="GF829">
        <v>9.6093175624833655</v>
      </c>
      <c r="GG829">
        <v>7.0639395523774464</v>
      </c>
      <c r="GH829">
        <v>5.1008523376552191</v>
      </c>
      <c r="GI829">
        <v>22.304642373234095</v>
      </c>
      <c r="GJ829"/>
      <c r="GK829"/>
      <c r="GL829"/>
      <c r="GM829"/>
      <c r="GN829" s="208"/>
      <c r="GO829" s="208"/>
      <c r="GP829" s="208"/>
      <c r="GQ829" s="208"/>
      <c r="GR829" s="208"/>
      <c r="GS829" s="208"/>
      <c r="GT829" s="208"/>
      <c r="GU829" s="213">
        <v>824</v>
      </c>
    </row>
    <row r="830" spans="1:203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295.52806793932245</v>
      </c>
      <c r="AO830">
        <v>24.050870686432368</v>
      </c>
      <c r="AP830">
        <v>24.433243674326498</v>
      </c>
      <c r="AQ830">
        <v>176.54260814523624</v>
      </c>
      <c r="AR830">
        <v>24.418788275161376</v>
      </c>
      <c r="AS830">
        <v>343.6453602806522</v>
      </c>
      <c r="AT830">
        <v>15.106215491691543</v>
      </c>
      <c r="AU830">
        <v>-15.148822580624369</v>
      </c>
      <c r="AV830"/>
      <c r="AW830"/>
      <c r="FY830" s="213">
        <v>825</v>
      </c>
      <c r="FZ830">
        <v>63.427993827068178</v>
      </c>
      <c r="GA830">
        <v>63.112050024981691</v>
      </c>
      <c r="GB830">
        <v>37.6832024216882</v>
      </c>
      <c r="GC830">
        <v>14.966559139629531</v>
      </c>
      <c r="GD830">
        <v>4.7725745397538448</v>
      </c>
      <c r="GE830">
        <v>8.2163369714680847</v>
      </c>
      <c r="GF830">
        <v>2.7868645273828161</v>
      </c>
      <c r="GG830">
        <v>2.8595824533341041</v>
      </c>
      <c r="GH830">
        <v>8.1360760879062255</v>
      </c>
      <c r="GI830">
        <v>23.101927864879585</v>
      </c>
      <c r="GJ830"/>
      <c r="GK830"/>
      <c r="GL830"/>
      <c r="GM830"/>
      <c r="GN830" s="208"/>
      <c r="GO830" s="208"/>
      <c r="GP830" s="208"/>
      <c r="GQ830" s="208"/>
      <c r="GR830" s="208"/>
      <c r="GS830" s="208"/>
      <c r="GT830" s="208"/>
      <c r="GU830" s="213">
        <v>825</v>
      </c>
    </row>
    <row r="831" spans="1:203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227.04578640401218</v>
      </c>
      <c r="AO831">
        <v>24.803203973523374</v>
      </c>
      <c r="AP831">
        <v>29.013907676972913</v>
      </c>
      <c r="AQ831">
        <v>176.87238779437365</v>
      </c>
      <c r="AR831">
        <v>26.171684353403048</v>
      </c>
      <c r="AS831">
        <v>374.87641815191216</v>
      </c>
      <c r="AT831">
        <v>16.152898870747112</v>
      </c>
      <c r="AU831">
        <v>5.4414923283011021</v>
      </c>
      <c r="AV831"/>
      <c r="AW831"/>
      <c r="FY831" s="213">
        <v>826</v>
      </c>
      <c r="FZ831">
        <v>49.338930647183474</v>
      </c>
      <c r="GA831">
        <v>59.817895590164262</v>
      </c>
      <c r="GB831">
        <v>42.943382004584727</v>
      </c>
      <c r="GC831">
        <v>16.242139118613991</v>
      </c>
      <c r="GD831">
        <v>3.0974886710297991</v>
      </c>
      <c r="GE831">
        <v>4.5910161674682941</v>
      </c>
      <c r="GF831">
        <v>7.5785297030861347</v>
      </c>
      <c r="GG831">
        <v>6.2461842001617125</v>
      </c>
      <c r="GH831">
        <v>8.7021823761116313</v>
      </c>
      <c r="GI831">
        <v>22.368579910637262</v>
      </c>
      <c r="GJ831"/>
      <c r="GK831"/>
      <c r="GL831"/>
      <c r="GM831"/>
      <c r="GN831" s="208"/>
      <c r="GO831" s="208"/>
      <c r="GP831" s="208"/>
      <c r="GQ831" s="208"/>
      <c r="GR831" s="208"/>
      <c r="GS831" s="208"/>
      <c r="GT831" s="208"/>
      <c r="GU831" s="213">
        <v>826</v>
      </c>
    </row>
    <row r="832" spans="1:203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309.3218529885292</v>
      </c>
      <c r="AO832">
        <v>29.75914970381017</v>
      </c>
      <c r="AP832">
        <v>217.04875209231864</v>
      </c>
      <c r="AQ832">
        <v>212.52750907353612</v>
      </c>
      <c r="AR832">
        <v>28.969330167008636</v>
      </c>
      <c r="AS832">
        <v>459.15133819190231</v>
      </c>
      <c r="AT832" t="e">
        <v>#DIV/0!</v>
      </c>
      <c r="AU832" t="e">
        <v>#DIV/0!</v>
      </c>
      <c r="AV832"/>
      <c r="AW832"/>
      <c r="FY832" s="213">
        <v>827</v>
      </c>
      <c r="FZ832">
        <v>48.441706950359325</v>
      </c>
      <c r="GA832">
        <v>34.386298125559783</v>
      </c>
      <c r="GB832">
        <v>36.562922846819532</v>
      </c>
      <c r="GC832">
        <v>18.311209126598971</v>
      </c>
      <c r="GD832">
        <v>4.5254650829746348</v>
      </c>
      <c r="GE832">
        <v>4.7923104539764791</v>
      </c>
      <c r="GF832">
        <v>6.0345400870774695</v>
      </c>
      <c r="GG832">
        <v>8.22595839640924</v>
      </c>
      <c r="GH832">
        <v>8.9076051642120131</v>
      </c>
      <c r="GI832">
        <v>21.21203499563919</v>
      </c>
      <c r="GJ832"/>
      <c r="GK832"/>
      <c r="GL832"/>
      <c r="GM832"/>
      <c r="GN832" s="208"/>
      <c r="GO832" s="208"/>
      <c r="GP832" s="208"/>
      <c r="GQ832" s="208"/>
      <c r="GR832" s="208"/>
      <c r="GS832" s="208"/>
      <c r="GT832" s="208"/>
      <c r="GU832" s="213">
        <v>827</v>
      </c>
    </row>
    <row r="833" spans="1:203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253.59291526013081</v>
      </c>
      <c r="AO833">
        <v>25.30929303299061</v>
      </c>
      <c r="AP833">
        <v>23.556379584097783</v>
      </c>
      <c r="AQ833">
        <v>197.32958475881966</v>
      </c>
      <c r="AR833">
        <v>25.916618158792126</v>
      </c>
      <c r="AS833">
        <v>357.95203644678219</v>
      </c>
      <c r="AT833">
        <v>15.176697982374714</v>
      </c>
      <c r="AU833">
        <v>-0.50351426521211096</v>
      </c>
      <c r="AV833"/>
      <c r="AW833"/>
      <c r="FY833" s="213">
        <v>828</v>
      </c>
      <c r="FZ833">
        <v>61.702959539058313</v>
      </c>
      <c r="GA833">
        <v>47.76740861359584</v>
      </c>
      <c r="GB833">
        <v>30.582170151658442</v>
      </c>
      <c r="GC833">
        <v>16.365943449473313</v>
      </c>
      <c r="GD833">
        <v>5.982746128328202</v>
      </c>
      <c r="GE833">
        <v>6.7352871627667277</v>
      </c>
      <c r="GF833">
        <v>6.2643040022879948</v>
      </c>
      <c r="GG833">
        <v>6.1817752700905961</v>
      </c>
      <c r="GH833">
        <v>7.1382579389277563</v>
      </c>
      <c r="GI833">
        <v>22.282612052053889</v>
      </c>
      <c r="GJ833"/>
      <c r="GK833"/>
      <c r="GL833"/>
      <c r="GM833"/>
      <c r="GN833" s="208"/>
      <c r="GO833" s="208"/>
      <c r="GP833" s="208"/>
      <c r="GQ833" s="208"/>
      <c r="GR833" s="208"/>
      <c r="GS833" s="208"/>
      <c r="GT833" s="208"/>
      <c r="GU833" s="213">
        <v>828</v>
      </c>
    </row>
    <row r="834" spans="1:203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269.88255265402546</v>
      </c>
      <c r="AO834">
        <v>25.8760928835569</v>
      </c>
      <c r="AP834">
        <v>35.072286825142818</v>
      </c>
      <c r="AQ834">
        <v>184.66387633138746</v>
      </c>
      <c r="AR834">
        <v>26.703791166867681</v>
      </c>
      <c r="AS834">
        <v>379.33373576027935</v>
      </c>
      <c r="AT834">
        <v>16.665021822474461</v>
      </c>
      <c r="AU834">
        <v>-29.981969539734258</v>
      </c>
      <c r="AV834"/>
      <c r="AW834"/>
      <c r="FY834" s="213">
        <v>829</v>
      </c>
      <c r="FZ834">
        <v>37.760117355789482</v>
      </c>
      <c r="GA834">
        <v>36.798952602710834</v>
      </c>
      <c r="GB834">
        <v>27.486936404190807</v>
      </c>
      <c r="GC834">
        <v>11.905968901162526</v>
      </c>
      <c r="GD834">
        <v>3.4219632183546786</v>
      </c>
      <c r="GE834">
        <v>5.670026217003258</v>
      </c>
      <c r="GF834">
        <v>6.9503358328815015</v>
      </c>
      <c r="GG834">
        <v>4.2568436150106752</v>
      </c>
      <c r="GH834">
        <v>7.9735739281769504</v>
      </c>
      <c r="GI834">
        <v>16.796730871625499</v>
      </c>
      <c r="GJ834"/>
      <c r="GK834"/>
      <c r="GL834"/>
      <c r="GM834"/>
      <c r="GN834" s="208"/>
      <c r="GO834" s="208"/>
      <c r="GP834" s="208"/>
      <c r="GQ834" s="208"/>
      <c r="GR834" s="208"/>
      <c r="GS834" s="208"/>
      <c r="GT834" s="208"/>
      <c r="GU834" s="213">
        <v>829</v>
      </c>
    </row>
    <row r="835" spans="1:203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252.2260739545512</v>
      </c>
      <c r="AO835">
        <v>31.765247303448138</v>
      </c>
      <c r="AP835">
        <v>57.069241314438287</v>
      </c>
      <c r="AQ835">
        <v>232.71553216173038</v>
      </c>
      <c r="AR835">
        <v>31.532288749879037</v>
      </c>
      <c r="AS835">
        <v>398.00746986808542</v>
      </c>
      <c r="AT835">
        <v>19.47883708451408</v>
      </c>
      <c r="AU835">
        <v>-31.786011587565419</v>
      </c>
      <c r="AV835"/>
      <c r="AW835"/>
      <c r="FY835" s="213">
        <v>830</v>
      </c>
      <c r="FZ835">
        <v>50.698304032784847</v>
      </c>
      <c r="GA835">
        <v>68.427845863169082</v>
      </c>
      <c r="GB835">
        <v>40.942519891563528</v>
      </c>
      <c r="GC835">
        <v>13.161422499629239</v>
      </c>
      <c r="GD835">
        <v>3.2155230433639357</v>
      </c>
      <c r="GE835">
        <v>4.3195402544875359</v>
      </c>
      <c r="GF835">
        <v>2.8025812878723482</v>
      </c>
      <c r="GG835">
        <v>3.3266655376293648</v>
      </c>
      <c r="GH835">
        <v>9.8356310549533035</v>
      </c>
      <c r="GI835">
        <v>21.428751810938124</v>
      </c>
      <c r="GJ835"/>
      <c r="GK835"/>
      <c r="GL835"/>
      <c r="GM835"/>
      <c r="GN835" s="208"/>
      <c r="GO835" s="208"/>
      <c r="GP835" s="208"/>
      <c r="GQ835" s="208"/>
      <c r="GR835" s="208"/>
      <c r="GS835" s="208"/>
      <c r="GT835" s="208"/>
      <c r="GU835" s="213">
        <v>830</v>
      </c>
    </row>
    <row r="836" spans="1:203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323.56953929640588</v>
      </c>
      <c r="AO836">
        <v>26.106455978425419</v>
      </c>
      <c r="AP836">
        <v>20.190423909026173</v>
      </c>
      <c r="AQ836">
        <v>191.29745300141326</v>
      </c>
      <c r="AR836">
        <v>28.340167474904504</v>
      </c>
      <c r="AS836">
        <v>413.21353254808497</v>
      </c>
      <c r="AT836">
        <v>17.303357193097703</v>
      </c>
      <c r="AU836">
        <v>7.5824330497544707</v>
      </c>
      <c r="AV836"/>
      <c r="AW836"/>
      <c r="FY836" s="213">
        <v>831</v>
      </c>
      <c r="FZ836">
        <v>37.734321854693647</v>
      </c>
      <c r="GA836">
        <v>38.4074877477589</v>
      </c>
      <c r="GB836">
        <v>34.051463862921437</v>
      </c>
      <c r="GC836">
        <v>15.487425714267578</v>
      </c>
      <c r="GD836">
        <v>2.9144397171169021</v>
      </c>
      <c r="GE836">
        <v>5.4258381359981609</v>
      </c>
      <c r="GF836">
        <v>8.6104970627503725</v>
      </c>
      <c r="GG836">
        <v>8.1356120450063756</v>
      </c>
      <c r="GH836">
        <v>3.5452983916575547</v>
      </c>
      <c r="GI836">
        <v>17.715290485199791</v>
      </c>
      <c r="GJ836"/>
      <c r="GK836"/>
      <c r="GL836"/>
      <c r="GM836"/>
      <c r="GN836" s="208"/>
      <c r="GO836" s="208"/>
      <c r="GP836" s="208"/>
      <c r="GQ836" s="208"/>
      <c r="GR836" s="208"/>
      <c r="GS836" s="208"/>
      <c r="GT836" s="208"/>
      <c r="GU836" s="213">
        <v>831</v>
      </c>
    </row>
    <row r="837" spans="1:203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249.29870850767497</v>
      </c>
      <c r="AO837">
        <v>24.797876509716691</v>
      </c>
      <c r="AP837">
        <v>21.793348657348886</v>
      </c>
      <c r="AQ837">
        <v>178.99167517247918</v>
      </c>
      <c r="AR837">
        <v>26.048232761323995</v>
      </c>
      <c r="AS837">
        <v>410.17830177808804</v>
      </c>
      <c r="AT837">
        <v>16.017034651985544</v>
      </c>
      <c r="AU837">
        <v>7.6354442954151764</v>
      </c>
      <c r="AV837"/>
      <c r="AW837"/>
      <c r="FY837" s="213">
        <v>832</v>
      </c>
      <c r="FZ837">
        <v>45.106828921539879</v>
      </c>
      <c r="GA837">
        <v>32.908776384744428</v>
      </c>
      <c r="GB837">
        <v>32.667131451009404</v>
      </c>
      <c r="GC837">
        <v>13.593693883016003</v>
      </c>
      <c r="GD837">
        <v>1.9517043987246805</v>
      </c>
      <c r="GE837">
        <v>2.3157163752488801</v>
      </c>
      <c r="GF837">
        <v>4.2145249980885104</v>
      </c>
      <c r="GG837">
        <v>5.5734700313553196</v>
      </c>
      <c r="GH837">
        <v>4.4443308601273479</v>
      </c>
      <c r="GI837">
        <v>17.253774582714374</v>
      </c>
      <c r="GJ837"/>
      <c r="GK837"/>
      <c r="GL837"/>
      <c r="GM837"/>
      <c r="GN837" s="208"/>
      <c r="GO837" s="208"/>
      <c r="GP837" s="208"/>
      <c r="GQ837" s="208"/>
      <c r="GR837" s="208"/>
      <c r="GS837" s="208"/>
      <c r="GT837" s="208"/>
      <c r="GU837" s="213">
        <v>832</v>
      </c>
    </row>
    <row r="838" spans="1:203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330.71969882925066</v>
      </c>
      <c r="AO838">
        <v>24.343249494513309</v>
      </c>
      <c r="AP838">
        <v>16.373515732204776</v>
      </c>
      <c r="AQ838">
        <v>161.47639383146685</v>
      </c>
      <c r="AR838">
        <v>24.820633622600884</v>
      </c>
      <c r="AS838">
        <v>407.73131696652172</v>
      </c>
      <c r="AT838">
        <v>15.625667214074957</v>
      </c>
      <c r="AU838">
        <v>-20.691971436849379</v>
      </c>
      <c r="AV838"/>
      <c r="AW838"/>
      <c r="FY838" s="213">
        <v>833</v>
      </c>
      <c r="FZ838">
        <v>47.921656885863214</v>
      </c>
      <c r="GA838">
        <v>25.678251424602696</v>
      </c>
      <c r="GB838">
        <v>21.083375323248724</v>
      </c>
      <c r="GC838">
        <v>14.064922935889776</v>
      </c>
      <c r="GD838">
        <v>5.2629367691288502</v>
      </c>
      <c r="GE838">
        <v>6.2161236865288858</v>
      </c>
      <c r="GF838">
        <v>1.0618450731338858</v>
      </c>
      <c r="GG838">
        <v>1.1413635145259298</v>
      </c>
      <c r="GH838">
        <v>6.697285904715562</v>
      </c>
      <c r="GI838">
        <v>16.49539782777833</v>
      </c>
      <c r="GJ838"/>
      <c r="GK838"/>
      <c r="GL838"/>
      <c r="GM838"/>
      <c r="GN838" s="208"/>
      <c r="GO838" s="208"/>
      <c r="GP838" s="208"/>
      <c r="GQ838" s="208"/>
      <c r="GR838" s="208"/>
      <c r="GS838" s="208"/>
      <c r="GT838" s="208"/>
      <c r="GU838" s="213">
        <v>833</v>
      </c>
    </row>
    <row r="839" spans="1:203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263.96129033653847</v>
      </c>
      <c r="AO839">
        <v>25.691735957354815</v>
      </c>
      <c r="AP839">
        <v>22.339695978442247</v>
      </c>
      <c r="AQ839">
        <v>188.35817524003647</v>
      </c>
      <c r="AR839">
        <v>26.873899063275619</v>
      </c>
      <c r="AS839">
        <v>454.7188367156499</v>
      </c>
      <c r="AT839">
        <v>16.902861615584758</v>
      </c>
      <c r="AU839">
        <v>-12.940823703258793</v>
      </c>
      <c r="AV839"/>
      <c r="AW839"/>
      <c r="FY839" s="213">
        <v>834</v>
      </c>
      <c r="FZ839">
        <v>52.549790403532725</v>
      </c>
      <c r="GA839">
        <v>59.827844305235679</v>
      </c>
      <c r="GB839">
        <v>34.258099532424936</v>
      </c>
      <c r="GC839">
        <v>14.433695722956195</v>
      </c>
      <c r="GD839">
        <v>3.2656771545889112</v>
      </c>
      <c r="GE839">
        <v>4.3242715764035005</v>
      </c>
      <c r="GF839">
        <v>4.0694991757591268</v>
      </c>
      <c r="GG839">
        <v>7.6346572164847952</v>
      </c>
      <c r="GH839">
        <v>11.123188511262892</v>
      </c>
      <c r="GI839">
        <v>20.499655457995832</v>
      </c>
      <c r="GJ839"/>
      <c r="GK839"/>
      <c r="GL839"/>
      <c r="GM839"/>
      <c r="GN839" s="208"/>
      <c r="GO839" s="208"/>
      <c r="GP839" s="208"/>
      <c r="GQ839" s="208"/>
      <c r="GR839" s="208"/>
      <c r="GS839" s="208"/>
      <c r="GT839" s="208"/>
      <c r="GU839" s="213">
        <v>834</v>
      </c>
    </row>
    <row r="840" spans="1:203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282.10518674902062</v>
      </c>
      <c r="AO840">
        <v>30.252346776844739</v>
      </c>
      <c r="AP840">
        <v>50.311818767928187</v>
      </c>
      <c r="AQ840">
        <v>218.48664190028219</v>
      </c>
      <c r="AR840">
        <v>30.748769688637722</v>
      </c>
      <c r="AS840">
        <v>427.77977911170336</v>
      </c>
      <c r="AT840">
        <v>18.802892106695882</v>
      </c>
      <c r="AU840">
        <v>-0.63180600265993547</v>
      </c>
      <c r="AV840"/>
      <c r="AW840"/>
      <c r="FY840" s="213">
        <v>835</v>
      </c>
      <c r="FZ840">
        <v>43.081296555467198</v>
      </c>
      <c r="GA840">
        <v>31.059835778561798</v>
      </c>
      <c r="GB840">
        <v>31.255478785443827</v>
      </c>
      <c r="GC840">
        <v>17.003565197295387</v>
      </c>
      <c r="GD840">
        <v>3.7029690218008429</v>
      </c>
      <c r="GE840">
        <v>3.7501007493889302</v>
      </c>
      <c r="GF840">
        <v>4.1607344615460367</v>
      </c>
      <c r="GG840">
        <v>5.5385916472611783</v>
      </c>
      <c r="GH840">
        <v>7.7877242716905739</v>
      </c>
      <c r="GI840">
        <v>18.13401366607993</v>
      </c>
      <c r="GJ840"/>
      <c r="GK840"/>
      <c r="GL840"/>
      <c r="GM840"/>
      <c r="GN840" s="208"/>
      <c r="GO840" s="208"/>
      <c r="GP840" s="208"/>
      <c r="GQ840" s="208"/>
      <c r="GR840" s="208"/>
      <c r="GS840" s="208"/>
      <c r="GT840" s="208"/>
      <c r="GU840" s="213">
        <v>835</v>
      </c>
    </row>
    <row r="841" spans="1:203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344.85141434772606</v>
      </c>
      <c r="AO841">
        <v>30.999862934344002</v>
      </c>
      <c r="AP841">
        <v>34.777473845896765</v>
      </c>
      <c r="AQ841">
        <v>229.06316785809224</v>
      </c>
      <c r="AR841">
        <v>31.798738212924412</v>
      </c>
      <c r="AS841">
        <v>452.69023930706481</v>
      </c>
      <c r="AT841">
        <v>19.194452259084105</v>
      </c>
      <c r="AU841">
        <v>-26.161645564967635</v>
      </c>
      <c r="AV841"/>
      <c r="AW841"/>
      <c r="FY841" s="213">
        <v>836</v>
      </c>
      <c r="FZ841">
        <v>56.33989101606533</v>
      </c>
      <c r="GA841">
        <v>45.04325540417431</v>
      </c>
      <c r="GB841">
        <v>39.296972185631965</v>
      </c>
      <c r="GC841">
        <v>18.768690846214476</v>
      </c>
      <c r="GD841">
        <v>3.335345575256206</v>
      </c>
      <c r="GE841">
        <v>3.3084752582720656</v>
      </c>
      <c r="GF841">
        <v>5.6120625277088934</v>
      </c>
      <c r="GG841">
        <v>5.5747138844080881</v>
      </c>
      <c r="GH841">
        <v>6.5303199007907988</v>
      </c>
      <c r="GI841">
        <v>21.920231481991678</v>
      </c>
      <c r="GJ841"/>
      <c r="GK841"/>
      <c r="GL841"/>
      <c r="GM841"/>
      <c r="GN841" s="208"/>
      <c r="GO841" s="208"/>
      <c r="GP841" s="208"/>
      <c r="GQ841" s="208"/>
      <c r="GR841" s="208"/>
      <c r="GS841" s="208"/>
      <c r="GT841" s="208"/>
      <c r="GU841" s="213">
        <v>836</v>
      </c>
    </row>
    <row r="842" spans="1:203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275.84251771632745</v>
      </c>
      <c r="AO842">
        <v>30.163162700814286</v>
      </c>
      <c r="AP842">
        <v>24.797584813957613</v>
      </c>
      <c r="AQ842">
        <v>220.92632838904129</v>
      </c>
      <c r="AR842">
        <v>30.611785675974115</v>
      </c>
      <c r="AS842">
        <v>416.65719287470245</v>
      </c>
      <c r="AT842">
        <v>19.333859145805381</v>
      </c>
      <c r="AU842">
        <v>-26.901523249525269</v>
      </c>
      <c r="AV842"/>
      <c r="AW842"/>
      <c r="FY842" s="213">
        <v>837</v>
      </c>
      <c r="FZ842">
        <v>36.485938701912097</v>
      </c>
      <c r="GA842">
        <v>31.528420619538828</v>
      </c>
      <c r="GB842">
        <v>24.045744596923054</v>
      </c>
      <c r="GC842">
        <v>11.185630806518098</v>
      </c>
      <c r="GD842">
        <v>1.7439230826073957</v>
      </c>
      <c r="GE842">
        <v>2.6094685517787557</v>
      </c>
      <c r="GF842">
        <v>8.0602714869024847</v>
      </c>
      <c r="GG842">
        <v>6.823952253052191</v>
      </c>
      <c r="GH842">
        <v>3.7159184608459701</v>
      </c>
      <c r="GI842">
        <v>14.340751435285608</v>
      </c>
      <c r="GJ842"/>
      <c r="GK842"/>
      <c r="GL842"/>
      <c r="GM842"/>
      <c r="GN842" s="208"/>
      <c r="GO842" s="208"/>
      <c r="GP842" s="208"/>
      <c r="GQ842" s="208"/>
      <c r="GR842" s="208"/>
      <c r="GS842" s="208"/>
      <c r="GT842" s="208"/>
      <c r="GU842" s="213">
        <v>837</v>
      </c>
    </row>
    <row r="843" spans="1:203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332.50313505560877</v>
      </c>
      <c r="AO843">
        <v>27.980323429973691</v>
      </c>
      <c r="AP843">
        <v>35.685874006098345</v>
      </c>
      <c r="AQ843">
        <v>191.40005122962663</v>
      </c>
      <c r="AR843">
        <v>29.077554988503628</v>
      </c>
      <c r="AS843">
        <v>438.00342038108226</v>
      </c>
      <c r="AT843">
        <v>17.326623255941172</v>
      </c>
      <c r="AU843">
        <v>14.132350044831327</v>
      </c>
      <c r="AV843"/>
      <c r="AW843"/>
      <c r="FY843" s="213">
        <v>838</v>
      </c>
      <c r="FZ843">
        <v>38.828333263861282</v>
      </c>
      <c r="GA843">
        <v>33.863241643522208</v>
      </c>
      <c r="GB843">
        <v>25.257262830695954</v>
      </c>
      <c r="GC843">
        <v>13.160995119311407</v>
      </c>
      <c r="GD843">
        <v>3.4041880278121948</v>
      </c>
      <c r="GE843">
        <v>3.7414437608554856</v>
      </c>
      <c r="GF843">
        <v>8.1499457273288538</v>
      </c>
      <c r="GG843">
        <v>10.466684093597227</v>
      </c>
      <c r="GH843">
        <v>13.013825104171573</v>
      </c>
      <c r="GI843">
        <v>17.41935138348801</v>
      </c>
      <c r="GJ843"/>
      <c r="GK843"/>
      <c r="GL843"/>
      <c r="GM843"/>
      <c r="GN843" s="208"/>
      <c r="GO843" s="208"/>
      <c r="GP843" s="208"/>
      <c r="GQ843" s="208"/>
      <c r="GR843" s="208"/>
      <c r="GS843" s="208"/>
      <c r="GT843" s="208"/>
      <c r="GU843" s="213">
        <v>838</v>
      </c>
    </row>
    <row r="844" spans="1:203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331.79456560440593</v>
      </c>
      <c r="AO844">
        <v>29.601155745750525</v>
      </c>
      <c r="AP844">
        <v>52.322812177423742</v>
      </c>
      <c r="AQ844">
        <v>211.00346430824101</v>
      </c>
      <c r="AR844">
        <v>30.645259758522503</v>
      </c>
      <c r="AS844">
        <v>447.28729744053953</v>
      </c>
      <c r="AT844">
        <v>18.083574174547987</v>
      </c>
      <c r="AU844">
        <v>2.5613957019473474</v>
      </c>
      <c r="AV844"/>
      <c r="AW844"/>
      <c r="FY844" s="213">
        <v>839</v>
      </c>
      <c r="FZ844">
        <v>45.1071789657435</v>
      </c>
      <c r="GA844">
        <v>41.405017945310568</v>
      </c>
      <c r="GB844">
        <v>30.898090684281613</v>
      </c>
      <c r="GC844">
        <v>15.672603824259253</v>
      </c>
      <c r="GD844">
        <v>2.9330420801140598</v>
      </c>
      <c r="GE844">
        <v>4.9866177832697858</v>
      </c>
      <c r="GF844">
        <v>4.7810048747860012</v>
      </c>
      <c r="GG844">
        <v>3.7083688949122235</v>
      </c>
      <c r="GH844">
        <v>6.4005574631600481</v>
      </c>
      <c r="GI844">
        <v>17.809398144439431</v>
      </c>
      <c r="GJ844"/>
      <c r="GK844"/>
      <c r="GL844"/>
      <c r="GM844"/>
      <c r="GN844" s="208"/>
      <c r="GO844" s="208"/>
      <c r="GP844" s="208"/>
      <c r="GQ844" s="208"/>
      <c r="GR844" s="208"/>
      <c r="GS844" s="208"/>
      <c r="GT844" s="208"/>
      <c r="GU844" s="213">
        <v>839</v>
      </c>
    </row>
    <row r="845" spans="1:203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259.54892742939904</v>
      </c>
      <c r="AO845">
        <v>22.258645245528459</v>
      </c>
      <c r="AP845">
        <v>31.874166761625041</v>
      </c>
      <c r="AQ845">
        <v>159.02144894690619</v>
      </c>
      <c r="AR845">
        <v>23.058592964766611</v>
      </c>
      <c r="AS845">
        <v>369.71952763144611</v>
      </c>
      <c r="AT845">
        <v>13.778881007569121</v>
      </c>
      <c r="AU845">
        <v>4.6980190762957434</v>
      </c>
      <c r="AV845"/>
      <c r="AW845"/>
      <c r="FY845" s="213">
        <v>840</v>
      </c>
      <c r="FZ845">
        <v>43.56595589677336</v>
      </c>
      <c r="GA845">
        <v>39.259260868658266</v>
      </c>
      <c r="GB845">
        <v>28.418302898939977</v>
      </c>
      <c r="GC845">
        <v>13.097202804853874</v>
      </c>
      <c r="GD845">
        <v>2.7435227960063764</v>
      </c>
      <c r="GE845">
        <v>3.4953503941881596</v>
      </c>
      <c r="GF845">
        <v>6.3420218311779504</v>
      </c>
      <c r="GG845">
        <v>5.8356062634298844</v>
      </c>
      <c r="GH845">
        <v>10.968980282273675</v>
      </c>
      <c r="GI845">
        <v>17.853542186410003</v>
      </c>
      <c r="GJ845"/>
      <c r="GK845"/>
      <c r="GL845"/>
      <c r="GM845"/>
      <c r="GN845" s="208"/>
      <c r="GO845" s="208"/>
      <c r="GP845" s="208"/>
      <c r="GQ845" s="208"/>
      <c r="GR845" s="208"/>
      <c r="GS845" s="208"/>
      <c r="GT845" s="208"/>
      <c r="GU845" s="213">
        <v>840</v>
      </c>
    </row>
    <row r="846" spans="1:203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300.17855278453231</v>
      </c>
      <c r="AO846">
        <v>28.721554611136149</v>
      </c>
      <c r="AP846">
        <v>22.869298893206675</v>
      </c>
      <c r="AQ846">
        <v>218.15878527639131</v>
      </c>
      <c r="AR846">
        <v>29.366622980018139</v>
      </c>
      <c r="AS846">
        <v>449.96823706190418</v>
      </c>
      <c r="AT846">
        <v>17.956782817641677</v>
      </c>
      <c r="AU846">
        <v>-23.910128192611928</v>
      </c>
      <c r="AV846"/>
      <c r="AW846"/>
      <c r="FY846" s="213">
        <v>841</v>
      </c>
      <c r="FZ846">
        <v>48.769177286581602</v>
      </c>
      <c r="GA846">
        <v>36.890920047544697</v>
      </c>
      <c r="GB846">
        <v>30.01599675753824</v>
      </c>
      <c r="GC846">
        <v>12.917771675924563</v>
      </c>
      <c r="GD846">
        <v>4.0103473934672431</v>
      </c>
      <c r="GE846">
        <v>6.8804506946379682</v>
      </c>
      <c r="GF846">
        <v>3.7122743189625735</v>
      </c>
      <c r="GG846">
        <v>4.582673846991419</v>
      </c>
      <c r="GH846">
        <v>8.8954480884799274</v>
      </c>
      <c r="GI846">
        <v>18.912897966665611</v>
      </c>
      <c r="GJ846"/>
      <c r="GK846"/>
      <c r="GL846"/>
      <c r="GM846"/>
      <c r="GN846" s="208"/>
      <c r="GO846" s="208"/>
      <c r="GP846" s="208"/>
      <c r="GQ846" s="208"/>
      <c r="GR846" s="208"/>
      <c r="GS846" s="208"/>
      <c r="GT846" s="208"/>
      <c r="GU846" s="213">
        <v>841</v>
      </c>
    </row>
    <row r="847" spans="1:203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261.01269001150001</v>
      </c>
      <c r="AO847">
        <v>24.749872738231421</v>
      </c>
      <c r="AP847">
        <v>38.828811360886725</v>
      </c>
      <c r="AQ847">
        <v>172.02767501737074</v>
      </c>
      <c r="AR847">
        <v>24.265619077067615</v>
      </c>
      <c r="AS847">
        <v>389.49593224908159</v>
      </c>
      <c r="AT847">
        <v>14.714666999001517</v>
      </c>
      <c r="AU847">
        <v>-12.776363847984385</v>
      </c>
      <c r="AV847"/>
      <c r="AW847"/>
      <c r="FY847" s="213">
        <v>842</v>
      </c>
      <c r="FZ847">
        <v>50.164732276503315</v>
      </c>
      <c r="GA847">
        <v>69.796058343539684</v>
      </c>
      <c r="GB847">
        <v>41.791866775833874</v>
      </c>
      <c r="GC847">
        <v>14.162214490738775</v>
      </c>
      <c r="GD847">
        <v>2.6439950797478096</v>
      </c>
      <c r="GE847">
        <v>2.8183274114774246</v>
      </c>
      <c r="GF847">
        <v>6.4397398405959727</v>
      </c>
      <c r="GG847">
        <v>4.5780228765705289</v>
      </c>
      <c r="GH847">
        <v>6.9128452064852981</v>
      </c>
      <c r="GI847">
        <v>21.450138049208729</v>
      </c>
      <c r="GJ847"/>
      <c r="GK847"/>
      <c r="GL847"/>
      <c r="GM847"/>
      <c r="GN847" s="208"/>
      <c r="GO847" s="208"/>
      <c r="GP847" s="208"/>
      <c r="GQ847" s="208"/>
      <c r="GR847" s="208"/>
      <c r="GS847" s="208"/>
      <c r="GT847" s="208"/>
      <c r="GU847" s="213">
        <v>842</v>
      </c>
    </row>
    <row r="848" spans="1:203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249.72056859955205</v>
      </c>
      <c r="AO848">
        <v>22.308113176968639</v>
      </c>
      <c r="AP848">
        <v>12.244845469538443</v>
      </c>
      <c r="AQ848">
        <v>160.02995188656882</v>
      </c>
      <c r="AR848">
        <v>23.656988407093511</v>
      </c>
      <c r="AS848">
        <v>321.14221410288002</v>
      </c>
      <c r="AT848">
        <v>13.838134656393422</v>
      </c>
      <c r="AU848">
        <v>3.6704364435361967</v>
      </c>
      <c r="AV848"/>
      <c r="AW848"/>
      <c r="FY848" s="213">
        <v>843</v>
      </c>
      <c r="FZ848">
        <v>57.64342754925049</v>
      </c>
      <c r="GA848">
        <v>70.736639065178082</v>
      </c>
      <c r="GB848">
        <v>38.774836133777953</v>
      </c>
      <c r="GC848">
        <v>13.622602115631018</v>
      </c>
      <c r="GD848">
        <v>3.4186134091221572</v>
      </c>
      <c r="GE848">
        <v>3.2125391093888851</v>
      </c>
      <c r="GF848">
        <v>4.4535229501574545</v>
      </c>
      <c r="GG848">
        <v>3.829842594103229</v>
      </c>
      <c r="GH848">
        <v>5.1522373100261909</v>
      </c>
      <c r="GI848">
        <v>21.580859706591863</v>
      </c>
      <c r="GJ848"/>
      <c r="GK848"/>
      <c r="GL848"/>
      <c r="GM848"/>
      <c r="GN848" s="208"/>
      <c r="GO848" s="208"/>
      <c r="GP848" s="208"/>
      <c r="GQ848" s="208"/>
      <c r="GR848" s="208"/>
      <c r="GS848" s="208"/>
      <c r="GT848" s="208"/>
      <c r="GU848" s="213">
        <v>843</v>
      </c>
    </row>
    <row r="849" spans="1:203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218.36660239438788</v>
      </c>
      <c r="AO849">
        <v>21.426654993392635</v>
      </c>
      <c r="AP849">
        <v>19.73359458702673</v>
      </c>
      <c r="AQ849">
        <v>145.62315934541587</v>
      </c>
      <c r="AR849">
        <v>22.699356245111723</v>
      </c>
      <c r="AS849">
        <v>310.34359317614883</v>
      </c>
      <c r="AT849">
        <v>14.036808637653991</v>
      </c>
      <c r="AU849">
        <v>3.8455380326869175</v>
      </c>
      <c r="AV849"/>
      <c r="AW849"/>
      <c r="FY849" s="213">
        <v>844</v>
      </c>
      <c r="FZ849">
        <v>46.751316226123258</v>
      </c>
      <c r="GA849">
        <v>46.673147061326873</v>
      </c>
      <c r="GB849">
        <v>37.318110328451453</v>
      </c>
      <c r="GC849">
        <v>18.216660351767597</v>
      </c>
      <c r="GD849">
        <v>2.4581621019355366</v>
      </c>
      <c r="GE849">
        <v>3.6984788585264639</v>
      </c>
      <c r="GF849">
        <v>4.699003625857511</v>
      </c>
      <c r="GG849">
        <v>5.9954456225171082</v>
      </c>
      <c r="GH849">
        <v>8.7634747149392709</v>
      </c>
      <c r="GI849">
        <v>19.717587170859037</v>
      </c>
      <c r="GJ849"/>
      <c r="GK849"/>
      <c r="GL849"/>
      <c r="GM849"/>
      <c r="GN849" s="208"/>
      <c r="GO849" s="208"/>
      <c r="GP849" s="208"/>
      <c r="GQ849" s="208"/>
      <c r="GR849" s="208"/>
      <c r="GS849" s="208"/>
      <c r="GT849" s="208"/>
      <c r="GU849" s="213">
        <v>844</v>
      </c>
    </row>
    <row r="850" spans="1:203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260.80094288821925</v>
      </c>
      <c r="AO850">
        <v>28.417558506811112</v>
      </c>
      <c r="AP850">
        <v>37.989512162435787</v>
      </c>
      <c r="AQ850">
        <v>211.98637905664458</v>
      </c>
      <c r="AR850">
        <v>28.235985027014443</v>
      </c>
      <c r="AS850">
        <v>368.25036424479924</v>
      </c>
      <c r="AT850">
        <v>17.714931823154011</v>
      </c>
      <c r="AU850">
        <v>-27.720796719040777</v>
      </c>
      <c r="AV850"/>
      <c r="AW850"/>
      <c r="FY850" s="213">
        <v>845</v>
      </c>
      <c r="FZ850">
        <v>55.170947226409439</v>
      </c>
      <c r="GA850">
        <v>37.964909490538091</v>
      </c>
      <c r="GB850">
        <v>27.645782758089751</v>
      </c>
      <c r="GC850">
        <v>12.899052646198026</v>
      </c>
      <c r="GD850">
        <v>2.527234510202188</v>
      </c>
      <c r="GE850">
        <v>3.7090209339951103</v>
      </c>
      <c r="GF850">
        <v>5.4550802938430962</v>
      </c>
      <c r="GG850">
        <v>5.622727679502546</v>
      </c>
      <c r="GH850">
        <v>8.0034497362871733</v>
      </c>
      <c r="GI850">
        <v>18.605611964245799</v>
      </c>
      <c r="GJ850"/>
      <c r="GK850"/>
      <c r="GL850"/>
      <c r="GM850"/>
      <c r="GN850" s="208"/>
      <c r="GO850" s="208"/>
      <c r="GP850" s="208"/>
      <c r="GQ850" s="208"/>
      <c r="GR850" s="208"/>
      <c r="GS850" s="208"/>
      <c r="GT850" s="208"/>
      <c r="GU850" s="213">
        <v>845</v>
      </c>
    </row>
    <row r="851" spans="1:203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270.04060087244312</v>
      </c>
      <c r="AO851">
        <v>24.163668405860228</v>
      </c>
      <c r="AP851">
        <v>33.873455400069126</v>
      </c>
      <c r="AQ851">
        <v>165.4743101345357</v>
      </c>
      <c r="AR851">
        <v>24.810342146155868</v>
      </c>
      <c r="AS851">
        <v>380.77568753789211</v>
      </c>
      <c r="AT851">
        <v>15.279194404461569</v>
      </c>
      <c r="AU851">
        <v>14.334622372617709</v>
      </c>
      <c r="AV851"/>
      <c r="AW851"/>
      <c r="FY851" s="213">
        <v>846</v>
      </c>
      <c r="FZ851">
        <v>53.132938392539955</v>
      </c>
      <c r="GA851">
        <v>50.880252996414505</v>
      </c>
      <c r="GB851">
        <v>34.946929479466796</v>
      </c>
      <c r="GC851">
        <v>15.740433666492358</v>
      </c>
      <c r="GD851">
        <v>3.9646806054237338</v>
      </c>
      <c r="GE851">
        <v>7.5757487123119809</v>
      </c>
      <c r="GF851">
        <v>11.083397122401593</v>
      </c>
      <c r="GG851">
        <v>9.0697570187998728</v>
      </c>
      <c r="GH851">
        <v>6.468118336034685</v>
      </c>
      <c r="GI851">
        <v>21.713434113371502</v>
      </c>
      <c r="GJ851"/>
      <c r="GK851"/>
      <c r="GL851"/>
      <c r="GM851"/>
      <c r="GN851" s="208"/>
      <c r="GO851" s="208"/>
      <c r="GP851" s="208"/>
      <c r="GQ851" s="208"/>
      <c r="GR851" s="208"/>
      <c r="GS851" s="208"/>
      <c r="GT851" s="208"/>
      <c r="GU851" s="213">
        <v>846</v>
      </c>
    </row>
    <row r="852" spans="1:203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263.09354579776652</v>
      </c>
      <c r="AO852">
        <v>28.929573545556885</v>
      </c>
      <c r="AP852">
        <v>26.129958475072947</v>
      </c>
      <c r="AQ852">
        <v>205.72995808051382</v>
      </c>
      <c r="AR852">
        <v>30.01649215461012</v>
      </c>
      <c r="AS852">
        <v>439.65385955756261</v>
      </c>
      <c r="AT852">
        <v>18.885771098570455</v>
      </c>
      <c r="AU852">
        <v>4.8953459659254079</v>
      </c>
      <c r="AV852"/>
      <c r="AW852"/>
      <c r="FY852" s="213">
        <v>847</v>
      </c>
      <c r="FZ852">
        <v>39.197748338233019</v>
      </c>
      <c r="GA852">
        <v>32.922299109386138</v>
      </c>
      <c r="GB852">
        <v>30.641674149733735</v>
      </c>
      <c r="GC852">
        <v>17.505491322682495</v>
      </c>
      <c r="GD852">
        <v>5.4892151963216005</v>
      </c>
      <c r="GE852">
        <v>4.8866439469640399</v>
      </c>
      <c r="GF852">
        <v>3.5785378243590142</v>
      </c>
      <c r="GG852">
        <v>5.5255594939160844</v>
      </c>
      <c r="GH852">
        <v>9.359128298340611</v>
      </c>
      <c r="GI852">
        <v>18.569369830729027</v>
      </c>
      <c r="GJ852"/>
      <c r="GK852"/>
      <c r="GL852"/>
      <c r="GM852"/>
      <c r="GN852" s="208"/>
      <c r="GO852" s="208"/>
      <c r="GP852" s="208"/>
      <c r="GQ852" s="208"/>
      <c r="GR852" s="208"/>
      <c r="GS852" s="208"/>
      <c r="GT852" s="208"/>
      <c r="GU852" s="213">
        <v>847</v>
      </c>
    </row>
    <row r="853" spans="1:203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197.23556104098679</v>
      </c>
      <c r="AO853">
        <v>19.317570129303725</v>
      </c>
      <c r="AP853">
        <v>24.357165550136571</v>
      </c>
      <c r="AQ853">
        <v>140.5400199953645</v>
      </c>
      <c r="AR853">
        <v>19.623417853191025</v>
      </c>
      <c r="AS853">
        <v>292.46528333022115</v>
      </c>
      <c r="AT853">
        <v>11.75958153262885</v>
      </c>
      <c r="AU853">
        <v>-2.0702199004592536</v>
      </c>
      <c r="AV853"/>
      <c r="AW853"/>
      <c r="FY853" s="213">
        <v>848</v>
      </c>
      <c r="FZ853">
        <v>49.262241339239019</v>
      </c>
      <c r="GA853">
        <v>48.086962425112183</v>
      </c>
      <c r="GB853">
        <v>40.262097470987186</v>
      </c>
      <c r="GC853">
        <v>17.863492573501105</v>
      </c>
      <c r="GD853">
        <v>4.0541783392936832</v>
      </c>
      <c r="GE853">
        <v>6.7649416722620641</v>
      </c>
      <c r="GF853">
        <v>2.3963580293533755</v>
      </c>
      <c r="GG853">
        <v>0.53596473523925037</v>
      </c>
      <c r="GH853">
        <v>3.691789152594076</v>
      </c>
      <c r="GI853">
        <v>20.470866529100089</v>
      </c>
      <c r="GJ853"/>
      <c r="GK853"/>
      <c r="GL853"/>
      <c r="GM853"/>
      <c r="GN853" s="208"/>
      <c r="GO853" s="208"/>
      <c r="GP853" s="208"/>
      <c r="GQ853" s="208"/>
      <c r="GR853" s="208"/>
      <c r="GS853" s="208"/>
      <c r="GT853" s="208"/>
      <c r="GU853" s="213">
        <v>848</v>
      </c>
    </row>
    <row r="854" spans="1:203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256.3355496693963</v>
      </c>
      <c r="AO854">
        <v>23.326384598635446</v>
      </c>
      <c r="AP854">
        <v>37.397859556203649</v>
      </c>
      <c r="AQ854">
        <v>167.30527095464421</v>
      </c>
      <c r="AR854">
        <v>23.797130425405605</v>
      </c>
      <c r="AS854">
        <v>348.38657372603114</v>
      </c>
      <c r="AT854">
        <v>14.965858127188952</v>
      </c>
      <c r="AU854">
        <v>26.247396412773963</v>
      </c>
      <c r="AV854"/>
      <c r="AW854"/>
      <c r="FY854" s="213">
        <v>849</v>
      </c>
      <c r="FZ854">
        <v>62.124158346048837</v>
      </c>
      <c r="GA854">
        <v>60.095144461475279</v>
      </c>
      <c r="GB854">
        <v>31.87169142933524</v>
      </c>
      <c r="GC854">
        <v>12.374238468922306</v>
      </c>
      <c r="GD854">
        <v>1.7638282940597048</v>
      </c>
      <c r="GE854">
        <v>2.6805464332338391</v>
      </c>
      <c r="GF854">
        <v>1.3638531293290668</v>
      </c>
      <c r="GG854">
        <v>0.60876160263650825</v>
      </c>
      <c r="GH854">
        <v>9.7309412125192001</v>
      </c>
      <c r="GI854">
        <v>19.772444437800129</v>
      </c>
      <c r="GJ854"/>
      <c r="GK854"/>
      <c r="GL854"/>
      <c r="GM854"/>
      <c r="GN854" s="208"/>
      <c r="GO854" s="208"/>
      <c r="GP854" s="208"/>
      <c r="GQ854" s="208"/>
      <c r="GR854" s="208"/>
      <c r="GS854" s="208"/>
      <c r="GT854" s="208"/>
      <c r="GU854" s="213">
        <v>849</v>
      </c>
    </row>
    <row r="855" spans="1:203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248.79908577270277</v>
      </c>
      <c r="AO855">
        <v>24.41091703861834</v>
      </c>
      <c r="AP855">
        <v>35.898084539166362</v>
      </c>
      <c r="AQ855">
        <v>173.70188066027649</v>
      </c>
      <c r="AR855">
        <v>24.390093676648483</v>
      </c>
      <c r="AS855">
        <v>328.51758867248327</v>
      </c>
      <c r="AT855">
        <v>14.655317327230525</v>
      </c>
      <c r="AU855">
        <v>-12.571826358897095</v>
      </c>
      <c r="AV855"/>
      <c r="AW855"/>
      <c r="FY855" s="213">
        <v>850</v>
      </c>
      <c r="FZ855">
        <v>49.036041263510732</v>
      </c>
      <c r="GA855">
        <v>30.605442832282542</v>
      </c>
      <c r="GB855">
        <v>24.579028975655053</v>
      </c>
      <c r="GC855">
        <v>11.544545235591098</v>
      </c>
      <c r="GD855">
        <v>1.8960497677334289</v>
      </c>
      <c r="GE855">
        <v>3.060831380295618</v>
      </c>
      <c r="GF855">
        <v>8.6104970627503725</v>
      </c>
      <c r="GG855">
        <v>8.2582263395949251</v>
      </c>
      <c r="GH855">
        <v>5.4216743499132916</v>
      </c>
      <c r="GI855">
        <v>16.775040339261711</v>
      </c>
      <c r="GJ855"/>
      <c r="GK855"/>
      <c r="GL855"/>
      <c r="GM855"/>
      <c r="GN855" s="208"/>
      <c r="GO855" s="208"/>
      <c r="GP855" s="208"/>
      <c r="GQ855" s="208"/>
      <c r="GR855" s="208"/>
      <c r="GS855" s="208"/>
      <c r="GT855" s="208"/>
      <c r="GU855" s="213">
        <v>850</v>
      </c>
    </row>
    <row r="856" spans="1:203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254.61192013094114</v>
      </c>
      <c r="AO856">
        <v>23.519549774059648</v>
      </c>
      <c r="AP856">
        <v>41.534846947872296</v>
      </c>
      <c r="AQ856">
        <v>171.57974622271155</v>
      </c>
      <c r="AR856">
        <v>24.50751966018715</v>
      </c>
      <c r="AS856">
        <v>363.97346353269427</v>
      </c>
      <c r="AT856">
        <v>14.744344262181386</v>
      </c>
      <c r="AU856">
        <v>-3.5998074058911698</v>
      </c>
      <c r="AV856"/>
      <c r="AW856"/>
      <c r="FY856" s="213">
        <v>851</v>
      </c>
      <c r="FZ856">
        <v>53.853366407902044</v>
      </c>
      <c r="GA856">
        <v>36.664482269191538</v>
      </c>
      <c r="GB856">
        <v>24.676917895243466</v>
      </c>
      <c r="GC856">
        <v>11.611731903918972</v>
      </c>
      <c r="GD856">
        <v>1.7200001044729043</v>
      </c>
      <c r="GE856">
        <v>1.5735355094801469</v>
      </c>
      <c r="GF856">
        <v>0.72722245951640652</v>
      </c>
      <c r="GG856">
        <v>2.9291199125243672</v>
      </c>
      <c r="GH856">
        <v>6.8142838543841853</v>
      </c>
      <c r="GI856">
        <v>16.185927014370328</v>
      </c>
      <c r="GJ856"/>
      <c r="GK856"/>
      <c r="GL856"/>
      <c r="GM856"/>
      <c r="GN856" s="208"/>
      <c r="GO856" s="208"/>
      <c r="GP856" s="208"/>
      <c r="GQ856" s="208"/>
      <c r="GR856" s="208"/>
      <c r="GS856" s="208"/>
      <c r="GT856" s="208"/>
      <c r="GU856" s="213">
        <v>851</v>
      </c>
    </row>
    <row r="857" spans="1:203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296.59396970667768</v>
      </c>
      <c r="AO857">
        <v>24.56458314622148</v>
      </c>
      <c r="AP857">
        <v>35.931548036796343</v>
      </c>
      <c r="AQ857">
        <v>175.58795807679385</v>
      </c>
      <c r="AR857">
        <v>25.931279006757261</v>
      </c>
      <c r="AS857">
        <v>393.88616733015249</v>
      </c>
      <c r="AT857">
        <v>16.312021117771319</v>
      </c>
      <c r="AU857">
        <v>2.4525337075646263</v>
      </c>
      <c r="AV857"/>
      <c r="AW857"/>
      <c r="FY857" s="213">
        <v>852</v>
      </c>
      <c r="FZ857">
        <v>56.678497610717557</v>
      </c>
      <c r="GA857">
        <v>47.934813700865341</v>
      </c>
      <c r="GB857">
        <v>27.134193250162276</v>
      </c>
      <c r="GC857">
        <v>11.289616005968437</v>
      </c>
      <c r="GD857">
        <v>3.5658533754517756</v>
      </c>
      <c r="GE857">
        <v>3.7664794967133535</v>
      </c>
      <c r="GF857">
        <v>1.6587349658099713</v>
      </c>
      <c r="GG857">
        <v>0.86685093735254248</v>
      </c>
      <c r="GH857">
        <v>3.5462615736044918</v>
      </c>
      <c r="GI857">
        <v>17.896512002748732</v>
      </c>
      <c r="GJ857"/>
      <c r="GK857"/>
      <c r="GL857"/>
      <c r="GM857"/>
      <c r="GN857" s="208"/>
      <c r="GO857" s="208"/>
      <c r="GP857" s="208"/>
      <c r="GQ857" s="208"/>
      <c r="GR857" s="208"/>
      <c r="GS857" s="208"/>
      <c r="GT857" s="208"/>
      <c r="GU857" s="213">
        <v>852</v>
      </c>
    </row>
    <row r="858" spans="1:203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259.98018741383555</v>
      </c>
      <c r="AO858">
        <v>29.08603829929006</v>
      </c>
      <c r="AP858">
        <v>37.986574536861873</v>
      </c>
      <c r="AQ858">
        <v>220.75794035070135</v>
      </c>
      <c r="AR858">
        <v>29.392215737141925</v>
      </c>
      <c r="AS858">
        <v>383.11319097847559</v>
      </c>
      <c r="AT858">
        <v>18.158177579587196</v>
      </c>
      <c r="AU858">
        <v>-38.776346316299922</v>
      </c>
      <c r="AV858"/>
      <c r="AW858"/>
      <c r="FY858" s="213">
        <v>853</v>
      </c>
      <c r="FZ858">
        <v>42.821225388238922</v>
      </c>
      <c r="GA858">
        <v>43.306142738609644</v>
      </c>
      <c r="GB858">
        <v>30.54815776321179</v>
      </c>
      <c r="GC858">
        <v>12.539258063018718</v>
      </c>
      <c r="GD858">
        <v>3.7205063634310043</v>
      </c>
      <c r="GE858">
        <v>7.3269254131862338</v>
      </c>
      <c r="GF858">
        <v>2.3263131919612978</v>
      </c>
      <c r="GG858">
        <v>1.9707608327802681</v>
      </c>
      <c r="GH858">
        <v>6.9716840017360395</v>
      </c>
      <c r="GI858">
        <v>17.447741893336467</v>
      </c>
      <c r="GJ858"/>
      <c r="GK858"/>
      <c r="GL858"/>
      <c r="GM858"/>
      <c r="GN858" s="208"/>
      <c r="GO858" s="208"/>
      <c r="GP858" s="208"/>
      <c r="GQ858" s="208"/>
      <c r="GR858" s="208"/>
      <c r="GS858" s="208"/>
      <c r="GT858" s="208"/>
      <c r="GU858" s="213">
        <v>853</v>
      </c>
    </row>
    <row r="859" spans="1:203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288.26079763962679</v>
      </c>
      <c r="AO859">
        <v>29.217875531490115</v>
      </c>
      <c r="AP859">
        <v>19.378733578324159</v>
      </c>
      <c r="AQ859">
        <v>222.42511994322737</v>
      </c>
      <c r="AR859">
        <v>29.713323834180297</v>
      </c>
      <c r="AS859">
        <v>391.68247649628267</v>
      </c>
      <c r="AT859">
        <v>17.729449488219874</v>
      </c>
      <c r="AU859">
        <v>-38.567523749860769</v>
      </c>
      <c r="AV859"/>
      <c r="AW859"/>
      <c r="FY859" s="213">
        <v>854</v>
      </c>
      <c r="FZ859">
        <v>51.601560485257515</v>
      </c>
      <c r="GA859">
        <v>53.596536300631605</v>
      </c>
      <c r="GB859">
        <v>41.640329126800118</v>
      </c>
      <c r="GC859">
        <v>17.594729958494188</v>
      </c>
      <c r="GD859">
        <v>4.5548534521956778</v>
      </c>
      <c r="GE859">
        <v>6.0770171260900829</v>
      </c>
      <c r="GF859">
        <v>2.4560022627184557</v>
      </c>
      <c r="GG859">
        <v>3.5255051700620537</v>
      </c>
      <c r="GH859">
        <v>9.1585752322809455</v>
      </c>
      <c r="GI859">
        <v>22.31315795181289</v>
      </c>
      <c r="GJ859"/>
      <c r="GK859"/>
      <c r="GL859"/>
      <c r="GM859"/>
      <c r="GN859" s="208"/>
      <c r="GO859" s="208"/>
      <c r="GP859" s="208"/>
      <c r="GQ859" s="208"/>
      <c r="GR859" s="208"/>
      <c r="GS859" s="208"/>
      <c r="GT859" s="208"/>
      <c r="GU859" s="213">
        <v>854</v>
      </c>
    </row>
    <row r="860" spans="1:203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275.54209895087342</v>
      </c>
      <c r="AO860">
        <v>27.265182145223612</v>
      </c>
      <c r="AP860">
        <v>30.892037056604956</v>
      </c>
      <c r="AQ860">
        <v>194.29138606230407</v>
      </c>
      <c r="AR860">
        <v>26.99394815409352</v>
      </c>
      <c r="AS860">
        <v>365.82574414046246</v>
      </c>
      <c r="AT860">
        <v>15.970008729904242</v>
      </c>
      <c r="AU860">
        <v>-12.603426121514282</v>
      </c>
      <c r="AV860"/>
      <c r="AW860"/>
      <c r="FY860" s="213">
        <v>855</v>
      </c>
      <c r="FZ860">
        <v>51.704243168583588</v>
      </c>
      <c r="GA860">
        <v>41.56584217239142</v>
      </c>
      <c r="GB860">
        <v>23.760879346403584</v>
      </c>
      <c r="GC860">
        <v>11.833638478145833</v>
      </c>
      <c r="GD860">
        <v>3.0706304563175975</v>
      </c>
      <c r="GE860">
        <v>3.5248250412832709</v>
      </c>
      <c r="GF860">
        <v>10.651945223064917</v>
      </c>
      <c r="GG860">
        <v>10.962510234717925</v>
      </c>
      <c r="GH860">
        <v>5.5224754262185272</v>
      </c>
      <c r="GI860">
        <v>18.016165930890182</v>
      </c>
      <c r="GJ860"/>
      <c r="GK860"/>
      <c r="GL860"/>
      <c r="GM860"/>
      <c r="GN860" s="208"/>
      <c r="GO860" s="208"/>
      <c r="GP860" s="208"/>
      <c r="GQ860" s="208"/>
      <c r="GR860" s="208"/>
      <c r="GS860" s="208"/>
      <c r="GT860" s="208"/>
      <c r="GU860" s="213">
        <v>855</v>
      </c>
    </row>
    <row r="861" spans="1:203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221.3853781684391</v>
      </c>
      <c r="AO861">
        <v>24.104562843597034</v>
      </c>
      <c r="AP861">
        <v>44.139596615263628</v>
      </c>
      <c r="AQ861">
        <v>177.60381723931121</v>
      </c>
      <c r="AR861">
        <v>25.689906665798741</v>
      </c>
      <c r="AS861">
        <v>345.67762951805599</v>
      </c>
      <c r="AT861">
        <v>16.023167576502363</v>
      </c>
      <c r="AU861">
        <v>8.0816667443807049</v>
      </c>
      <c r="AV861"/>
      <c r="AW861"/>
      <c r="FY861" s="213">
        <v>856</v>
      </c>
      <c r="FZ861">
        <v>46.429165823546747</v>
      </c>
      <c r="GA861">
        <v>26.418751348320008</v>
      </c>
      <c r="GB861">
        <v>29.962581401054443</v>
      </c>
      <c r="GC861">
        <v>16.18500725861059</v>
      </c>
      <c r="GD861">
        <v>2.6515843582379346</v>
      </c>
      <c r="GE861">
        <v>2.1731729810843383</v>
      </c>
      <c r="GF861">
        <v>0.88420469338220353</v>
      </c>
      <c r="GG861">
        <v>0.79789429451575944</v>
      </c>
      <c r="GH861">
        <v>2.6163303132240139</v>
      </c>
      <c r="GI861">
        <v>16.287410522342814</v>
      </c>
      <c r="GJ861"/>
      <c r="GK861"/>
      <c r="GL861"/>
      <c r="GM861"/>
      <c r="GN861" s="208"/>
      <c r="GO861" s="208"/>
      <c r="GP861" s="208"/>
      <c r="GQ861" s="208"/>
      <c r="GR861" s="208"/>
      <c r="GS861" s="208"/>
      <c r="GT861" s="208"/>
      <c r="GU861" s="213">
        <v>856</v>
      </c>
    </row>
    <row r="862" spans="1:203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311.89836017202964</v>
      </c>
      <c r="AO862">
        <v>29.77358121434191</v>
      </c>
      <c r="AP862">
        <v>45.146405174642844</v>
      </c>
      <c r="AQ862">
        <v>214.57569044325697</v>
      </c>
      <c r="AR862">
        <v>29.812034129746827</v>
      </c>
      <c r="AS862">
        <v>432.16305776506039</v>
      </c>
      <c r="AT862">
        <v>17.858862696092498</v>
      </c>
      <c r="AU862">
        <v>-15.225660004434886</v>
      </c>
      <c r="AV862"/>
      <c r="AW862"/>
      <c r="FY862" s="213">
        <v>857</v>
      </c>
      <c r="FZ862">
        <v>61.346619213294446</v>
      </c>
      <c r="GA862">
        <v>84.242281820152002</v>
      </c>
      <c r="GB862">
        <v>54.67804875656671</v>
      </c>
      <c r="GC862">
        <v>17.929807815160181</v>
      </c>
      <c r="GD862">
        <v>4.9394073571747157</v>
      </c>
      <c r="GE862">
        <v>9.6092838402567722</v>
      </c>
      <c r="GF862">
        <v>2.8780998131697251</v>
      </c>
      <c r="GG862">
        <v>4.335704467315705</v>
      </c>
      <c r="GH862">
        <v>9.0096895721018662</v>
      </c>
      <c r="GI862">
        <v>27.228341984618837</v>
      </c>
      <c r="GJ862"/>
      <c r="GK862"/>
      <c r="GL862"/>
      <c r="GM862"/>
      <c r="GN862" s="208"/>
      <c r="GO862" s="208"/>
      <c r="GP862" s="208"/>
      <c r="GQ862" s="208"/>
      <c r="GR862" s="208"/>
      <c r="GS862" s="208"/>
      <c r="GT862" s="208"/>
      <c r="GU862" s="213">
        <v>857</v>
      </c>
    </row>
    <row r="863" spans="1:203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264.30370217208349</v>
      </c>
      <c r="AO863">
        <v>25.064499866470413</v>
      </c>
      <c r="AP863">
        <v>22.860587805952854</v>
      </c>
      <c r="AQ863">
        <v>167.67566751066573</v>
      </c>
      <c r="AR863">
        <v>25.429945437922317</v>
      </c>
      <c r="AS863">
        <v>351.66791337936417</v>
      </c>
      <c r="AT863">
        <v>15.81896871253196</v>
      </c>
      <c r="AU863">
        <v>-17.297318846549718</v>
      </c>
      <c r="AV863"/>
      <c r="AW863"/>
      <c r="FY863" s="213">
        <v>858</v>
      </c>
      <c r="FZ863">
        <v>55.384380404591575</v>
      </c>
      <c r="GA863">
        <v>47.05039308743455</v>
      </c>
      <c r="GB863">
        <v>31.047987795279269</v>
      </c>
      <c r="GC863">
        <v>15.55925445720178</v>
      </c>
      <c r="GD863">
        <v>5.8412168718951447</v>
      </c>
      <c r="GE863">
        <v>9.8856461783726335</v>
      </c>
      <c r="GF863">
        <v>5.4077724809317349</v>
      </c>
      <c r="GG863">
        <v>6.0998614658015118</v>
      </c>
      <c r="GH863">
        <v>5.9947969634087936</v>
      </c>
      <c r="GI863">
        <v>21.048129777848633</v>
      </c>
      <c r="GJ863"/>
      <c r="GK863"/>
      <c r="GL863"/>
      <c r="GM863"/>
      <c r="GN863" s="208"/>
      <c r="GO863" s="208"/>
      <c r="GP863" s="208"/>
      <c r="GQ863" s="208"/>
      <c r="GR863" s="208"/>
      <c r="GS863" s="208"/>
      <c r="GT863" s="208"/>
      <c r="GU863" s="213">
        <v>858</v>
      </c>
    </row>
    <row r="864" spans="1:203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279.177154803338</v>
      </c>
      <c r="AO864">
        <v>27.709836091052587</v>
      </c>
      <c r="AP864">
        <v>16.521543142491325</v>
      </c>
      <c r="AQ864">
        <v>193.38889226668201</v>
      </c>
      <c r="AR864">
        <v>28.066235022928836</v>
      </c>
      <c r="AS864">
        <v>389.37629631787934</v>
      </c>
      <c r="AT864" t="e">
        <v>#DIV/0!</v>
      </c>
      <c r="AU864" t="e">
        <v>#DIV/0!</v>
      </c>
      <c r="AV864"/>
      <c r="AW864"/>
      <c r="FY864" s="213">
        <v>859</v>
      </c>
      <c r="FZ864">
        <v>55.704959307356646</v>
      </c>
      <c r="GA864">
        <v>53.133004417708349</v>
      </c>
      <c r="GB864">
        <v>36.942229339513261</v>
      </c>
      <c r="GC864">
        <v>16.462835350975581</v>
      </c>
      <c r="GD864">
        <v>4.0617062584285355</v>
      </c>
      <c r="GE864">
        <v>5.2571353315274383</v>
      </c>
      <c r="GF864">
        <v>4.3084971278280708</v>
      </c>
      <c r="GG864">
        <v>7.5183660017904392</v>
      </c>
      <c r="GH864">
        <v>5.8555556987374811</v>
      </c>
      <c r="GI864">
        <v>21.308810067711192</v>
      </c>
      <c r="GJ864"/>
      <c r="GK864"/>
      <c r="GL864"/>
      <c r="GM864"/>
      <c r="GN864" s="208"/>
      <c r="GO864" s="208"/>
      <c r="GP864" s="208"/>
      <c r="GQ864" s="208"/>
      <c r="GR864" s="208"/>
      <c r="GS864" s="208"/>
      <c r="GT864" s="208"/>
      <c r="GU864" s="213">
        <v>859</v>
      </c>
    </row>
    <row r="865" spans="1:203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246.82267434416872</v>
      </c>
      <c r="AO865">
        <v>25.897465085669317</v>
      </c>
      <c r="AP865">
        <v>23.542516766282791</v>
      </c>
      <c r="AQ865">
        <v>202.38560781536012</v>
      </c>
      <c r="AR865">
        <v>27.282254900641224</v>
      </c>
      <c r="AS865">
        <v>380.40597517881207</v>
      </c>
      <c r="AT865">
        <v>15.729707898427364</v>
      </c>
      <c r="AU865">
        <v>-19.687597824241081</v>
      </c>
      <c r="AV865"/>
      <c r="AW865"/>
      <c r="FY865" s="213">
        <v>860</v>
      </c>
      <c r="FZ865">
        <v>49.077165703802244</v>
      </c>
      <c r="GA865">
        <v>77.706421764892369</v>
      </c>
      <c r="GB865">
        <v>46.806654194751687</v>
      </c>
      <c r="GC865">
        <v>13.128354086288201</v>
      </c>
      <c r="GD865">
        <v>2.5867810461872152</v>
      </c>
      <c r="GE865">
        <v>3.8461052602521519</v>
      </c>
      <c r="GF865">
        <v>6.8025731665994691</v>
      </c>
      <c r="GG865">
        <v>4.0433019943840476</v>
      </c>
      <c r="GH865">
        <v>5.9896173989884369</v>
      </c>
      <c r="GI865">
        <v>22.389678246297304</v>
      </c>
      <c r="GJ865"/>
      <c r="GK865"/>
      <c r="GL865"/>
      <c r="GM865"/>
      <c r="GN865" s="208"/>
      <c r="GO865" s="208"/>
      <c r="GP865" s="208"/>
      <c r="GQ865" s="208"/>
      <c r="GR865" s="208"/>
      <c r="GS865" s="208"/>
      <c r="GT865" s="208"/>
      <c r="GU865" s="213">
        <v>860</v>
      </c>
    </row>
    <row r="866" spans="1:203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213.49493091341537</v>
      </c>
      <c r="AO866">
        <v>21.654726480507293</v>
      </c>
      <c r="AP866">
        <v>21.810619711062206</v>
      </c>
      <c r="AQ866">
        <v>159.7873775465888</v>
      </c>
      <c r="AR866">
        <v>23.001888350908771</v>
      </c>
      <c r="AS866">
        <v>325.08882779263308</v>
      </c>
      <c r="AT866">
        <v>13.66340443098786</v>
      </c>
      <c r="AU866">
        <v>16.012693824277321</v>
      </c>
      <c r="AV866"/>
      <c r="AW866"/>
      <c r="FY866" s="213">
        <v>861</v>
      </c>
      <c r="FZ866">
        <v>43.615331091780973</v>
      </c>
      <c r="GA866">
        <v>45.897969079683108</v>
      </c>
      <c r="GB866">
        <v>33.281893102297992</v>
      </c>
      <c r="GC866">
        <v>13.983806083158813</v>
      </c>
      <c r="GD866">
        <v>3.1987191686680481</v>
      </c>
      <c r="GE866">
        <v>6.6892233966283623</v>
      </c>
      <c r="GF866">
        <v>8.8969231397576625</v>
      </c>
      <c r="GG866">
        <v>6.604832651294732</v>
      </c>
      <c r="GH866">
        <v>9.0444149365407078</v>
      </c>
      <c r="GI866">
        <v>19.478199461624758</v>
      </c>
      <c r="GJ866"/>
      <c r="GK866"/>
      <c r="GL866"/>
      <c r="GM866"/>
      <c r="GN866" s="208"/>
      <c r="GO866" s="208"/>
      <c r="GP866" s="208"/>
      <c r="GQ866" s="208"/>
      <c r="GR866" s="208"/>
      <c r="GS866" s="208"/>
      <c r="GT866" s="208"/>
      <c r="GU866" s="213">
        <v>861</v>
      </c>
    </row>
    <row r="867" spans="1:203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213.91335855970974</v>
      </c>
      <c r="AO867">
        <v>20.808101031958913</v>
      </c>
      <c r="AP867">
        <v>26.008208498638169</v>
      </c>
      <c r="AQ867">
        <v>156.75658733100434</v>
      </c>
      <c r="AR867">
        <v>22.331444679565138</v>
      </c>
      <c r="AS867">
        <v>336.23785671790625</v>
      </c>
      <c r="AT867" t="e">
        <v>#DIV/0!</v>
      </c>
      <c r="AU867" t="e">
        <v>#DIV/0!</v>
      </c>
      <c r="AV867"/>
      <c r="AW867"/>
      <c r="FY867" s="213">
        <v>862</v>
      </c>
      <c r="FZ867">
        <v>52.614966076112857</v>
      </c>
      <c r="GA867">
        <v>61.26017553152726</v>
      </c>
      <c r="GB867">
        <v>52.935496274575961</v>
      </c>
      <c r="GC867">
        <v>22.485932035255736</v>
      </c>
      <c r="GD867">
        <v>4.0681976812233627</v>
      </c>
      <c r="GE867">
        <v>5.9563076689476233</v>
      </c>
      <c r="GF867">
        <v>4.6832868653679789</v>
      </c>
      <c r="GG867">
        <v>4.8496164572895868</v>
      </c>
      <c r="GH867">
        <v>7.7193417258268999</v>
      </c>
      <c r="GI867">
        <v>25.165759999691769</v>
      </c>
      <c r="GJ867"/>
      <c r="GK867"/>
      <c r="GL867"/>
      <c r="GM867"/>
      <c r="GN867" s="208"/>
      <c r="GO867" s="208"/>
      <c r="GP867" s="208"/>
      <c r="GQ867" s="208"/>
      <c r="GR867" s="208"/>
      <c r="GS867" s="208"/>
      <c r="GT867" s="208"/>
      <c r="GU867" s="213">
        <v>862</v>
      </c>
    </row>
    <row r="868" spans="1:203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229.26665714706769</v>
      </c>
      <c r="AO868">
        <v>23.22968398687787</v>
      </c>
      <c r="AP868">
        <v>11.547735764775853</v>
      </c>
      <c r="AQ868">
        <v>174.33781291939445</v>
      </c>
      <c r="AR868">
        <v>24.694062492395464</v>
      </c>
      <c r="AS868">
        <v>360.06912329220467</v>
      </c>
      <c r="AT868">
        <v>14.545746589628664</v>
      </c>
      <c r="AU868">
        <v>1.117322226376686</v>
      </c>
      <c r="AV868"/>
      <c r="AW868"/>
      <c r="FY868" s="213">
        <v>863</v>
      </c>
      <c r="FZ868">
        <v>38.305047109827115</v>
      </c>
      <c r="GA868">
        <v>31.814856506927576</v>
      </c>
      <c r="GB868">
        <v>30.052509317021261</v>
      </c>
      <c r="GC868">
        <v>14.542303994026797</v>
      </c>
      <c r="GD868">
        <v>2.0805033270123943</v>
      </c>
      <c r="GE868">
        <v>3.3931502662511379</v>
      </c>
      <c r="GF868">
        <v>9.8483155145523078</v>
      </c>
      <c r="GG868">
        <v>7.0933361428246986</v>
      </c>
      <c r="GH868">
        <v>6.1600095249016373</v>
      </c>
      <c r="GI868">
        <v>16.989518675025838</v>
      </c>
      <c r="GJ868"/>
      <c r="GK868"/>
      <c r="GL868"/>
      <c r="GM868"/>
      <c r="GN868" s="208"/>
      <c r="GO868" s="208"/>
      <c r="GP868" s="208"/>
      <c r="GQ868" s="208"/>
      <c r="GR868" s="208"/>
      <c r="GS868" s="208"/>
      <c r="GT868" s="208"/>
      <c r="GU868" s="213">
        <v>863</v>
      </c>
    </row>
    <row r="869" spans="1:203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263.41100702722707</v>
      </c>
      <c r="AO869">
        <v>23.523822373682933</v>
      </c>
      <c r="AP869">
        <v>58.132877144087004</v>
      </c>
      <c r="AQ869">
        <v>168.97871564951038</v>
      </c>
      <c r="AR869">
        <v>23.923122461765608</v>
      </c>
      <c r="AS869">
        <v>380.57915398845489</v>
      </c>
      <c r="AT869" t="e">
        <v>#DIV/0!</v>
      </c>
      <c r="AU869" t="e">
        <v>#DIV/0!</v>
      </c>
      <c r="AV869"/>
      <c r="AW869"/>
      <c r="FY869" s="213">
        <v>864</v>
      </c>
      <c r="FZ869">
        <v>40.327853587050996</v>
      </c>
      <c r="GA869">
        <v>36.964745126907026</v>
      </c>
      <c r="GB869">
        <v>30.812105752940553</v>
      </c>
      <c r="GC869">
        <v>15.620798241191205</v>
      </c>
      <c r="GD869">
        <v>2.8716638516459838</v>
      </c>
      <c r="GE869">
        <v>3.1138293829804455</v>
      </c>
      <c r="GF869">
        <v>5.1622918052316793</v>
      </c>
      <c r="GG869">
        <v>8.1090912161332191</v>
      </c>
      <c r="GH869">
        <v>9.3676385959607629</v>
      </c>
      <c r="GI869">
        <v>17.556150293786015</v>
      </c>
      <c r="GJ869"/>
      <c r="GK869"/>
      <c r="GL869"/>
      <c r="GM869"/>
      <c r="GN869" s="208"/>
      <c r="GO869" s="208"/>
      <c r="GP869" s="208"/>
      <c r="GQ869" s="208"/>
      <c r="GR869" s="208"/>
      <c r="GS869" s="208"/>
      <c r="GT869" s="208"/>
      <c r="GU869" s="213">
        <v>864</v>
      </c>
    </row>
    <row r="870" spans="1:203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345.75259673237167</v>
      </c>
      <c r="AO870">
        <v>29.889760651397285</v>
      </c>
      <c r="AP870">
        <v>32.518122678286204</v>
      </c>
      <c r="AQ870">
        <v>212.51826706634353</v>
      </c>
      <c r="AR870">
        <v>30.593686377739683</v>
      </c>
      <c r="AS870">
        <v>459.73848334419318</v>
      </c>
      <c r="AT870">
        <v>18.864201536018061</v>
      </c>
      <c r="AU870">
        <v>-15.89208033168736</v>
      </c>
      <c r="AV870"/>
      <c r="AW870"/>
      <c r="FY870" s="213">
        <v>865</v>
      </c>
      <c r="FZ870">
        <v>51.783809781342292</v>
      </c>
      <c r="GA870">
        <v>35.676697330427707</v>
      </c>
      <c r="GB870">
        <v>27.624309480539694</v>
      </c>
      <c r="GC870">
        <v>13.85989872875332</v>
      </c>
      <c r="GD870">
        <v>2.7003895853848547</v>
      </c>
      <c r="GE870">
        <v>2.4209059880195554</v>
      </c>
      <c r="GF870">
        <v>5.564754714797532</v>
      </c>
      <c r="GG870">
        <v>5.8090127172883967</v>
      </c>
      <c r="GH870">
        <v>6.3691115858484846</v>
      </c>
      <c r="GI870">
        <v>17.971376160845704</v>
      </c>
      <c r="GJ870"/>
      <c r="GK870"/>
      <c r="GL870"/>
      <c r="GM870"/>
      <c r="GN870" s="208"/>
      <c r="GO870" s="208"/>
      <c r="GP870" s="208"/>
      <c r="GQ870" s="208"/>
      <c r="GR870" s="208"/>
      <c r="GS870" s="208"/>
      <c r="GT870" s="208"/>
      <c r="GU870" s="213">
        <v>865</v>
      </c>
    </row>
    <row r="871" spans="1:203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220.82260296088802</v>
      </c>
      <c r="AO871">
        <v>24.317571527036446</v>
      </c>
      <c r="AP871">
        <v>34.602658078431432</v>
      </c>
      <c r="AQ871">
        <v>180.61315547801684</v>
      </c>
      <c r="AR871">
        <v>24.83983651597897</v>
      </c>
      <c r="AS871">
        <v>345.57517748351921</v>
      </c>
      <c r="AT871">
        <v>15.112243089928668</v>
      </c>
      <c r="AU871">
        <v>10.767371076850974</v>
      </c>
      <c r="AV871"/>
      <c r="AW871"/>
      <c r="FY871" s="213">
        <v>866</v>
      </c>
      <c r="FZ871">
        <v>40.146623005963377</v>
      </c>
      <c r="GA871">
        <v>49.231733670064862</v>
      </c>
      <c r="GB871">
        <v>36.723994974685631</v>
      </c>
      <c r="GC871">
        <v>13.93659019450082</v>
      </c>
      <c r="GD871">
        <v>4.6431394916512003</v>
      </c>
      <c r="GE871">
        <v>5.7108465124841477</v>
      </c>
      <c r="GF871">
        <v>4.0602796081753638</v>
      </c>
      <c r="GG871">
        <v>7.542111893838527</v>
      </c>
      <c r="GH871">
        <v>11.440685494874232</v>
      </c>
      <c r="GI871">
        <v>20.129142798755144</v>
      </c>
      <c r="GJ871"/>
      <c r="GK871"/>
      <c r="GL871"/>
      <c r="GM871"/>
      <c r="GN871" s="208"/>
      <c r="GO871" s="208"/>
      <c r="GP871" s="208"/>
      <c r="GQ871" s="208"/>
      <c r="GR871" s="208"/>
      <c r="GS871" s="208"/>
      <c r="GT871" s="208"/>
      <c r="GU871" s="213">
        <v>866</v>
      </c>
    </row>
    <row r="872" spans="1:203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222.03860424489167</v>
      </c>
      <c r="AO872">
        <v>21.08656392606493</v>
      </c>
      <c r="AP872">
        <v>24.352951743231056</v>
      </c>
      <c r="AQ872">
        <v>144.40610299431887</v>
      </c>
      <c r="AR872">
        <v>22.352177699536906</v>
      </c>
      <c r="AS872">
        <v>330.18835454658398</v>
      </c>
      <c r="AT872">
        <v>13.549610313932092</v>
      </c>
      <c r="AU872">
        <v>10.480033802489565</v>
      </c>
      <c r="AV872"/>
      <c r="AW872"/>
      <c r="FY872" s="213">
        <v>867</v>
      </c>
      <c r="FZ872">
        <v>42.492429419444278</v>
      </c>
      <c r="GA872">
        <v>46.12447770027083</v>
      </c>
      <c r="GB872">
        <v>27.464187155627954</v>
      </c>
      <c r="GC872">
        <v>10.316517257294983</v>
      </c>
      <c r="GD872">
        <v>3.6861540082566471</v>
      </c>
      <c r="GE872">
        <v>5.6271731465382757</v>
      </c>
      <c r="GF872">
        <v>9.8716960351161873</v>
      </c>
      <c r="GG872">
        <v>11.51974872637469</v>
      </c>
      <c r="GH872">
        <v>14.322772577789141</v>
      </c>
      <c r="GI872">
        <v>19.168410685103243</v>
      </c>
      <c r="GJ872"/>
      <c r="GK872"/>
      <c r="GL872"/>
      <c r="GM872"/>
      <c r="GN872" s="208"/>
      <c r="GO872" s="208"/>
      <c r="GP872" s="208"/>
      <c r="GQ872" s="208"/>
      <c r="GR872" s="208"/>
      <c r="GS872" s="208"/>
      <c r="GT872" s="208"/>
      <c r="GU872" s="213">
        <v>867</v>
      </c>
    </row>
    <row r="873" spans="1:203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394.46444253851615</v>
      </c>
      <c r="AO873">
        <v>37.378966876538414</v>
      </c>
      <c r="AP873">
        <v>33.311044589259694</v>
      </c>
      <c r="AQ873">
        <v>276.19728463981096</v>
      </c>
      <c r="AR873">
        <v>37.191802610364057</v>
      </c>
      <c r="AS873">
        <v>548.15578208551585</v>
      </c>
      <c r="AT873">
        <v>24.3499068542807</v>
      </c>
      <c r="AU873">
        <v>-68.073663670843345</v>
      </c>
      <c r="AV873"/>
      <c r="AW873"/>
      <c r="FY873" s="213">
        <v>868</v>
      </c>
      <c r="FZ873">
        <v>35.843519338106987</v>
      </c>
      <c r="GA873">
        <v>32.401258941950516</v>
      </c>
      <c r="GB873">
        <v>37.795009682228688</v>
      </c>
      <c r="GC873">
        <v>16.067397442882925</v>
      </c>
      <c r="GD873">
        <v>3.2031342172007946</v>
      </c>
      <c r="GE873">
        <v>5.2057107180725595</v>
      </c>
      <c r="GF873">
        <v>8.8440213269140155</v>
      </c>
      <c r="GG873">
        <v>8.6286632493020061</v>
      </c>
      <c r="GH873">
        <v>7.5991230039162403</v>
      </c>
      <c r="GI873">
        <v>19.216186823536468</v>
      </c>
      <c r="GJ873"/>
      <c r="GK873"/>
      <c r="GL873"/>
      <c r="GM873"/>
      <c r="GN873" s="208"/>
      <c r="GO873" s="208"/>
      <c r="GP873" s="208"/>
      <c r="GQ873" s="208"/>
      <c r="GR873" s="208"/>
      <c r="GS873" s="208"/>
      <c r="GT873" s="208"/>
      <c r="GU873" s="213">
        <v>868</v>
      </c>
    </row>
    <row r="874" spans="1:203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311.74346064463418</v>
      </c>
      <c r="AO874">
        <v>28.819178092392626</v>
      </c>
      <c r="AP874">
        <v>15.090611683299693</v>
      </c>
      <c r="AQ874">
        <v>203.3194394827656</v>
      </c>
      <c r="AR874">
        <v>28.849111054697335</v>
      </c>
      <c r="AS874">
        <v>454.30405895392016</v>
      </c>
      <c r="AT874">
        <v>18.025400585881474</v>
      </c>
      <c r="AU874">
        <v>-17.711930614023814</v>
      </c>
      <c r="AV874"/>
      <c r="AW874"/>
      <c r="FY874" s="213">
        <v>869</v>
      </c>
      <c r="FZ874">
        <v>58.814419409857891</v>
      </c>
      <c r="GA874">
        <v>45.102271743986016</v>
      </c>
      <c r="GB874">
        <v>25.609889528222531</v>
      </c>
      <c r="GC874">
        <v>11.646662596115718</v>
      </c>
      <c r="GD874">
        <v>2.3861394067075099</v>
      </c>
      <c r="GE874">
        <v>4.0994404882682502</v>
      </c>
      <c r="GF874">
        <v>4.1251378325554242</v>
      </c>
      <c r="GG874">
        <v>3.249880420741162</v>
      </c>
      <c r="GH874">
        <v>8.2500875534312463</v>
      </c>
      <c r="GI874">
        <v>18.365128894153898</v>
      </c>
      <c r="GJ874"/>
      <c r="GK874"/>
      <c r="GL874"/>
      <c r="GM874"/>
      <c r="GN874" s="208"/>
      <c r="GO874" s="208"/>
      <c r="GP874" s="208"/>
      <c r="GQ874" s="208"/>
      <c r="GR874" s="208"/>
      <c r="GS874" s="208"/>
      <c r="GT874" s="208"/>
      <c r="GU874" s="213">
        <v>869</v>
      </c>
    </row>
    <row r="875" spans="1:203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293.6859456070647</v>
      </c>
      <c r="AO875">
        <v>29.082928593653691</v>
      </c>
      <c r="AP875">
        <v>29.8639089056445</v>
      </c>
      <c r="AQ875">
        <v>210.55309890157702</v>
      </c>
      <c r="AR875">
        <v>29.172795266834871</v>
      </c>
      <c r="AS875">
        <v>447.40475028889881</v>
      </c>
      <c r="AT875">
        <v>18.756994713989787</v>
      </c>
      <c r="AU875">
        <v>-3.8880784929016485</v>
      </c>
      <c r="AV875"/>
      <c r="AW875"/>
      <c r="FY875" s="213">
        <v>870</v>
      </c>
      <c r="FZ875">
        <v>44.255447927561775</v>
      </c>
      <c r="GA875">
        <v>41.991427408486352</v>
      </c>
      <c r="GB875">
        <v>36.614279561511452</v>
      </c>
      <c r="GC875">
        <v>15.378252101400255</v>
      </c>
      <c r="GD875">
        <v>2.5605319389716295</v>
      </c>
      <c r="GE875">
        <v>3.4132992092688728</v>
      </c>
      <c r="GF875">
        <v>1.4832991275019922</v>
      </c>
      <c r="GG875">
        <v>4.5023351201996364</v>
      </c>
      <c r="GH875">
        <v>6.3527956723231469</v>
      </c>
      <c r="GI875">
        <v>18.243453190704592</v>
      </c>
      <c r="GJ875"/>
      <c r="GK875"/>
      <c r="GL875"/>
      <c r="GM875"/>
      <c r="GN875" s="208"/>
      <c r="GO875" s="208"/>
      <c r="GP875" s="208"/>
      <c r="GQ875" s="208"/>
      <c r="GR875" s="208"/>
      <c r="GS875" s="208"/>
      <c r="GT875" s="208"/>
      <c r="GU875" s="213">
        <v>870</v>
      </c>
    </row>
    <row r="876" spans="1:203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310.44296134653587</v>
      </c>
      <c r="AO876">
        <v>30.237397410856765</v>
      </c>
      <c r="AP876">
        <v>13.158174191550131</v>
      </c>
      <c r="AQ876">
        <v>232.37665286244314</v>
      </c>
      <c r="AR876">
        <v>30.589120599226078</v>
      </c>
      <c r="AS876">
        <v>427.07795090002696</v>
      </c>
      <c r="AT876">
        <v>19.237060918890339</v>
      </c>
      <c r="AU876">
        <v>-42.67415329727379</v>
      </c>
      <c r="AV876"/>
      <c r="AW876"/>
      <c r="FY876" s="213">
        <v>871</v>
      </c>
      <c r="FZ876">
        <v>47.710381071036814</v>
      </c>
      <c r="GA876">
        <v>33.646188113520537</v>
      </c>
      <c r="GB876">
        <v>15.8342893344369</v>
      </c>
      <c r="GC876">
        <v>8.3766068180851914</v>
      </c>
      <c r="GD876">
        <v>1.4792827943009752</v>
      </c>
      <c r="GE876">
        <v>2.171668662574183</v>
      </c>
      <c r="GF876">
        <v>5.0710565194447703</v>
      </c>
      <c r="GG876">
        <v>3.8405775276032461</v>
      </c>
      <c r="GH876">
        <v>4.782541505484728</v>
      </c>
      <c r="GI876">
        <v>13.452750341718939</v>
      </c>
      <c r="GJ876"/>
      <c r="GK876"/>
      <c r="GL876"/>
      <c r="GM876"/>
      <c r="GN876" s="208"/>
      <c r="GO876" s="208"/>
      <c r="GP876" s="208"/>
      <c r="GQ876" s="208"/>
      <c r="GR876" s="208"/>
      <c r="GS876" s="208"/>
      <c r="GT876" s="208"/>
      <c r="GU876" s="213">
        <v>871</v>
      </c>
    </row>
    <row r="877" spans="1:203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284.91236633293425</v>
      </c>
      <c r="AO877">
        <v>26.386351353276563</v>
      </c>
      <c r="AP877">
        <v>28.542877498413517</v>
      </c>
      <c r="AQ877">
        <v>190.69131211143517</v>
      </c>
      <c r="AR877">
        <v>26.700966458861625</v>
      </c>
      <c r="AS877">
        <v>410.68511086357341</v>
      </c>
      <c r="AT877">
        <v>15.672346033360638</v>
      </c>
      <c r="AU877">
        <v>-4.0427499705755352</v>
      </c>
      <c r="AV877"/>
      <c r="AW877"/>
      <c r="FY877" s="213">
        <v>872</v>
      </c>
      <c r="FZ877">
        <v>51.383265150909182</v>
      </c>
      <c r="GA877">
        <v>49.466505875181397</v>
      </c>
      <c r="GB877">
        <v>35.399416237436576</v>
      </c>
      <c r="GC877">
        <v>16.822508749365987</v>
      </c>
      <c r="GD877">
        <v>5.0300311845237644</v>
      </c>
      <c r="GE877">
        <v>4.7658125600386967</v>
      </c>
      <c r="GF877">
        <v>6.7219981817298766</v>
      </c>
      <c r="GG877">
        <v>6.3716015390560257</v>
      </c>
      <c r="GH877">
        <v>8.5173724825484101</v>
      </c>
      <c r="GI877">
        <v>21.71250221000323</v>
      </c>
      <c r="GJ877"/>
      <c r="GK877"/>
      <c r="GL877"/>
      <c r="GM877"/>
      <c r="GN877" s="208"/>
      <c r="GO877" s="208"/>
      <c r="GP877" s="208"/>
      <c r="GQ877" s="208"/>
      <c r="GR877" s="208"/>
      <c r="GS877" s="208"/>
      <c r="GT877" s="208"/>
      <c r="GU877" s="213">
        <v>872</v>
      </c>
    </row>
    <row r="878" spans="1:203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313.16708331431516</v>
      </c>
      <c r="AO878">
        <v>34.578771281640982</v>
      </c>
      <c r="AP878">
        <v>49.846531819355221</v>
      </c>
      <c r="AQ878">
        <v>241.73908031581902</v>
      </c>
      <c r="AR878">
        <v>34.488704718861811</v>
      </c>
      <c r="AS878">
        <v>472.77202086879555</v>
      </c>
      <c r="AT878">
        <v>21.766559450660267</v>
      </c>
      <c r="AU878">
        <v>-6.9229827593551434</v>
      </c>
      <c r="AV878"/>
      <c r="AW878"/>
      <c r="FY878" s="213">
        <v>873</v>
      </c>
      <c r="FZ878">
        <v>66.284406560341822</v>
      </c>
      <c r="GA878">
        <v>47.755316732611476</v>
      </c>
      <c r="GB878">
        <v>24.317554441820128</v>
      </c>
      <c r="GC878">
        <v>12.961180397434855</v>
      </c>
      <c r="GD878">
        <v>4.3662990036137268</v>
      </c>
      <c r="GE878">
        <v>6.2959406080005742</v>
      </c>
      <c r="GF878">
        <v>6.0726138631304121</v>
      </c>
      <c r="GG878">
        <v>5.8378872967373656</v>
      </c>
      <c r="GH878">
        <v>5.976515923339738</v>
      </c>
      <c r="GI878">
        <v>20.267413886446231</v>
      </c>
      <c r="GJ878"/>
      <c r="GK878"/>
      <c r="GL878"/>
      <c r="GM878"/>
      <c r="GN878" s="208"/>
      <c r="GO878" s="208"/>
      <c r="GP878" s="208"/>
      <c r="GQ878" s="208"/>
      <c r="GR878" s="208"/>
      <c r="GS878" s="208"/>
      <c r="GT878" s="208"/>
      <c r="GU878" s="213">
        <v>873</v>
      </c>
    </row>
    <row r="879" spans="1:203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218.52383858487261</v>
      </c>
      <c r="AO879">
        <v>22.729717573775311</v>
      </c>
      <c r="AP879">
        <v>21.039169377803304</v>
      </c>
      <c r="AQ879">
        <v>160.27955037837077</v>
      </c>
      <c r="AR879">
        <v>23.246241046160954</v>
      </c>
      <c r="AS879">
        <v>314.3022087803937</v>
      </c>
      <c r="AT879">
        <v>14.306246695437471</v>
      </c>
      <c r="AU879">
        <v>-2.9012523166991571</v>
      </c>
      <c r="AV879"/>
      <c r="AW879"/>
      <c r="FY879" s="213">
        <v>874</v>
      </c>
      <c r="FZ879">
        <v>60.854185456570001</v>
      </c>
      <c r="GA879">
        <v>75.76401600672547</v>
      </c>
      <c r="GB879">
        <v>38.681045778065275</v>
      </c>
      <c r="GC879">
        <v>10.953125274690915</v>
      </c>
      <c r="GD879">
        <v>2.1429357033641603</v>
      </c>
      <c r="GE879">
        <v>1.8209624519773606</v>
      </c>
      <c r="GF879">
        <v>1.9807576718078745</v>
      </c>
      <c r="GG879">
        <v>5.8204549815059963</v>
      </c>
      <c r="GH879">
        <v>8.141846733093562</v>
      </c>
      <c r="GI879">
        <v>21.315870619361036</v>
      </c>
      <c r="GJ879"/>
      <c r="GK879"/>
      <c r="GL879"/>
      <c r="GM879"/>
      <c r="GN879" s="208"/>
      <c r="GO879" s="208"/>
      <c r="GP879" s="208"/>
      <c r="GQ879" s="208"/>
      <c r="GR879" s="208"/>
      <c r="GS879" s="208"/>
      <c r="GT879" s="208"/>
      <c r="GU879" s="213">
        <v>874</v>
      </c>
    </row>
    <row r="880" spans="1:203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236.68142573360791</v>
      </c>
      <c r="AO880">
        <v>24.081735656484142</v>
      </c>
      <c r="AP880">
        <v>38.735399194454715</v>
      </c>
      <c r="AQ880">
        <v>169.90616785382787</v>
      </c>
      <c r="AR880">
        <v>24.08874551072433</v>
      </c>
      <c r="AS880">
        <v>347.05048999509944</v>
      </c>
      <c r="AT880">
        <v>15.226574163258098</v>
      </c>
      <c r="AU880">
        <v>-10.636526200634901</v>
      </c>
      <c r="AV880"/>
      <c r="AW880"/>
      <c r="FY880" s="213">
        <v>875</v>
      </c>
      <c r="FZ880">
        <v>52.11169818145499</v>
      </c>
      <c r="GA880">
        <v>58.205283320888</v>
      </c>
      <c r="GB880">
        <v>35.531449204110992</v>
      </c>
      <c r="GC880">
        <v>16.259879232780438</v>
      </c>
      <c r="GD880">
        <v>2.348349765094357</v>
      </c>
      <c r="GE880">
        <v>1.6933192722335728</v>
      </c>
      <c r="GF880">
        <v>6.2708011951937639</v>
      </c>
      <c r="GG880">
        <v>8.4823851247294435</v>
      </c>
      <c r="GH880">
        <v>9.3219210655154914</v>
      </c>
      <c r="GI880">
        <v>20.344304571066818</v>
      </c>
      <c r="GJ880"/>
      <c r="GK880"/>
      <c r="GL880"/>
      <c r="GM880"/>
      <c r="GN880" s="208"/>
      <c r="GO880" s="208"/>
      <c r="GP880" s="208"/>
      <c r="GQ880" s="208"/>
      <c r="GR880" s="208"/>
      <c r="GS880" s="208"/>
      <c r="GT880" s="208"/>
      <c r="GU880" s="213">
        <v>875</v>
      </c>
    </row>
    <row r="881" spans="1:203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218.60322730013914</v>
      </c>
      <c r="AO881">
        <v>23.329405165374101</v>
      </c>
      <c r="AP881">
        <v>28.459711332894152</v>
      </c>
      <c r="AQ881">
        <v>169.78026607324753</v>
      </c>
      <c r="AR881">
        <v>24.675360221736181</v>
      </c>
      <c r="AS881">
        <v>352.59581395380928</v>
      </c>
      <c r="AT881">
        <v>15.396475822688968</v>
      </c>
      <c r="AU881">
        <v>16.024145793484443</v>
      </c>
      <c r="AV881"/>
      <c r="AW881"/>
      <c r="FY881" s="213">
        <v>876</v>
      </c>
      <c r="FZ881">
        <v>46.289860785210152</v>
      </c>
      <c r="GA881">
        <v>47.346212929032134</v>
      </c>
      <c r="GB881">
        <v>25.07171626818408</v>
      </c>
      <c r="GC881">
        <v>10.908495748305109</v>
      </c>
      <c r="GD881">
        <v>3.852369921481134</v>
      </c>
      <c r="GE881">
        <v>4.0165847600749345</v>
      </c>
      <c r="GF881">
        <v>3.8665197088757202</v>
      </c>
      <c r="GG881">
        <v>2.4797631868753247</v>
      </c>
      <c r="GH881">
        <v>3.8683617203825476</v>
      </c>
      <c r="GI881">
        <v>16.48315927819284</v>
      </c>
      <c r="GJ881"/>
      <c r="GK881"/>
      <c r="GL881"/>
      <c r="GM881"/>
      <c r="GN881" s="208"/>
      <c r="GO881" s="208"/>
      <c r="GP881" s="208"/>
      <c r="GQ881" s="208"/>
      <c r="GR881" s="208"/>
      <c r="GS881" s="208"/>
      <c r="GT881" s="208"/>
      <c r="GU881" s="213">
        <v>876</v>
      </c>
    </row>
    <row r="882" spans="1:203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300.63412366412649</v>
      </c>
      <c r="AO882">
        <v>27.054441688429154</v>
      </c>
      <c r="AP882">
        <v>30.022471685083396</v>
      </c>
      <c r="AQ882">
        <v>193.56514764499329</v>
      </c>
      <c r="AR882">
        <v>27.520151971527568</v>
      </c>
      <c r="AS882">
        <v>386.13401691819126</v>
      </c>
      <c r="AT882">
        <v>17.628954970165889</v>
      </c>
      <c r="AU882">
        <v>-21.347263144448739</v>
      </c>
      <c r="AV882"/>
      <c r="AW882"/>
      <c r="FY882" s="213">
        <v>877</v>
      </c>
      <c r="FZ882">
        <v>47.042241418083378</v>
      </c>
      <c r="GA882">
        <v>42.016769483433549</v>
      </c>
      <c r="GB882">
        <v>31.593863579969419</v>
      </c>
      <c r="GC882">
        <v>15.95623803179644</v>
      </c>
      <c r="GD882">
        <v>4.5588344419384761</v>
      </c>
      <c r="GE882">
        <v>6.1261301084580193</v>
      </c>
      <c r="GF882">
        <v>5.0710565194447703</v>
      </c>
      <c r="GG882">
        <v>3.9195848724437337</v>
      </c>
      <c r="GH882">
        <v>6.3079801175015984</v>
      </c>
      <c r="GI882">
        <v>19.213834437655173</v>
      </c>
      <c r="GJ882"/>
      <c r="GK882"/>
      <c r="GL882"/>
      <c r="GM882"/>
      <c r="GN882" s="208"/>
      <c r="GO882" s="208"/>
      <c r="GP882" s="208"/>
      <c r="GQ882" s="208"/>
      <c r="GR882" s="208"/>
      <c r="GS882" s="208"/>
      <c r="GT882" s="208"/>
      <c r="GU882" s="213">
        <v>877</v>
      </c>
    </row>
    <row r="883" spans="1:203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286.69678694423339</v>
      </c>
      <c r="AO883">
        <v>25.577975506472121</v>
      </c>
      <c r="AP883">
        <v>48.320203899150144</v>
      </c>
      <c r="AQ883">
        <v>190.59356671181624</v>
      </c>
      <c r="AR883">
        <v>26.322445317933127</v>
      </c>
      <c r="AS883">
        <v>375.43215513472649</v>
      </c>
      <c r="AT883">
        <v>16.033418622006703</v>
      </c>
      <c r="AU883">
        <v>9.1735841783097811</v>
      </c>
      <c r="AV883"/>
      <c r="AW883"/>
      <c r="FY883" s="213">
        <v>878</v>
      </c>
      <c r="FZ883">
        <v>40.080883089060855</v>
      </c>
      <c r="GA883">
        <v>34.238887067700624</v>
      </c>
      <c r="GB883">
        <v>29.814757981512066</v>
      </c>
      <c r="GC883">
        <v>13.660983901027793</v>
      </c>
      <c r="GD883">
        <v>4.3149899204806941</v>
      </c>
      <c r="GE883">
        <v>8.6972107309012276</v>
      </c>
      <c r="GF883">
        <v>9.9368139563865672</v>
      </c>
      <c r="GG883">
        <v>7.0476195675753157</v>
      </c>
      <c r="GH883">
        <v>6.4689688831376424</v>
      </c>
      <c r="GI883">
        <v>18.518106341606753</v>
      </c>
      <c r="GJ883"/>
      <c r="GK883"/>
      <c r="GL883"/>
      <c r="GM883"/>
      <c r="GN883" s="208"/>
      <c r="GO883" s="208"/>
      <c r="GP883" s="208"/>
      <c r="GQ883" s="208"/>
      <c r="GR883" s="208"/>
      <c r="GS883" s="208"/>
      <c r="GT883" s="208"/>
      <c r="GU883" s="213">
        <v>878</v>
      </c>
    </row>
    <row r="884" spans="1:203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286.96487070935751</v>
      </c>
      <c r="AO884">
        <v>25.526605330086198</v>
      </c>
      <c r="AP884">
        <v>27.403326445634768</v>
      </c>
      <c r="AQ884">
        <v>174.80402474411122</v>
      </c>
      <c r="AR884">
        <v>26.219733538513022</v>
      </c>
      <c r="AS884">
        <v>435.53927555256172</v>
      </c>
      <c r="AT884">
        <v>16.35615173049889</v>
      </c>
      <c r="AU884">
        <v>6.727781769788983</v>
      </c>
      <c r="AV884"/>
      <c r="AW884"/>
      <c r="FY884" s="213">
        <v>879</v>
      </c>
      <c r="FZ884">
        <v>41.695288265043608</v>
      </c>
      <c r="GA884">
        <v>35.898508537495871</v>
      </c>
      <c r="GB884">
        <v>30.030655952073754</v>
      </c>
      <c r="GC884">
        <v>13.948007638598435</v>
      </c>
      <c r="GD884">
        <v>3.5061474642552781</v>
      </c>
      <c r="GE884">
        <v>3.5488787030706268</v>
      </c>
      <c r="GF884">
        <v>5.1269548731313872</v>
      </c>
      <c r="GG884">
        <v>10.187808965095737</v>
      </c>
      <c r="GH884">
        <v>11.783376555907738</v>
      </c>
      <c r="GI884">
        <v>18.318160792711279</v>
      </c>
      <c r="GJ884"/>
      <c r="GK884"/>
      <c r="GL884"/>
      <c r="GM884"/>
      <c r="GN884" s="208"/>
      <c r="GO884" s="208"/>
      <c r="GP884" s="208"/>
      <c r="GQ884" s="208"/>
      <c r="GR884" s="208"/>
      <c r="GS884" s="208"/>
      <c r="GT884" s="208"/>
      <c r="GU884" s="213">
        <v>879</v>
      </c>
    </row>
    <row r="885" spans="1:203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239.98591081764295</v>
      </c>
      <c r="AO885">
        <v>23.793977134856465</v>
      </c>
      <c r="AP885">
        <v>18.307881620762508</v>
      </c>
      <c r="AQ885">
        <v>181.64905787403967</v>
      </c>
      <c r="AR885">
        <v>25.272895947617961</v>
      </c>
      <c r="AS885">
        <v>368.09926855421008</v>
      </c>
      <c r="AT885">
        <v>15.244488782019262</v>
      </c>
      <c r="AU885">
        <v>-6.6874778732783753</v>
      </c>
      <c r="AV885"/>
      <c r="AW885"/>
      <c r="FY885" s="213">
        <v>880</v>
      </c>
      <c r="FZ885">
        <v>63.864808622877533</v>
      </c>
      <c r="GA885">
        <v>55.909506606644783</v>
      </c>
      <c r="GB885">
        <v>24.919360196531343</v>
      </c>
      <c r="GC885">
        <v>11.914181406538356</v>
      </c>
      <c r="GD885">
        <v>2.3602017947740168</v>
      </c>
      <c r="GE885">
        <v>2.5034753098465141</v>
      </c>
      <c r="GF885">
        <v>3.6237758771283133</v>
      </c>
      <c r="GG885">
        <v>3.632768667439858</v>
      </c>
      <c r="GH885">
        <v>3.7678876403862307</v>
      </c>
      <c r="GI885">
        <v>18.122344192101785</v>
      </c>
      <c r="GJ885"/>
      <c r="GK885"/>
      <c r="GL885"/>
      <c r="GM885"/>
      <c r="GN885" s="208"/>
      <c r="GO885" s="208"/>
      <c r="GP885" s="208"/>
      <c r="GQ885" s="208"/>
      <c r="GR885" s="208"/>
      <c r="GS885" s="208"/>
      <c r="GT885" s="208"/>
      <c r="GU885" s="213">
        <v>880</v>
      </c>
    </row>
    <row r="886" spans="1:203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258.84099808228723</v>
      </c>
      <c r="AO886">
        <v>24.506741405093596</v>
      </c>
      <c r="AP886">
        <v>8.7362882614284061</v>
      </c>
      <c r="AQ886">
        <v>174.79512125792971</v>
      </c>
      <c r="AR886">
        <v>25.000181155079325</v>
      </c>
      <c r="AS886">
        <v>380.92236744857297</v>
      </c>
      <c r="AT886">
        <v>15.207130448122948</v>
      </c>
      <c r="AU886">
        <v>-10.271513431224882</v>
      </c>
      <c r="AV886"/>
      <c r="AW886"/>
      <c r="FY886" s="213">
        <v>881</v>
      </c>
      <c r="FZ886">
        <v>37.091954404332768</v>
      </c>
      <c r="GA886">
        <v>54.230862661959577</v>
      </c>
      <c r="GB886">
        <v>31.572958132703302</v>
      </c>
      <c r="GC886">
        <v>12.461426910821954</v>
      </c>
      <c r="GD886">
        <v>3.3047439198522253</v>
      </c>
      <c r="GE886">
        <v>5.0082297661848791</v>
      </c>
      <c r="GF886">
        <v>6.1850395973121532</v>
      </c>
      <c r="GG886">
        <v>6.0130256469096039</v>
      </c>
      <c r="GH886">
        <v>9.1500759224492203</v>
      </c>
      <c r="GI886">
        <v>17.682095695242342</v>
      </c>
      <c r="GJ886"/>
      <c r="GK886"/>
      <c r="GL886"/>
      <c r="GM886"/>
      <c r="GN886" s="208"/>
      <c r="GO886" s="208"/>
      <c r="GP886" s="208"/>
      <c r="GQ886" s="208"/>
      <c r="GR886" s="208"/>
      <c r="GS886" s="208"/>
      <c r="GT886" s="208"/>
      <c r="GU886" s="213">
        <v>881</v>
      </c>
    </row>
    <row r="887" spans="1:203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179.80562857534522</v>
      </c>
      <c r="AO887">
        <v>17.496143999257896</v>
      </c>
      <c r="AP887">
        <v>15.242510316492918</v>
      </c>
      <c r="AQ887">
        <v>136.36534268820628</v>
      </c>
      <c r="AR887">
        <v>18.510994969723537</v>
      </c>
      <c r="AS887">
        <v>244.53260764536617</v>
      </c>
      <c r="AT887">
        <v>10.377172169219369</v>
      </c>
      <c r="AU887">
        <v>-7.2652219167192627</v>
      </c>
      <c r="AV887"/>
      <c r="AW887"/>
      <c r="FY887" s="213">
        <v>882</v>
      </c>
      <c r="FZ887">
        <v>56.2902421423588</v>
      </c>
      <c r="GA887">
        <v>46.738626510053145</v>
      </c>
      <c r="GB887">
        <v>26.250976776358733</v>
      </c>
      <c r="GC887">
        <v>11.934486960937265</v>
      </c>
      <c r="GD887">
        <v>2.002771588995619</v>
      </c>
      <c r="GE887">
        <v>4.1274046973785108</v>
      </c>
      <c r="GF887">
        <v>10.182294632086624</v>
      </c>
      <c r="GG887">
        <v>10.938345431045043</v>
      </c>
      <c r="GH887">
        <v>15.226558665841445</v>
      </c>
      <c r="GI887">
        <v>20.147559989927998</v>
      </c>
      <c r="GJ887"/>
      <c r="GK887"/>
      <c r="GL887"/>
      <c r="GM887"/>
      <c r="GN887" s="208"/>
      <c r="GO887" s="208"/>
      <c r="GP887" s="208"/>
      <c r="GQ887" s="208"/>
      <c r="GR887" s="208"/>
      <c r="GS887" s="208"/>
      <c r="GT887" s="208"/>
      <c r="GU887" s="213">
        <v>882</v>
      </c>
    </row>
    <row r="888" spans="1:203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297.1343481898914</v>
      </c>
      <c r="AO888">
        <v>28.993607306727785</v>
      </c>
      <c r="AP888">
        <v>30.749589688792689</v>
      </c>
      <c r="AQ888">
        <v>206.19101417079312</v>
      </c>
      <c r="AR888">
        <v>29.78009408147437</v>
      </c>
      <c r="AS888">
        <v>424.90302307150608</v>
      </c>
      <c r="AT888">
        <v>18.175735753493822</v>
      </c>
      <c r="AU888">
        <v>-25.005418572693948</v>
      </c>
      <c r="AV888"/>
      <c r="AW888"/>
      <c r="FY888" s="213">
        <v>883</v>
      </c>
      <c r="FZ888">
        <v>62.221188405661444</v>
      </c>
      <c r="GA888">
        <v>49.537485716466215</v>
      </c>
      <c r="GB888">
        <v>38.233282890704231</v>
      </c>
      <c r="GC888">
        <v>19.621349581338919</v>
      </c>
      <c r="GD888">
        <v>6.8060875055944194</v>
      </c>
      <c r="GE888">
        <v>12.38527301644617</v>
      </c>
      <c r="GF888">
        <v>5.349438827460407</v>
      </c>
      <c r="GG888">
        <v>1.0041882574444454</v>
      </c>
      <c r="GH888">
        <v>7.9547798679238051</v>
      </c>
      <c r="GI888">
        <v>24.67741127508852</v>
      </c>
      <c r="GJ888"/>
      <c r="GK888"/>
      <c r="GL888"/>
      <c r="GM888"/>
      <c r="GN888" s="208"/>
      <c r="GO888" s="208"/>
      <c r="GP888" s="208"/>
      <c r="GQ888" s="208"/>
      <c r="GR888" s="208"/>
      <c r="GS888" s="208"/>
      <c r="GT888" s="208"/>
      <c r="GU888" s="213">
        <v>883</v>
      </c>
    </row>
    <row r="889" spans="1:203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286.91701555392439</v>
      </c>
      <c r="AO889">
        <v>26.825749623271083</v>
      </c>
      <c r="AP889">
        <v>31.476467474951185</v>
      </c>
      <c r="AQ889">
        <v>200.13512871347632</v>
      </c>
      <c r="AR889">
        <v>27.9331013017561</v>
      </c>
      <c r="AS889">
        <v>387.08817714562463</v>
      </c>
      <c r="AT889">
        <v>16.742725582134941</v>
      </c>
      <c r="AU889">
        <v>4.9994823990547488</v>
      </c>
      <c r="AV889"/>
      <c r="AW889"/>
      <c r="FY889" s="213">
        <v>884</v>
      </c>
      <c r="FZ889">
        <v>47.892611312457646</v>
      </c>
      <c r="GA889">
        <v>27.978787949865485</v>
      </c>
      <c r="GB889">
        <v>38.199869905526029</v>
      </c>
      <c r="GC889">
        <v>20.146171262463934</v>
      </c>
      <c r="GD889">
        <v>3.5742372446910897</v>
      </c>
      <c r="GE889">
        <v>6.0073714210370017</v>
      </c>
      <c r="GF889">
        <v>8.5284958138218823</v>
      </c>
      <c r="GG889">
        <v>6.8476981451002787</v>
      </c>
      <c r="GH889">
        <v>4.661965925320338</v>
      </c>
      <c r="GI889">
        <v>20.776935126878467</v>
      </c>
      <c r="GJ889"/>
      <c r="GK889"/>
      <c r="GL889"/>
      <c r="GM889"/>
      <c r="GN889" s="208"/>
      <c r="GO889" s="208"/>
      <c r="GP889" s="208"/>
      <c r="GQ889" s="208"/>
      <c r="GR889" s="208"/>
      <c r="GS889" s="208"/>
      <c r="GT889" s="208"/>
      <c r="GU889" s="213">
        <v>884</v>
      </c>
    </row>
    <row r="890" spans="1:203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263.53239889587479</v>
      </c>
      <c r="AO890">
        <v>28.603902924767532</v>
      </c>
      <c r="AP890">
        <v>28.12292290365599</v>
      </c>
      <c r="AQ890">
        <v>227.47520067716164</v>
      </c>
      <c r="AR890">
        <v>29.345872505238209</v>
      </c>
      <c r="AS890">
        <v>395.43159141448234</v>
      </c>
      <c r="AT890">
        <v>18.184628926821521</v>
      </c>
      <c r="AU890">
        <v>-29.512063468506824</v>
      </c>
      <c r="AV890"/>
      <c r="AW890"/>
      <c r="FY890" s="213">
        <v>885</v>
      </c>
      <c r="FZ890">
        <v>52.256154911335891</v>
      </c>
      <c r="GA890">
        <v>53.1820681101267</v>
      </c>
      <c r="GB890">
        <v>35.413120738760014</v>
      </c>
      <c r="GC890">
        <v>13.152445622481698</v>
      </c>
      <c r="GD890">
        <v>1.7077106334627066</v>
      </c>
      <c r="GE890">
        <v>3.3558682844987411</v>
      </c>
      <c r="GF890">
        <v>5.8010158229138256</v>
      </c>
      <c r="GG890">
        <v>4.3956814784879867</v>
      </c>
      <c r="GH890">
        <v>6.1534516837473392</v>
      </c>
      <c r="GI890">
        <v>19.399077756675499</v>
      </c>
      <c r="GJ890"/>
      <c r="GK890"/>
      <c r="GL890"/>
      <c r="GM890"/>
      <c r="GN890" s="208"/>
      <c r="GO890" s="208"/>
      <c r="GP890" s="208"/>
      <c r="GQ890" s="208"/>
      <c r="GR890" s="208"/>
      <c r="GS890" s="208"/>
      <c r="GT890" s="208"/>
      <c r="GU890" s="213">
        <v>885</v>
      </c>
    </row>
    <row r="891" spans="1:203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284.36445323887472</v>
      </c>
      <c r="AO891">
        <v>28.295244618820476</v>
      </c>
      <c r="AP891">
        <v>17.326710670087952</v>
      </c>
      <c r="AQ891">
        <v>210.56939093306787</v>
      </c>
      <c r="AR891">
        <v>28.00324226972112</v>
      </c>
      <c r="AS891">
        <v>403.387328447024</v>
      </c>
      <c r="AT891">
        <v>16.26068138216392</v>
      </c>
      <c r="AU891">
        <v>-14.124006710024155</v>
      </c>
      <c r="AV891"/>
      <c r="AW891"/>
      <c r="FY891" s="213">
        <v>886</v>
      </c>
      <c r="FZ891">
        <v>53.334620723175824</v>
      </c>
      <c r="GA891">
        <v>53.48934579993395</v>
      </c>
      <c r="GB891">
        <v>32.423380803067502</v>
      </c>
      <c r="GC891">
        <v>12.074463609756041</v>
      </c>
      <c r="GD891">
        <v>2.6161376089421471</v>
      </c>
      <c r="GE891">
        <v>5.0945247218444596</v>
      </c>
      <c r="GF891">
        <v>6.2854944506828261</v>
      </c>
      <c r="GG891">
        <v>4.863324184339703</v>
      </c>
      <c r="GH891">
        <v>3.3790351874043978</v>
      </c>
      <c r="GI891">
        <v>18.986080767461026</v>
      </c>
      <c r="GJ891"/>
      <c r="GK891"/>
      <c r="GL891"/>
      <c r="GM891"/>
      <c r="GN891" s="208"/>
      <c r="GO891" s="208"/>
      <c r="GP891" s="208"/>
      <c r="GQ891" s="208"/>
      <c r="GR891" s="208"/>
      <c r="GS891" s="208"/>
      <c r="GT891" s="208"/>
      <c r="GU891" s="213">
        <v>886</v>
      </c>
    </row>
    <row r="892" spans="1:203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259.19205572064322</v>
      </c>
      <c r="AO892">
        <v>22.01831100188874</v>
      </c>
      <c r="AP892">
        <v>25.390768252287415</v>
      </c>
      <c r="AQ892">
        <v>164.18304430661399</v>
      </c>
      <c r="AR892">
        <v>22.578682974289841</v>
      </c>
      <c r="AS892">
        <v>350.85428621935955</v>
      </c>
      <c r="AT892">
        <v>13.75487402581394</v>
      </c>
      <c r="AU892">
        <v>-13.332643503038433</v>
      </c>
      <c r="AV892"/>
      <c r="AW892"/>
      <c r="FY892" s="213">
        <v>887</v>
      </c>
      <c r="FZ892">
        <v>59.295550134185959</v>
      </c>
      <c r="GA892">
        <v>71.824826551850094</v>
      </c>
      <c r="GB892">
        <v>34.104682247022239</v>
      </c>
      <c r="GC892">
        <v>10.328461273986774</v>
      </c>
      <c r="GD892">
        <v>3.0994409910175342</v>
      </c>
      <c r="GE892">
        <v>4.6647437118962198</v>
      </c>
      <c r="GF892">
        <v>11.795791545127294</v>
      </c>
      <c r="GG892">
        <v>13.290116202303725</v>
      </c>
      <c r="GH892">
        <v>6.9918211037029359</v>
      </c>
      <c r="GI892">
        <v>22.129278673268413</v>
      </c>
      <c r="GJ892"/>
      <c r="GK892"/>
      <c r="GL892"/>
      <c r="GM892"/>
      <c r="GN892" s="208"/>
      <c r="GO892" s="208"/>
      <c r="GP892" s="208"/>
      <c r="GQ892" s="208"/>
      <c r="GR892" s="208"/>
      <c r="GS892" s="208"/>
      <c r="GT892" s="208"/>
      <c r="GU892" s="213">
        <v>887</v>
      </c>
    </row>
    <row r="893" spans="1:203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295.0451749506459</v>
      </c>
      <c r="AO893">
        <v>25.925263069477847</v>
      </c>
      <c r="AP893">
        <v>41.611917736032296</v>
      </c>
      <c r="AQ893">
        <v>181.80653301072454</v>
      </c>
      <c r="AR893">
        <v>26.306247674838314</v>
      </c>
      <c r="AS893">
        <v>399.54573201292754</v>
      </c>
      <c r="AT893">
        <v>16.10922557907212</v>
      </c>
      <c r="AU893">
        <v>-19.364131935902513</v>
      </c>
      <c r="AV893"/>
      <c r="AW893"/>
      <c r="FY893" s="213">
        <v>888</v>
      </c>
      <c r="FZ893">
        <v>55.449897214020247</v>
      </c>
      <c r="GA893">
        <v>59.23390623349696</v>
      </c>
      <c r="GB893">
        <v>32.79316612631267</v>
      </c>
      <c r="GC893">
        <v>13.090636731602078</v>
      </c>
      <c r="GD893">
        <v>3.9720680288056918</v>
      </c>
      <c r="GE893">
        <v>6.1344469903943564</v>
      </c>
      <c r="GF893">
        <v>3.132800056453545</v>
      </c>
      <c r="GG893">
        <v>4.5840422516906649</v>
      </c>
      <c r="GH893">
        <v>10.794433589530232</v>
      </c>
      <c r="GI893">
        <v>20.77035135185297</v>
      </c>
      <c r="GJ893"/>
      <c r="GK893"/>
      <c r="GL893"/>
      <c r="GM893"/>
      <c r="GN893" s="208"/>
      <c r="GO893" s="208"/>
      <c r="GP893" s="208"/>
      <c r="GQ893" s="208"/>
      <c r="GR893" s="208"/>
      <c r="GS893" s="208"/>
      <c r="GT893" s="208"/>
      <c r="GU893" s="213">
        <v>888</v>
      </c>
    </row>
    <row r="894" spans="1:203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281.34216941763714</v>
      </c>
      <c r="AO894">
        <v>24.939534448698037</v>
      </c>
      <c r="AP894">
        <v>34.5074749464153</v>
      </c>
      <c r="AQ894">
        <v>172.77922143938952</v>
      </c>
      <c r="AR894">
        <v>25.352938798202551</v>
      </c>
      <c r="AS894">
        <v>366.58918407034037</v>
      </c>
      <c r="AT894">
        <v>15.634849402211133</v>
      </c>
      <c r="AU894">
        <v>-15.528331045873465</v>
      </c>
      <c r="AV894"/>
      <c r="AW894"/>
      <c r="FY894" s="213">
        <v>889</v>
      </c>
      <c r="FZ894">
        <v>61.025376129828445</v>
      </c>
      <c r="GA894">
        <v>51.289582826300148</v>
      </c>
      <c r="GB894">
        <v>28.645250746741713</v>
      </c>
      <c r="GC894">
        <v>12.693231692645792</v>
      </c>
      <c r="GD894">
        <v>3.5701125436195702</v>
      </c>
      <c r="GE894">
        <v>4.9391600403179261</v>
      </c>
      <c r="GF894">
        <v>1.85481448072918</v>
      </c>
      <c r="GG894">
        <v>4.8839633273079688</v>
      </c>
      <c r="GH894">
        <v>8.8524267336974773</v>
      </c>
      <c r="GI894">
        <v>19.801697628040067</v>
      </c>
      <c r="GJ894"/>
      <c r="GK894"/>
      <c r="GL894"/>
      <c r="GM894"/>
      <c r="GN894" s="208"/>
      <c r="GO894" s="208"/>
      <c r="GP894" s="208"/>
      <c r="GQ894" s="208"/>
      <c r="GR894" s="208"/>
      <c r="GS894" s="208"/>
      <c r="GT894" s="208"/>
      <c r="GU894" s="213">
        <v>889</v>
      </c>
    </row>
    <row r="895" spans="1:203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255.78998973669167</v>
      </c>
      <c r="AO895">
        <v>24.373529349626679</v>
      </c>
      <c r="AP895">
        <v>20.48622043381377</v>
      </c>
      <c r="AQ895">
        <v>174.04378774738373</v>
      </c>
      <c r="AR895">
        <v>25.020452005439687</v>
      </c>
      <c r="AS895">
        <v>354.44249932044625</v>
      </c>
      <c r="AT895">
        <v>15.909576633955465</v>
      </c>
      <c r="AU895">
        <v>2.6058575386865641</v>
      </c>
      <c r="AV895"/>
      <c r="AW895"/>
      <c r="FY895" s="213">
        <v>890</v>
      </c>
      <c r="FZ895">
        <v>38.515085177084991</v>
      </c>
      <c r="GA895">
        <v>49.73329545804814</v>
      </c>
      <c r="GB895">
        <v>35.297747424530606</v>
      </c>
      <c r="GC895">
        <v>15.542735529958216</v>
      </c>
      <c r="GD895">
        <v>3.0718472485561459</v>
      </c>
      <c r="GE895">
        <v>4.6742206282855081</v>
      </c>
      <c r="GF895">
        <v>3.2424889466826365</v>
      </c>
      <c r="GG895">
        <v>2.1793107554639954</v>
      </c>
      <c r="GH895">
        <v>3.0151195809015712</v>
      </c>
      <c r="GI895">
        <v>17.148577828673115</v>
      </c>
      <c r="GJ895"/>
      <c r="GK895"/>
      <c r="GL895"/>
      <c r="GM895"/>
      <c r="GN895" s="208"/>
      <c r="GO895" s="208"/>
      <c r="GP895" s="208"/>
      <c r="GQ895" s="208"/>
      <c r="GR895" s="208"/>
      <c r="GS895" s="208"/>
      <c r="GT895" s="208"/>
      <c r="GU895" s="213">
        <v>890</v>
      </c>
    </row>
    <row r="896" spans="1:203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228.98295393822863</v>
      </c>
      <c r="AO896">
        <v>24.359780143138444</v>
      </c>
      <c r="AP896">
        <v>26.786582352065967</v>
      </c>
      <c r="AQ896">
        <v>190.61831031426871</v>
      </c>
      <c r="AR896">
        <v>24.902789043052614</v>
      </c>
      <c r="AS896">
        <v>316.83599293776939</v>
      </c>
      <c r="AT896">
        <v>15.724655929209099</v>
      </c>
      <c r="AU896">
        <v>-8.1432533108658944</v>
      </c>
      <c r="AV896"/>
      <c r="AW896"/>
      <c r="FY896" s="213">
        <v>891</v>
      </c>
      <c r="FZ896">
        <v>42.915116445366763</v>
      </c>
      <c r="GA896">
        <v>34.220690324929407</v>
      </c>
      <c r="GB896">
        <v>20.804548872253751</v>
      </c>
      <c r="GC896">
        <v>11.178597878099096</v>
      </c>
      <c r="GD896">
        <v>2.3481924073906248</v>
      </c>
      <c r="GE896">
        <v>2.5415609207604772</v>
      </c>
      <c r="GF896">
        <v>5.1622918052316793</v>
      </c>
      <c r="GG896">
        <v>7.4579758615971583</v>
      </c>
      <c r="GH896">
        <v>7.6420179665870833</v>
      </c>
      <c r="GI896">
        <v>14.929854871070441</v>
      </c>
      <c r="GJ896"/>
      <c r="GK896"/>
      <c r="GL896"/>
      <c r="GM896"/>
      <c r="GN896" s="208"/>
      <c r="GO896" s="208"/>
      <c r="GP896" s="208"/>
      <c r="GQ896" s="208"/>
      <c r="GR896" s="208"/>
      <c r="GS896" s="208"/>
      <c r="GT896" s="208"/>
      <c r="GU896" s="213">
        <v>891</v>
      </c>
    </row>
    <row r="897" spans="1:203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254.21978012981339</v>
      </c>
      <c r="AO897">
        <v>24.714459559940988</v>
      </c>
      <c r="AP897">
        <v>23.622142328648572</v>
      </c>
      <c r="AQ897">
        <v>182.700412657768</v>
      </c>
      <c r="AR897">
        <v>24.174303129797277</v>
      </c>
      <c r="AS897">
        <v>329.57223316358068</v>
      </c>
      <c r="AT897">
        <v>15.123758563416688</v>
      </c>
      <c r="AU897">
        <v>-26.559081415950946</v>
      </c>
      <c r="AV897"/>
      <c r="AW897"/>
      <c r="FY897" s="213">
        <v>892</v>
      </c>
      <c r="FZ897">
        <v>48.298738566976077</v>
      </c>
      <c r="GA897">
        <v>31.387613074999706</v>
      </c>
      <c r="GB897">
        <v>30.852576768030058</v>
      </c>
      <c r="GC897">
        <v>18.16097655782935</v>
      </c>
      <c r="GD897">
        <v>2.9710393015143617</v>
      </c>
      <c r="GE897">
        <v>2.297379841047519</v>
      </c>
      <c r="GF897">
        <v>2.0188314478608169</v>
      </c>
      <c r="GG897">
        <v>1.1192802288736707</v>
      </c>
      <c r="GH897">
        <v>5.6131992885804607</v>
      </c>
      <c r="GI897">
        <v>17.661169684284161</v>
      </c>
      <c r="GJ897"/>
      <c r="GK897"/>
      <c r="GL897"/>
      <c r="GM897"/>
      <c r="GN897" s="208"/>
      <c r="GO897" s="208"/>
      <c r="GP897" s="208"/>
      <c r="GQ897" s="208"/>
      <c r="GR897" s="208"/>
      <c r="GS897" s="208"/>
      <c r="GT897" s="208"/>
      <c r="GU897" s="213">
        <v>892</v>
      </c>
    </row>
    <row r="898" spans="1:203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251.67136785383627</v>
      </c>
      <c r="AO898">
        <v>26.578318531975988</v>
      </c>
      <c r="AP898">
        <v>46.677478064815595</v>
      </c>
      <c r="AQ898">
        <v>203.83926739498321</v>
      </c>
      <c r="AR898">
        <v>27.687147650081297</v>
      </c>
      <c r="AS898">
        <v>356.69328704178503</v>
      </c>
      <c r="AT898">
        <v>17.493657525298676</v>
      </c>
      <c r="AU898">
        <v>4.8458584709361148</v>
      </c>
      <c r="AV898"/>
      <c r="AW898"/>
      <c r="FY898" s="213">
        <v>893</v>
      </c>
      <c r="FZ898">
        <v>37.061331188794504</v>
      </c>
      <c r="GA898">
        <v>38.342823754757461</v>
      </c>
      <c r="GB898">
        <v>30.330746156459618</v>
      </c>
      <c r="GC898">
        <v>12.614509346257131</v>
      </c>
      <c r="GD898">
        <v>5.3666814608724103</v>
      </c>
      <c r="GE898">
        <v>6.4811841654067752</v>
      </c>
      <c r="GF898">
        <v>0.24548067570005655</v>
      </c>
      <c r="GG898">
        <v>0.75164636347235225</v>
      </c>
      <c r="GH898">
        <v>5.0318461963670202</v>
      </c>
      <c r="GI898">
        <v>16.817550184145627</v>
      </c>
      <c r="GJ898"/>
      <c r="GK898"/>
      <c r="GL898"/>
      <c r="GM898"/>
      <c r="GN898" s="208"/>
      <c r="GO898" s="208"/>
      <c r="GP898" s="208"/>
      <c r="GQ898" s="208"/>
      <c r="GR898" s="208"/>
      <c r="GS898" s="208"/>
      <c r="GT898" s="208"/>
      <c r="GU898" s="213">
        <v>893</v>
      </c>
    </row>
    <row r="899" spans="1:203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346.1150488630069</v>
      </c>
      <c r="AO899">
        <v>33.074712337532091</v>
      </c>
      <c r="AP899">
        <v>32.095784525785348</v>
      </c>
      <c r="AQ899">
        <v>227.79048534412857</v>
      </c>
      <c r="AR899">
        <v>33.937300960242546</v>
      </c>
      <c r="AS899">
        <v>465.5856150775885</v>
      </c>
      <c r="AT899">
        <v>20.377932261178422</v>
      </c>
      <c r="AU899">
        <v>-17.20971127928177</v>
      </c>
      <c r="AV899"/>
      <c r="AW899"/>
      <c r="FY899" s="213">
        <v>894</v>
      </c>
      <c r="FZ899">
        <v>42.194452603681128</v>
      </c>
      <c r="GA899">
        <v>38.948093015452088</v>
      </c>
      <c r="GB899">
        <v>24.481156756701854</v>
      </c>
      <c r="GC899">
        <v>11.252328740006158</v>
      </c>
      <c r="GD899">
        <v>3.926351712834808</v>
      </c>
      <c r="GE899">
        <v>6.8296193386258262</v>
      </c>
      <c r="GF899">
        <v>9.2068546529175102</v>
      </c>
      <c r="GG899">
        <v>10.209751540816335</v>
      </c>
      <c r="GH899">
        <v>9.8596827402096956</v>
      </c>
      <c r="GI899">
        <v>17.70136486827526</v>
      </c>
      <c r="GJ899"/>
      <c r="GK899"/>
      <c r="GL899"/>
      <c r="GM899"/>
      <c r="GN899" s="208"/>
      <c r="GO899" s="208"/>
      <c r="GP899" s="208"/>
      <c r="GQ899" s="208"/>
      <c r="GR899" s="208"/>
      <c r="GS899" s="208"/>
      <c r="GT899" s="208"/>
      <c r="GU899" s="213">
        <v>894</v>
      </c>
    </row>
    <row r="900" spans="1:203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272.80390138700358</v>
      </c>
      <c r="AO900">
        <v>27.691285544683616</v>
      </c>
      <c r="AP900">
        <v>55.35873676400432</v>
      </c>
      <c r="AQ900">
        <v>184.61414410716216</v>
      </c>
      <c r="AR900">
        <v>28.492151045377586</v>
      </c>
      <c r="AS900">
        <v>422.99265517481155</v>
      </c>
      <c r="AT900">
        <v>17.43854285258297</v>
      </c>
      <c r="AU900">
        <v>19.467645866064043</v>
      </c>
      <c r="AV900"/>
      <c r="AW900"/>
      <c r="FY900" s="213">
        <v>895</v>
      </c>
      <c r="FZ900">
        <v>57.456957496444105</v>
      </c>
      <c r="GA900">
        <v>40.172573718976444</v>
      </c>
      <c r="GB900">
        <v>34.651147735002084</v>
      </c>
      <c r="GC900">
        <v>17.020418294202361</v>
      </c>
      <c r="GD900">
        <v>3.7960714099867943</v>
      </c>
      <c r="GE900">
        <v>5.824721279607</v>
      </c>
      <c r="GF900">
        <v>2.1100667336477263</v>
      </c>
      <c r="GG900">
        <v>4.7022565426746743</v>
      </c>
      <c r="GH900">
        <v>8.3575737079891699</v>
      </c>
      <c r="GI900">
        <v>20.843996004705826</v>
      </c>
      <c r="GJ900"/>
      <c r="GK900"/>
      <c r="GL900"/>
      <c r="GM900"/>
      <c r="GN900" s="208"/>
      <c r="GO900" s="208"/>
      <c r="GP900" s="208"/>
      <c r="GQ900" s="208"/>
      <c r="GR900" s="208"/>
      <c r="GS900" s="208"/>
      <c r="GT900" s="208"/>
      <c r="GU900" s="213">
        <v>895</v>
      </c>
    </row>
    <row r="901" spans="1:203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234.21479450465409</v>
      </c>
      <c r="AO901">
        <v>25.86605642930121</v>
      </c>
      <c r="AP901">
        <v>35.487937077476964</v>
      </c>
      <c r="AQ901">
        <v>194.81659504249043</v>
      </c>
      <c r="AR901">
        <v>26.746683956881707</v>
      </c>
      <c r="AS901">
        <v>334.86456375500114</v>
      </c>
      <c r="AT901">
        <v>16.235980910400077</v>
      </c>
      <c r="AU901">
        <v>-33.510411692686255</v>
      </c>
      <c r="AV901"/>
      <c r="AW901"/>
      <c r="FY901" s="213">
        <v>896</v>
      </c>
      <c r="FZ901">
        <v>48.00415038508492</v>
      </c>
      <c r="GA901">
        <v>47.995386897310908</v>
      </c>
      <c r="GB901">
        <v>31.410735676563679</v>
      </c>
      <c r="GC901">
        <v>9.6463573567650958</v>
      </c>
      <c r="GD901">
        <v>2.6050915128590377</v>
      </c>
      <c r="GE901">
        <v>4.4115489816958267</v>
      </c>
      <c r="GF901">
        <v>8.4953489538906375</v>
      </c>
      <c r="GG901">
        <v>10.444713410395931</v>
      </c>
      <c r="GH901">
        <v>9.2941497322654776</v>
      </c>
      <c r="GI901">
        <v>19.283555416768397</v>
      </c>
      <c r="GJ901"/>
      <c r="GK901"/>
      <c r="GL901"/>
      <c r="GM901"/>
      <c r="GN901" s="208"/>
      <c r="GO901" s="208"/>
      <c r="GP901" s="208"/>
      <c r="GQ901" s="208"/>
      <c r="GR901" s="208"/>
      <c r="GS901" s="208"/>
      <c r="GT901" s="208"/>
      <c r="GU901" s="213">
        <v>896</v>
      </c>
    </row>
    <row r="902" spans="1:203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238.77640497823799</v>
      </c>
      <c r="AO902">
        <v>25.590128914886488</v>
      </c>
      <c r="AP902">
        <v>18.77471265083091</v>
      </c>
      <c r="AQ902">
        <v>192.54640785660786</v>
      </c>
      <c r="AR902">
        <v>26.104068030811217</v>
      </c>
      <c r="AS902">
        <v>342.60629609128932</v>
      </c>
      <c r="AT902">
        <v>15.829863185473679</v>
      </c>
      <c r="AU902">
        <v>-26.954381615630226</v>
      </c>
      <c r="AV902"/>
      <c r="AW902"/>
      <c r="FY902" s="213">
        <v>897</v>
      </c>
      <c r="FZ902">
        <v>40.272958585339943</v>
      </c>
      <c r="GA902">
        <v>25.125998022826003</v>
      </c>
      <c r="GB902">
        <v>22.817687094264688</v>
      </c>
      <c r="GC902">
        <v>11.913637791148453</v>
      </c>
      <c r="GD902">
        <v>1.6821133987709636</v>
      </c>
      <c r="GE902">
        <v>3.2150109448044057</v>
      </c>
      <c r="GF902">
        <v>12.616986134383261</v>
      </c>
      <c r="GG902">
        <v>10.19585908185714</v>
      </c>
      <c r="GH902">
        <v>3.2924711842188152</v>
      </c>
      <c r="GI902">
        <v>15.332857271416868</v>
      </c>
      <c r="GJ902"/>
      <c r="GK902"/>
      <c r="GL902"/>
      <c r="GM902"/>
      <c r="GN902" s="208"/>
      <c r="GO902" s="208"/>
      <c r="GP902" s="208"/>
      <c r="GQ902" s="208"/>
      <c r="GR902" s="208"/>
      <c r="GS902" s="208"/>
      <c r="GT902" s="208"/>
      <c r="GU902" s="213">
        <v>897</v>
      </c>
    </row>
    <row r="903" spans="1:203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299.41911657179332</v>
      </c>
      <c r="AO903">
        <v>30.289179040899882</v>
      </c>
      <c r="AP903">
        <v>21.784782053104326</v>
      </c>
      <c r="AQ903">
        <v>237.52471243436113</v>
      </c>
      <c r="AR903">
        <v>30.352753918337879</v>
      </c>
      <c r="AS903">
        <v>473.13160688532929</v>
      </c>
      <c r="AT903">
        <v>18.996521899962303</v>
      </c>
      <c r="AU903">
        <v>-33.77558371884242</v>
      </c>
      <c r="AV903"/>
      <c r="AW903"/>
      <c r="FY903" s="213">
        <v>898</v>
      </c>
      <c r="FZ903">
        <v>55.358120277491409</v>
      </c>
      <c r="GA903">
        <v>39.015026391519051</v>
      </c>
      <c r="GB903">
        <v>33.578379965358238</v>
      </c>
      <c r="GC903">
        <v>18.5518770761403</v>
      </c>
      <c r="GD903">
        <v>3.2516250462227818</v>
      </c>
      <c r="GE903">
        <v>0.96004448692045119</v>
      </c>
      <c r="GF903">
        <v>4.3084971278280708</v>
      </c>
      <c r="GG903">
        <v>5.5961787431486965</v>
      </c>
      <c r="GH903">
        <v>5.457992689399509</v>
      </c>
      <c r="GI903">
        <v>19.918193795407145</v>
      </c>
      <c r="GJ903"/>
      <c r="GK903"/>
      <c r="GL903"/>
      <c r="GM903"/>
      <c r="GN903" s="208"/>
      <c r="GO903" s="208"/>
      <c r="GP903" s="208"/>
      <c r="GQ903" s="208"/>
      <c r="GR903" s="208"/>
      <c r="GS903" s="208"/>
      <c r="GT903" s="208"/>
      <c r="GU903" s="213">
        <v>898</v>
      </c>
    </row>
    <row r="904" spans="1:203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309.46830757635746</v>
      </c>
      <c r="AO904">
        <v>27.959044665556018</v>
      </c>
      <c r="AP904">
        <v>58.56732481174933</v>
      </c>
      <c r="AQ904">
        <v>209.95574857415943</v>
      </c>
      <c r="AR904">
        <v>28.496132738660535</v>
      </c>
      <c r="AS904">
        <v>408.55168301402972</v>
      </c>
      <c r="AT904">
        <v>17.616284801603687</v>
      </c>
      <c r="AU904">
        <v>-0.48102854885804192</v>
      </c>
      <c r="AV904"/>
      <c r="AW904"/>
      <c r="FY904" s="213">
        <v>899</v>
      </c>
      <c r="FZ904">
        <v>51.878691383165162</v>
      </c>
      <c r="GA904">
        <v>48.215304337899369</v>
      </c>
      <c r="GB904">
        <v>33.305970993769449</v>
      </c>
      <c r="GC904">
        <v>16.241138826318601</v>
      </c>
      <c r="GD904">
        <v>2.0851109650329667</v>
      </c>
      <c r="GE904">
        <v>1.8517434812399554</v>
      </c>
      <c r="GF904">
        <v>2.0188314478608169</v>
      </c>
      <c r="GG904">
        <v>1.4637866291385526</v>
      </c>
      <c r="GH904">
        <v>3.7807480550222179</v>
      </c>
      <c r="GI904">
        <v>17.983495098858324</v>
      </c>
      <c r="GJ904"/>
      <c r="GK904"/>
      <c r="GL904"/>
      <c r="GM904"/>
      <c r="GN904" s="208"/>
      <c r="GO904" s="208"/>
      <c r="GP904" s="208"/>
      <c r="GQ904" s="208"/>
      <c r="GR904" s="208"/>
      <c r="GS904" s="208"/>
      <c r="GT904" s="208"/>
      <c r="GU904" s="213">
        <v>899</v>
      </c>
    </row>
    <row r="905" spans="1:203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306.15825006834837</v>
      </c>
      <c r="AO905">
        <v>26.109429788540865</v>
      </c>
      <c r="AP905">
        <v>23.643265483075417</v>
      </c>
      <c r="AQ905">
        <v>197.55561614922829</v>
      </c>
      <c r="AR905">
        <v>27.096601369887452</v>
      </c>
      <c r="AS905">
        <v>389.61950257684987</v>
      </c>
      <c r="AT905">
        <v>16.920984608429617</v>
      </c>
      <c r="AU905">
        <v>3.0030511087131586</v>
      </c>
      <c r="AV905"/>
      <c r="AW905"/>
      <c r="FY905" s="213">
        <v>900</v>
      </c>
      <c r="FZ905">
        <v>36.706627388663328</v>
      </c>
      <c r="GA905">
        <v>53.21229572783362</v>
      </c>
      <c r="GB905">
        <v>39.814231467444387</v>
      </c>
      <c r="GC905">
        <v>14.403391343931128</v>
      </c>
      <c r="GD905">
        <v>3.4300719719274486</v>
      </c>
      <c r="GE905">
        <v>3.8255987311440354</v>
      </c>
      <c r="GF905">
        <v>4.5539778035281273</v>
      </c>
      <c r="GG905">
        <v>6.2648295122896158</v>
      </c>
      <c r="GH905">
        <v>9.4147421969963077</v>
      </c>
      <c r="GI905">
        <v>19.459021781680569</v>
      </c>
      <c r="GJ905"/>
      <c r="GK905"/>
      <c r="GL905"/>
      <c r="GM905"/>
      <c r="GN905" s="208"/>
      <c r="GO905" s="208"/>
      <c r="GP905" s="208"/>
      <c r="GQ905" s="208"/>
      <c r="GR905" s="208"/>
      <c r="GS905" s="208"/>
      <c r="GT905" s="208"/>
      <c r="GU905" s="213">
        <v>900</v>
      </c>
    </row>
    <row r="906" spans="1:203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280.44981471855777</v>
      </c>
      <c r="AO906">
        <v>24.291281489599218</v>
      </c>
      <c r="AP906">
        <v>26.307232702865651</v>
      </c>
      <c r="AQ906">
        <v>172.42042857818493</v>
      </c>
      <c r="AR906">
        <v>23.505400604739574</v>
      </c>
      <c r="AS906">
        <v>362.98230086459768</v>
      </c>
      <c r="AT906">
        <v>14.010555503249316</v>
      </c>
      <c r="AU906">
        <v>-29.57326585215722</v>
      </c>
      <c r="AV906"/>
      <c r="AW906"/>
      <c r="FY906" s="213">
        <v>901</v>
      </c>
      <c r="FZ906">
        <v>41.984016019829163</v>
      </c>
      <c r="GA906">
        <v>43.224886691200979</v>
      </c>
      <c r="GB906">
        <v>41.134837549216073</v>
      </c>
      <c r="GC906">
        <v>18.406577387224768</v>
      </c>
      <c r="GD906">
        <v>2.7232515786065048</v>
      </c>
      <c r="GE906">
        <v>3.7109171653895272</v>
      </c>
      <c r="GF906">
        <v>9.2606451894599857</v>
      </c>
      <c r="GG906">
        <v>10.512932024640634</v>
      </c>
      <c r="GH906">
        <v>10.238897691811514</v>
      </c>
      <c r="GI906">
        <v>21.160687691203925</v>
      </c>
      <c r="GJ906"/>
      <c r="GK906"/>
      <c r="GL906"/>
      <c r="GM906"/>
      <c r="GN906" s="208"/>
      <c r="GO906" s="208"/>
      <c r="GP906" s="208"/>
      <c r="GQ906" s="208"/>
      <c r="GR906" s="208"/>
      <c r="GS906" s="208"/>
      <c r="GT906" s="208"/>
      <c r="GU906" s="213">
        <v>901</v>
      </c>
    </row>
    <row r="907" spans="1:203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212.10425481674838</v>
      </c>
      <c r="AO907">
        <v>20.052495303602168</v>
      </c>
      <c r="AP907">
        <v>16.968022235509224</v>
      </c>
      <c r="AQ907">
        <v>149.20084735328646</v>
      </c>
      <c r="AR907">
        <v>20.387427020955432</v>
      </c>
      <c r="AS907">
        <v>301.03790808773209</v>
      </c>
      <c r="AT907">
        <v>12.915758425921778</v>
      </c>
      <c r="AU907">
        <v>-11.420825982825612</v>
      </c>
      <c r="AV907"/>
      <c r="AW907"/>
      <c r="FY907" s="213">
        <v>902</v>
      </c>
      <c r="FZ907">
        <v>40.943175295326114</v>
      </c>
      <c r="GA907">
        <v>53.325651253230575</v>
      </c>
      <c r="GB907">
        <v>43.916675067101544</v>
      </c>
      <c r="GC907">
        <v>14.469970160869659</v>
      </c>
      <c r="GD907">
        <v>3.311875581769022</v>
      </c>
      <c r="GE907">
        <v>7.2122114980648373</v>
      </c>
      <c r="GF907">
        <v>7.2403874775402706</v>
      </c>
      <c r="GG907">
        <v>5.5899682657054655</v>
      </c>
      <c r="GH907">
        <v>6.1966259728634983</v>
      </c>
      <c r="GI907">
        <v>20.998127636835896</v>
      </c>
      <c r="GJ907"/>
      <c r="GK907"/>
      <c r="GL907"/>
      <c r="GM907"/>
      <c r="GN907" s="208"/>
      <c r="GO907" s="208"/>
      <c r="GP907" s="208"/>
      <c r="GQ907" s="208"/>
      <c r="GR907" s="208"/>
      <c r="GS907" s="208"/>
      <c r="GT907" s="208"/>
      <c r="GU907" s="213">
        <v>902</v>
      </c>
    </row>
    <row r="908" spans="1:203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209.46674329187326</v>
      </c>
      <c r="AO908">
        <v>23.358282028120975</v>
      </c>
      <c r="AP908">
        <v>18.350658137546741</v>
      </c>
      <c r="AQ908">
        <v>160.38080475999618</v>
      </c>
      <c r="AR908">
        <v>24.275593488363512</v>
      </c>
      <c r="AS908">
        <v>321.39811422258288</v>
      </c>
      <c r="AT908">
        <v>14.360818240362597</v>
      </c>
      <c r="AU908">
        <v>2.0234363257050276</v>
      </c>
      <c r="AV908"/>
      <c r="AW908"/>
      <c r="FY908" s="213">
        <v>903</v>
      </c>
      <c r="FZ908">
        <v>58.979739949293155</v>
      </c>
      <c r="GA908">
        <v>65.623165621960823</v>
      </c>
      <c r="GB908">
        <v>30.893821595788843</v>
      </c>
      <c r="GC908">
        <v>10.870824669418065</v>
      </c>
      <c r="GD908">
        <v>3.2733538113908143</v>
      </c>
      <c r="GE908">
        <v>5.6551880157657202</v>
      </c>
      <c r="GF908">
        <v>5.322010883050126</v>
      </c>
      <c r="GG908">
        <v>3.3515237601066916</v>
      </c>
      <c r="GH908">
        <v>8.601035962820422</v>
      </c>
      <c r="GI908">
        <v>20.468193118844653</v>
      </c>
      <c r="GJ908"/>
      <c r="GK908"/>
      <c r="GL908"/>
      <c r="GM908"/>
      <c r="GN908" s="208"/>
      <c r="GO908" s="208"/>
      <c r="GP908" s="208"/>
      <c r="GQ908" s="208"/>
      <c r="GR908" s="208"/>
      <c r="GS908" s="208"/>
      <c r="GT908" s="208"/>
      <c r="GU908" s="213">
        <v>903</v>
      </c>
    </row>
    <row r="909" spans="1:203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266.77781883181649</v>
      </c>
      <c r="AO909">
        <v>22.156365510613586</v>
      </c>
      <c r="AP909">
        <v>11.390064967424824</v>
      </c>
      <c r="AQ909">
        <v>153.04379949223298</v>
      </c>
      <c r="AR909">
        <v>22.95764032433831</v>
      </c>
      <c r="AS909">
        <v>339.06202552823623</v>
      </c>
      <c r="AT909" t="e">
        <v>#DIV/0!</v>
      </c>
      <c r="AU909" t="e">
        <v>#DIV/0!</v>
      </c>
      <c r="AV909"/>
      <c r="AW909"/>
      <c r="FY909" s="213">
        <v>904</v>
      </c>
      <c r="FZ909">
        <v>49.333546925196927</v>
      </c>
      <c r="GA909">
        <v>39.369309314179134</v>
      </c>
      <c r="GB909">
        <v>39.961186893973689</v>
      </c>
      <c r="GC909">
        <v>17.963337082711639</v>
      </c>
      <c r="GD909">
        <v>3.2348601337929912</v>
      </c>
      <c r="GE909">
        <v>4.3320995477167568</v>
      </c>
      <c r="GF909">
        <v>6.0704237909613648</v>
      </c>
      <c r="GG909">
        <v>4.6786571431620434</v>
      </c>
      <c r="GH909">
        <v>6.7119856582155633</v>
      </c>
      <c r="GI909">
        <v>21.086760061075481</v>
      </c>
      <c r="GJ909"/>
      <c r="GK909"/>
      <c r="GL909"/>
      <c r="GM909"/>
      <c r="GN909" s="208"/>
      <c r="GO909" s="208"/>
      <c r="GP909" s="208"/>
      <c r="GQ909" s="208"/>
      <c r="GR909" s="208"/>
      <c r="GS909" s="208"/>
      <c r="GT909" s="208"/>
      <c r="GU909" s="213">
        <v>904</v>
      </c>
    </row>
    <row r="910" spans="1:203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271.92009687675562</v>
      </c>
      <c r="AO910">
        <v>24.090530902761575</v>
      </c>
      <c r="AP910">
        <v>56.26139847547033</v>
      </c>
      <c r="AQ910">
        <v>174.60965596952067</v>
      </c>
      <c r="AR910">
        <v>24.280456183467347</v>
      </c>
      <c r="AS910">
        <v>377.35143408003086</v>
      </c>
      <c r="AT910">
        <v>15.026015512511783</v>
      </c>
      <c r="AU910">
        <v>7.0855560978572889</v>
      </c>
      <c r="AV910"/>
      <c r="AW910"/>
      <c r="FY910" s="213">
        <v>905</v>
      </c>
      <c r="FZ910">
        <v>34.387309547641408</v>
      </c>
      <c r="GA910">
        <v>26.875718560715942</v>
      </c>
      <c r="GB910">
        <v>29.225556931731809</v>
      </c>
      <c r="GC910">
        <v>15.351821817047959</v>
      </c>
      <c r="GD910">
        <v>2.9082006329539571</v>
      </c>
      <c r="GE910">
        <v>5.0441731989041791</v>
      </c>
      <c r="GF910">
        <v>6.4185638614757963</v>
      </c>
      <c r="GG910">
        <v>4.3173087470967477</v>
      </c>
      <c r="GH910">
        <v>8.3500816204355743</v>
      </c>
      <c r="GI910">
        <v>16.392567968145265</v>
      </c>
      <c r="GJ910"/>
      <c r="GK910"/>
      <c r="GL910"/>
      <c r="GM910"/>
      <c r="GN910" s="208"/>
      <c r="GO910" s="208"/>
      <c r="GP910" s="208"/>
      <c r="GQ910" s="208"/>
      <c r="GR910" s="208"/>
      <c r="GS910" s="208"/>
      <c r="GT910" s="208"/>
      <c r="GU910" s="213">
        <v>905</v>
      </c>
    </row>
    <row r="911" spans="1:203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305.98547331057199</v>
      </c>
      <c r="AO911">
        <v>27.496653425984942</v>
      </c>
      <c r="AP911">
        <v>21.425538875865712</v>
      </c>
      <c r="AQ911">
        <v>194.93578292323613</v>
      </c>
      <c r="AR911">
        <v>28.558858762436838</v>
      </c>
      <c r="AS911">
        <v>442.99958227312459</v>
      </c>
      <c r="AT911">
        <v>17.300167899676492</v>
      </c>
      <c r="AU911">
        <v>2.4757866950009628</v>
      </c>
      <c r="AV911"/>
      <c r="AW911"/>
      <c r="FY911" s="213">
        <v>906</v>
      </c>
      <c r="FZ911">
        <v>52.168108750265517</v>
      </c>
      <c r="GA911">
        <v>51.455106787048138</v>
      </c>
      <c r="GB911">
        <v>32.566088929712393</v>
      </c>
      <c r="GC911">
        <v>13.153040931971448</v>
      </c>
      <c r="GD911">
        <v>3.0614335655434211</v>
      </c>
      <c r="GE911">
        <v>3.5417309253352456</v>
      </c>
      <c r="GF911">
        <v>1.9650409113183422</v>
      </c>
      <c r="GG911">
        <v>1.4852514878791605</v>
      </c>
      <c r="GH911">
        <v>2.8969136765717201</v>
      </c>
      <c r="GI911">
        <v>18.245154305036763</v>
      </c>
      <c r="GJ911"/>
      <c r="GK911"/>
      <c r="GL911"/>
      <c r="GM911"/>
      <c r="GN911" s="208"/>
      <c r="GO911" s="208"/>
      <c r="GP911" s="208"/>
      <c r="GQ911" s="208"/>
      <c r="GR911" s="208"/>
      <c r="GS911" s="208"/>
      <c r="GT911" s="208"/>
      <c r="GU911" s="213">
        <v>906</v>
      </c>
    </row>
    <row r="912" spans="1:203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248.48210848817502</v>
      </c>
      <c r="AO912">
        <v>25.223908352505248</v>
      </c>
      <c r="AP912">
        <v>33.525284202107592</v>
      </c>
      <c r="AQ912">
        <v>191.59103832359995</v>
      </c>
      <c r="AR912">
        <v>26.455072453849059</v>
      </c>
      <c r="AS912">
        <v>330.15993561967764</v>
      </c>
      <c r="AT912">
        <v>17.088484617383614</v>
      </c>
      <c r="AU912">
        <v>-7.8681185294603893</v>
      </c>
      <c r="AV912"/>
      <c r="AW912"/>
      <c r="FY912" s="213">
        <v>907</v>
      </c>
      <c r="FZ912">
        <v>64.795492161987312</v>
      </c>
      <c r="GA912">
        <v>71.894304514890052</v>
      </c>
      <c r="GB912">
        <v>37.50970685588765</v>
      </c>
      <c r="GC912">
        <v>12.545674120712254</v>
      </c>
      <c r="GD912">
        <v>2.1141874452705913</v>
      </c>
      <c r="GE912">
        <v>5.0787630594226032</v>
      </c>
      <c r="GF912">
        <v>6.9764531973980315</v>
      </c>
      <c r="GG912">
        <v>3.3566524475075727</v>
      </c>
      <c r="GH912">
        <v>6.9266189814750128</v>
      </c>
      <c r="GI912">
        <v>22.317358056700936</v>
      </c>
      <c r="GJ912"/>
      <c r="GK912"/>
      <c r="GL912"/>
      <c r="GM912"/>
      <c r="GN912" s="208"/>
      <c r="GO912" s="208"/>
      <c r="GP912" s="208"/>
      <c r="GQ912" s="208"/>
      <c r="GR912" s="208"/>
      <c r="GS912" s="208"/>
      <c r="GT912" s="208"/>
      <c r="GU912" s="213">
        <v>907</v>
      </c>
    </row>
    <row r="913" spans="1:203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204.81394650125748</v>
      </c>
      <c r="AO913">
        <v>20.397926235703075</v>
      </c>
      <c r="AP913">
        <v>22.920699768833035</v>
      </c>
      <c r="AQ913">
        <v>146.46557950903053</v>
      </c>
      <c r="AR913">
        <v>20.988355230415841</v>
      </c>
      <c r="AS913">
        <v>325.78022280303713</v>
      </c>
      <c r="AT913">
        <v>12.706840319036901</v>
      </c>
      <c r="AU913">
        <v>4.2283302973039518</v>
      </c>
      <c r="AV913"/>
      <c r="AW913"/>
      <c r="FY913" s="213">
        <v>908</v>
      </c>
      <c r="FZ913">
        <v>43.724589377873464</v>
      </c>
      <c r="GA913">
        <v>50.693136897119217</v>
      </c>
      <c r="GB913">
        <v>29.910355598363275</v>
      </c>
      <c r="GC913">
        <v>12.765775126568679</v>
      </c>
      <c r="GD913">
        <v>2.570816260906573</v>
      </c>
      <c r="GE913">
        <v>1.1259117768661699</v>
      </c>
      <c r="GF913">
        <v>0.771793428475118</v>
      </c>
      <c r="GG913">
        <v>4.4785892281515496</v>
      </c>
      <c r="GH913">
        <v>8.2309659566979185</v>
      </c>
      <c r="GI913">
        <v>16.699955337539485</v>
      </c>
      <c r="GJ913"/>
      <c r="GK913"/>
      <c r="GL913"/>
      <c r="GM913"/>
      <c r="GN913" s="208"/>
      <c r="GO913" s="208"/>
      <c r="GP913" s="208"/>
      <c r="GQ913" s="208"/>
      <c r="GR913" s="208"/>
      <c r="GS913" s="208"/>
      <c r="GT913" s="208"/>
      <c r="GU913" s="213">
        <v>908</v>
      </c>
    </row>
    <row r="914" spans="1:203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227.97012713383796</v>
      </c>
      <c r="AO914">
        <v>26.396873762764109</v>
      </c>
      <c r="AP914">
        <v>15.123957374572162</v>
      </c>
      <c r="AQ914">
        <v>185.99593559943565</v>
      </c>
      <c r="AR914">
        <v>27.41457486077503</v>
      </c>
      <c r="AS914">
        <v>415.67817515162648</v>
      </c>
      <c r="AT914">
        <v>16.124430890720213</v>
      </c>
      <c r="AU914">
        <v>10.062915313118054</v>
      </c>
      <c r="AV914"/>
      <c r="AW914"/>
      <c r="FY914" s="213">
        <v>909</v>
      </c>
      <c r="FZ914">
        <v>53.293971229170566</v>
      </c>
      <c r="GA914">
        <v>74.878003853730405</v>
      </c>
      <c r="GB914">
        <v>39.551715910417201</v>
      </c>
      <c r="GC914">
        <v>12.182347279997437</v>
      </c>
      <c r="GD914">
        <v>3.4020539428106766</v>
      </c>
      <c r="GE914">
        <v>5.3044716185433138</v>
      </c>
      <c r="GF914">
        <v>3.8981107612975494</v>
      </c>
      <c r="GG914">
        <v>2.8066182203867815</v>
      </c>
      <c r="GH914">
        <v>5.880794339897923</v>
      </c>
      <c r="GI914">
        <v>21.103461943883303</v>
      </c>
      <c r="GJ914"/>
      <c r="GK914"/>
      <c r="GL914"/>
      <c r="GM914"/>
      <c r="GN914" s="208"/>
      <c r="GO914" s="208"/>
      <c r="GP914" s="208"/>
      <c r="GQ914" s="208"/>
      <c r="GR914" s="208"/>
      <c r="GS914" s="208"/>
      <c r="GT914" s="208"/>
      <c r="GU914" s="213">
        <v>909</v>
      </c>
    </row>
    <row r="915" spans="1:203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234.96069407670285</v>
      </c>
      <c r="AO915">
        <v>24.376364805789787</v>
      </c>
      <c r="AP915">
        <v>6.010718649285085</v>
      </c>
      <c r="AQ915">
        <v>178.8248212183054</v>
      </c>
      <c r="AR915">
        <v>24.653854943675093</v>
      </c>
      <c r="AS915">
        <v>357.87142631691631</v>
      </c>
      <c r="AT915">
        <v>15.29682482749751</v>
      </c>
      <c r="AU915">
        <v>-26.915286131380661</v>
      </c>
      <c r="AV915"/>
      <c r="AW915"/>
      <c r="FY915" s="213">
        <v>910</v>
      </c>
      <c r="FZ915">
        <v>29.906643545714136</v>
      </c>
      <c r="GA915">
        <v>40.547648553108829</v>
      </c>
      <c r="GB915">
        <v>30.868152539325973</v>
      </c>
      <c r="GC915">
        <v>12.227433585463997</v>
      </c>
      <c r="GD915">
        <v>4.7265078521280737</v>
      </c>
      <c r="GE915">
        <v>6.5193049434316093</v>
      </c>
      <c r="GF915">
        <v>4.3390419251083072</v>
      </c>
      <c r="GG915">
        <v>2.974580255222008</v>
      </c>
      <c r="GH915">
        <v>4.3897310022201079</v>
      </c>
      <c r="GI915">
        <v>16.1576262443768</v>
      </c>
      <c r="GJ915"/>
      <c r="GK915"/>
      <c r="GL915"/>
      <c r="GM915"/>
      <c r="GN915" s="208"/>
      <c r="GO915" s="208"/>
      <c r="GP915" s="208"/>
      <c r="GQ915" s="208"/>
      <c r="GR915" s="208"/>
      <c r="GS915" s="208"/>
      <c r="GT915" s="208"/>
      <c r="GU915" s="213">
        <v>910</v>
      </c>
    </row>
    <row r="916" spans="1:203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308.93040584641801</v>
      </c>
      <c r="AO916">
        <v>26.478220607289966</v>
      </c>
      <c r="AP916">
        <v>31.509700060812843</v>
      </c>
      <c r="AQ916">
        <v>191.0847879254386</v>
      </c>
      <c r="AR916">
        <v>26.653269585566839</v>
      </c>
      <c r="AS916">
        <v>408.04007427936989</v>
      </c>
      <c r="AT916">
        <v>16.612980308296631</v>
      </c>
      <c r="AU916">
        <v>-0.47376614665896355</v>
      </c>
      <c r="AV916"/>
      <c r="AW916"/>
      <c r="FY916" s="213">
        <v>911</v>
      </c>
      <c r="FZ916">
        <v>63.444353799814799</v>
      </c>
      <c r="GA916">
        <v>65.078839000482631</v>
      </c>
      <c r="GB916">
        <v>32.330806927045614</v>
      </c>
      <c r="GC916">
        <v>12.340948295882811</v>
      </c>
      <c r="GD916">
        <v>2.894621208427957</v>
      </c>
      <c r="GE916">
        <v>5.4670483808618089</v>
      </c>
      <c r="GF916">
        <v>3.9312576212287951</v>
      </c>
      <c r="GG916">
        <v>7.7030611504487956</v>
      </c>
      <c r="GH916">
        <v>10.460417363128741</v>
      </c>
      <c r="GI916">
        <v>21.293816614596203</v>
      </c>
      <c r="GJ916"/>
      <c r="GK916"/>
      <c r="GL916"/>
      <c r="GM916"/>
      <c r="GN916" s="208"/>
      <c r="GO916" s="208"/>
      <c r="GP916" s="208"/>
      <c r="GQ916" s="208"/>
      <c r="GR916" s="208"/>
      <c r="GS916" s="208"/>
      <c r="GT916" s="208"/>
      <c r="GU916" s="213">
        <v>911</v>
      </c>
    </row>
    <row r="917" spans="1:203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269.46278369189758</v>
      </c>
      <c r="AO917">
        <v>28.890105818900793</v>
      </c>
      <c r="AP917">
        <v>57.905815016697311</v>
      </c>
      <c r="AQ917">
        <v>202.35764898858304</v>
      </c>
      <c r="AR917">
        <v>29.011831031519215</v>
      </c>
      <c r="AS917">
        <v>404.81677688306792</v>
      </c>
      <c r="AT917">
        <v>17.511096771332515</v>
      </c>
      <c r="AU917">
        <v>0.14913686046966745</v>
      </c>
      <c r="AV917"/>
      <c r="AW917"/>
      <c r="FY917" s="213">
        <v>912</v>
      </c>
      <c r="FZ917">
        <v>46.497688792853289</v>
      </c>
      <c r="GA917">
        <v>62.326982239629267</v>
      </c>
      <c r="GB917">
        <v>39.371361636158333</v>
      </c>
      <c r="GC917">
        <v>10.404586244279702</v>
      </c>
      <c r="GD917">
        <v>2.8751666922122814</v>
      </c>
      <c r="GE917">
        <v>5.6282095719444083</v>
      </c>
      <c r="GF917">
        <v>8.8255677224718347</v>
      </c>
      <c r="GG917">
        <v>9.7856123695698471</v>
      </c>
      <c r="GH917">
        <v>11.101436749407398</v>
      </c>
      <c r="GI917">
        <v>21.529017145024966</v>
      </c>
      <c r="GJ917"/>
      <c r="GK917"/>
      <c r="GL917"/>
      <c r="GM917"/>
      <c r="GN917" s="208"/>
      <c r="GO917" s="208"/>
      <c r="GP917" s="208"/>
      <c r="GQ917" s="208"/>
      <c r="GR917" s="208"/>
      <c r="GS917" s="208"/>
      <c r="GT917" s="208"/>
      <c r="GU917" s="213">
        <v>912</v>
      </c>
    </row>
    <row r="918" spans="1:203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318.52710228900435</v>
      </c>
      <c r="AO918">
        <v>28.269695575577611</v>
      </c>
      <c r="AP918">
        <v>28.54611545034982</v>
      </c>
      <c r="AQ918">
        <v>203.2046682093069</v>
      </c>
      <c r="AR918">
        <v>28.690581397292412</v>
      </c>
      <c r="AS918">
        <v>406.71028451969596</v>
      </c>
      <c r="AT918">
        <v>18.128379595590733</v>
      </c>
      <c r="AU918">
        <v>-9.7787776641793371</v>
      </c>
      <c r="AV918"/>
      <c r="AW918"/>
      <c r="FY918" s="213">
        <v>913</v>
      </c>
      <c r="FZ918">
        <v>33.319554495674403</v>
      </c>
      <c r="GA918">
        <v>16.585443275903042</v>
      </c>
      <c r="GB918">
        <v>22.387599658297891</v>
      </c>
      <c r="GC918">
        <v>12.855853336830133</v>
      </c>
      <c r="GD918">
        <v>5.5006404218682343</v>
      </c>
      <c r="GE918">
        <v>7.716360651726796</v>
      </c>
      <c r="GF918">
        <v>3.8240185000590707</v>
      </c>
      <c r="GG918">
        <v>3.8941763739998176</v>
      </c>
      <c r="GH918">
        <v>7.0738743472685019</v>
      </c>
      <c r="GI918">
        <v>15.3689107082162</v>
      </c>
      <c r="GJ918"/>
      <c r="GK918"/>
      <c r="GL918"/>
      <c r="GM918"/>
      <c r="GN918" s="208"/>
      <c r="GO918" s="208"/>
      <c r="GP918" s="208"/>
      <c r="GQ918" s="208"/>
      <c r="GR918" s="208"/>
      <c r="GS918" s="208"/>
      <c r="GT918" s="208"/>
      <c r="GU918" s="213">
        <v>913</v>
      </c>
    </row>
    <row r="919" spans="1:203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265.96069665056507</v>
      </c>
      <c r="AO919">
        <v>27.360654812092072</v>
      </c>
      <c r="AP919">
        <v>38.949922739024146</v>
      </c>
      <c r="AQ919">
        <v>213.03885738843931</v>
      </c>
      <c r="AR919">
        <v>28.137990570087101</v>
      </c>
      <c r="AS919">
        <v>361.10511299170878</v>
      </c>
      <c r="AT919">
        <v>17.29385168191396</v>
      </c>
      <c r="AU919">
        <v>-27.322898466634335</v>
      </c>
      <c r="AV919"/>
      <c r="AW919"/>
      <c r="FY919" s="213">
        <v>914</v>
      </c>
      <c r="FZ919">
        <v>35.578996068001587</v>
      </c>
      <c r="GA919">
        <v>52.094357343610483</v>
      </c>
      <c r="GB919">
        <v>47.739859441215053</v>
      </c>
      <c r="GC919">
        <v>21.158519442025309</v>
      </c>
      <c r="GD919">
        <v>3.3914897144274723</v>
      </c>
      <c r="GE919">
        <v>5.5171601327209761</v>
      </c>
      <c r="GF919">
        <v>6.0108998696232696</v>
      </c>
      <c r="GG919">
        <v>3.651891696547751</v>
      </c>
      <c r="GH919">
        <v>4.8086568528667879</v>
      </c>
      <c r="GI919">
        <v>20.757616101536662</v>
      </c>
      <c r="GJ919"/>
      <c r="GK919"/>
      <c r="GL919"/>
      <c r="GM919"/>
      <c r="GN919" s="208"/>
      <c r="GO919" s="208"/>
      <c r="GP919" s="208"/>
      <c r="GQ919" s="208"/>
      <c r="GR919" s="208"/>
      <c r="GS919" s="208"/>
      <c r="GT919" s="208"/>
      <c r="GU919" s="213">
        <v>914</v>
      </c>
    </row>
    <row r="920" spans="1:203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267.68903029658196</v>
      </c>
      <c r="AO920">
        <v>27.725356039178557</v>
      </c>
      <c r="AP920">
        <v>26.054644643164245</v>
      </c>
      <c r="AQ920">
        <v>192.74216655098559</v>
      </c>
      <c r="AR920">
        <v>29.044520220391959</v>
      </c>
      <c r="AS920">
        <v>412.43986452722709</v>
      </c>
      <c r="AT920">
        <v>17.564751768443283</v>
      </c>
      <c r="AU920">
        <v>11.703163641595744</v>
      </c>
      <c r="AV920"/>
      <c r="AW920"/>
      <c r="FY920" s="213">
        <v>915</v>
      </c>
      <c r="FZ920">
        <v>37.44424328246464</v>
      </c>
      <c r="GA920">
        <v>46.125133206308931</v>
      </c>
      <c r="GB920">
        <v>36.685875438501576</v>
      </c>
      <c r="GC920">
        <v>14.593467044535428</v>
      </c>
      <c r="GD920">
        <v>4.4130571727326444</v>
      </c>
      <c r="GE920">
        <v>6.6133192776699232</v>
      </c>
      <c r="GF920">
        <v>5.7125173810795662</v>
      </c>
      <c r="GG920">
        <v>7.6584031085328821</v>
      </c>
      <c r="GH920">
        <v>11.503064743724964</v>
      </c>
      <c r="GI920">
        <v>19.915363198086482</v>
      </c>
      <c r="GJ920"/>
      <c r="GK920"/>
      <c r="GL920"/>
      <c r="GM920"/>
      <c r="GN920" s="208"/>
      <c r="GO920" s="208"/>
      <c r="GP920" s="208"/>
      <c r="GQ920" s="208"/>
      <c r="GR920" s="208"/>
      <c r="GS920" s="208"/>
      <c r="GT920" s="208"/>
      <c r="GU920" s="213">
        <v>915</v>
      </c>
    </row>
    <row r="921" spans="1:203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240.35026687355452</v>
      </c>
      <c r="AO921">
        <v>22.06445615573454</v>
      </c>
      <c r="AP921">
        <v>30.775692908470955</v>
      </c>
      <c r="AQ921">
        <v>149.27130288614865</v>
      </c>
      <c r="AR921">
        <v>22.566492982411201</v>
      </c>
      <c r="AS921">
        <v>315.85486799906914</v>
      </c>
      <c r="AT921">
        <v>13.166853478958641</v>
      </c>
      <c r="AU921">
        <v>-18.232796280640468</v>
      </c>
      <c r="AV921"/>
      <c r="AW921"/>
      <c r="FY921" s="213">
        <v>916</v>
      </c>
      <c r="FZ921">
        <v>40.972129475323072</v>
      </c>
      <c r="GA921">
        <v>26.379799915668833</v>
      </c>
      <c r="GB921">
        <v>38.777882287645774</v>
      </c>
      <c r="GC921">
        <v>21.777740969862094</v>
      </c>
      <c r="GD921">
        <v>2.5254345050460638</v>
      </c>
      <c r="GE921">
        <v>2.7340410331347225</v>
      </c>
      <c r="GF921">
        <v>2.2643121235608734</v>
      </c>
      <c r="GG921">
        <v>1.3966051951485632</v>
      </c>
      <c r="GH921">
        <v>6.4756225900854769</v>
      </c>
      <c r="GI921">
        <v>18.441191699180607</v>
      </c>
      <c r="GJ921"/>
      <c r="GK921"/>
      <c r="GL921"/>
      <c r="GM921"/>
      <c r="GN921" s="208"/>
      <c r="GO921" s="208"/>
      <c r="GP921" s="208"/>
      <c r="GQ921" s="208"/>
      <c r="GR921" s="208"/>
      <c r="GS921" s="208"/>
      <c r="GT921" s="208"/>
      <c r="GU921" s="213">
        <v>916</v>
      </c>
    </row>
    <row r="922" spans="1:203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273.18189806268072</v>
      </c>
      <c r="AO922">
        <v>24.25628831436925</v>
      </c>
      <c r="AP922">
        <v>16.684593725892167</v>
      </c>
      <c r="AQ922">
        <v>180.53787027068216</v>
      </c>
      <c r="AR922">
        <v>25.024066006787159</v>
      </c>
      <c r="AS922">
        <v>375.52750254979441</v>
      </c>
      <c r="AT922">
        <v>15.1922962165021</v>
      </c>
      <c r="AU922">
        <v>-18.647162313219788</v>
      </c>
      <c r="AV922"/>
      <c r="AW922"/>
      <c r="FY922" s="213">
        <v>917</v>
      </c>
      <c r="FZ922">
        <v>41.952500317277014</v>
      </c>
      <c r="GA922">
        <v>42.227207270490851</v>
      </c>
      <c r="GB922">
        <v>35.601632019750681</v>
      </c>
      <c r="GC922">
        <v>12.795176717791151</v>
      </c>
      <c r="GD922">
        <v>2.6723493337968267</v>
      </c>
      <c r="GE922">
        <v>4.6238165232269912</v>
      </c>
      <c r="GF922">
        <v>5.180745409673861</v>
      </c>
      <c r="GG922">
        <v>4.4330191454376244</v>
      </c>
      <c r="GH922">
        <v>2.4279082196087902</v>
      </c>
      <c r="GI922">
        <v>17.765560159888746</v>
      </c>
      <c r="GJ922"/>
      <c r="GK922"/>
      <c r="GL922"/>
      <c r="GM922"/>
      <c r="GN922" s="208"/>
      <c r="GO922" s="208"/>
      <c r="GP922" s="208"/>
      <c r="GQ922" s="208"/>
      <c r="GR922" s="208"/>
      <c r="GS922" s="208"/>
      <c r="GT922" s="208"/>
      <c r="GU922" s="213">
        <v>917</v>
      </c>
    </row>
    <row r="923" spans="1:203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263.81460631725992</v>
      </c>
      <c r="AO923">
        <v>29.919935820913132</v>
      </c>
      <c r="AP923">
        <v>31.189949373883383</v>
      </c>
      <c r="AQ923">
        <v>233.51521084125201</v>
      </c>
      <c r="AR923">
        <v>30.77012699239534</v>
      </c>
      <c r="AS923">
        <v>439.9115656023248</v>
      </c>
      <c r="AT923">
        <v>18.637113044932914</v>
      </c>
      <c r="AU923">
        <v>-22.401197209568139</v>
      </c>
      <c r="AV923"/>
      <c r="AW923"/>
      <c r="FY923" s="213">
        <v>918</v>
      </c>
      <c r="FZ923">
        <v>49.326396082475313</v>
      </c>
      <c r="GA923">
        <v>57.407209501602892</v>
      </c>
      <c r="GB923">
        <v>42.16702186830436</v>
      </c>
      <c r="GC923">
        <v>15.932248130636534</v>
      </c>
      <c r="GD923">
        <v>3.6400927735284561</v>
      </c>
      <c r="GE923">
        <v>5.8805567310399889</v>
      </c>
      <c r="GF923">
        <v>2.0307878593972299</v>
      </c>
      <c r="GG923">
        <v>6.4334326429351503</v>
      </c>
      <c r="GH923">
        <v>8.7062928310146859</v>
      </c>
      <c r="GI923">
        <v>21.439197756747301</v>
      </c>
      <c r="GJ923"/>
      <c r="GK923"/>
      <c r="GL923"/>
      <c r="GM923"/>
      <c r="GN923" s="208"/>
      <c r="GO923" s="208"/>
      <c r="GP923" s="208"/>
      <c r="GQ923" s="208"/>
      <c r="GR923" s="208"/>
      <c r="GS923" s="208"/>
      <c r="GT923" s="208"/>
      <c r="GU923" s="213">
        <v>918</v>
      </c>
    </row>
    <row r="924" spans="1:203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215.13953215459111</v>
      </c>
      <c r="AO924">
        <v>22.719323462515568</v>
      </c>
      <c r="AP924">
        <v>15.346524709241635</v>
      </c>
      <c r="AQ924">
        <v>170.97188898856146</v>
      </c>
      <c r="AR924">
        <v>22.848314786521424</v>
      </c>
      <c r="AS924">
        <v>330.47955727235171</v>
      </c>
      <c r="AT924">
        <v>14.703531118195976</v>
      </c>
      <c r="AU924">
        <v>-16.463760197039321</v>
      </c>
      <c r="AV924"/>
      <c r="AW924"/>
      <c r="FY924" s="213">
        <v>919</v>
      </c>
      <c r="FZ924">
        <v>35.320107686776126</v>
      </c>
      <c r="GA924">
        <v>36.34569960682704</v>
      </c>
      <c r="GB924">
        <v>35.950611777179169</v>
      </c>
      <c r="GC924">
        <v>16.840718718327835</v>
      </c>
      <c r="GD924">
        <v>3.5047665228997826</v>
      </c>
      <c r="GE924">
        <v>4.5981639452036749</v>
      </c>
      <c r="GF924">
        <v>7.9429188365990457</v>
      </c>
      <c r="GG924">
        <v>8.940410235769809</v>
      </c>
      <c r="GH924">
        <v>6.7312151156572977</v>
      </c>
      <c r="GI924">
        <v>18.550432744986317</v>
      </c>
      <c r="GJ924"/>
      <c r="GK924"/>
      <c r="GL924"/>
      <c r="GM924"/>
      <c r="GN924" s="208"/>
      <c r="GO924" s="208"/>
      <c r="GP924" s="208"/>
      <c r="GQ924" s="208"/>
      <c r="GR924" s="208"/>
      <c r="GS924" s="208"/>
      <c r="GT924" s="208"/>
      <c r="GU924" s="213">
        <v>919</v>
      </c>
    </row>
    <row r="925" spans="1:203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286.29476103123875</v>
      </c>
      <c r="AO925">
        <v>29.032801801006475</v>
      </c>
      <c r="AP925">
        <v>19.98133589594984</v>
      </c>
      <c r="AQ925">
        <v>222.30154910013519</v>
      </c>
      <c r="AR925">
        <v>29.096003442219821</v>
      </c>
      <c r="AS925">
        <v>395.42985015594383</v>
      </c>
      <c r="AT925">
        <v>18.146044362635262</v>
      </c>
      <c r="AU925">
        <v>-57.894562172922036</v>
      </c>
      <c r="AV925"/>
      <c r="AW925"/>
      <c r="FY925" s="213">
        <v>920</v>
      </c>
      <c r="FZ925">
        <v>42.976587054213262</v>
      </c>
      <c r="GA925">
        <v>69.661810770665014</v>
      </c>
      <c r="GB925">
        <v>46.704602451517204</v>
      </c>
      <c r="GC925">
        <v>13.755671206749071</v>
      </c>
      <c r="GD925">
        <v>2.6481212319363454</v>
      </c>
      <c r="GE925">
        <v>4.7722299768059511</v>
      </c>
      <c r="GF925">
        <v>11.550310869427237</v>
      </c>
      <c r="GG925">
        <v>12.858148557005819</v>
      </c>
      <c r="GH925">
        <v>7.0445512484955062</v>
      </c>
      <c r="GI925">
        <v>22.52837970309394</v>
      </c>
      <c r="GJ925"/>
      <c r="GK925"/>
      <c r="GL925"/>
      <c r="GM925"/>
      <c r="GN925" s="208"/>
      <c r="GO925" s="208"/>
      <c r="GP925" s="208"/>
      <c r="GQ925" s="208"/>
      <c r="GR925" s="208"/>
      <c r="GS925" s="208"/>
      <c r="GT925" s="208"/>
      <c r="GU925" s="213">
        <v>920</v>
      </c>
    </row>
    <row r="926" spans="1:203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304.90352568169743</v>
      </c>
      <c r="AO926">
        <v>21.997471659230857</v>
      </c>
      <c r="AP926">
        <v>9.4693622160354263</v>
      </c>
      <c r="AQ926">
        <v>152.65667044609984</v>
      </c>
      <c r="AR926">
        <v>22.041300576436637</v>
      </c>
      <c r="AS926">
        <v>335.96013414523651</v>
      </c>
      <c r="AT926">
        <v>13.502121800675434</v>
      </c>
      <c r="AU926">
        <v>-21.959780485131162</v>
      </c>
      <c r="AV926"/>
      <c r="AW926"/>
      <c r="FY926" s="213">
        <v>921</v>
      </c>
      <c r="FZ926">
        <v>41.812973179479464</v>
      </c>
      <c r="GA926">
        <v>25.277135600751272</v>
      </c>
      <c r="GB926">
        <v>19.26371320277768</v>
      </c>
      <c r="GC926">
        <v>10.116081618323694</v>
      </c>
      <c r="GD926">
        <v>2.4946965971737747</v>
      </c>
      <c r="GE926">
        <v>1.9289519557504009</v>
      </c>
      <c r="GF926">
        <v>4.0602796081753638</v>
      </c>
      <c r="GG926">
        <v>5.4115117019710359</v>
      </c>
      <c r="GH926">
        <v>7.827226674802775</v>
      </c>
      <c r="GI926">
        <v>14.298409946959705</v>
      </c>
      <c r="GJ926"/>
      <c r="GK926"/>
      <c r="GL926"/>
      <c r="GM926"/>
      <c r="GN926" s="208"/>
      <c r="GO926" s="208"/>
      <c r="GP926" s="208"/>
      <c r="GQ926" s="208"/>
      <c r="GR926" s="208"/>
      <c r="GS926" s="208"/>
      <c r="GT926" s="208"/>
      <c r="GU926" s="213">
        <v>921</v>
      </c>
    </row>
    <row r="927" spans="1:203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275.08218295258405</v>
      </c>
      <c r="AO927">
        <v>29.062837323060684</v>
      </c>
      <c r="AP927">
        <v>26.647962034236741</v>
      </c>
      <c r="AQ927">
        <v>224.9451703619182</v>
      </c>
      <c r="AR927">
        <v>29.298683965880468</v>
      </c>
      <c r="AS927">
        <v>388.21181959167188</v>
      </c>
      <c r="AT927">
        <v>17.862906827593083</v>
      </c>
      <c r="AU927">
        <v>-14.270688791045536</v>
      </c>
      <c r="AV927"/>
      <c r="AW927"/>
      <c r="FY927" s="213">
        <v>922</v>
      </c>
      <c r="FZ927">
        <v>36.328250027846067</v>
      </c>
      <c r="GA927">
        <v>49.658719097315149</v>
      </c>
      <c r="GB927">
        <v>37.563813883035671</v>
      </c>
      <c r="GC927">
        <v>14.068811727228068</v>
      </c>
      <c r="GD927">
        <v>5.0148790810283366</v>
      </c>
      <c r="GE927">
        <v>6.0775046772657531</v>
      </c>
      <c r="GF927">
        <v>1.413254290109915</v>
      </c>
      <c r="GG927">
        <v>0.81381171251242623</v>
      </c>
      <c r="GH927">
        <v>4.1485363593683715</v>
      </c>
      <c r="GI927">
        <v>18.349975555055707</v>
      </c>
      <c r="GJ927"/>
      <c r="GK927"/>
      <c r="GL927"/>
      <c r="GM927"/>
      <c r="GN927" s="208"/>
      <c r="GO927" s="208"/>
      <c r="GP927" s="208"/>
      <c r="GQ927" s="208"/>
      <c r="GR927" s="208"/>
      <c r="GS927" s="208"/>
      <c r="GT927" s="208"/>
      <c r="GU927" s="213">
        <v>922</v>
      </c>
    </row>
    <row r="928" spans="1:203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333.48083973544686</v>
      </c>
      <c r="AO928">
        <v>28.538249037379529</v>
      </c>
      <c r="AP928">
        <v>42.190943243045879</v>
      </c>
      <c r="AQ928">
        <v>218.34562916355134</v>
      </c>
      <c r="AR928">
        <v>29.433626070551288</v>
      </c>
      <c r="AS928">
        <v>442.89504455913067</v>
      </c>
      <c r="AT928">
        <v>18.397320038693884</v>
      </c>
      <c r="AU928">
        <v>9.3925662950050821</v>
      </c>
      <c r="AV928"/>
      <c r="AW928"/>
      <c r="FY928" s="213">
        <v>923</v>
      </c>
      <c r="FZ928">
        <v>42.083838920412099</v>
      </c>
      <c r="GA928">
        <v>51.394037293116682</v>
      </c>
      <c r="GB928">
        <v>38.271702160888303</v>
      </c>
      <c r="GC928">
        <v>14.247224097381368</v>
      </c>
      <c r="GD928">
        <v>3.6965101769305138</v>
      </c>
      <c r="GE928">
        <v>4.5516553508735189</v>
      </c>
      <c r="GF928">
        <v>5.0765302073500695</v>
      </c>
      <c r="GG928">
        <v>3.493827704589056</v>
      </c>
      <c r="GH928">
        <v>8.1486094692346001</v>
      </c>
      <c r="GI928">
        <v>19.93252741343019</v>
      </c>
      <c r="GJ928"/>
      <c r="GK928"/>
      <c r="GL928"/>
      <c r="GM928"/>
      <c r="GN928" s="208"/>
      <c r="GO928" s="208"/>
      <c r="GP928" s="208"/>
      <c r="GQ928" s="208"/>
      <c r="GR928" s="208"/>
      <c r="GS928" s="208"/>
      <c r="GT928" s="208"/>
      <c r="GU928" s="213">
        <v>923</v>
      </c>
    </row>
    <row r="929" spans="1:203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256.32480085555153</v>
      </c>
      <c r="AO929">
        <v>19.907149516538702</v>
      </c>
      <c r="AP929">
        <v>21.248956068397078</v>
      </c>
      <c r="AQ929">
        <v>128.52643176984409</v>
      </c>
      <c r="AR929">
        <v>21.041980548863453</v>
      </c>
      <c r="AS929">
        <v>343.22365643754119</v>
      </c>
      <c r="AT929">
        <v>12.8741305202907</v>
      </c>
      <c r="AU929">
        <v>-1.3307999036902984</v>
      </c>
      <c r="AV929"/>
      <c r="AW929"/>
      <c r="FY929" s="213">
        <v>924</v>
      </c>
      <c r="FZ929">
        <v>80.056419793687681</v>
      </c>
      <c r="GA929">
        <v>74.067840363485757</v>
      </c>
      <c r="GB929">
        <v>25.98178612360066</v>
      </c>
      <c r="GC929">
        <v>9.8252613856243798</v>
      </c>
      <c r="GD929">
        <v>3.353941270929985</v>
      </c>
      <c r="GE929">
        <v>4.8073223055799437</v>
      </c>
      <c r="GF929">
        <v>8.3242057670447238</v>
      </c>
      <c r="GG929">
        <v>8.8591218576218402</v>
      </c>
      <c r="GH929">
        <v>4.7445074127682085</v>
      </c>
      <c r="GI929">
        <v>22.345927777559066</v>
      </c>
      <c r="GJ929"/>
      <c r="GK929"/>
      <c r="GL929"/>
      <c r="GM929"/>
      <c r="GN929" s="208"/>
      <c r="GO929" s="208"/>
      <c r="GP929" s="208"/>
      <c r="GQ929" s="208"/>
      <c r="GR929" s="208"/>
      <c r="GS929" s="208"/>
      <c r="GT929" s="208"/>
      <c r="GU929" s="213">
        <v>924</v>
      </c>
    </row>
    <row r="930" spans="1:203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314.01047393093398</v>
      </c>
      <c r="AO930">
        <v>29.359351937838671</v>
      </c>
      <c r="AP930">
        <v>47.702438333484245</v>
      </c>
      <c r="AQ930">
        <v>200.70944666257537</v>
      </c>
      <c r="AR930">
        <v>28.277223123870694</v>
      </c>
      <c r="AS930">
        <v>410.8923971294202</v>
      </c>
      <c r="AT930">
        <v>18.517186053040799</v>
      </c>
      <c r="AU930">
        <v>-48.951368286957972</v>
      </c>
      <c r="AV930"/>
      <c r="AW930"/>
      <c r="FY930" s="213">
        <v>925</v>
      </c>
      <c r="FZ930">
        <v>41.09708651046693</v>
      </c>
      <c r="GA930">
        <v>59.835859128897091</v>
      </c>
      <c r="GB930">
        <v>32.298481773955501</v>
      </c>
      <c r="GC930">
        <v>9.5263370955459656</v>
      </c>
      <c r="GD930">
        <v>2.872341295428539</v>
      </c>
      <c r="GE930">
        <v>3.3101458521442702</v>
      </c>
      <c r="GF930">
        <v>5.7005609695431527</v>
      </c>
      <c r="GG930">
        <v>3.9874597252381676</v>
      </c>
      <c r="GH930">
        <v>7.83784631275753</v>
      </c>
      <c r="GI930">
        <v>17.895051038159767</v>
      </c>
      <c r="GJ930"/>
      <c r="GK930"/>
      <c r="GL930"/>
      <c r="GM930"/>
      <c r="GN930" s="208"/>
      <c r="GO930" s="208"/>
      <c r="GP930" s="208"/>
      <c r="GQ930" s="208"/>
      <c r="GR930" s="208"/>
      <c r="GS930" s="208"/>
      <c r="GT930" s="208"/>
      <c r="GU930" s="213">
        <v>925</v>
      </c>
    </row>
    <row r="931" spans="1:203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318.892041817304</v>
      </c>
      <c r="AO931">
        <v>26.968182524511843</v>
      </c>
      <c r="AP931">
        <v>37.260192716046291</v>
      </c>
      <c r="AQ931">
        <v>190.66444385363704</v>
      </c>
      <c r="AR931">
        <v>27.185630182565241</v>
      </c>
      <c r="AS931">
        <v>387.16455932655327</v>
      </c>
      <c r="AT931">
        <v>16.748685254947826</v>
      </c>
      <c r="AU931">
        <v>10.663169284146942</v>
      </c>
      <c r="AV931"/>
      <c r="AW931"/>
      <c r="FY931" s="213">
        <v>926</v>
      </c>
      <c r="FZ931">
        <v>54.894965128633309</v>
      </c>
      <c r="GA931">
        <v>52.577892751790564</v>
      </c>
      <c r="GB931">
        <v>22.072256289228367</v>
      </c>
      <c r="GC931">
        <v>10.201541400800037</v>
      </c>
      <c r="GD931">
        <v>6.086966980018536</v>
      </c>
      <c r="GE931">
        <v>7.8530605942623382</v>
      </c>
      <c r="GF931">
        <v>15.335232088432898</v>
      </c>
      <c r="GG931">
        <v>15.761831863605575</v>
      </c>
      <c r="GH931">
        <v>12.815604557285194</v>
      </c>
      <c r="GI931">
        <v>21.811857381741156</v>
      </c>
      <c r="GJ931"/>
      <c r="GK931"/>
      <c r="GL931"/>
      <c r="GM931"/>
      <c r="GN931" s="208"/>
      <c r="GO931" s="208"/>
      <c r="GP931" s="208"/>
      <c r="GQ931" s="208"/>
      <c r="GR931" s="208"/>
      <c r="GS931" s="208"/>
      <c r="GT931" s="208"/>
      <c r="GU931" s="213">
        <v>926</v>
      </c>
    </row>
    <row r="932" spans="1:203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229.95134303811219</v>
      </c>
      <c r="AO932">
        <v>24.838164841735626</v>
      </c>
      <c r="AP932">
        <v>16.147892156295637</v>
      </c>
      <c r="AQ932">
        <v>161.74475979465609</v>
      </c>
      <c r="AR932">
        <v>25.390100345999066</v>
      </c>
      <c r="AS932">
        <v>367.04017182584897</v>
      </c>
      <c r="AT932">
        <v>14.968641436806505</v>
      </c>
      <c r="AU932">
        <v>-0.6230085611421714</v>
      </c>
      <c r="AV932"/>
      <c r="AW932"/>
      <c r="FY932" s="213">
        <v>927</v>
      </c>
      <c r="FZ932">
        <v>47.369311374242663</v>
      </c>
      <c r="GA932">
        <v>28.1294552330511</v>
      </c>
      <c r="GB932">
        <v>23.985315825814876</v>
      </c>
      <c r="GC932">
        <v>13.655997275501466</v>
      </c>
      <c r="GD932">
        <v>4.4569516727558396</v>
      </c>
      <c r="GE932">
        <v>7.4914216099373494</v>
      </c>
      <c r="GF932">
        <v>2.9030361412430201</v>
      </c>
      <c r="GG932">
        <v>3.0985629545098035</v>
      </c>
      <c r="GH932">
        <v>10.105197064946285</v>
      </c>
      <c r="GI932">
        <v>17.536245913502249</v>
      </c>
      <c r="GJ932"/>
      <c r="GK932"/>
      <c r="GL932"/>
      <c r="GM932"/>
      <c r="GN932" s="208"/>
      <c r="GO932" s="208"/>
      <c r="GP932" s="208"/>
      <c r="GQ932" s="208"/>
      <c r="GR932" s="208"/>
      <c r="GS932" s="208"/>
      <c r="GT932" s="208"/>
      <c r="GU932" s="213">
        <v>927</v>
      </c>
    </row>
    <row r="933" spans="1:203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271.67774218226208</v>
      </c>
      <c r="AO933">
        <v>23.601056543687914</v>
      </c>
      <c r="AP933">
        <v>22.958304141986162</v>
      </c>
      <c r="AQ933">
        <v>169.67991511694251</v>
      </c>
      <c r="AR933">
        <v>24.370608748909525</v>
      </c>
      <c r="AS933">
        <v>373.05140019971384</v>
      </c>
      <c r="AT933">
        <v>14.705148823328727</v>
      </c>
      <c r="AU933">
        <v>-25.459186353276095</v>
      </c>
      <c r="AV933"/>
      <c r="AW933"/>
      <c r="FY933" s="213">
        <v>928</v>
      </c>
      <c r="FZ933">
        <v>62.951356761831988</v>
      </c>
      <c r="GA933">
        <v>52.166153772557919</v>
      </c>
      <c r="GB933">
        <v>28.911714833042975</v>
      </c>
      <c r="GC933">
        <v>11.844710534504809</v>
      </c>
      <c r="GD933">
        <v>2.6518477432854723</v>
      </c>
      <c r="GE933">
        <v>4.5577981707522133</v>
      </c>
      <c r="GF933">
        <v>3.7503480950155161</v>
      </c>
      <c r="GG933">
        <v>3.2730078858775986</v>
      </c>
      <c r="GH933">
        <v>9.5204261951335702</v>
      </c>
      <c r="GI933">
        <v>20.080684214006922</v>
      </c>
      <c r="GJ933"/>
      <c r="GK933"/>
      <c r="GL933"/>
      <c r="GM933"/>
      <c r="GN933" s="208"/>
      <c r="GO933" s="208"/>
      <c r="GP933" s="208"/>
      <c r="GQ933" s="208"/>
      <c r="GR933" s="208"/>
      <c r="GS933" s="208"/>
      <c r="GT933" s="208"/>
      <c r="GU933" s="213">
        <v>928</v>
      </c>
    </row>
    <row r="934" spans="1:203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304.94329543125957</v>
      </c>
      <c r="AO934">
        <v>29.379281849642865</v>
      </c>
      <c r="AP934">
        <v>34.315871105755832</v>
      </c>
      <c r="AQ934">
        <v>212.96323617768192</v>
      </c>
      <c r="AR934">
        <v>29.394836183352805</v>
      </c>
      <c r="AS934">
        <v>416.77869957526428</v>
      </c>
      <c r="AT934">
        <v>18.143014062707447</v>
      </c>
      <c r="AU934">
        <v>-12.579373815135263</v>
      </c>
      <c r="AV934"/>
      <c r="AW934"/>
      <c r="FY934" s="213">
        <v>929</v>
      </c>
      <c r="FZ934">
        <v>42.508539574100162</v>
      </c>
      <c r="GA934">
        <v>42.32599431404396</v>
      </c>
      <c r="GB934">
        <v>27.294278016971248</v>
      </c>
      <c r="GC934">
        <v>11.437516736320653</v>
      </c>
      <c r="GD934">
        <v>3.5624710410495073</v>
      </c>
      <c r="GE934">
        <v>3.8291074294974239</v>
      </c>
      <c r="GF934">
        <v>0.4909613514001131</v>
      </c>
      <c r="GG934">
        <v>0.82164018656384696</v>
      </c>
      <c r="GH934">
        <v>2.669280007322854</v>
      </c>
      <c r="GI934">
        <v>15.502934599314237</v>
      </c>
      <c r="GJ934"/>
      <c r="GK934"/>
      <c r="GL934"/>
      <c r="GM934"/>
      <c r="GN934" s="208"/>
      <c r="GO934" s="208"/>
      <c r="GP934" s="208"/>
      <c r="GQ934" s="208"/>
      <c r="GR934" s="208"/>
      <c r="GS934" s="208"/>
      <c r="GT934" s="208"/>
      <c r="GU934" s="213">
        <v>929</v>
      </c>
    </row>
    <row r="935" spans="1:203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265.26608906280376</v>
      </c>
      <c r="AO935">
        <v>25.623325168916558</v>
      </c>
      <c r="AP935">
        <v>36.780057105514956</v>
      </c>
      <c r="AQ935">
        <v>174.7250451902261</v>
      </c>
      <c r="AR935">
        <v>25.430768333940026</v>
      </c>
      <c r="AS935">
        <v>380.50033773188881</v>
      </c>
      <c r="AT935">
        <v>15.607103345129538</v>
      </c>
      <c r="AU935">
        <v>20.898992010367273</v>
      </c>
      <c r="AV935"/>
      <c r="AW935"/>
      <c r="FY935" s="213">
        <v>930</v>
      </c>
      <c r="FZ935">
        <v>48.132288004394319</v>
      </c>
      <c r="GA935">
        <v>32.057107360929237</v>
      </c>
      <c r="GB935">
        <v>20.575924490908552</v>
      </c>
      <c r="GC935">
        <v>10.514253318053871</v>
      </c>
      <c r="GD935">
        <v>2.9428750196601836</v>
      </c>
      <c r="GE935">
        <v>4.8227557549847448</v>
      </c>
      <c r="GF935">
        <v>12.888584174599846</v>
      </c>
      <c r="GG935">
        <v>9.9625974292315416</v>
      </c>
      <c r="GH935">
        <v>2.3877816922975921</v>
      </c>
      <c r="GI935">
        <v>16.559350711141938</v>
      </c>
      <c r="GJ935"/>
      <c r="GK935"/>
      <c r="GL935"/>
      <c r="GM935"/>
      <c r="GN935" s="208"/>
      <c r="GO935" s="208"/>
      <c r="GP935" s="208"/>
      <c r="GQ935" s="208"/>
      <c r="GR935" s="208"/>
      <c r="GS935" s="208"/>
      <c r="GT935" s="208"/>
      <c r="GU935" s="213">
        <v>930</v>
      </c>
    </row>
    <row r="936" spans="1:203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339.2366797329347</v>
      </c>
      <c r="AO936">
        <v>31.368895730986203</v>
      </c>
      <c r="AP936">
        <v>26.443555352883045</v>
      </c>
      <c r="AQ936">
        <v>234.50041306990937</v>
      </c>
      <c r="AR936">
        <v>30.838577057985262</v>
      </c>
      <c r="AS936">
        <v>485.17028542839893</v>
      </c>
      <c r="AT936">
        <v>19.051862087808246</v>
      </c>
      <c r="AU936">
        <v>-48.056106141954096</v>
      </c>
      <c r="AV936"/>
      <c r="AW936"/>
      <c r="FY936" s="213">
        <v>931</v>
      </c>
      <c r="FZ936">
        <v>55.327299083322011</v>
      </c>
      <c r="GA936">
        <v>42.078274330626279</v>
      </c>
      <c r="GB936">
        <v>26.125282429262892</v>
      </c>
      <c r="GC936">
        <v>12.759951019023321</v>
      </c>
      <c r="GD936">
        <v>4.1119825050503866</v>
      </c>
      <c r="GE936">
        <v>5.9782759321321981</v>
      </c>
      <c r="GF936">
        <v>2.3582842533004325</v>
      </c>
      <c r="GG936">
        <v>1.2147858080643046</v>
      </c>
      <c r="GH936">
        <v>4.3828263037085797</v>
      </c>
      <c r="GI936">
        <v>18.02481545365427</v>
      </c>
      <c r="GJ936"/>
      <c r="GK936"/>
      <c r="GL936"/>
      <c r="GM936"/>
      <c r="GN936" s="208"/>
      <c r="GO936" s="208"/>
      <c r="GP936" s="208"/>
      <c r="GQ936" s="208"/>
      <c r="GR936" s="208"/>
      <c r="GS936" s="208"/>
      <c r="GT936" s="208"/>
      <c r="GU936" s="213">
        <v>931</v>
      </c>
    </row>
    <row r="937" spans="1:203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187.60016711574971</v>
      </c>
      <c r="AO937">
        <v>18.15676370802829</v>
      </c>
      <c r="AP937">
        <v>22.946863472611291</v>
      </c>
      <c r="AQ937">
        <v>132.49098008616517</v>
      </c>
      <c r="AR937">
        <v>19.658052176835728</v>
      </c>
      <c r="AS937">
        <v>274.30970734709678</v>
      </c>
      <c r="AT937">
        <v>11.614606584332984</v>
      </c>
      <c r="AU937">
        <v>15.712323320168636</v>
      </c>
      <c r="AV937"/>
      <c r="AW937"/>
      <c r="FY937" s="213">
        <v>932</v>
      </c>
      <c r="FZ937">
        <v>38.227831948472513</v>
      </c>
      <c r="GA937">
        <v>37.484348900677944</v>
      </c>
      <c r="GB937">
        <v>34.117316533572797</v>
      </c>
      <c r="GC937">
        <v>15.524940258075743</v>
      </c>
      <c r="GD937">
        <v>3.6373365548360628</v>
      </c>
      <c r="GE937">
        <v>4.5634538073275497</v>
      </c>
      <c r="GF937">
        <v>2.1785505256792637</v>
      </c>
      <c r="GG937">
        <v>4.9455973205540165</v>
      </c>
      <c r="GH937">
        <v>12.413667950808485</v>
      </c>
      <c r="GI937">
        <v>18.444928013777673</v>
      </c>
      <c r="GJ937"/>
      <c r="GK937"/>
      <c r="GL937"/>
      <c r="GM937"/>
      <c r="GN937" s="208"/>
      <c r="GO937" s="208"/>
      <c r="GP937" s="208"/>
      <c r="GQ937" s="208"/>
      <c r="GR937" s="208"/>
      <c r="GS937" s="208"/>
      <c r="GT937" s="208"/>
      <c r="GU937" s="213">
        <v>932</v>
      </c>
    </row>
    <row r="938" spans="1:203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301.92337024906357</v>
      </c>
      <c r="AO938">
        <v>24.767095273661635</v>
      </c>
      <c r="AP938">
        <v>26.543939337955635</v>
      </c>
      <c r="AQ938">
        <v>173.43755641076547</v>
      </c>
      <c r="AR938">
        <v>25.070484320636758</v>
      </c>
      <c r="AS938">
        <v>390.43960544044899</v>
      </c>
      <c r="AT938">
        <v>15.941575853892898</v>
      </c>
      <c r="AU938">
        <v>-3.6421569855385769</v>
      </c>
      <c r="AV938"/>
      <c r="AW938"/>
      <c r="FY938" s="213">
        <v>933</v>
      </c>
      <c r="FZ938">
        <v>48.522707252965517</v>
      </c>
      <c r="GA938">
        <v>33.952186581747505</v>
      </c>
      <c r="GB938">
        <v>21.489601991476565</v>
      </c>
      <c r="GC938">
        <v>11.640015788985105</v>
      </c>
      <c r="GD938">
        <v>3.1903048184197282</v>
      </c>
      <c r="GE938">
        <v>3.5071820455113585</v>
      </c>
      <c r="GF938">
        <v>11.112496558486434</v>
      </c>
      <c r="GG938">
        <v>13.0100561843864</v>
      </c>
      <c r="GH938">
        <v>8.5094594129486438</v>
      </c>
      <c r="GI938">
        <v>17.63043669138791</v>
      </c>
      <c r="GJ938"/>
      <c r="GK938"/>
      <c r="GL938"/>
      <c r="GM938"/>
      <c r="GN938" s="208"/>
      <c r="GO938" s="208"/>
      <c r="GP938" s="208"/>
      <c r="GQ938" s="208"/>
      <c r="GR938" s="208"/>
      <c r="GS938" s="208"/>
      <c r="GT938" s="208"/>
      <c r="GU938" s="213">
        <v>933</v>
      </c>
    </row>
    <row r="939" spans="1:203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266.17260984202017</v>
      </c>
      <c r="AO939">
        <v>26.378553803601157</v>
      </c>
      <c r="AP939">
        <v>23.969320001932783</v>
      </c>
      <c r="AQ939">
        <v>190.8964627942064</v>
      </c>
      <c r="AR939">
        <v>27.274646536140825</v>
      </c>
      <c r="AS939">
        <v>374.66180898325325</v>
      </c>
      <c r="AT939">
        <v>17.368208083977994</v>
      </c>
      <c r="AU939">
        <v>-17.479217709160139</v>
      </c>
      <c r="AV939"/>
      <c r="AW939"/>
      <c r="FY939" s="213">
        <v>934</v>
      </c>
      <c r="FZ939">
        <v>59.035629560054652</v>
      </c>
      <c r="GA939">
        <v>63.991596318799189</v>
      </c>
      <c r="GB939">
        <v>36.346489472529584</v>
      </c>
      <c r="GC939">
        <v>11.00848931083164</v>
      </c>
      <c r="GD939">
        <v>3.5703017082024235</v>
      </c>
      <c r="GE939">
        <v>6.2772363798003692</v>
      </c>
      <c r="GF939">
        <v>8.3771075798883707</v>
      </c>
      <c r="GG939">
        <v>4.9594105798838166</v>
      </c>
      <c r="GH939">
        <v>3.2652081883845994</v>
      </c>
      <c r="GI939">
        <v>21.681510927015559</v>
      </c>
      <c r="GJ939"/>
      <c r="GK939"/>
      <c r="GL939"/>
      <c r="GM939"/>
      <c r="GN939" s="208"/>
      <c r="GO939" s="208"/>
      <c r="GP939" s="208"/>
      <c r="GQ939" s="208"/>
      <c r="GR939" s="208"/>
      <c r="GS939" s="208"/>
      <c r="GT939" s="208"/>
      <c r="GU939" s="213">
        <v>934</v>
      </c>
    </row>
    <row r="940" spans="1:203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247.68775650354965</v>
      </c>
      <c r="AO940">
        <v>30.15684004154334</v>
      </c>
      <c r="AP940">
        <v>35.366092766126556</v>
      </c>
      <c r="AQ940">
        <v>242.36633405790224</v>
      </c>
      <c r="AR940">
        <v>30.920110070238692</v>
      </c>
      <c r="AS940">
        <v>407.65323960131718</v>
      </c>
      <c r="AT940">
        <v>18.349861084707658</v>
      </c>
      <c r="AU940">
        <v>-16.853891804278682</v>
      </c>
      <c r="AV940"/>
      <c r="AW940"/>
      <c r="FY940" s="213">
        <v>935</v>
      </c>
      <c r="FZ940">
        <v>42.508663103422258</v>
      </c>
      <c r="GA940">
        <v>49.602048029848788</v>
      </c>
      <c r="GB940">
        <v>47.261883192894238</v>
      </c>
      <c r="GC940">
        <v>18.750975650154736</v>
      </c>
      <c r="GD940">
        <v>1.6009982525868098</v>
      </c>
      <c r="GE940">
        <v>3.7074394690816757</v>
      </c>
      <c r="GF940">
        <v>10.475083120698041</v>
      </c>
      <c r="GG940">
        <v>6.7031131673104341</v>
      </c>
      <c r="GH940">
        <v>1.8750474984101464</v>
      </c>
      <c r="GI940">
        <v>21.004898913510825</v>
      </c>
      <c r="GJ940"/>
      <c r="GK940"/>
      <c r="GL940"/>
      <c r="GM940"/>
      <c r="GN940" s="208"/>
      <c r="GO940" s="208"/>
      <c r="GP940" s="208"/>
      <c r="GQ940" s="208"/>
      <c r="GR940" s="208"/>
      <c r="GS940" s="208"/>
      <c r="GT940" s="208"/>
      <c r="GU940" s="213">
        <v>935</v>
      </c>
    </row>
    <row r="941" spans="1:203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251.20048343395533</v>
      </c>
      <c r="AO941">
        <v>23.896114375797055</v>
      </c>
      <c r="AP941">
        <v>20.779006229971852</v>
      </c>
      <c r="AQ941">
        <v>184.36116970213692</v>
      </c>
      <c r="AR941">
        <v>24.514744316577826</v>
      </c>
      <c r="AS941">
        <v>383.22675314787426</v>
      </c>
      <c r="AT941">
        <v>15.261529030931804</v>
      </c>
      <c r="AU941">
        <v>-35.068691731416664</v>
      </c>
      <c r="AV941"/>
      <c r="AW941"/>
      <c r="FY941" s="213">
        <v>936</v>
      </c>
      <c r="FZ941">
        <v>36.358183378298115</v>
      </c>
      <c r="GA941">
        <v>18.127274632919484</v>
      </c>
      <c r="GB941">
        <v>20.970229464069892</v>
      </c>
      <c r="GC941">
        <v>12.791432277043755</v>
      </c>
      <c r="GD941">
        <v>2.0032533593379953</v>
      </c>
      <c r="GE941">
        <v>2.9294260824798717</v>
      </c>
      <c r="GF941">
        <v>6.2550844347042318</v>
      </c>
      <c r="GG941">
        <v>9.7302615710353635</v>
      </c>
      <c r="GH941">
        <v>11.530184085788504</v>
      </c>
      <c r="GI941">
        <v>14.615184343159918</v>
      </c>
      <c r="GJ941"/>
      <c r="GK941"/>
      <c r="GL941"/>
      <c r="GM941"/>
      <c r="GN941" s="208"/>
      <c r="GO941" s="208"/>
      <c r="GP941" s="208"/>
      <c r="GQ941" s="208"/>
      <c r="GR941" s="208"/>
      <c r="GS941" s="208"/>
      <c r="GT941" s="208"/>
      <c r="GU941" s="213">
        <v>936</v>
      </c>
    </row>
    <row r="942" spans="1:203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313.44237381413086</v>
      </c>
      <c r="AO942">
        <v>29.277933768980052</v>
      </c>
      <c r="AP942">
        <v>83.357709073349127</v>
      </c>
      <c r="AQ942">
        <v>219.41120903579795</v>
      </c>
      <c r="AR942">
        <v>29.919578045928535</v>
      </c>
      <c r="AS942">
        <v>429.27230054473318</v>
      </c>
      <c r="AT942">
        <v>19.161615442812462</v>
      </c>
      <c r="AU942">
        <v>-20.756146344212809</v>
      </c>
      <c r="AV942"/>
      <c r="AW942"/>
      <c r="FY942" s="213">
        <v>937</v>
      </c>
      <c r="FZ942">
        <v>52.479728016844724</v>
      </c>
      <c r="GA942">
        <v>62.719245360769747</v>
      </c>
      <c r="GB942">
        <v>41.082486494702813</v>
      </c>
      <c r="GC942">
        <v>14.914898275226815</v>
      </c>
      <c r="GD942">
        <v>4.3445817919990679</v>
      </c>
      <c r="GE942">
        <v>6.2592167491579112</v>
      </c>
      <c r="GF942">
        <v>4.1131814210190107</v>
      </c>
      <c r="GG942">
        <v>4.7022565426746743</v>
      </c>
      <c r="GH942">
        <v>13.375594808189927</v>
      </c>
      <c r="GI942">
        <v>23.16135636676103</v>
      </c>
      <c r="GJ942"/>
      <c r="GK942"/>
      <c r="GL942"/>
      <c r="GM942"/>
      <c r="GN942" s="208"/>
      <c r="GO942" s="208"/>
      <c r="GP942" s="208"/>
      <c r="GQ942" s="208"/>
      <c r="GR942" s="208"/>
      <c r="GS942" s="208"/>
      <c r="GT942" s="208"/>
      <c r="GU942" s="213">
        <v>937</v>
      </c>
    </row>
    <row r="943" spans="1:203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273.70019619394236</v>
      </c>
      <c r="AO943">
        <v>22.877799103372769</v>
      </c>
      <c r="AP943">
        <v>47.015768703112244</v>
      </c>
      <c r="AQ943">
        <v>158.73149506550465</v>
      </c>
      <c r="AR943">
        <v>24.101349443814723</v>
      </c>
      <c r="AS943">
        <v>363.94516494610423</v>
      </c>
      <c r="AT943">
        <v>14.856886082021424</v>
      </c>
      <c r="AU943">
        <v>18.729292217076143</v>
      </c>
      <c r="AV943"/>
      <c r="AW943"/>
      <c r="FY943" s="213">
        <v>938</v>
      </c>
      <c r="FZ943">
        <v>48.487355494254146</v>
      </c>
      <c r="GA943">
        <v>49.543647467009997</v>
      </c>
      <c r="GB943">
        <v>25.313937447851472</v>
      </c>
      <c r="GC943">
        <v>10.777597220631444</v>
      </c>
      <c r="GD943">
        <v>4.2808941261867508</v>
      </c>
      <c r="GE943">
        <v>4.4427814232641003</v>
      </c>
      <c r="GF943">
        <v>0.88420469338220353</v>
      </c>
      <c r="GG943">
        <v>0.69622284766953368</v>
      </c>
      <c r="GH943">
        <v>1.6923290323151603</v>
      </c>
      <c r="GI943">
        <v>16.226371202081086</v>
      </c>
      <c r="GJ943"/>
      <c r="GK943"/>
      <c r="GL943"/>
      <c r="GM943"/>
      <c r="GN943" s="208"/>
      <c r="GO943" s="208"/>
      <c r="GP943" s="208"/>
      <c r="GQ943" s="208"/>
      <c r="GR943" s="208"/>
      <c r="GS943" s="208"/>
      <c r="GT943" s="208"/>
      <c r="GU943" s="213">
        <v>938</v>
      </c>
    </row>
    <row r="944" spans="1:203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238.55662189848346</v>
      </c>
      <c r="AO944">
        <v>25.983481514863012</v>
      </c>
      <c r="AP944">
        <v>40.826364548434917</v>
      </c>
      <c r="AQ944">
        <v>199.70804820600898</v>
      </c>
      <c r="AR944">
        <v>27.621638781843593</v>
      </c>
      <c r="AS944">
        <v>320.83586253867765</v>
      </c>
      <c r="AT944">
        <v>16.703542498823964</v>
      </c>
      <c r="AU944">
        <v>6.5565506899390442</v>
      </c>
      <c r="AV944"/>
      <c r="AW944"/>
      <c r="FY944" s="213">
        <v>939</v>
      </c>
      <c r="FZ944">
        <v>48.12462335561198</v>
      </c>
      <c r="GA944">
        <v>38.612664352041762</v>
      </c>
      <c r="GB944">
        <v>27.548848236437482</v>
      </c>
      <c r="GC944">
        <v>12.726298287254998</v>
      </c>
      <c r="GD944">
        <v>4.2144404770261437</v>
      </c>
      <c r="GE944">
        <v>7.0067936133211131</v>
      </c>
      <c r="GF944">
        <v>15.6572547944308</v>
      </c>
      <c r="GG944">
        <v>12.829076708642042</v>
      </c>
      <c r="GH944">
        <v>1.4982436863268562</v>
      </c>
      <c r="GI944">
        <v>19.341662718134831</v>
      </c>
      <c r="GJ944"/>
      <c r="GK944"/>
      <c r="GL944"/>
      <c r="GM944"/>
      <c r="GN944" s="208"/>
      <c r="GO944" s="208"/>
      <c r="GP944" s="208"/>
      <c r="GQ944" s="208"/>
      <c r="GR944" s="208"/>
      <c r="GS944" s="208"/>
      <c r="GT944" s="208"/>
      <c r="GU944" s="213">
        <v>939</v>
      </c>
    </row>
    <row r="945" spans="1:203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224.90670253423181</v>
      </c>
      <c r="AO945">
        <v>20.697705246413982</v>
      </c>
      <c r="AP945">
        <v>23.460725355949155</v>
      </c>
      <c r="AQ945">
        <v>150.44272325658403</v>
      </c>
      <c r="AR945">
        <v>21.275228573203481</v>
      </c>
      <c r="AS945">
        <v>337.34917481423838</v>
      </c>
      <c r="AT945" t="e">
        <v>#DIV/0!</v>
      </c>
      <c r="AU945" t="e">
        <v>#DIV/0!</v>
      </c>
      <c r="AV945"/>
      <c r="AW945"/>
      <c r="FY945" s="213">
        <v>940</v>
      </c>
      <c r="FZ945">
        <v>49.438211450216762</v>
      </c>
      <c r="GA945">
        <v>34.0545452300967</v>
      </c>
      <c r="GB945">
        <v>27.107595815679257</v>
      </c>
      <c r="GC945">
        <v>12.930568885448862</v>
      </c>
      <c r="GD945">
        <v>3.311883960142278</v>
      </c>
      <c r="GE945">
        <v>5.4972343428262729</v>
      </c>
      <c r="GF945">
        <v>8.55187633438576</v>
      </c>
      <c r="GG945">
        <v>9.8421176754150181</v>
      </c>
      <c r="GH945">
        <v>9.2910632224754313</v>
      </c>
      <c r="GI945">
        <v>18.854997657144754</v>
      </c>
      <c r="GJ945"/>
      <c r="GK945"/>
      <c r="GL945"/>
      <c r="GM945"/>
      <c r="GN945" s="208"/>
      <c r="GO945" s="208"/>
      <c r="GP945" s="208"/>
      <c r="GQ945" s="208"/>
      <c r="GR945" s="208"/>
      <c r="GS945" s="208"/>
      <c r="GT945" s="208"/>
      <c r="GU945" s="213">
        <v>940</v>
      </c>
    </row>
    <row r="946" spans="1:203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236.25184146357816</v>
      </c>
      <c r="AO946">
        <v>21.846692351819808</v>
      </c>
      <c r="AP946">
        <v>25.500088988640698</v>
      </c>
      <c r="AQ946">
        <v>160.84351795620182</v>
      </c>
      <c r="AR946">
        <v>22.666768259077443</v>
      </c>
      <c r="AS946">
        <v>312.97643193450875</v>
      </c>
      <c r="AT946">
        <v>13.888879302945538</v>
      </c>
      <c r="AU946">
        <v>8.5152958379065495</v>
      </c>
      <c r="AV946"/>
      <c r="AW946"/>
      <c r="FY946" s="213">
        <v>941</v>
      </c>
      <c r="FZ946">
        <v>55.586462219667254</v>
      </c>
      <c r="GA946">
        <v>55.48559988872924</v>
      </c>
      <c r="GB946">
        <v>39.064459063298187</v>
      </c>
      <c r="GC946">
        <v>20.483117613188117</v>
      </c>
      <c r="GD946">
        <v>4.3684573952490444</v>
      </c>
      <c r="GE946">
        <v>2.8554966795483394</v>
      </c>
      <c r="GF946">
        <v>2.4560022627184557</v>
      </c>
      <c r="GG946">
        <v>5.3460209818575706</v>
      </c>
      <c r="GH946">
        <v>11.305490362199617</v>
      </c>
      <c r="GI946">
        <v>22.517803869400812</v>
      </c>
      <c r="GJ946"/>
      <c r="GK946"/>
      <c r="GL946"/>
      <c r="GM946"/>
      <c r="GN946" s="208"/>
      <c r="GO946" s="208"/>
      <c r="GP946" s="208"/>
      <c r="GQ946" s="208"/>
      <c r="GR946" s="208"/>
      <c r="GS946" s="208"/>
      <c r="GT946" s="208"/>
      <c r="GU946" s="213">
        <v>941</v>
      </c>
    </row>
    <row r="947" spans="1:203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235.16708356350313</v>
      </c>
      <c r="AO947">
        <v>23.801382606445895</v>
      </c>
      <c r="AP947">
        <v>15.776077674840732</v>
      </c>
      <c r="AQ947">
        <v>172.36177711814469</v>
      </c>
      <c r="AR947">
        <v>24.919836109539641</v>
      </c>
      <c r="AS947">
        <v>336.05397932848797</v>
      </c>
      <c r="AT947">
        <v>15.001686670471159</v>
      </c>
      <c r="AU947">
        <v>-12.112766347418422</v>
      </c>
      <c r="AV947"/>
      <c r="AW947"/>
      <c r="FY947" s="213">
        <v>942</v>
      </c>
      <c r="FZ947">
        <v>39.963423783182236</v>
      </c>
      <c r="GA947">
        <v>36.44789497719723</v>
      </c>
      <c r="GB947">
        <v>37.861302539551652</v>
      </c>
      <c r="GC947">
        <v>16.39725104565925</v>
      </c>
      <c r="GD947">
        <v>5.1407781247362649</v>
      </c>
      <c r="GE947">
        <v>8.4974959107787384</v>
      </c>
      <c r="GF947">
        <v>8.3650163870503143</v>
      </c>
      <c r="GG947">
        <v>10.221046095872808</v>
      </c>
      <c r="GH947">
        <v>9.9241843300116113</v>
      </c>
      <c r="GI947">
        <v>21.213456340124683</v>
      </c>
      <c r="GJ947"/>
      <c r="GK947"/>
      <c r="GL947"/>
      <c r="GM947"/>
      <c r="GN947" s="208"/>
      <c r="GO947" s="208"/>
      <c r="GP947" s="208"/>
      <c r="GQ947" s="208"/>
      <c r="GR947" s="208"/>
      <c r="GS947" s="208"/>
      <c r="GT947" s="208"/>
      <c r="GU947" s="213">
        <v>942</v>
      </c>
    </row>
    <row r="948" spans="1:203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269.83836022827342</v>
      </c>
      <c r="AO948">
        <v>24.608061823248402</v>
      </c>
      <c r="AP948">
        <v>29.819565330091784</v>
      </c>
      <c r="AQ948">
        <v>171.53797181378206</v>
      </c>
      <c r="AR948">
        <v>25.270435433350062</v>
      </c>
      <c r="AS948">
        <v>409.41028250915286</v>
      </c>
      <c r="AT948">
        <v>15.651404079994471</v>
      </c>
      <c r="AU948">
        <v>0.13537182833265149</v>
      </c>
      <c r="AV948"/>
      <c r="AW948"/>
      <c r="FY948" s="213">
        <v>943</v>
      </c>
      <c r="FZ948">
        <v>51.013872457295072</v>
      </c>
      <c r="GA948">
        <v>42.960699920389949</v>
      </c>
      <c r="GB948">
        <v>32.734679758827241</v>
      </c>
      <c r="GC948">
        <v>14.876963126687214</v>
      </c>
      <c r="GD948">
        <v>1.5472173843394983</v>
      </c>
      <c r="GE948">
        <v>2.0117888592482891</v>
      </c>
      <c r="GF948">
        <v>8.4507779849319249</v>
      </c>
      <c r="GG948">
        <v>8.7382077799872917</v>
      </c>
      <c r="GH948">
        <v>8.065532865313239</v>
      </c>
      <c r="GI948">
        <v>19.255008211720092</v>
      </c>
      <c r="GJ948"/>
      <c r="GK948"/>
      <c r="GL948"/>
      <c r="GM948"/>
      <c r="GN948" s="208"/>
      <c r="GO948" s="208"/>
      <c r="GP948" s="208"/>
      <c r="GQ948" s="208"/>
      <c r="GR948" s="208"/>
      <c r="GS948" s="208"/>
      <c r="GT948" s="208"/>
      <c r="GU948" s="213">
        <v>943</v>
      </c>
    </row>
    <row r="949" spans="1:203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229.94114326658269</v>
      </c>
      <c r="AO949">
        <v>23.497904322078803</v>
      </c>
      <c r="AP949">
        <v>46.316176580918665</v>
      </c>
      <c r="AQ949">
        <v>172.56444732631516</v>
      </c>
      <c r="AR949">
        <v>24.218464442137655</v>
      </c>
      <c r="AS949">
        <v>326.72303227866468</v>
      </c>
      <c r="AT949">
        <v>14.44776310405598</v>
      </c>
      <c r="AU949">
        <v>5.5888757738238581</v>
      </c>
      <c r="AV949"/>
      <c r="AW949"/>
      <c r="FY949" s="213">
        <v>944</v>
      </c>
      <c r="FZ949">
        <v>48.558236303102561</v>
      </c>
      <c r="GA949">
        <v>55.480183958864721</v>
      </c>
      <c r="GB949">
        <v>42.722492389776043</v>
      </c>
      <c r="GC949">
        <v>17.576851867210618</v>
      </c>
      <c r="GD949">
        <v>2.1042033265143836</v>
      </c>
      <c r="GE949">
        <v>2.1608116258299352</v>
      </c>
      <c r="GF949">
        <v>1.3659464771985537</v>
      </c>
      <c r="GG949">
        <v>1.2395688803671039</v>
      </c>
      <c r="GH949">
        <v>9.1101988605774977</v>
      </c>
      <c r="GI949">
        <v>20.535663139647582</v>
      </c>
      <c r="GJ949"/>
      <c r="GK949"/>
      <c r="GL949"/>
      <c r="GM949"/>
      <c r="GN949" s="208"/>
      <c r="GO949" s="208"/>
      <c r="GP949" s="208"/>
      <c r="GQ949" s="208"/>
      <c r="GR949" s="208"/>
      <c r="GS949" s="208"/>
      <c r="GT949" s="208"/>
      <c r="GU949" s="213">
        <v>944</v>
      </c>
    </row>
    <row r="950" spans="1:203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324.91066478901803</v>
      </c>
      <c r="AO950">
        <v>28.593868514831588</v>
      </c>
      <c r="AP950">
        <v>14.115983093589568</v>
      </c>
      <c r="AQ950">
        <v>218.51298002539019</v>
      </c>
      <c r="AR950">
        <v>29.832633948532628</v>
      </c>
      <c r="AS950">
        <v>397.2266916880767</v>
      </c>
      <c r="AT950">
        <v>17.924357921479629</v>
      </c>
      <c r="AU950">
        <v>-33.953937367630772</v>
      </c>
      <c r="AV950"/>
      <c r="AW950"/>
      <c r="FY950" s="213">
        <v>945</v>
      </c>
      <c r="FZ950">
        <v>36.936373198495481</v>
      </c>
      <c r="GA950">
        <v>36.61969298996766</v>
      </c>
      <c r="GB950">
        <v>33.779499936140141</v>
      </c>
      <c r="GC950">
        <v>16.106427203997015</v>
      </c>
      <c r="GD950">
        <v>4.3078789870086016</v>
      </c>
      <c r="GE950">
        <v>2.8961611091751207</v>
      </c>
      <c r="GF950">
        <v>8.0787250913446655</v>
      </c>
      <c r="GG950">
        <v>12.465150644666487</v>
      </c>
      <c r="GH950">
        <v>13.306222265868943</v>
      </c>
      <c r="GI950">
        <v>19.781809028155028</v>
      </c>
      <c r="GJ950"/>
      <c r="GK950"/>
      <c r="GL950"/>
      <c r="GM950"/>
      <c r="GN950" s="208"/>
      <c r="GO950" s="208"/>
      <c r="GP950" s="208"/>
      <c r="GQ950" s="208"/>
      <c r="GR950" s="208"/>
      <c r="GS950" s="208"/>
      <c r="GT950" s="208"/>
      <c r="GU950" s="213">
        <v>945</v>
      </c>
    </row>
    <row r="951" spans="1:203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272.14769772596094</v>
      </c>
      <c r="AO951">
        <v>28.784088189475646</v>
      </c>
      <c r="AP951">
        <v>49.434175322458721</v>
      </c>
      <c r="AQ951">
        <v>203.49015039791794</v>
      </c>
      <c r="AR951">
        <v>28.702958520255255</v>
      </c>
      <c r="AS951">
        <v>391.78520876396135</v>
      </c>
      <c r="AT951">
        <v>17.60474321901776</v>
      </c>
      <c r="AU951">
        <v>-9.8883942339087483</v>
      </c>
      <c r="AV951"/>
      <c r="AW951"/>
      <c r="FY951" s="213">
        <v>946</v>
      </c>
      <c r="FZ951">
        <v>48.779422423837161</v>
      </c>
      <c r="GA951">
        <v>51.719518809965699</v>
      </c>
      <c r="GB951">
        <v>37.104255846547602</v>
      </c>
      <c r="GC951">
        <v>13.984911545085101</v>
      </c>
      <c r="GD951">
        <v>1.3712562229912204</v>
      </c>
      <c r="GE951">
        <v>2.3207426032181449</v>
      </c>
      <c r="GF951">
        <v>9.9368139563865672</v>
      </c>
      <c r="GG951">
        <v>11.108280101923608</v>
      </c>
      <c r="GH951">
        <v>11.496391655019757</v>
      </c>
      <c r="GI951">
        <v>20.713295213411747</v>
      </c>
      <c r="GJ951"/>
      <c r="GK951"/>
      <c r="GL951"/>
      <c r="GM951"/>
      <c r="GN951" s="208"/>
      <c r="GO951" s="208"/>
      <c r="GP951" s="208"/>
      <c r="GQ951" s="208"/>
      <c r="GR951" s="208"/>
      <c r="GS951" s="208"/>
      <c r="GT951" s="208"/>
      <c r="GU951" s="213">
        <v>946</v>
      </c>
    </row>
    <row r="952" spans="1:203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209.96055680266377</v>
      </c>
      <c r="AO952">
        <v>19.328791816057144</v>
      </c>
      <c r="AP952">
        <v>26.145021363158904</v>
      </c>
      <c r="AQ952">
        <v>135.31051362883713</v>
      </c>
      <c r="AR952">
        <v>19.981962954925059</v>
      </c>
      <c r="AS952">
        <v>310.84955306959222</v>
      </c>
      <c r="AT952">
        <v>12.310273985693549</v>
      </c>
      <c r="AU952">
        <v>21.372878966571385</v>
      </c>
      <c r="AV952"/>
      <c r="AW952"/>
      <c r="FY952" s="213">
        <v>947</v>
      </c>
      <c r="FZ952">
        <v>41.713802054233021</v>
      </c>
      <c r="GA952">
        <v>75.202931636723449</v>
      </c>
      <c r="GB952">
        <v>40.602136079330329</v>
      </c>
      <c r="GC952">
        <v>10.199537310507058</v>
      </c>
      <c r="GD952">
        <v>2.3153616647003536</v>
      </c>
      <c r="GE952">
        <v>3.866913246246658</v>
      </c>
      <c r="GF952">
        <v>2.9970082709825796</v>
      </c>
      <c r="GG952">
        <v>5.2426869286155178</v>
      </c>
      <c r="GH952">
        <v>6.2510728312374191</v>
      </c>
      <c r="GI952">
        <v>18.954853277651694</v>
      </c>
      <c r="GJ952"/>
      <c r="GK952"/>
      <c r="GL952"/>
      <c r="GM952"/>
      <c r="GN952" s="208"/>
      <c r="GO952" s="208"/>
      <c r="GP952" s="208"/>
      <c r="GQ952" s="208"/>
      <c r="GR952" s="208"/>
      <c r="GS952" s="208"/>
      <c r="GT952" s="208"/>
      <c r="GU952" s="213">
        <v>947</v>
      </c>
    </row>
    <row r="953" spans="1:203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352.92784728097024</v>
      </c>
      <c r="AO953">
        <v>30.711048754502183</v>
      </c>
      <c r="AP953">
        <v>31.407425413631927</v>
      </c>
      <c r="AQ953">
        <v>227.1525458273457</v>
      </c>
      <c r="AR953">
        <v>31.697733220055348</v>
      </c>
      <c r="AS953">
        <v>479.89501586382789</v>
      </c>
      <c r="AT953">
        <v>19.376447106559269</v>
      </c>
      <c r="AU953">
        <v>-0.62178542215438171</v>
      </c>
      <c r="AV953"/>
      <c r="AW953"/>
      <c r="FY953" s="213">
        <v>948</v>
      </c>
      <c r="FZ953">
        <v>41.412451941404719</v>
      </c>
      <c r="GA953">
        <v>33.221436317894288</v>
      </c>
      <c r="GB953">
        <v>26.346965586372825</v>
      </c>
      <c r="GC953">
        <v>12.141331981744738</v>
      </c>
      <c r="GD953">
        <v>2.7145058526159702</v>
      </c>
      <c r="GE953">
        <v>4.5784271761639408</v>
      </c>
      <c r="GF953">
        <v>5.5201982151134779</v>
      </c>
      <c r="GG953">
        <v>6.3727864284718638</v>
      </c>
      <c r="GH953">
        <v>7.4753843434434071</v>
      </c>
      <c r="GI953">
        <v>16.308708897190712</v>
      </c>
      <c r="GJ953"/>
      <c r="GK953"/>
      <c r="GL953"/>
      <c r="GM953"/>
      <c r="GN953" s="208"/>
      <c r="GO953" s="208"/>
      <c r="GP953" s="208"/>
      <c r="GQ953" s="208"/>
      <c r="GR953" s="208"/>
      <c r="GS953" s="208"/>
      <c r="GT953" s="208"/>
      <c r="GU953" s="213">
        <v>948</v>
      </c>
    </row>
    <row r="954" spans="1:203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240.19665845054925</v>
      </c>
      <c r="AO954">
        <v>21.787884575196809</v>
      </c>
      <c r="AP954">
        <v>15.201399604400812</v>
      </c>
      <c r="AQ954">
        <v>162.34534095464591</v>
      </c>
      <c r="AR954">
        <v>22.259181765601546</v>
      </c>
      <c r="AS954">
        <v>330.9676236580338</v>
      </c>
      <c r="AT954">
        <v>13.541532406876058</v>
      </c>
      <c r="AU954">
        <v>1.7481164191448073</v>
      </c>
      <c r="AV954"/>
      <c r="AW954"/>
      <c r="FY954" s="213">
        <v>949</v>
      </c>
      <c r="FZ954">
        <v>49.164678191058748</v>
      </c>
      <c r="GA954">
        <v>45.153959460226986</v>
      </c>
      <c r="GB954">
        <v>50.955431965353952</v>
      </c>
      <c r="GC954">
        <v>22.963067518132718</v>
      </c>
      <c r="GD954">
        <v>2.5522901072808013</v>
      </c>
      <c r="GE954">
        <v>2.5872599473235005</v>
      </c>
      <c r="GF954">
        <v>1.9899772393916375</v>
      </c>
      <c r="GG954">
        <v>4.1449429008433833</v>
      </c>
      <c r="GH954">
        <v>5.0837089804427675</v>
      </c>
      <c r="GI954">
        <v>22.379412477014068</v>
      </c>
      <c r="GJ954"/>
      <c r="GK954"/>
      <c r="GL954"/>
      <c r="GM954"/>
      <c r="GN954" s="208"/>
      <c r="GO954" s="208"/>
      <c r="GP954" s="208"/>
      <c r="GQ954" s="208"/>
      <c r="GR954" s="208"/>
      <c r="GS954" s="208"/>
      <c r="GT954" s="208"/>
      <c r="GU954" s="213">
        <v>949</v>
      </c>
    </row>
    <row r="955" spans="1:203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263.066663261239</v>
      </c>
      <c r="AO955">
        <v>26.422577388287483</v>
      </c>
      <c r="AP955">
        <v>47.571612486310052</v>
      </c>
      <c r="AQ955">
        <v>187.55990622922801</v>
      </c>
      <c r="AR955">
        <v>26.68357915424334</v>
      </c>
      <c r="AS955">
        <v>362.66760631263446</v>
      </c>
      <c r="AT955">
        <v>15.083865383185787</v>
      </c>
      <c r="AU955">
        <v>-8.6575720148281192</v>
      </c>
      <c r="AV955"/>
      <c r="AW955"/>
      <c r="FY955" s="213">
        <v>950</v>
      </c>
      <c r="FZ955">
        <v>61.569518064773135</v>
      </c>
      <c r="GA955">
        <v>51.060207516779919</v>
      </c>
      <c r="GB955">
        <v>30.376415841291848</v>
      </c>
      <c r="GC955">
        <v>14.771581859235544</v>
      </c>
      <c r="GD955">
        <v>4.9221655414359882</v>
      </c>
      <c r="GE955">
        <v>4.7758039140570814</v>
      </c>
      <c r="GF955">
        <v>5.1361744407151502</v>
      </c>
      <c r="GG955">
        <v>6.5759580718457649</v>
      </c>
      <c r="GH955">
        <v>8.3119605948152522</v>
      </c>
      <c r="GI955">
        <v>21.59155945811553</v>
      </c>
      <c r="GJ955"/>
      <c r="GK955"/>
      <c r="GL955"/>
      <c r="GM955"/>
      <c r="GN955" s="208"/>
      <c r="GO955" s="208"/>
      <c r="GP955" s="208"/>
      <c r="GQ955" s="208"/>
      <c r="GR955" s="208"/>
      <c r="GS955" s="208"/>
      <c r="GT955" s="208"/>
      <c r="GU955" s="213">
        <v>950</v>
      </c>
    </row>
    <row r="956" spans="1:203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259.474620227841</v>
      </c>
      <c r="AO956">
        <v>24.841675407914295</v>
      </c>
      <c r="AP956">
        <v>32.96750473146389</v>
      </c>
      <c r="AQ956">
        <v>178.88009457383109</v>
      </c>
      <c r="AR956">
        <v>25.940426373752938</v>
      </c>
      <c r="AS956">
        <v>345.39771463483112</v>
      </c>
      <c r="AT956">
        <v>15.405806811155935</v>
      </c>
      <c r="AU956">
        <v>3.4986460806048143</v>
      </c>
      <c r="AV956"/>
      <c r="AW956"/>
      <c r="FY956" s="213">
        <v>951</v>
      </c>
      <c r="FZ956">
        <v>59.513026960144892</v>
      </c>
      <c r="GA956">
        <v>57.574601197977401</v>
      </c>
      <c r="GB956">
        <v>36.27931786722057</v>
      </c>
      <c r="GC956">
        <v>12.368612933552134</v>
      </c>
      <c r="GD956">
        <v>2.2211478001786129</v>
      </c>
      <c r="GE956">
        <v>2.0189169789120238</v>
      </c>
      <c r="GF956">
        <v>5.4990077667186448</v>
      </c>
      <c r="GG956">
        <v>4.2997287227042529</v>
      </c>
      <c r="GH956">
        <v>2.6253432528176446</v>
      </c>
      <c r="GI956">
        <v>20.355054822067107</v>
      </c>
      <c r="GJ956"/>
      <c r="GK956"/>
      <c r="GL956"/>
      <c r="GM956"/>
      <c r="GN956" s="208"/>
      <c r="GO956" s="208"/>
      <c r="GP956" s="208"/>
      <c r="GQ956" s="208"/>
      <c r="GR956" s="208"/>
      <c r="GS956" s="208"/>
      <c r="GT956" s="208"/>
      <c r="GU956" s="213">
        <v>951</v>
      </c>
    </row>
    <row r="957" spans="1:203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312.73299326358426</v>
      </c>
      <c r="AO957">
        <v>30.710521022312214</v>
      </c>
      <c r="AP957">
        <v>56.560255407678227</v>
      </c>
      <c r="AQ957">
        <v>219.46891033585661</v>
      </c>
      <c r="AR957">
        <v>30.795280587300269</v>
      </c>
      <c r="AS957">
        <v>447.469009835191</v>
      </c>
      <c r="AT957">
        <v>19.568658487877649</v>
      </c>
      <c r="AU957">
        <v>-1.0286413822076739</v>
      </c>
      <c r="AV957"/>
      <c r="AW957"/>
      <c r="FY957" s="213">
        <v>952</v>
      </c>
      <c r="FZ957">
        <v>47.907324047802184</v>
      </c>
      <c r="GA957">
        <v>36.25399905755458</v>
      </c>
      <c r="GB957">
        <v>29.912414211594076</v>
      </c>
      <c r="GC957">
        <v>15.90726588769242</v>
      </c>
      <c r="GD957">
        <v>5.0293348050028008</v>
      </c>
      <c r="GE957">
        <v>6.9356144602401724</v>
      </c>
      <c r="GF957">
        <v>8.9890471492433992</v>
      </c>
      <c r="GG957">
        <v>6.498063057434516</v>
      </c>
      <c r="GH957">
        <v>1.0872727086722969</v>
      </c>
      <c r="GI957">
        <v>19.078187867175952</v>
      </c>
      <c r="GJ957"/>
      <c r="GK957"/>
      <c r="GL957"/>
      <c r="GM957"/>
      <c r="GN957" s="208"/>
      <c r="GO957" s="208"/>
      <c r="GP957" s="208"/>
      <c r="GQ957" s="208"/>
      <c r="GR957" s="208"/>
      <c r="GS957" s="208"/>
      <c r="GT957" s="208"/>
      <c r="GU957" s="213">
        <v>952</v>
      </c>
    </row>
    <row r="958" spans="1:203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335.09773260710978</v>
      </c>
      <c r="AO958">
        <v>28.583060495656873</v>
      </c>
      <c r="AP958">
        <v>44.901697538270781</v>
      </c>
      <c r="AQ958">
        <v>194.03184953416476</v>
      </c>
      <c r="AR958">
        <v>29.096454931843095</v>
      </c>
      <c r="AS958">
        <v>438.96972885583216</v>
      </c>
      <c r="AT958">
        <v>17.85991295498491</v>
      </c>
      <c r="AU958">
        <v>-6.8023719605784407</v>
      </c>
      <c r="AV958"/>
      <c r="AW958"/>
      <c r="FY958" s="213">
        <v>953</v>
      </c>
      <c r="FZ958">
        <v>45.473473122916815</v>
      </c>
      <c r="GA958">
        <v>21.799472352509213</v>
      </c>
      <c r="GB958">
        <v>29.00304727429215</v>
      </c>
      <c r="GC958">
        <v>15.975683830437525</v>
      </c>
      <c r="GD958">
        <v>3.2233622108517452</v>
      </c>
      <c r="GE958">
        <v>6.2907923178205172</v>
      </c>
      <c r="GF958">
        <v>13.048303252418293</v>
      </c>
      <c r="GG958">
        <v>16.638749073436784</v>
      </c>
      <c r="GH958">
        <v>12.153666568514991</v>
      </c>
      <c r="GI958">
        <v>19.967438730155486</v>
      </c>
      <c r="GJ958"/>
      <c r="GK958"/>
      <c r="GL958"/>
      <c r="GM958"/>
      <c r="GN958" s="208"/>
      <c r="GO958" s="208"/>
      <c r="GP958" s="208"/>
      <c r="GQ958" s="208"/>
      <c r="GR958" s="208"/>
      <c r="GS958" s="208"/>
      <c r="GT958" s="208"/>
      <c r="GU958" s="213">
        <v>953</v>
      </c>
    </row>
    <row r="959" spans="1:203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230.75779800331057</v>
      </c>
      <c r="AO959">
        <v>25.727265377588139</v>
      </c>
      <c r="AP959">
        <v>36.268101732677458</v>
      </c>
      <c r="AQ959">
        <v>189.65474834873979</v>
      </c>
      <c r="AR959">
        <v>26.501203542105877</v>
      </c>
      <c r="AS959">
        <v>340.58443558327212</v>
      </c>
      <c r="AT959">
        <v>16.188753071792902</v>
      </c>
      <c r="AU959">
        <v>-10.442306489119233</v>
      </c>
      <c r="AV959"/>
      <c r="AW959"/>
      <c r="FY959" s="213">
        <v>954</v>
      </c>
      <c r="FZ959">
        <v>51.441355100677335</v>
      </c>
      <c r="GA959">
        <v>57.833268714740456</v>
      </c>
      <c r="GB959">
        <v>44.437209406801202</v>
      </c>
      <c r="GC959">
        <v>19.24409950567566</v>
      </c>
      <c r="GD959">
        <v>4.1919483762389964</v>
      </c>
      <c r="GE959">
        <v>5.7566906583399788</v>
      </c>
      <c r="GF959">
        <v>9.990604492929041</v>
      </c>
      <c r="GG959">
        <v>7.2147065843604805</v>
      </c>
      <c r="GH959">
        <v>1.9578012848595356</v>
      </c>
      <c r="GI959">
        <v>23.019592313710223</v>
      </c>
      <c r="GJ959"/>
      <c r="GK959"/>
      <c r="GL959"/>
      <c r="GM959"/>
      <c r="GN959" s="208"/>
      <c r="GO959" s="208"/>
      <c r="GP959" s="208"/>
      <c r="GQ959" s="208"/>
      <c r="GR959" s="208"/>
      <c r="GS959" s="208"/>
      <c r="GT959" s="208"/>
      <c r="GU959" s="213">
        <v>954</v>
      </c>
    </row>
    <row r="960" spans="1:203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263.36256914387786</v>
      </c>
      <c r="AO960">
        <v>27.599904166999146</v>
      </c>
      <c r="AP960">
        <v>43.404621710442036</v>
      </c>
      <c r="AQ960">
        <v>200.85415682908899</v>
      </c>
      <c r="AR960">
        <v>28.194146277013566</v>
      </c>
      <c r="AS960">
        <v>382.22740828544295</v>
      </c>
      <c r="AT960">
        <v>17.441425184720678</v>
      </c>
      <c r="AU960">
        <v>-28.447097534530094</v>
      </c>
      <c r="AV960"/>
      <c r="AW960"/>
      <c r="FY960" s="213">
        <v>955</v>
      </c>
      <c r="FZ960">
        <v>52.991595851309619</v>
      </c>
      <c r="GA960">
        <v>38.593565318990365</v>
      </c>
      <c r="GB960">
        <v>26.366064551478935</v>
      </c>
      <c r="GC960">
        <v>14.211289020002511</v>
      </c>
      <c r="GD960">
        <v>4.4981373147932384</v>
      </c>
      <c r="GE960">
        <v>6.3148610646436421</v>
      </c>
      <c r="GF960">
        <v>5.2215560296794532</v>
      </c>
      <c r="GG960">
        <v>4.9247389677819617</v>
      </c>
      <c r="GH960">
        <v>7.1048679079321948</v>
      </c>
      <c r="GI960">
        <v>18.928301094539552</v>
      </c>
      <c r="GJ960"/>
      <c r="GK960"/>
      <c r="GL960"/>
      <c r="GM960"/>
      <c r="GN960" s="208"/>
      <c r="GO960" s="208"/>
      <c r="GP960" s="208"/>
      <c r="GQ960" s="208"/>
      <c r="GR960" s="208"/>
      <c r="GS960" s="208"/>
      <c r="GT960" s="208"/>
      <c r="GU960" s="213">
        <v>955</v>
      </c>
    </row>
    <row r="961" spans="1:203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285.22620054364444</v>
      </c>
      <c r="AO961">
        <v>26.485036160296353</v>
      </c>
      <c r="AP961">
        <v>34.048692933471862</v>
      </c>
      <c r="AQ961">
        <v>184.27794045481917</v>
      </c>
      <c r="AR961">
        <v>27.035629424276799</v>
      </c>
      <c r="AS961">
        <v>421.09055783585296</v>
      </c>
      <c r="AT961">
        <v>17.050598358345802</v>
      </c>
      <c r="AU961">
        <v>16.60362161859911</v>
      </c>
      <c r="AV961"/>
      <c r="AW961"/>
      <c r="FY961" s="213">
        <v>956</v>
      </c>
      <c r="FZ961">
        <v>47.154704656013465</v>
      </c>
      <c r="GA961">
        <v>59.60188668931486</v>
      </c>
      <c r="GB961">
        <v>48.242884297309118</v>
      </c>
      <c r="GC961">
        <v>18.106535427907453</v>
      </c>
      <c r="GD961">
        <v>2.832773178918667</v>
      </c>
      <c r="GE961">
        <v>2.8949134302327151</v>
      </c>
      <c r="GF961">
        <v>6.8025731665994691</v>
      </c>
      <c r="GG961">
        <v>5.8779693601251797</v>
      </c>
      <c r="GH961">
        <v>10.75313638194703</v>
      </c>
      <c r="GI961">
        <v>23.352725409951297</v>
      </c>
      <c r="GJ961"/>
      <c r="GK961"/>
      <c r="GL961"/>
      <c r="GM961"/>
      <c r="GN961" s="208"/>
      <c r="GO961" s="208"/>
      <c r="GP961" s="208"/>
      <c r="GQ961" s="208"/>
      <c r="GR961" s="208"/>
      <c r="GS961" s="208"/>
      <c r="GT961" s="208"/>
      <c r="GU961" s="213">
        <v>956</v>
      </c>
    </row>
    <row r="962" spans="1:203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270.07500502882385</v>
      </c>
      <c r="AO962">
        <v>27.710449186083913</v>
      </c>
      <c r="AP962">
        <v>47.078107611100563</v>
      </c>
      <c r="AQ962">
        <v>208.53488837838663</v>
      </c>
      <c r="AR962">
        <v>28.408300777883994</v>
      </c>
      <c r="AS962">
        <v>425.71095661598281</v>
      </c>
      <c r="AT962">
        <v>17.560509288446493</v>
      </c>
      <c r="AU962">
        <v>9.6525258533716283</v>
      </c>
      <c r="AV962"/>
      <c r="AW962"/>
      <c r="FY962" s="213">
        <v>957</v>
      </c>
      <c r="FZ962">
        <v>43.274630733144654</v>
      </c>
      <c r="GA962">
        <v>22.391565299848324</v>
      </c>
      <c r="GB962">
        <v>24.860964921610169</v>
      </c>
      <c r="GC962">
        <v>12.749497089546793</v>
      </c>
      <c r="GD962">
        <v>3.0321274036332744</v>
      </c>
      <c r="GE962">
        <v>4.3002028295803765</v>
      </c>
      <c r="GF962">
        <v>8.5985406512139591</v>
      </c>
      <c r="GG962">
        <v>8.3141132185284405</v>
      </c>
      <c r="GH962">
        <v>6.5173547165053014</v>
      </c>
      <c r="GI962">
        <v>16.802750577879426</v>
      </c>
      <c r="GJ962"/>
      <c r="GK962"/>
      <c r="GL962"/>
      <c r="GM962"/>
      <c r="GN962" s="208"/>
      <c r="GO962" s="208"/>
      <c r="GP962" s="208"/>
      <c r="GQ962" s="208"/>
      <c r="GR962" s="208"/>
      <c r="GS962" s="208"/>
      <c r="GT962" s="208"/>
      <c r="GU962" s="213">
        <v>957</v>
      </c>
    </row>
    <row r="963" spans="1:203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288.99172067447228</v>
      </c>
      <c r="AO963">
        <v>26.536179258456222</v>
      </c>
      <c r="AP963">
        <v>7.5672297017472774</v>
      </c>
      <c r="AQ963">
        <v>207.3463033002281</v>
      </c>
      <c r="AR963">
        <v>25.918038488321777</v>
      </c>
      <c r="AS963">
        <v>368.86890823963324</v>
      </c>
      <c r="AT963">
        <v>16.046111906327237</v>
      </c>
      <c r="AU963">
        <v>-33.459261195303611</v>
      </c>
      <c r="AV963"/>
      <c r="AW963"/>
      <c r="FY963" s="213">
        <v>958</v>
      </c>
      <c r="FZ963">
        <v>56.164782919747509</v>
      </c>
      <c r="GA963">
        <v>66.860983344977896</v>
      </c>
      <c r="GB963">
        <v>38.465806063591799</v>
      </c>
      <c r="GC963">
        <v>13.310580415097522</v>
      </c>
      <c r="GD963">
        <v>3.6446181032570979</v>
      </c>
      <c r="GE963">
        <v>6.7837007377708503</v>
      </c>
      <c r="GF963">
        <v>5.9183684732172654</v>
      </c>
      <c r="GG963">
        <v>5.2636603167447307</v>
      </c>
      <c r="GH963">
        <v>9.1969551298775887</v>
      </c>
      <c r="GI963">
        <v>22.309483236465436</v>
      </c>
      <c r="GJ963"/>
      <c r="GK963"/>
      <c r="GL963"/>
      <c r="GM963"/>
      <c r="GN963" s="208"/>
      <c r="GO963" s="208"/>
      <c r="GP963" s="208"/>
      <c r="GQ963" s="208"/>
      <c r="GR963" s="208"/>
      <c r="GS963" s="208"/>
      <c r="GT963" s="208"/>
      <c r="GU963" s="213">
        <v>958</v>
      </c>
    </row>
    <row r="964" spans="1:203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241.74196678117877</v>
      </c>
      <c r="AO964">
        <v>21.696851540706209</v>
      </c>
      <c r="AP964">
        <v>28.813358250330545</v>
      </c>
      <c r="AQ964">
        <v>156.09219674041594</v>
      </c>
      <c r="AR964">
        <v>22.335547376393215</v>
      </c>
      <c r="AS964">
        <v>303.24380123485349</v>
      </c>
      <c r="AT964">
        <v>13.264277152562579</v>
      </c>
      <c r="AU964">
        <v>15.211597514926201</v>
      </c>
      <c r="AV964"/>
      <c r="AW964"/>
      <c r="FY964" s="213">
        <v>959</v>
      </c>
      <c r="FZ964">
        <v>37.011327911612028</v>
      </c>
      <c r="GA964">
        <v>49.380309657691647</v>
      </c>
      <c r="GB964">
        <v>30.619409434402709</v>
      </c>
      <c r="GC964">
        <v>9.6955777729430164</v>
      </c>
      <c r="GD964">
        <v>2.4042583276818212</v>
      </c>
      <c r="GE964">
        <v>2.9028944658022997</v>
      </c>
      <c r="GF964">
        <v>4.7109600373939244</v>
      </c>
      <c r="GG964">
        <v>4.2195059480610366</v>
      </c>
      <c r="GH964">
        <v>8.0051251143703155</v>
      </c>
      <c r="GI964">
        <v>16.473005053018358</v>
      </c>
      <c r="GJ964"/>
      <c r="GK964"/>
      <c r="GL964"/>
      <c r="GM964"/>
      <c r="GN964" s="208"/>
      <c r="GO964" s="208"/>
      <c r="GP964" s="208"/>
      <c r="GQ964" s="208"/>
      <c r="GR964" s="208"/>
      <c r="GS964" s="208"/>
      <c r="GT964" s="208"/>
      <c r="GU964" s="213">
        <v>959</v>
      </c>
    </row>
    <row r="965" spans="1:203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278.59260600469327</v>
      </c>
      <c r="AO965">
        <v>30.32878171228004</v>
      </c>
      <c r="AP965">
        <v>9.3933229850132882</v>
      </c>
      <c r="AQ965">
        <v>206.97472878706856</v>
      </c>
      <c r="AR965">
        <v>30.711826120585929</v>
      </c>
      <c r="AS965">
        <v>467.47764498374141</v>
      </c>
      <c r="AT965">
        <v>18.886071579420882</v>
      </c>
      <c r="AU965">
        <v>-12.446717548175819</v>
      </c>
      <c r="AV965"/>
      <c r="AW965"/>
      <c r="FY965" s="213">
        <v>960</v>
      </c>
      <c r="FZ965">
        <v>46.086538171926257</v>
      </c>
      <c r="GA965">
        <v>29.12298653774144</v>
      </c>
      <c r="GB965">
        <v>35.404978278759103</v>
      </c>
      <c r="GC965">
        <v>17.018997675948899</v>
      </c>
      <c r="GD965">
        <v>2.810753926072604</v>
      </c>
      <c r="GE965">
        <v>4.1381633967372933</v>
      </c>
      <c r="GF965">
        <v>4.2611893149167095</v>
      </c>
      <c r="GG965">
        <v>6.4986509439592774</v>
      </c>
      <c r="GH965">
        <v>8.1273487283940398</v>
      </c>
      <c r="GI965">
        <v>19.167581697549512</v>
      </c>
      <c r="GJ965"/>
      <c r="GK965"/>
      <c r="GL965"/>
      <c r="GM965"/>
      <c r="GN965" s="208"/>
      <c r="GO965" s="208"/>
      <c r="GP965" s="208"/>
      <c r="GQ965" s="208"/>
      <c r="GR965" s="208"/>
      <c r="GS965" s="208"/>
      <c r="GT965" s="208"/>
      <c r="GU965" s="213">
        <v>960</v>
      </c>
    </row>
    <row r="966" spans="1:203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286.74839959410861</v>
      </c>
      <c r="AO966">
        <v>28.526098246953154</v>
      </c>
      <c r="AP966">
        <v>42.758146607321876</v>
      </c>
      <c r="AQ966">
        <v>209.09134530306522</v>
      </c>
      <c r="AR966">
        <v>29.707097358968777</v>
      </c>
      <c r="AS966">
        <v>388.26255516957372</v>
      </c>
      <c r="AT966">
        <v>18.212729358116956</v>
      </c>
      <c r="AU966">
        <v>15.003175135624886</v>
      </c>
      <c r="AV966"/>
      <c r="AW966"/>
      <c r="FY966" s="213">
        <v>961</v>
      </c>
      <c r="FZ966">
        <v>52.359051842583078</v>
      </c>
      <c r="GA966">
        <v>65.935157103327256</v>
      </c>
      <c r="GB966">
        <v>31.115618684704373</v>
      </c>
      <c r="GC966">
        <v>13.826902730909509</v>
      </c>
      <c r="GD966">
        <v>5.7613017875120169</v>
      </c>
      <c r="GE966">
        <v>7.2589159479884549</v>
      </c>
      <c r="GF966">
        <v>1.6001142374453603</v>
      </c>
      <c r="GG966">
        <v>0.7635168841104879</v>
      </c>
      <c r="GH966">
        <v>4.0092369190441097</v>
      </c>
      <c r="GI966">
        <v>19.572959310624835</v>
      </c>
      <c r="GJ966"/>
      <c r="GK966"/>
      <c r="GL966"/>
      <c r="GM966"/>
      <c r="GN966" s="208"/>
      <c r="GO966" s="208"/>
      <c r="GP966" s="208"/>
      <c r="GQ966" s="208"/>
      <c r="GR966" s="208"/>
      <c r="GS966" s="208"/>
      <c r="GT966" s="208"/>
      <c r="GU966" s="213">
        <v>961</v>
      </c>
    </row>
    <row r="967" spans="1:203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249.77904874044316</v>
      </c>
      <c r="AO967">
        <v>26.493916128921068</v>
      </c>
      <c r="AP967">
        <v>27.274781893601009</v>
      </c>
      <c r="AQ967">
        <v>202.75475830229331</v>
      </c>
      <c r="AR967">
        <v>28.011400254484386</v>
      </c>
      <c r="AS967">
        <v>373.07305532960004</v>
      </c>
      <c r="AT967">
        <v>17.246538393192207</v>
      </c>
      <c r="AU967">
        <v>-18.444844390290349</v>
      </c>
      <c r="AV967"/>
      <c r="AW967"/>
      <c r="FY967" s="213">
        <v>962</v>
      </c>
      <c r="FZ967">
        <v>39.775756015602433</v>
      </c>
      <c r="GA967">
        <v>31.719174188504297</v>
      </c>
      <c r="GB967">
        <v>25.541825505073767</v>
      </c>
      <c r="GC967">
        <v>10.449694088247037</v>
      </c>
      <c r="GD967">
        <v>3.2141581338806673</v>
      </c>
      <c r="GE967">
        <v>4.5705509249457457</v>
      </c>
      <c r="GF967">
        <v>5.6001061161724808</v>
      </c>
      <c r="GG967">
        <v>4.0134278452385388</v>
      </c>
      <c r="GH967">
        <v>2.91622546555935</v>
      </c>
      <c r="GI967">
        <v>15.439374394711216</v>
      </c>
      <c r="GJ967"/>
      <c r="GK967"/>
      <c r="GL967"/>
      <c r="GM967"/>
      <c r="GN967" s="208"/>
      <c r="GO967" s="208"/>
      <c r="GP967" s="208"/>
      <c r="GQ967" s="208"/>
      <c r="GR967" s="208"/>
      <c r="GS967" s="208"/>
      <c r="GT967" s="208"/>
      <c r="GU967" s="213">
        <v>962</v>
      </c>
    </row>
    <row r="968" spans="1:203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294.12536931824354</v>
      </c>
      <c r="AO968">
        <v>25.895532551491396</v>
      </c>
      <c r="AP968">
        <v>43.969097477849893</v>
      </c>
      <c r="AQ968">
        <v>177.59852325241238</v>
      </c>
      <c r="AR968">
        <v>26.176887845360511</v>
      </c>
      <c r="AS968">
        <v>397.58978353143243</v>
      </c>
      <c r="AT968">
        <v>15.988457976004993</v>
      </c>
      <c r="AU968">
        <v>16.182831730806928</v>
      </c>
      <c r="AV968"/>
      <c r="AW968"/>
      <c r="FY968" s="213">
        <v>963</v>
      </c>
      <c r="FZ968">
        <v>51.57698604695026</v>
      </c>
      <c r="GA968">
        <v>56.851626671282162</v>
      </c>
      <c r="GB968">
        <v>33.992258121342992</v>
      </c>
      <c r="GC968">
        <v>13.949164621186783</v>
      </c>
      <c r="GD968">
        <v>1.8963109255040758</v>
      </c>
      <c r="GE968">
        <v>2.0793519350013483</v>
      </c>
      <c r="GF968">
        <v>0.29005164465876798</v>
      </c>
      <c r="GG968">
        <v>0.15412985533286275</v>
      </c>
      <c r="GH968">
        <v>7.5649091944175959</v>
      </c>
      <c r="GI968">
        <v>18.290014476097372</v>
      </c>
      <c r="GJ968"/>
      <c r="GK968"/>
      <c r="GL968"/>
      <c r="GM968"/>
      <c r="GN968" s="208"/>
      <c r="GO968" s="208"/>
      <c r="GP968" s="208"/>
      <c r="GQ968" s="208"/>
      <c r="GR968" s="208"/>
      <c r="GS968" s="208"/>
      <c r="GT968" s="208"/>
      <c r="GU968" s="213">
        <v>963</v>
      </c>
    </row>
    <row r="969" spans="1:203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297.45806587799257</v>
      </c>
      <c r="AO969">
        <v>26.595815766434004</v>
      </c>
      <c r="AP969">
        <v>40.464574412734223</v>
      </c>
      <c r="AQ969">
        <v>183.5739887333535</v>
      </c>
      <c r="AR969">
        <v>27.307827202744861</v>
      </c>
      <c r="AS969">
        <v>395.19333645881494</v>
      </c>
      <c r="AT969">
        <v>16.95528205441979</v>
      </c>
      <c r="AU969">
        <v>-8.6666131544040539</v>
      </c>
      <c r="AV969"/>
      <c r="AW969"/>
      <c r="FY969" s="213">
        <v>964</v>
      </c>
      <c r="FZ969">
        <v>38.533172938193665</v>
      </c>
      <c r="GA969">
        <v>48.445446424524668</v>
      </c>
      <c r="GB969">
        <v>26.510323006256908</v>
      </c>
      <c r="GC969">
        <v>10.678031038280393</v>
      </c>
      <c r="GD969">
        <v>4.8247157783127177</v>
      </c>
      <c r="GE969">
        <v>7.3831429304951923</v>
      </c>
      <c r="GF969">
        <v>4.9260306971153858</v>
      </c>
      <c r="GG969">
        <v>8.0649622553868738</v>
      </c>
      <c r="GH969">
        <v>9.1979398232731189</v>
      </c>
      <c r="GI969">
        <v>17.289398254666835</v>
      </c>
      <c r="GJ969"/>
      <c r="GK969"/>
      <c r="GL969"/>
      <c r="GM969"/>
      <c r="GN969" s="208"/>
      <c r="GO969" s="208"/>
      <c r="GP969" s="208"/>
      <c r="GQ969" s="208"/>
      <c r="GR969" s="208"/>
      <c r="GS969" s="208"/>
      <c r="GT969" s="208"/>
      <c r="GU969" s="213">
        <v>964</v>
      </c>
    </row>
    <row r="970" spans="1:203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319.66918941818506</v>
      </c>
      <c r="AO970">
        <v>31.767711177266058</v>
      </c>
      <c r="AP970">
        <v>31.058337226763602</v>
      </c>
      <c r="AQ970">
        <v>225.08727643833288</v>
      </c>
      <c r="AR970">
        <v>31.467415112855853</v>
      </c>
      <c r="AS970">
        <v>474.18478716578062</v>
      </c>
      <c r="AT970">
        <v>19.53687031669498</v>
      </c>
      <c r="AU970">
        <v>-13.989896398570778</v>
      </c>
      <c r="AV970"/>
      <c r="AW970"/>
      <c r="FY970" s="213">
        <v>965</v>
      </c>
      <c r="FZ970">
        <v>51.696679941547906</v>
      </c>
      <c r="GA970">
        <v>48.01904514137577</v>
      </c>
      <c r="GB970">
        <v>27.82815350163818</v>
      </c>
      <c r="GC970">
        <v>11.575973903290448</v>
      </c>
      <c r="GD970">
        <v>3.0314441944190769</v>
      </c>
      <c r="GE970">
        <v>3.5143492730970052</v>
      </c>
      <c r="GF970">
        <v>2.6037649290004889</v>
      </c>
      <c r="GG970">
        <v>3.2651348020385398</v>
      </c>
      <c r="GH970">
        <v>5.1922348672315088</v>
      </c>
      <c r="GI970">
        <v>17.467915024660975</v>
      </c>
      <c r="GJ970"/>
      <c r="GK970"/>
      <c r="GL970"/>
      <c r="GM970"/>
      <c r="GN970" s="208"/>
      <c r="GO970" s="208"/>
      <c r="GP970" s="208"/>
      <c r="GQ970" s="208"/>
      <c r="GR970" s="208"/>
      <c r="GS970" s="208"/>
      <c r="GT970" s="208"/>
      <c r="GU970" s="213">
        <v>965</v>
      </c>
    </row>
    <row r="971" spans="1:203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245.91134555537332</v>
      </c>
      <c r="AO971">
        <v>25.122765986498674</v>
      </c>
      <c r="AP971">
        <v>38.630036546592329</v>
      </c>
      <c r="AQ971">
        <v>179.15497712115149</v>
      </c>
      <c r="AR971">
        <v>25.978972666716469</v>
      </c>
      <c r="AS971">
        <v>347.28830673682495</v>
      </c>
      <c r="AT971">
        <v>16.121968043992556</v>
      </c>
      <c r="AU971">
        <v>2.3652834389854576</v>
      </c>
      <c r="AV971"/>
      <c r="AW971"/>
      <c r="FY971" s="213">
        <v>966</v>
      </c>
      <c r="FZ971">
        <v>50.803855472354051</v>
      </c>
      <c r="GA971">
        <v>43.903918311733371</v>
      </c>
      <c r="GB971">
        <v>29.60624946411783</v>
      </c>
      <c r="GC971">
        <v>12.577874833601276</v>
      </c>
      <c r="GD971">
        <v>3.5729812261297158</v>
      </c>
      <c r="GE971">
        <v>4.3408476011355113</v>
      </c>
      <c r="GF971">
        <v>8.8440213269140155</v>
      </c>
      <c r="GG971">
        <v>8.4106559779737875</v>
      </c>
      <c r="GH971">
        <v>10.894527249739529</v>
      </c>
      <c r="GI971">
        <v>20.14466297531829</v>
      </c>
      <c r="GJ971"/>
      <c r="GK971"/>
      <c r="GL971"/>
      <c r="GM971"/>
      <c r="GN971" s="208"/>
      <c r="GO971" s="208"/>
      <c r="GP971" s="208"/>
      <c r="GQ971" s="208"/>
      <c r="GR971" s="208"/>
      <c r="GS971" s="208"/>
      <c r="GT971" s="208"/>
      <c r="GU971" s="213">
        <v>966</v>
      </c>
    </row>
    <row r="972" spans="1:203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297.11008897807568</v>
      </c>
      <c r="AO972">
        <v>31.131980124224697</v>
      </c>
      <c r="AP972">
        <v>25.757359092506313</v>
      </c>
      <c r="AQ972">
        <v>225.62010199831926</v>
      </c>
      <c r="AR972">
        <v>32.003334929822792</v>
      </c>
      <c r="AS972">
        <v>487.25905510226943</v>
      </c>
      <c r="AT972">
        <v>19.986844322247464</v>
      </c>
      <c r="AU972">
        <v>-7.0263493752764958</v>
      </c>
      <c r="AV972"/>
      <c r="AW972"/>
      <c r="FY972" s="213">
        <v>967</v>
      </c>
      <c r="FZ972">
        <v>37.145392555326701</v>
      </c>
      <c r="GA972">
        <v>14.838214135040097</v>
      </c>
      <c r="GB972">
        <v>24.92778595266897</v>
      </c>
      <c r="GC972">
        <v>16.364425385285561</v>
      </c>
      <c r="GD972">
        <v>4.239041363361455</v>
      </c>
      <c r="GE972">
        <v>4.4091466310929199</v>
      </c>
      <c r="GF972">
        <v>1.8922592299736152</v>
      </c>
      <c r="GG972">
        <v>5.4312388041412891</v>
      </c>
      <c r="GH972">
        <v>8.3791357353222402</v>
      </c>
      <c r="GI972">
        <v>15.689284834458556</v>
      </c>
      <c r="GJ972"/>
      <c r="GK972"/>
      <c r="GL972"/>
      <c r="GM972"/>
      <c r="GN972" s="208"/>
      <c r="GO972" s="208"/>
      <c r="GP972" s="208"/>
      <c r="GQ972" s="208"/>
      <c r="GR972" s="208"/>
      <c r="GS972" s="208"/>
      <c r="GT972" s="208"/>
      <c r="GU972" s="213">
        <v>967</v>
      </c>
    </row>
    <row r="973" spans="1:203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244.03744281714435</v>
      </c>
      <c r="AO973">
        <v>21.627805990051503</v>
      </c>
      <c r="AP973">
        <v>28.772877904429819</v>
      </c>
      <c r="AQ973">
        <v>150.84174744149072</v>
      </c>
      <c r="AR973">
        <v>23.127913155617787</v>
      </c>
      <c r="AS973">
        <v>322.81892387966474</v>
      </c>
      <c r="AT973">
        <v>14.063630336481991</v>
      </c>
      <c r="AU973">
        <v>13.805879090597948</v>
      </c>
      <c r="AV973"/>
      <c r="AW973"/>
      <c r="FY973" s="213">
        <v>968</v>
      </c>
      <c r="FZ973">
        <v>31.608041395650361</v>
      </c>
      <c r="GA973">
        <v>21.415589624681104</v>
      </c>
      <c r="GB973">
        <v>21.017219785987265</v>
      </c>
      <c r="GC973">
        <v>10.937213414622315</v>
      </c>
      <c r="GD973">
        <v>2.1510960561245711</v>
      </c>
      <c r="GE973">
        <v>2.6533637591540238</v>
      </c>
      <c r="GF973">
        <v>2.5571006121722908</v>
      </c>
      <c r="GG973">
        <v>1.033481590236474</v>
      </c>
      <c r="GH973">
        <v>1.5971493229368354</v>
      </c>
      <c r="GI973">
        <v>11.75920861581413</v>
      </c>
      <c r="GJ973"/>
      <c r="GK973"/>
      <c r="GL973"/>
      <c r="GM973"/>
      <c r="GN973" s="208"/>
      <c r="GO973" s="208"/>
      <c r="GP973" s="208"/>
      <c r="GQ973" s="208"/>
      <c r="GR973" s="208"/>
      <c r="GS973" s="208"/>
      <c r="GT973" s="208"/>
      <c r="GU973" s="213">
        <v>968</v>
      </c>
    </row>
    <row r="974" spans="1:203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296.90189786582079</v>
      </c>
      <c r="AO974">
        <v>30.344556946481099</v>
      </c>
      <c r="AP974">
        <v>55.289585135357228</v>
      </c>
      <c r="AQ974">
        <v>227.91893874074771</v>
      </c>
      <c r="AR974">
        <v>30.780629351812738</v>
      </c>
      <c r="AS974">
        <v>426.79147183393735</v>
      </c>
      <c r="AT974">
        <v>19.218994283930993</v>
      </c>
      <c r="AU974">
        <v>-33.338060616473953</v>
      </c>
      <c r="AV974"/>
      <c r="AW974"/>
      <c r="FY974" s="213">
        <v>969</v>
      </c>
      <c r="FZ974">
        <v>39.954849750896742</v>
      </c>
      <c r="GA974">
        <v>58.094034825104238</v>
      </c>
      <c r="GB974">
        <v>42.530377813065499</v>
      </c>
      <c r="GC974">
        <v>14.517945154819348</v>
      </c>
      <c r="GD974">
        <v>2.1404649356118561</v>
      </c>
      <c r="GE974">
        <v>1.9411029392859742</v>
      </c>
      <c r="GF974">
        <v>2.4240312013793206</v>
      </c>
      <c r="GG974">
        <v>2.4546859128759424</v>
      </c>
      <c r="GH974">
        <v>6.4590797753042146</v>
      </c>
      <c r="GI974">
        <v>19.014926992481225</v>
      </c>
      <c r="GJ974"/>
      <c r="GK974"/>
      <c r="GL974"/>
      <c r="GM974"/>
      <c r="GN974" s="208"/>
      <c r="GO974" s="208"/>
      <c r="GP974" s="208"/>
      <c r="GQ974" s="208"/>
      <c r="GR974" s="208"/>
      <c r="GS974" s="208"/>
      <c r="GT974" s="208"/>
      <c r="GU974" s="213">
        <v>969</v>
      </c>
    </row>
    <row r="975" spans="1:203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250.37139908167165</v>
      </c>
      <c r="AO975">
        <v>21.766772243539386</v>
      </c>
      <c r="AP975">
        <v>15.715683161055143</v>
      </c>
      <c r="AQ975">
        <v>165.42237372297714</v>
      </c>
      <c r="AR975">
        <v>22.482770845960808</v>
      </c>
      <c r="AS975">
        <v>327.55594448247365</v>
      </c>
      <c r="AT975">
        <v>13.756829670873735</v>
      </c>
      <c r="AU975">
        <v>-11.012841618784499</v>
      </c>
      <c r="AV975"/>
      <c r="AW975"/>
      <c r="FY975" s="213">
        <v>970</v>
      </c>
      <c r="FZ975">
        <v>33.421787104887898</v>
      </c>
      <c r="GA975">
        <v>37.300740351982526</v>
      </c>
      <c r="GB975">
        <v>35.702929897697345</v>
      </c>
      <c r="GC975">
        <v>15.265550375313147</v>
      </c>
      <c r="GD975">
        <v>3.3462133790487925</v>
      </c>
      <c r="GE975">
        <v>6.0479906655861235</v>
      </c>
      <c r="GF975">
        <v>4.9168111295316219</v>
      </c>
      <c r="GG975">
        <v>6.0016560999603374</v>
      </c>
      <c r="GH975">
        <v>8.7141958997179501</v>
      </c>
      <c r="GI975">
        <v>17.873412133346914</v>
      </c>
      <c r="GJ975"/>
      <c r="GK975"/>
      <c r="GL975"/>
      <c r="GM975"/>
      <c r="GN975" s="208"/>
      <c r="GO975" s="208"/>
      <c r="GP975" s="208"/>
      <c r="GQ975" s="208"/>
      <c r="GR975" s="208"/>
      <c r="GS975" s="208"/>
      <c r="GT975" s="208"/>
      <c r="GU975" s="213">
        <v>970</v>
      </c>
    </row>
    <row r="976" spans="1:203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265.14477852520531</v>
      </c>
      <c r="AO976">
        <v>25.051630082577816</v>
      </c>
      <c r="AP976">
        <v>79.448399966631996</v>
      </c>
      <c r="AQ976">
        <v>172.63718867200515</v>
      </c>
      <c r="AR976">
        <v>26.204865555349357</v>
      </c>
      <c r="AS976">
        <v>357.05541185222734</v>
      </c>
      <c r="AT976" t="e">
        <v>#DIV/0!</v>
      </c>
      <c r="AU976" t="e">
        <v>#DIV/0!</v>
      </c>
      <c r="AV976"/>
      <c r="AW976"/>
      <c r="FY976" s="213">
        <v>971</v>
      </c>
      <c r="FZ976">
        <v>53.762781751248831</v>
      </c>
      <c r="GA976">
        <v>55.829925637897944</v>
      </c>
      <c r="GB976">
        <v>31.148127515722908</v>
      </c>
      <c r="GC976">
        <v>12.310290183893253</v>
      </c>
      <c r="GD976">
        <v>2.34957622893686</v>
      </c>
      <c r="GE976">
        <v>3.0808851013354799</v>
      </c>
      <c r="GF976">
        <v>13.379545525999958</v>
      </c>
      <c r="GG976">
        <v>13.473151019190711</v>
      </c>
      <c r="GH976">
        <v>10.987091468549735</v>
      </c>
      <c r="GI976">
        <v>21.08173253706487</v>
      </c>
      <c r="GJ976"/>
      <c r="GK976"/>
      <c r="GL976"/>
      <c r="GM976"/>
      <c r="GN976" s="208"/>
      <c r="GO976" s="208"/>
      <c r="GP976" s="208"/>
      <c r="GQ976" s="208"/>
      <c r="GR976" s="208"/>
      <c r="GS976" s="208"/>
      <c r="GT976" s="208"/>
      <c r="GU976" s="213">
        <v>971</v>
      </c>
    </row>
    <row r="977" spans="1:203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304.6627637431942</v>
      </c>
      <c r="AO977">
        <v>27.412401837106291</v>
      </c>
      <c r="AP977">
        <v>18.782677033967854</v>
      </c>
      <c r="AQ977">
        <v>202.20277544824947</v>
      </c>
      <c r="AR977">
        <v>26.815169385554093</v>
      </c>
      <c r="AS977">
        <v>429.39643668844411</v>
      </c>
      <c r="AT977">
        <v>16.35155974224482</v>
      </c>
      <c r="AU977">
        <v>-44.263074310796583</v>
      </c>
      <c r="AV977"/>
      <c r="AW977"/>
      <c r="FY977" s="213">
        <v>972</v>
      </c>
      <c r="FZ977">
        <v>47.42314382475309</v>
      </c>
      <c r="GA977">
        <v>44.379184086091108</v>
      </c>
      <c r="GB977">
        <v>25.159174826685081</v>
      </c>
      <c r="GC977">
        <v>11.342829746140174</v>
      </c>
      <c r="GD977">
        <v>3.0441936446994249</v>
      </c>
      <c r="GE977">
        <v>3.9558685516915926</v>
      </c>
      <c r="GF977">
        <v>4.6544326568988001</v>
      </c>
      <c r="GG977">
        <v>6.8063416882728065</v>
      </c>
      <c r="GH977">
        <v>7.0148389598128809</v>
      </c>
      <c r="GI977">
        <v>16.856856533349433</v>
      </c>
      <c r="GJ977"/>
      <c r="GK977"/>
      <c r="GL977"/>
      <c r="GM977"/>
      <c r="GN977" s="208"/>
      <c r="GO977" s="208"/>
      <c r="GP977" s="208"/>
      <c r="GQ977" s="208"/>
      <c r="GR977" s="208"/>
      <c r="GS977" s="208"/>
      <c r="GT977" s="208"/>
      <c r="GU977" s="213">
        <v>972</v>
      </c>
    </row>
    <row r="978" spans="1:203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244.49632863652081</v>
      </c>
      <c r="AO978">
        <v>19.983769300496412</v>
      </c>
      <c r="AP978">
        <v>15.651941197620658</v>
      </c>
      <c r="AQ978">
        <v>143.24029267793557</v>
      </c>
      <c r="AR978">
        <v>21.158933939158182</v>
      </c>
      <c r="AS978">
        <v>339.61137094018488</v>
      </c>
      <c r="AT978">
        <v>12.69287752744926</v>
      </c>
      <c r="AU978">
        <v>3.0554940143601996</v>
      </c>
      <c r="AV978"/>
      <c r="AW978"/>
      <c r="FY978" s="213">
        <v>973</v>
      </c>
      <c r="FZ978">
        <v>50.283769059999756</v>
      </c>
      <c r="GA978">
        <v>77.81133505010834</v>
      </c>
      <c r="GB978">
        <v>47.157461730164357</v>
      </c>
      <c r="GC978">
        <v>13.73200993405043</v>
      </c>
      <c r="GD978">
        <v>3.4782328375239517</v>
      </c>
      <c r="GE978">
        <v>3.1412180504363145</v>
      </c>
      <c r="GF978">
        <v>8.6262138232399046</v>
      </c>
      <c r="GG978">
        <v>12.312057969588334</v>
      </c>
      <c r="GH978">
        <v>14.360308801880514</v>
      </c>
      <c r="GI978">
        <v>24.819477571535369</v>
      </c>
      <c r="GJ978"/>
      <c r="GK978"/>
      <c r="GL978"/>
      <c r="GM978"/>
      <c r="GN978" s="208"/>
      <c r="GO978" s="208"/>
      <c r="GP978" s="208"/>
      <c r="GQ978" s="208"/>
      <c r="GR978" s="208"/>
      <c r="GS978" s="208"/>
      <c r="GT978" s="208"/>
      <c r="GU978" s="213">
        <v>973</v>
      </c>
    </row>
    <row r="979" spans="1:203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208.96974528412716</v>
      </c>
      <c r="AO979">
        <v>24.546992719010966</v>
      </c>
      <c r="AP979">
        <v>13.688732285951188</v>
      </c>
      <c r="AQ979">
        <v>186.64480349177421</v>
      </c>
      <c r="AR979">
        <v>25.069378287801825</v>
      </c>
      <c r="AS979">
        <v>379.50634071852681</v>
      </c>
      <c r="AT979" t="e">
        <v>#DIV/0!</v>
      </c>
      <c r="AU979" t="e">
        <v>#DIV/0!</v>
      </c>
      <c r="AV979"/>
      <c r="AW979"/>
      <c r="FY979" s="213">
        <v>974</v>
      </c>
      <c r="FZ979">
        <v>64.767663012016882</v>
      </c>
      <c r="GA979">
        <v>79.892867270300229</v>
      </c>
      <c r="GB979">
        <v>37.737664799796981</v>
      </c>
      <c r="GC979">
        <v>10.787766708273589</v>
      </c>
      <c r="GD979">
        <v>3.8183848568610004</v>
      </c>
      <c r="GE979">
        <v>5.1133560356032701</v>
      </c>
      <c r="GF979">
        <v>8.5985406512139591</v>
      </c>
      <c r="GG979">
        <v>6.8922834697478574</v>
      </c>
      <c r="GH979">
        <v>4.4479090298554071</v>
      </c>
      <c r="GI979">
        <v>23.254893322404964</v>
      </c>
      <c r="GJ979"/>
      <c r="GK979"/>
      <c r="GL979"/>
      <c r="GM979"/>
      <c r="GN979" s="208"/>
      <c r="GO979" s="208"/>
      <c r="GP979" s="208"/>
      <c r="GQ979" s="208"/>
      <c r="GR979" s="208"/>
      <c r="GS979" s="208"/>
      <c r="GT979" s="208"/>
      <c r="GU979" s="213">
        <v>974</v>
      </c>
    </row>
    <row r="980" spans="1:203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317.36936857143911</v>
      </c>
      <c r="AO980">
        <v>24.12162996903789</v>
      </c>
      <c r="AP980">
        <v>39.514214444129962</v>
      </c>
      <c r="AQ980">
        <v>175.85316314650578</v>
      </c>
      <c r="AR980">
        <v>23.658371850538522</v>
      </c>
      <c r="AS980">
        <v>391.39506937113913</v>
      </c>
      <c r="AT980">
        <v>14.181615568896975</v>
      </c>
      <c r="AU980">
        <v>-21.484307811412318</v>
      </c>
      <c r="AV980"/>
      <c r="AW980"/>
      <c r="FY980" s="213">
        <v>975</v>
      </c>
      <c r="FZ980">
        <v>40.893506158843493</v>
      </c>
      <c r="GA980">
        <v>25.099654110794603</v>
      </c>
      <c r="GB980">
        <v>25.806210706099865</v>
      </c>
      <c r="GC980">
        <v>12.012670187991969</v>
      </c>
      <c r="GD980">
        <v>2.8899250684951392</v>
      </c>
      <c r="GE980">
        <v>4.2294258447327513</v>
      </c>
      <c r="GF980">
        <v>8.953710217143108</v>
      </c>
      <c r="GG980">
        <v>9.0918026938939605</v>
      </c>
      <c r="GH980">
        <v>15.007662860173834</v>
      </c>
      <c r="GI980">
        <v>18.004939031261685</v>
      </c>
      <c r="GJ980"/>
      <c r="GK980"/>
      <c r="GL980"/>
      <c r="GM980"/>
      <c r="GN980" s="208"/>
      <c r="GO980" s="208"/>
      <c r="GP980" s="208"/>
      <c r="GQ980" s="208"/>
      <c r="GR980" s="208"/>
      <c r="GS980" s="208"/>
      <c r="GT980" s="208"/>
      <c r="GU980" s="213">
        <v>975</v>
      </c>
    </row>
    <row r="981" spans="1:203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244.37001085945477</v>
      </c>
      <c r="AO981">
        <v>23.206761472371905</v>
      </c>
      <c r="AP981">
        <v>12.429652600973425</v>
      </c>
      <c r="AQ981">
        <v>174.1946955782999</v>
      </c>
      <c r="AR981">
        <v>24.029239771752952</v>
      </c>
      <c r="AS981">
        <v>347.40053850329832</v>
      </c>
      <c r="AT981">
        <v>14.11308749294497</v>
      </c>
      <c r="AU981">
        <v>-6.5005980304671311</v>
      </c>
      <c r="AV981"/>
      <c r="AW981"/>
      <c r="FY981" s="213">
        <v>976</v>
      </c>
      <c r="FZ981">
        <v>36.738786253332535</v>
      </c>
      <c r="GA981">
        <v>53.091333103409582</v>
      </c>
      <c r="GB981">
        <v>43.218018002986291</v>
      </c>
      <c r="GC981">
        <v>16.453379862512918</v>
      </c>
      <c r="GD981">
        <v>3.2837619857956515</v>
      </c>
      <c r="GE981">
        <v>4.4115996418130106</v>
      </c>
      <c r="GF981">
        <v>4.7109600373939244</v>
      </c>
      <c r="GG981">
        <v>5.5791795351096791</v>
      </c>
      <c r="GH981">
        <v>5.8250462943062331</v>
      </c>
      <c r="GI981">
        <v>19.68346908982894</v>
      </c>
      <c r="GJ981"/>
      <c r="GK981"/>
      <c r="GL981"/>
      <c r="GM981"/>
      <c r="GN981" s="208"/>
      <c r="GO981" s="208"/>
      <c r="GP981" s="208"/>
      <c r="GQ981" s="208"/>
      <c r="GR981" s="208"/>
      <c r="GS981" s="208"/>
      <c r="GT981" s="208"/>
      <c r="GU981" s="213">
        <v>976</v>
      </c>
    </row>
    <row r="982" spans="1:203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256.08992972458975</v>
      </c>
      <c r="AO982">
        <v>26.13980826315527</v>
      </c>
      <c r="AP982">
        <v>38.688562860531889</v>
      </c>
      <c r="AQ982">
        <v>193.09959443901735</v>
      </c>
      <c r="AR982">
        <v>27.630129757134757</v>
      </c>
      <c r="AS982">
        <v>408.09129084843124</v>
      </c>
      <c r="AT982">
        <v>17.636597305049666</v>
      </c>
      <c r="AU982">
        <v>6.5968085026616876</v>
      </c>
      <c r="AV982"/>
      <c r="AW982"/>
      <c r="FY982" s="213">
        <v>977</v>
      </c>
      <c r="FZ982">
        <v>51.592224611350709</v>
      </c>
      <c r="GA982">
        <v>50.52849760140402</v>
      </c>
      <c r="GB982">
        <v>34.641002121114944</v>
      </c>
      <c r="GC982">
        <v>13.355611606530264</v>
      </c>
      <c r="GD982">
        <v>5.6595796715445639</v>
      </c>
      <c r="GE982">
        <v>9.2200392106777294</v>
      </c>
      <c r="GF982">
        <v>4.7017404698101615</v>
      </c>
      <c r="GG982">
        <v>5.8921115692750536</v>
      </c>
      <c r="GH982">
        <v>9.21716781547096</v>
      </c>
      <c r="GI982">
        <v>21.655499692909473</v>
      </c>
      <c r="GJ982"/>
      <c r="GK982"/>
      <c r="GL982"/>
      <c r="GM982"/>
      <c r="GN982" s="208"/>
      <c r="GO982" s="208"/>
      <c r="GP982" s="208"/>
      <c r="GQ982" s="208"/>
      <c r="GR982" s="208"/>
      <c r="GS982" s="208"/>
      <c r="GT982" s="208"/>
      <c r="GU982" s="213">
        <v>977</v>
      </c>
    </row>
    <row r="983" spans="1:203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259.17457816842386</v>
      </c>
      <c r="AO983">
        <v>20.703534482239817</v>
      </c>
      <c r="AP983">
        <v>39.178365873636587</v>
      </c>
      <c r="AQ983">
        <v>133.3159246266714</v>
      </c>
      <c r="AR983">
        <v>21.480968664385109</v>
      </c>
      <c r="AS983">
        <v>338.01061658632017</v>
      </c>
      <c r="AT983">
        <v>12.510940831130037</v>
      </c>
      <c r="AU983">
        <v>40.635981332595414</v>
      </c>
      <c r="AV983"/>
      <c r="AW983"/>
      <c r="FY983" s="213">
        <v>978</v>
      </c>
      <c r="FZ983">
        <v>53.194739326029151</v>
      </c>
      <c r="GA983">
        <v>48.774806541547122</v>
      </c>
      <c r="GB983">
        <v>16.975237528587176</v>
      </c>
      <c r="GC983">
        <v>7.3532516073703427</v>
      </c>
      <c r="GD983">
        <v>2.4878491361961794</v>
      </c>
      <c r="GE983">
        <v>3.6842636189290707</v>
      </c>
      <c r="GF983">
        <v>5.0895101238869511</v>
      </c>
      <c r="GG983">
        <v>7.6471085534764098</v>
      </c>
      <c r="GH983">
        <v>6.3841456229608493</v>
      </c>
      <c r="GI983">
        <v>15.346268434922903</v>
      </c>
      <c r="GJ983"/>
      <c r="GK983"/>
      <c r="GL983"/>
      <c r="GM983"/>
      <c r="GN983" s="208"/>
      <c r="GO983" s="208"/>
      <c r="GP983" s="208"/>
      <c r="GQ983" s="208"/>
      <c r="GR983" s="208"/>
      <c r="GS983" s="208"/>
      <c r="GT983" s="208"/>
      <c r="GU983" s="213">
        <v>978</v>
      </c>
    </row>
    <row r="984" spans="1:203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178.74696922251474</v>
      </c>
      <c r="AO984">
        <v>15.41754057619961</v>
      </c>
      <c r="AP984">
        <v>15.260371902288737</v>
      </c>
      <c r="AQ984">
        <v>106.72946417737937</v>
      </c>
      <c r="AR984">
        <v>16.101336944102812</v>
      </c>
      <c r="AS984">
        <v>238.97307418377554</v>
      </c>
      <c r="AT984">
        <v>9.7370473284105401</v>
      </c>
      <c r="AU984">
        <v>3.0040613552032909</v>
      </c>
      <c r="AV984"/>
      <c r="AW984"/>
      <c r="FY984" s="213">
        <v>979</v>
      </c>
      <c r="FZ984">
        <v>49.930801784654726</v>
      </c>
      <c r="GA984">
        <v>50.000121158801747</v>
      </c>
      <c r="GB984">
        <v>37.557503895366523</v>
      </c>
      <c r="GC984">
        <v>13.9140566910425</v>
      </c>
      <c r="GD984">
        <v>3.441819172346523</v>
      </c>
      <c r="GE984">
        <v>5.8161558560918003</v>
      </c>
      <c r="GF984">
        <v>2.6391018611007819</v>
      </c>
      <c r="GG984">
        <v>1.1147699683844412</v>
      </c>
      <c r="GH984">
        <v>3.7654356985909763</v>
      </c>
      <c r="GI984">
        <v>19.609340447019768</v>
      </c>
      <c r="GJ984"/>
      <c r="GK984"/>
      <c r="GL984"/>
      <c r="GM984"/>
      <c r="GN984" s="208"/>
      <c r="GO984" s="208"/>
      <c r="GP984" s="208"/>
      <c r="GQ984" s="208"/>
      <c r="GR984" s="208"/>
      <c r="GS984" s="208"/>
      <c r="GT984" s="208"/>
      <c r="GU984" s="213">
        <v>979</v>
      </c>
    </row>
    <row r="985" spans="1:203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288.79194282472344</v>
      </c>
      <c r="AO985">
        <v>25.575821129986679</v>
      </c>
      <c r="AP985">
        <v>16.068008778215372</v>
      </c>
      <c r="AQ985">
        <v>189.53149930082432</v>
      </c>
      <c r="AR985">
        <v>25.945359917035045</v>
      </c>
      <c r="AS985">
        <v>399.17760047021136</v>
      </c>
      <c r="AT985">
        <v>16.349193511063334</v>
      </c>
      <c r="AU985">
        <v>-14.645514812933357</v>
      </c>
      <c r="AV985"/>
      <c r="AW985"/>
      <c r="FY985" s="213">
        <v>980</v>
      </c>
      <c r="FZ985">
        <v>46.482544424144855</v>
      </c>
      <c r="GA985">
        <v>45.51713438201935</v>
      </c>
      <c r="GB985">
        <v>25.211946522033415</v>
      </c>
      <c r="GC985">
        <v>9.8806280515001177</v>
      </c>
      <c r="GD985">
        <v>3.0317150853183903</v>
      </c>
      <c r="GE985">
        <v>6.0141300410981096</v>
      </c>
      <c r="GF985">
        <v>10.427775307786682</v>
      </c>
      <c r="GG985">
        <v>11.104814020918557</v>
      </c>
      <c r="GH985">
        <v>9.853009651504486</v>
      </c>
      <c r="GI985">
        <v>18.220307193040913</v>
      </c>
      <c r="GJ985"/>
      <c r="GK985"/>
      <c r="GL985"/>
      <c r="GM985"/>
      <c r="GN985" s="208"/>
      <c r="GO985" s="208"/>
      <c r="GP985" s="208"/>
      <c r="GQ985" s="208"/>
      <c r="GR985" s="208"/>
      <c r="GS985" s="208"/>
      <c r="GT985" s="208"/>
      <c r="GU985" s="213">
        <v>980</v>
      </c>
    </row>
    <row r="986" spans="1:203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273.42113154773017</v>
      </c>
      <c r="AO986">
        <v>24.430348188304638</v>
      </c>
      <c r="AP986">
        <v>31.626984862384866</v>
      </c>
      <c r="AQ986">
        <v>168.59128703707262</v>
      </c>
      <c r="AR986">
        <v>24.415752202113186</v>
      </c>
      <c r="AS986">
        <v>387.93730159764772</v>
      </c>
      <c r="AT986">
        <v>15.429453597336485</v>
      </c>
      <c r="AU986">
        <v>-10.959342588595177</v>
      </c>
      <c r="AV986"/>
      <c r="AW986"/>
      <c r="FY986" s="213">
        <v>981</v>
      </c>
      <c r="FZ986">
        <v>68.48177239739536</v>
      </c>
      <c r="GA986">
        <v>83.263223055604527</v>
      </c>
      <c r="GB986">
        <v>45.263221864881494</v>
      </c>
      <c r="GC986">
        <v>15.439407292533412</v>
      </c>
      <c r="GD986">
        <v>2.0749160835010212</v>
      </c>
      <c r="GE986">
        <v>2.1591410319577302</v>
      </c>
      <c r="GF986">
        <v>7.6089397190647299</v>
      </c>
      <c r="GG986">
        <v>6.4325138477351995</v>
      </c>
      <c r="GH986">
        <v>4.8810802829444739</v>
      </c>
      <c r="GI986">
        <v>24.561959883796504</v>
      </c>
      <c r="GJ986"/>
      <c r="GK986"/>
      <c r="GL986"/>
      <c r="GM986"/>
      <c r="GN986" s="208"/>
      <c r="GO986" s="208"/>
      <c r="GP986" s="208"/>
      <c r="GQ986" s="208"/>
      <c r="GR986" s="208"/>
      <c r="GS986" s="208"/>
      <c r="GT986" s="208"/>
      <c r="GU986" s="213">
        <v>981</v>
      </c>
    </row>
    <row r="987" spans="1:203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282.31628503547364</v>
      </c>
      <c r="AO987">
        <v>28.489462113021354</v>
      </c>
      <c r="AP987">
        <v>52.50555805104316</v>
      </c>
      <c r="AQ987">
        <v>217.40310696984054</v>
      </c>
      <c r="AR987">
        <v>29.022522380131235</v>
      </c>
      <c r="AS987">
        <v>422.60655653155186</v>
      </c>
      <c r="AT987">
        <v>16.87728904101721</v>
      </c>
      <c r="AU987">
        <v>-1.1515511207616598</v>
      </c>
      <c r="AV987"/>
      <c r="AW987"/>
      <c r="FY987" s="213">
        <v>982</v>
      </c>
      <c r="FZ987">
        <v>41.061403889158548</v>
      </c>
      <c r="GA987">
        <v>23.788290657847263</v>
      </c>
      <c r="GB987">
        <v>29.61557403949935</v>
      </c>
      <c r="GC987">
        <v>15.425473259401418</v>
      </c>
      <c r="GD987">
        <v>2.6462943531686327</v>
      </c>
      <c r="GE987">
        <v>3.3566421935995443</v>
      </c>
      <c r="GF987">
        <v>8.0787250913446655</v>
      </c>
      <c r="GG987">
        <v>6.8866984184457447</v>
      </c>
      <c r="GH987">
        <v>10.083507261282536</v>
      </c>
      <c r="GI987">
        <v>17.919555780683648</v>
      </c>
      <c r="GJ987"/>
      <c r="GK987"/>
      <c r="GL987"/>
      <c r="GM987"/>
      <c r="GN987" s="208"/>
      <c r="GO987" s="208"/>
      <c r="GP987" s="208"/>
      <c r="GQ987" s="208"/>
      <c r="GR987" s="208"/>
      <c r="GS987" s="208"/>
      <c r="GT987" s="208"/>
      <c r="GU987" s="213">
        <v>982</v>
      </c>
    </row>
    <row r="988" spans="1:203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233.95960688618047</v>
      </c>
      <c r="AO988">
        <v>22.778660974985478</v>
      </c>
      <c r="AP988">
        <v>21.201846160479437</v>
      </c>
      <c r="AQ988">
        <v>170.63686451839439</v>
      </c>
      <c r="AR988">
        <v>23.089439534578435</v>
      </c>
      <c r="AS988">
        <v>354.61693698202436</v>
      </c>
      <c r="AT988">
        <v>14.489667247748857</v>
      </c>
      <c r="AU988">
        <v>10.103123682839506</v>
      </c>
      <c r="AV988"/>
      <c r="AW988"/>
      <c r="FY988" s="213">
        <v>983</v>
      </c>
      <c r="FZ988">
        <v>44.982289023689347</v>
      </c>
      <c r="GA988">
        <v>53.976696889664218</v>
      </c>
      <c r="GB988">
        <v>29.745376880370891</v>
      </c>
      <c r="GC988">
        <v>11.764894912114006</v>
      </c>
      <c r="GD988">
        <v>4.2595616504843035</v>
      </c>
      <c r="GE988">
        <v>7.0820232773132892</v>
      </c>
      <c r="GF988">
        <v>5.5555351472137691</v>
      </c>
      <c r="GG988">
        <v>7.9159116268954373</v>
      </c>
      <c r="GH988">
        <v>10.25787092622377</v>
      </c>
      <c r="GI988">
        <v>18.988890100035885</v>
      </c>
      <c r="GJ988"/>
      <c r="GK988"/>
      <c r="GL988"/>
      <c r="GM988"/>
      <c r="GN988" s="208"/>
      <c r="GO988" s="208"/>
      <c r="GP988" s="208"/>
      <c r="GQ988" s="208"/>
      <c r="GR988" s="208"/>
      <c r="GS988" s="208"/>
      <c r="GT988" s="208"/>
      <c r="GU988" s="213">
        <v>983</v>
      </c>
    </row>
    <row r="989" spans="1:203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341.93646128367521</v>
      </c>
      <c r="AO989">
        <v>33.467451338714781</v>
      </c>
      <c r="AP989">
        <v>41.510433445242697</v>
      </c>
      <c r="AQ989">
        <v>255.72208482852727</v>
      </c>
      <c r="AR989">
        <v>33.954367853182347</v>
      </c>
      <c r="AS989">
        <v>549.01494473385515</v>
      </c>
      <c r="AT989">
        <v>21.575579459514362</v>
      </c>
      <c r="AU989">
        <v>-0.60558789813243408</v>
      </c>
      <c r="AV989"/>
      <c r="AW989"/>
      <c r="FY989" s="213">
        <v>984</v>
      </c>
      <c r="FZ989">
        <v>55.961668654853284</v>
      </c>
      <c r="GA989">
        <v>46.901333860453143</v>
      </c>
      <c r="GB989">
        <v>24.404647786511497</v>
      </c>
      <c r="GC989">
        <v>12.922885339469817</v>
      </c>
      <c r="GD989">
        <v>3.4726761871523464</v>
      </c>
      <c r="GE989">
        <v>4.9667323283164988</v>
      </c>
      <c r="GF989">
        <v>2.7395567144714548</v>
      </c>
      <c r="GG989">
        <v>3.175795090503498</v>
      </c>
      <c r="GH989">
        <v>4.1322655295405859</v>
      </c>
      <c r="GI989">
        <v>17.367775474851999</v>
      </c>
      <c r="GJ989"/>
      <c r="GK989"/>
      <c r="GL989"/>
      <c r="GM989"/>
      <c r="GN989" s="208"/>
      <c r="GO989" s="208"/>
      <c r="GP989" s="208"/>
      <c r="GQ989" s="208"/>
      <c r="GR989" s="208"/>
      <c r="GS989" s="208"/>
      <c r="GT989" s="208"/>
      <c r="GU989" s="213">
        <v>984</v>
      </c>
    </row>
    <row r="990" spans="1:203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292.08399524536878</v>
      </c>
      <c r="AO990">
        <v>31.259898178422993</v>
      </c>
      <c r="AP990">
        <v>49.049859862388601</v>
      </c>
      <c r="AQ990">
        <v>245.31132915607412</v>
      </c>
      <c r="AR990">
        <v>31.936381196495709</v>
      </c>
      <c r="AS990">
        <v>415.97188020012885</v>
      </c>
      <c r="AT990">
        <v>19.86421005344474</v>
      </c>
      <c r="AU990">
        <v>-33.578804047182302</v>
      </c>
      <c r="AV990"/>
      <c r="AW990"/>
      <c r="FY990" s="213">
        <v>985</v>
      </c>
      <c r="FZ990">
        <v>53.756403678978366</v>
      </c>
      <c r="GA990">
        <v>57.567869417838651</v>
      </c>
      <c r="GB990">
        <v>35.098928562396353</v>
      </c>
      <c r="GC990">
        <v>14.648420815847295</v>
      </c>
      <c r="GD990">
        <v>5.5296659923782538</v>
      </c>
      <c r="GE990">
        <v>8.8260259225316311</v>
      </c>
      <c r="GF990">
        <v>6.4381840330865581</v>
      </c>
      <c r="GG990">
        <v>4.9354150959267828</v>
      </c>
      <c r="GH990">
        <v>7.8299899535668249</v>
      </c>
      <c r="GI990">
        <v>22.112024891533778</v>
      </c>
      <c r="GJ990"/>
      <c r="GK990"/>
      <c r="GL990"/>
      <c r="GM990"/>
      <c r="GN990" s="208"/>
      <c r="GO990" s="208"/>
      <c r="GP990" s="208"/>
      <c r="GQ990" s="208"/>
      <c r="GR990" s="208"/>
      <c r="GS990" s="208"/>
      <c r="GT990" s="208"/>
      <c r="GU990" s="213">
        <v>985</v>
      </c>
    </row>
    <row r="991" spans="1:203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235.75514243297062</v>
      </c>
      <c r="AO991">
        <v>22.724836589005168</v>
      </c>
      <c r="AP991">
        <v>40.086934824238419</v>
      </c>
      <c r="AQ991">
        <v>161.98950687943039</v>
      </c>
      <c r="AR991">
        <v>24.778504200569394</v>
      </c>
      <c r="AS991">
        <v>371.83313519035471</v>
      </c>
      <c r="AT991">
        <v>15.3720705536458</v>
      </c>
      <c r="AU991">
        <v>19.214575105949073</v>
      </c>
      <c r="AV991"/>
      <c r="AW991"/>
      <c r="FY991" s="213">
        <v>986</v>
      </c>
      <c r="FZ991">
        <v>45.536528725241531</v>
      </c>
      <c r="GA991">
        <v>54.256974604843514</v>
      </c>
      <c r="GB991">
        <v>46.48905854454167</v>
      </c>
      <c r="GC991">
        <v>16.554106727117397</v>
      </c>
      <c r="GD991">
        <v>2.9034010768306535</v>
      </c>
      <c r="GE991">
        <v>4.3465181357552094</v>
      </c>
      <c r="GF991">
        <v>0.48174178381634991</v>
      </c>
      <c r="GG991">
        <v>1.5705867633856587</v>
      </c>
      <c r="GH991">
        <v>8.10619346707864</v>
      </c>
      <c r="GI991">
        <v>21.152203157863525</v>
      </c>
      <c r="GJ991"/>
      <c r="GK991"/>
      <c r="GL991"/>
      <c r="GM991"/>
      <c r="GN991" s="208"/>
      <c r="GO991" s="208"/>
      <c r="GP991" s="208"/>
      <c r="GQ991" s="208"/>
      <c r="GR991" s="208"/>
      <c r="GS991" s="208"/>
      <c r="GT991" s="208"/>
      <c r="GU991" s="213">
        <v>986</v>
      </c>
    </row>
    <row r="992" spans="1:203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283.74998103191854</v>
      </c>
      <c r="AO992">
        <v>27.244204642530057</v>
      </c>
      <c r="AP992">
        <v>15.85684880643942</v>
      </c>
      <c r="AQ992">
        <v>192.99553380648879</v>
      </c>
      <c r="AR992">
        <v>26.886531778825095</v>
      </c>
      <c r="AS992">
        <v>409.94429152538129</v>
      </c>
      <c r="AT992">
        <v>16.638736870472602</v>
      </c>
      <c r="AU992">
        <v>-23.516660270611997</v>
      </c>
      <c r="AV992"/>
      <c r="AW992"/>
      <c r="FY992" s="213">
        <v>987</v>
      </c>
      <c r="FZ992">
        <v>53.102218357727864</v>
      </c>
      <c r="GA992">
        <v>31.840205320783866</v>
      </c>
      <c r="GB992">
        <v>22.27588330521877</v>
      </c>
      <c r="GC992">
        <v>11.468398295568392</v>
      </c>
      <c r="GD992">
        <v>3.1903941731626411</v>
      </c>
      <c r="GE992">
        <v>4.087931423764859</v>
      </c>
      <c r="GF992">
        <v>12.380725026266965</v>
      </c>
      <c r="GG992">
        <v>13.656668277662693</v>
      </c>
      <c r="GH992">
        <v>11.802406500729052</v>
      </c>
      <c r="GI992">
        <v>19.236675393990556</v>
      </c>
      <c r="GJ992"/>
      <c r="GK992"/>
      <c r="GL992"/>
      <c r="GM992"/>
      <c r="GN992" s="208"/>
      <c r="GO992" s="208"/>
      <c r="GP992" s="208"/>
      <c r="GQ992" s="208"/>
      <c r="GR992" s="208"/>
      <c r="GS992" s="208"/>
      <c r="GT992" s="208"/>
      <c r="GU992" s="213">
        <v>987</v>
      </c>
    </row>
    <row r="993" spans="1:203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352.30223936911301</v>
      </c>
      <c r="AO993">
        <v>28.707675227541262</v>
      </c>
      <c r="AP993">
        <v>38.635078795812845</v>
      </c>
      <c r="AQ993">
        <v>206.46347437008785</v>
      </c>
      <c r="AR993">
        <v>29.639058460629414</v>
      </c>
      <c r="AS993">
        <v>379.27886187503918</v>
      </c>
      <c r="AT993">
        <v>18.001704076468904</v>
      </c>
      <c r="AU993">
        <v>5.1969696600357054</v>
      </c>
      <c r="AV993"/>
      <c r="AW993"/>
      <c r="FY993" s="213">
        <v>988</v>
      </c>
      <c r="FZ993">
        <v>56.772587254300696</v>
      </c>
      <c r="GA993">
        <v>49.967047610320982</v>
      </c>
      <c r="GB993">
        <v>25.93749739330077</v>
      </c>
      <c r="GC993">
        <v>11.845767465801627</v>
      </c>
      <c r="GD993">
        <v>4.1968447273133416</v>
      </c>
      <c r="GE993">
        <v>7.267933665459493</v>
      </c>
      <c r="GF993">
        <v>3.693820714520391</v>
      </c>
      <c r="GG993">
        <v>2.3815578210341504</v>
      </c>
      <c r="GH993">
        <v>5.3846506676540375</v>
      </c>
      <c r="GI993">
        <v>18.652339390205846</v>
      </c>
      <c r="GJ993"/>
      <c r="GK993"/>
      <c r="GL993"/>
      <c r="GM993"/>
      <c r="GN993" s="208"/>
      <c r="GO993" s="208"/>
      <c r="GP993" s="208"/>
      <c r="GQ993" s="208"/>
      <c r="GR993" s="208"/>
      <c r="GS993" s="208"/>
      <c r="GT993" s="208"/>
      <c r="GU993" s="213">
        <v>988</v>
      </c>
    </row>
    <row r="994" spans="1:203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211.01374711270441</v>
      </c>
      <c r="AO994">
        <v>20.982413872261695</v>
      </c>
      <c r="AP994">
        <v>20.509432521551716</v>
      </c>
      <c r="AQ994">
        <v>166.93718049390617</v>
      </c>
      <c r="AR994">
        <v>21.184382774517417</v>
      </c>
      <c r="AS994">
        <v>299.28027054296263</v>
      </c>
      <c r="AT994">
        <v>12.325869663523717</v>
      </c>
      <c r="AU994">
        <v>1.15634075960239</v>
      </c>
      <c r="AV994"/>
      <c r="AW994"/>
      <c r="FY994" s="213">
        <v>989</v>
      </c>
      <c r="FZ994">
        <v>36.402131151080411</v>
      </c>
      <c r="GA994">
        <v>20.170660061373912</v>
      </c>
      <c r="GB994">
        <v>22.405858550924656</v>
      </c>
      <c r="GC994">
        <v>11.286362433725838</v>
      </c>
      <c r="GD994">
        <v>2.354603280442876</v>
      </c>
      <c r="GE994">
        <v>4.9883226624354204</v>
      </c>
      <c r="GF994">
        <v>7.3635938246663155</v>
      </c>
      <c r="GG994">
        <v>10.336353769126486</v>
      </c>
      <c r="GH994">
        <v>15.413732978952822</v>
      </c>
      <c r="GI994">
        <v>15.989412324570024</v>
      </c>
      <c r="GJ994"/>
      <c r="GK994"/>
      <c r="GL994"/>
      <c r="GM994"/>
      <c r="GN994" s="208"/>
      <c r="GO994" s="208"/>
      <c r="GP994" s="208"/>
      <c r="GQ994" s="208"/>
      <c r="GR994" s="208"/>
      <c r="GS994" s="208"/>
      <c r="GT994" s="208"/>
      <c r="GU994" s="213">
        <v>989</v>
      </c>
    </row>
    <row r="995" spans="1:203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298.90503512232522</v>
      </c>
      <c r="AO995">
        <v>25.939327452534123</v>
      </c>
      <c r="AP995">
        <v>17.091664119676867</v>
      </c>
      <c r="AQ995">
        <v>187.7891065333998</v>
      </c>
      <c r="AR995">
        <v>26.950968953806633</v>
      </c>
      <c r="AS995">
        <v>400.00633878421826</v>
      </c>
      <c r="AT995">
        <v>15.988104233068677</v>
      </c>
      <c r="AU995">
        <v>-30.684369382145718</v>
      </c>
      <c r="AV995"/>
      <c r="AW995"/>
      <c r="FY995" s="213">
        <v>990</v>
      </c>
      <c r="FZ995">
        <v>62.637217401450023</v>
      </c>
      <c r="GA995">
        <v>47.570574453338615</v>
      </c>
      <c r="GB995">
        <v>34.700215645809443</v>
      </c>
      <c r="GC995">
        <v>17.573453482058536</v>
      </c>
      <c r="GD995">
        <v>3.3149434289756941</v>
      </c>
      <c r="GE995">
        <v>6.0516100868964697</v>
      </c>
      <c r="GF995">
        <v>6.0372769310301191</v>
      </c>
      <c r="GG995">
        <v>5.9841510674606351</v>
      </c>
      <c r="GH995">
        <v>8.9514398182490762</v>
      </c>
      <c r="GI995">
        <v>22.178498671510557</v>
      </c>
      <c r="GJ995"/>
      <c r="GK995"/>
      <c r="GL995"/>
      <c r="GM995"/>
      <c r="GN995" s="208"/>
      <c r="GO995" s="208"/>
      <c r="GP995" s="208"/>
      <c r="GQ995" s="208"/>
      <c r="GR995" s="208"/>
      <c r="GS995" s="208"/>
      <c r="GT995" s="208"/>
      <c r="GU995" s="213">
        <v>990</v>
      </c>
    </row>
    <row r="996" spans="1:203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283.9285626169405</v>
      </c>
      <c r="AO996">
        <v>24.618484470716943</v>
      </c>
      <c r="AP996">
        <v>33.271130794621058</v>
      </c>
      <c r="AQ996">
        <v>185.74400467936488</v>
      </c>
      <c r="AR996">
        <v>25.003437781247619</v>
      </c>
      <c r="AS996">
        <v>343.93497184612039</v>
      </c>
      <c r="AT996">
        <v>14.86727999665481</v>
      </c>
      <c r="AU996">
        <v>-8.761735343541261</v>
      </c>
      <c r="AV996"/>
      <c r="AW996"/>
      <c r="FY996" s="213">
        <v>991</v>
      </c>
      <c r="FZ996">
        <v>36.027156348403935</v>
      </c>
      <c r="GA996">
        <v>49.012896980135963</v>
      </c>
      <c r="GB996">
        <v>33.429692478711296</v>
      </c>
      <c r="GC996">
        <v>13.218309825749138</v>
      </c>
      <c r="GD996">
        <v>2.7851292729912527</v>
      </c>
      <c r="GE996">
        <v>4.1702789723539588</v>
      </c>
      <c r="GF996">
        <v>4.8283126876973625</v>
      </c>
      <c r="GG996">
        <v>11.025004375296342</v>
      </c>
      <c r="GH996">
        <v>18.989686457723518</v>
      </c>
      <c r="GI996">
        <v>18.998122622402619</v>
      </c>
      <c r="GJ996"/>
      <c r="GK996"/>
      <c r="GL996"/>
      <c r="GM996"/>
      <c r="GN996" s="208"/>
      <c r="GO996" s="208"/>
      <c r="GP996" s="208"/>
      <c r="GQ996" s="208"/>
      <c r="GR996" s="208"/>
      <c r="GS996" s="208"/>
      <c r="GT996" s="208"/>
      <c r="GU996" s="213">
        <v>991</v>
      </c>
    </row>
    <row r="997" spans="1:203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274.66784503002179</v>
      </c>
      <c r="AO997">
        <v>33.431193326292565</v>
      </c>
      <c r="AP997">
        <v>48.055054546555482</v>
      </c>
      <c r="AQ997">
        <v>260.16617545941449</v>
      </c>
      <c r="AR997">
        <v>33.784171948687572</v>
      </c>
      <c r="AS997">
        <v>442.65983647786425</v>
      </c>
      <c r="AT997">
        <v>20.489408351044499</v>
      </c>
      <c r="AU997">
        <v>-40.846453974834297</v>
      </c>
      <c r="AV997"/>
      <c r="AW997"/>
      <c r="FY997" s="213">
        <v>992</v>
      </c>
      <c r="FZ997">
        <v>47.453364353873994</v>
      </c>
      <c r="GA997">
        <v>58.060514403265913</v>
      </c>
      <c r="GB997">
        <v>52.545330994964871</v>
      </c>
      <c r="GC997">
        <v>21.174677627146753</v>
      </c>
      <c r="GD997">
        <v>4.3621043212714428</v>
      </c>
      <c r="GE997">
        <v>6.7021329204790767</v>
      </c>
      <c r="GF997">
        <v>1.1769931819936215</v>
      </c>
      <c r="GG997">
        <v>0.31174698646780152</v>
      </c>
      <c r="GH997">
        <v>2.9291146526643477</v>
      </c>
      <c r="GI997">
        <v>23.078757619490009</v>
      </c>
      <c r="GJ997"/>
      <c r="GK997"/>
      <c r="GL997"/>
      <c r="GM997"/>
      <c r="GN997" s="208"/>
      <c r="GO997" s="208"/>
      <c r="GP997" s="208"/>
      <c r="GQ997" s="208"/>
      <c r="GR997" s="208"/>
      <c r="GS997" s="208"/>
      <c r="GT997" s="208"/>
      <c r="GU997" s="213">
        <v>992</v>
      </c>
    </row>
    <row r="998" spans="1:203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232.72575003167191</v>
      </c>
      <c r="AO998">
        <v>23.019952723272237</v>
      </c>
      <c r="AP998">
        <v>48.526786050101848</v>
      </c>
      <c r="AQ998">
        <v>158.86216494443133</v>
      </c>
      <c r="AR998">
        <v>24.549780500303392</v>
      </c>
      <c r="AS998">
        <v>316.75251048413759</v>
      </c>
      <c r="AT998">
        <v>14.865364471486856</v>
      </c>
      <c r="AU998">
        <v>3.609301856111145</v>
      </c>
      <c r="AV998"/>
      <c r="AW998"/>
      <c r="FY998" s="213">
        <v>993</v>
      </c>
      <c r="FZ998">
        <v>57.062778714507303</v>
      </c>
      <c r="GA998">
        <v>31.92495546192535</v>
      </c>
      <c r="GB998">
        <v>20.277453071449909</v>
      </c>
      <c r="GC998">
        <v>13.55689779816265</v>
      </c>
      <c r="GD998">
        <v>3.4790957673094716</v>
      </c>
      <c r="GE998">
        <v>2.8909433341824533</v>
      </c>
      <c r="GF998">
        <v>8.1352524718397916</v>
      </c>
      <c r="GG998">
        <v>10.846305932859462</v>
      </c>
      <c r="GH998">
        <v>8.6393466311326534</v>
      </c>
      <c r="GI998">
        <v>18.225934212731058</v>
      </c>
      <c r="GJ998"/>
      <c r="GK998"/>
      <c r="GL998"/>
      <c r="GM998"/>
      <c r="GN998" s="208"/>
      <c r="GO998" s="208"/>
      <c r="GP998" s="208"/>
      <c r="GQ998" s="208"/>
      <c r="GR998" s="208"/>
      <c r="GS998" s="208"/>
      <c r="GT998" s="208"/>
      <c r="GU998" s="213">
        <v>993</v>
      </c>
    </row>
    <row r="999" spans="1:203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294.57522487213345</v>
      </c>
      <c r="AO999">
        <v>26.277438861417306</v>
      </c>
      <c r="AP999">
        <v>36.39774217525958</v>
      </c>
      <c r="AQ999">
        <v>194.52905043400492</v>
      </c>
      <c r="AR999">
        <v>26.022524182354942</v>
      </c>
      <c r="AS999">
        <v>396.25785435946847</v>
      </c>
      <c r="AT999">
        <v>15.857113636585199</v>
      </c>
      <c r="AU999">
        <v>-9.7714318295693303</v>
      </c>
      <c r="AV999"/>
      <c r="AW999"/>
      <c r="FY999" s="213">
        <v>994</v>
      </c>
      <c r="FZ999">
        <v>44.590952980135242</v>
      </c>
      <c r="GA999">
        <v>45.101850680604528</v>
      </c>
      <c r="GB999">
        <v>46.620156898220387</v>
      </c>
      <c r="GC999">
        <v>20.72325952084762</v>
      </c>
      <c r="GD999">
        <v>4.0751848429651716</v>
      </c>
      <c r="GE999">
        <v>5.0102828638619954</v>
      </c>
      <c r="GF999">
        <v>7.0415711186684113</v>
      </c>
      <c r="GG999">
        <v>7.929503401796989</v>
      </c>
      <c r="GH999">
        <v>15.953670472264708</v>
      </c>
      <c r="GI999">
        <v>24.167443284455324</v>
      </c>
      <c r="GJ999"/>
      <c r="GK999"/>
      <c r="GL999"/>
      <c r="GM999"/>
      <c r="GN999" s="208"/>
      <c r="GO999" s="208"/>
      <c r="GP999" s="208"/>
      <c r="GQ999" s="208"/>
      <c r="GR999" s="208"/>
      <c r="GS999" s="208"/>
      <c r="GT999" s="208"/>
      <c r="GU999" s="213">
        <v>994</v>
      </c>
    </row>
    <row r="1000" spans="1:203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241.94504119975423</v>
      </c>
      <c r="AO1000">
        <v>23.683569639364642</v>
      </c>
      <c r="AP1000">
        <v>23.211722529971908</v>
      </c>
      <c r="AQ1000">
        <v>176.04533696612415</v>
      </c>
      <c r="AR1000">
        <v>23.872020684554453</v>
      </c>
      <c r="AS1000">
        <v>355.15286825007723</v>
      </c>
      <c r="AT1000">
        <v>14.256016029817831</v>
      </c>
      <c r="AU1000">
        <v>-1.8277153817520144</v>
      </c>
      <c r="AV1000"/>
      <c r="AW1000"/>
      <c r="FY1000" s="213">
        <v>995</v>
      </c>
      <c r="FZ1000">
        <v>37.793227405240295</v>
      </c>
      <c r="GA1000">
        <v>45.22439578810463</v>
      </c>
      <c r="GB1000">
        <v>35.485993980282707</v>
      </c>
      <c r="GC1000">
        <v>14.519967964846494</v>
      </c>
      <c r="GD1000">
        <v>4.2274001128543661</v>
      </c>
      <c r="GE1000">
        <v>5.6700215955261566</v>
      </c>
      <c r="GF1000">
        <v>1.7444965636915808</v>
      </c>
      <c r="GG1000">
        <v>1.6072027457684221</v>
      </c>
      <c r="GH1000">
        <v>8.4953561239290121</v>
      </c>
      <c r="GI1000">
        <v>18.35288557790463</v>
      </c>
      <c r="GJ1000"/>
      <c r="GK1000"/>
      <c r="GL1000"/>
      <c r="GM1000"/>
      <c r="GN1000" s="208"/>
      <c r="GO1000" s="208"/>
      <c r="GP1000" s="208"/>
      <c r="GQ1000" s="208"/>
      <c r="GR1000" s="208"/>
      <c r="GS1000" s="208"/>
      <c r="GT1000" s="208"/>
      <c r="GU1000" s="213">
        <v>995</v>
      </c>
    </row>
    <row r="1001" spans="1:203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337.17685228429229</v>
      </c>
      <c r="AO1001">
        <v>29.981584163702728</v>
      </c>
      <c r="AP1001">
        <v>51.653268081747981</v>
      </c>
      <c r="AQ1001">
        <v>216.74292836408449</v>
      </c>
      <c r="AR1001">
        <v>30.401217787661583</v>
      </c>
      <c r="AS1001">
        <v>420.3847113218024</v>
      </c>
      <c r="AT1001">
        <v>18.231850322059802</v>
      </c>
      <c r="AU1001">
        <v>-12.931338211104318</v>
      </c>
      <c r="AV1001"/>
      <c r="AW1001"/>
      <c r="FY1001" s="213">
        <v>996</v>
      </c>
      <c r="FZ1001">
        <v>55.777014556359795</v>
      </c>
      <c r="GA1001">
        <v>59.773942848014187</v>
      </c>
      <c r="GB1001">
        <v>39.748736519584661</v>
      </c>
      <c r="GC1001">
        <v>16.898564225586206</v>
      </c>
      <c r="GD1001">
        <v>1.7262016175755466</v>
      </c>
      <c r="GE1001">
        <v>2.2722873255977696</v>
      </c>
      <c r="GF1001">
        <v>3.7688016994576987</v>
      </c>
      <c r="GG1001">
        <v>3.8163539185751683</v>
      </c>
      <c r="GH1001">
        <v>5.8783743688230636</v>
      </c>
      <c r="GI1001">
        <v>20.5850726226058</v>
      </c>
      <c r="GJ1001"/>
      <c r="GK1001"/>
      <c r="GL1001"/>
      <c r="GM1001"/>
      <c r="GN1001" s="208"/>
      <c r="GO1001" s="208"/>
      <c r="GP1001" s="208"/>
      <c r="GQ1001" s="208"/>
      <c r="GR1001" s="208"/>
      <c r="GS1001" s="208"/>
      <c r="GT1001" s="208"/>
      <c r="GU1001" s="213">
        <v>996</v>
      </c>
    </row>
    <row r="1002" spans="1:203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294.57292875031499</v>
      </c>
      <c r="AO1002">
        <v>28.019072207662969</v>
      </c>
      <c r="AP1002">
        <v>45.673086217350289</v>
      </c>
      <c r="AQ1002">
        <v>201.39731298647411</v>
      </c>
      <c r="AR1002">
        <v>28.955067060524726</v>
      </c>
      <c r="AS1002">
        <v>446.86329373716899</v>
      </c>
      <c r="AT1002" t="e">
        <v>#DIV/0!</v>
      </c>
      <c r="AU1002" t="e">
        <v>#DIV/0!</v>
      </c>
      <c r="AV1002"/>
      <c r="AW1002"/>
      <c r="FY1002" s="213">
        <v>997</v>
      </c>
      <c r="FZ1002">
        <v>34.764856434014725</v>
      </c>
      <c r="GA1002">
        <v>39.514493844129277</v>
      </c>
      <c r="GB1002">
        <v>29.442214862910046</v>
      </c>
      <c r="GC1002">
        <v>14.776409947735079</v>
      </c>
      <c r="GD1002">
        <v>4.8221687846216472</v>
      </c>
      <c r="GE1002">
        <v>5.1795845650022585</v>
      </c>
      <c r="GF1002">
        <v>4.1607344615460367</v>
      </c>
      <c r="GG1002">
        <v>9.6268829080056726</v>
      </c>
      <c r="GH1002">
        <v>11.693553077460129</v>
      </c>
      <c r="GI1002">
        <v>17.717958781093348</v>
      </c>
      <c r="GJ1002"/>
      <c r="GK1002"/>
      <c r="GL1002"/>
      <c r="GM1002"/>
      <c r="GN1002" s="208"/>
      <c r="GO1002" s="208"/>
      <c r="GP1002" s="208"/>
      <c r="GQ1002" s="208"/>
      <c r="GR1002" s="208"/>
      <c r="GS1002" s="208"/>
      <c r="GT1002" s="208"/>
      <c r="GU1002" s="213">
        <v>997</v>
      </c>
    </row>
    <row r="1003" spans="1:203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258.11230578042893</v>
      </c>
      <c r="AO1003">
        <v>24.806385263319505</v>
      </c>
      <c r="AP1003">
        <v>36.298364296687296</v>
      </c>
      <c r="AQ1003">
        <v>183.04150607487568</v>
      </c>
      <c r="AR1003">
        <v>26.483303452009704</v>
      </c>
      <c r="AS1003">
        <v>353.44830495986446</v>
      </c>
      <c r="AT1003">
        <v>15.660015459961471</v>
      </c>
      <c r="AU1003">
        <v>25.990858387301422</v>
      </c>
      <c r="AV1003"/>
      <c r="AW1003"/>
      <c r="FY1003" s="213">
        <v>998</v>
      </c>
      <c r="FZ1003">
        <v>45.901119733411953</v>
      </c>
      <c r="GA1003">
        <v>54.303517771273512</v>
      </c>
      <c r="GB1003">
        <v>30.109847490401908</v>
      </c>
      <c r="GC1003">
        <v>10.927609268112677</v>
      </c>
      <c r="GD1003">
        <v>3.0579431062171327</v>
      </c>
      <c r="GE1003">
        <v>5.0235369209922984</v>
      </c>
      <c r="GF1003">
        <v>5.073793363397419</v>
      </c>
      <c r="GG1003">
        <v>5.172039571902209</v>
      </c>
      <c r="GH1003">
        <v>7.6393202705530046</v>
      </c>
      <c r="GI1003">
        <v>18.024659182219033</v>
      </c>
      <c r="GJ1003"/>
      <c r="GK1003"/>
      <c r="GL1003"/>
      <c r="GM1003"/>
      <c r="GN1003" s="208"/>
      <c r="GO1003" s="208"/>
      <c r="GP1003" s="208"/>
      <c r="GQ1003" s="208"/>
      <c r="GR1003" s="208"/>
      <c r="GS1003" s="208"/>
      <c r="GT1003" s="208"/>
      <c r="GU1003" s="213">
        <v>998</v>
      </c>
    </row>
    <row r="1004" spans="1:203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273.89943557294788</v>
      </c>
      <c r="AO1004">
        <v>24.960897002211588</v>
      </c>
      <c r="AP1004">
        <v>35.288317662085454</v>
      </c>
      <c r="AQ1004">
        <v>186.10004670991131</v>
      </c>
      <c r="AR1004">
        <v>25.599863373056156</v>
      </c>
      <c r="AS1004">
        <v>373.26018939728152</v>
      </c>
      <c r="AT1004">
        <v>15.803079595083164</v>
      </c>
      <c r="AU1004">
        <v>-15.825460609759396</v>
      </c>
      <c r="AV1004"/>
      <c r="AW1004"/>
      <c r="FY1004" s="213">
        <v>999</v>
      </c>
      <c r="FZ1004">
        <v>42.007924307778865</v>
      </c>
      <c r="GA1004">
        <v>33.345435750803652</v>
      </c>
      <c r="GB1004">
        <v>22.543109049749237</v>
      </c>
      <c r="GC1004">
        <v>10.637755048321033</v>
      </c>
      <c r="GD1004">
        <v>5.1898200449851979</v>
      </c>
      <c r="GE1004">
        <v>8.3459755312352293</v>
      </c>
      <c r="GF1004">
        <v>11.405285047097854</v>
      </c>
      <c r="GG1004">
        <v>11.010002018814099</v>
      </c>
      <c r="GH1004">
        <v>7.0367431461150574</v>
      </c>
      <c r="GI1004">
        <v>17.881506622885251</v>
      </c>
      <c r="GJ1004"/>
      <c r="GK1004"/>
      <c r="GL1004"/>
      <c r="GM1004"/>
      <c r="GN1004" s="208"/>
      <c r="GO1004" s="208"/>
      <c r="GP1004" s="208"/>
      <c r="GQ1004" s="208"/>
      <c r="GR1004" s="208"/>
      <c r="GS1004" s="208"/>
      <c r="GT1004" s="208"/>
      <c r="GU1004" s="213">
        <v>999</v>
      </c>
    </row>
    <row r="1005" spans="1:203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244.54535619028496</v>
      </c>
      <c r="AO1005">
        <v>20.667195482782034</v>
      </c>
      <c r="AP1005">
        <v>37.642550980075555</v>
      </c>
      <c r="AQ1005">
        <v>146.71103103729877</v>
      </c>
      <c r="AR1005">
        <v>21.904890606220082</v>
      </c>
      <c r="AS1005">
        <v>346.24869055874848</v>
      </c>
      <c r="AT1005">
        <v>13.39180784403802</v>
      </c>
      <c r="AU1005">
        <v>27.28664710561975</v>
      </c>
      <c r="AV1005"/>
      <c r="AW1005"/>
      <c r="FY1005" s="213">
        <v>1000</v>
      </c>
      <c r="FZ1005">
        <v>45.214101985450249</v>
      </c>
      <c r="GA1005">
        <v>27.218882091037976</v>
      </c>
      <c r="GB1005">
        <v>25.722141064559963</v>
      </c>
      <c r="GC1005">
        <v>14.382069332648626</v>
      </c>
      <c r="GD1005">
        <v>3.5269075444999585</v>
      </c>
      <c r="GE1005">
        <v>6.7120032265320209</v>
      </c>
      <c r="GF1005">
        <v>8.1499457273288538</v>
      </c>
      <c r="GG1005">
        <v>10.112583355229873</v>
      </c>
      <c r="GH1005">
        <v>8.1973867304122248</v>
      </c>
      <c r="GI1005">
        <v>17.772926295738213</v>
      </c>
      <c r="GJ1005"/>
      <c r="GK1005"/>
      <c r="GL1005"/>
      <c r="GM1005"/>
      <c r="GN1005" s="208"/>
      <c r="GO1005" s="208"/>
      <c r="GP1005" s="208"/>
      <c r="GQ1005" s="208"/>
      <c r="GR1005" s="208"/>
      <c r="GS1005" s="208"/>
      <c r="GT1005" s="208"/>
      <c r="GU1005" s="213">
        <v>1000</v>
      </c>
    </row>
    <row r="1006" spans="1:203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273.25777297603315</v>
      </c>
      <c r="AO1006">
        <v>29.70928505375948</v>
      </c>
      <c r="AP1006">
        <v>67.934543465529856</v>
      </c>
      <c r="AQ1006">
        <v>214.99938098677913</v>
      </c>
      <c r="AR1006">
        <v>30.464393484644596</v>
      </c>
      <c r="AS1006">
        <v>406.54201428194955</v>
      </c>
      <c r="AT1006">
        <v>18.863418238919994</v>
      </c>
      <c r="AU1006">
        <v>9.0594866567226688</v>
      </c>
      <c r="AV1006"/>
      <c r="AW1006"/>
    </row>
    <row r="1007" spans="1:203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275.85438559971334</v>
      </c>
      <c r="AO1007">
        <v>26.134452990520721</v>
      </c>
      <c r="AP1007">
        <v>47.834857902146297</v>
      </c>
      <c r="AQ1007">
        <v>192.48459002146541</v>
      </c>
      <c r="AR1007">
        <v>26.000371817937722</v>
      </c>
      <c r="AS1007">
        <v>375.05283845180907</v>
      </c>
      <c r="AT1007">
        <v>16.693575701519194</v>
      </c>
      <c r="AU1007">
        <v>-4.2805583958194866</v>
      </c>
      <c r="AV1007"/>
      <c r="AW1007"/>
    </row>
    <row r="1008" spans="1:203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316.99160676675967</v>
      </c>
      <c r="AO1008">
        <v>31.582608933891105</v>
      </c>
      <c r="AP1008">
        <v>22.713683057963188</v>
      </c>
      <c r="AQ1008">
        <v>217.79473706161781</v>
      </c>
      <c r="AR1008">
        <v>31.51929069568645</v>
      </c>
      <c r="AS1008">
        <v>458.44237946359885</v>
      </c>
      <c r="AT1008">
        <v>20.00845169849568</v>
      </c>
      <c r="AU1008">
        <v>-18.827641087538289</v>
      </c>
      <c r="AV1008"/>
      <c r="AW1008"/>
    </row>
    <row r="1009" spans="1:49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217.59387989364092</v>
      </c>
      <c r="AO1009">
        <v>23.996169009166842</v>
      </c>
      <c r="AP1009">
        <v>20.222725806273964</v>
      </c>
      <c r="AQ1009">
        <v>175.03896339610012</v>
      </c>
      <c r="AR1009">
        <v>25.112285202174817</v>
      </c>
      <c r="AS1009">
        <v>334.34737561312028</v>
      </c>
      <c r="AT1009">
        <v>15.147180534347775</v>
      </c>
      <c r="AU1009">
        <v>17.034859463385271</v>
      </c>
      <c r="AV1009"/>
      <c r="AW1009"/>
    </row>
    <row r="1010" spans="1:49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336.98281034458881</v>
      </c>
      <c r="AO1010">
        <v>32.000456659729373</v>
      </c>
      <c r="AP1010">
        <v>52.306935093264556</v>
      </c>
      <c r="AQ1010">
        <v>221.21387606382035</v>
      </c>
      <c r="AR1010">
        <v>33.083552484798155</v>
      </c>
      <c r="AS1010">
        <v>470.88129928834832</v>
      </c>
      <c r="AT1010">
        <v>20.364100931786258</v>
      </c>
      <c r="AU1010">
        <v>11.86816842241975</v>
      </c>
      <c r="AV1010"/>
      <c r="AW1010"/>
    </row>
    <row r="1011" spans="1:49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267.69202212050345</v>
      </c>
      <c r="AO1011">
        <v>24.618237926913178</v>
      </c>
      <c r="AP1011">
        <v>14.951612206521245</v>
      </c>
      <c r="AQ1011">
        <v>173.12094785814827</v>
      </c>
      <c r="AR1011">
        <v>25.115304763384465</v>
      </c>
      <c r="AS1011">
        <v>394.68163878131435</v>
      </c>
      <c r="AT1011">
        <v>15.958313227851692</v>
      </c>
      <c r="AU1011">
        <v>-30.108804297903959</v>
      </c>
      <c r="AV1011"/>
      <c r="AW1011"/>
    </row>
    <row r="1012" spans="1:49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244.16586076469235</v>
      </c>
      <c r="AO1012">
        <v>28.133515098019405</v>
      </c>
      <c r="AP1012">
        <v>13.045890223618091</v>
      </c>
      <c r="AQ1012">
        <v>210.24534970217991</v>
      </c>
      <c r="AR1012">
        <v>28.218258359597854</v>
      </c>
      <c r="AS1012">
        <v>405.66332220071052</v>
      </c>
      <c r="AT1012">
        <v>17.384903509604928</v>
      </c>
      <c r="AU1012">
        <v>-9.7725091652115097</v>
      </c>
      <c r="AV1012"/>
      <c r="AW1012"/>
    </row>
    <row r="1013" spans="1:49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285.39577405481953</v>
      </c>
      <c r="AO1013">
        <v>24.656978914993473</v>
      </c>
      <c r="AP1013">
        <v>31.810976905970527</v>
      </c>
      <c r="AQ1013">
        <v>171.69885766651825</v>
      </c>
      <c r="AR1013">
        <v>24.170780025930803</v>
      </c>
      <c r="AS1013">
        <v>398.27658446601043</v>
      </c>
      <c r="AT1013">
        <v>15.280125736423363</v>
      </c>
      <c r="AU1013">
        <v>12.474569723752854</v>
      </c>
      <c r="AV1013"/>
      <c r="AW1013"/>
    </row>
    <row r="1014" spans="1:49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251.95642100113164</v>
      </c>
      <c r="AO1014">
        <v>24.563880962389263</v>
      </c>
      <c r="AP1014">
        <v>18.991813514019114</v>
      </c>
      <c r="AQ1014">
        <v>185.23338667848117</v>
      </c>
      <c r="AR1014">
        <v>24.782701992115225</v>
      </c>
      <c r="AS1014">
        <v>334.74575394111395</v>
      </c>
      <c r="AT1014">
        <v>14.541322866402917</v>
      </c>
      <c r="AU1014">
        <v>-14.917825101863343</v>
      </c>
      <c r="AV1014"/>
      <c r="AW1014"/>
    </row>
    <row r="1015" spans="1:49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289.66584206068984</v>
      </c>
      <c r="AO1015">
        <v>23.898959242242849</v>
      </c>
      <c r="AP1015">
        <v>37.174492762620822</v>
      </c>
      <c r="AQ1015">
        <v>169.40355656778547</v>
      </c>
      <c r="AR1015">
        <v>24.481008562408572</v>
      </c>
      <c r="AS1015">
        <v>339.59168390216001</v>
      </c>
      <c r="AT1015">
        <v>15.235790254461078</v>
      </c>
      <c r="AU1015">
        <v>-9.8236504619184331</v>
      </c>
      <c r="AV1015"/>
      <c r="AW1015"/>
    </row>
    <row r="1016" spans="1:49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252.40210386545442</v>
      </c>
      <c r="AO1016">
        <v>24.03068458672211</v>
      </c>
      <c r="AP1016">
        <v>36.385516617983129</v>
      </c>
      <c r="AQ1016">
        <v>167.00894735343797</v>
      </c>
      <c r="AR1016">
        <v>24.382111339403625</v>
      </c>
      <c r="AS1016">
        <v>379.20691703080422</v>
      </c>
      <c r="AT1016">
        <v>15.113885334825936</v>
      </c>
      <c r="AU1016">
        <v>24.932320818107051</v>
      </c>
      <c r="AV1016"/>
      <c r="AW1016"/>
    </row>
    <row r="1017" spans="1:49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49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49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49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49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49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49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49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71">
    <mergeCell ref="FU16:FV16"/>
    <mergeCell ref="FS16:FT16"/>
    <mergeCell ref="FQ16:FR16"/>
    <mergeCell ref="FU15:FV15"/>
    <mergeCell ref="FS15:FT15"/>
    <mergeCell ref="FQ15:FR15"/>
    <mergeCell ref="FU14:FV14"/>
    <mergeCell ref="FS14:FT14"/>
    <mergeCell ref="FQ14:FR14"/>
    <mergeCell ref="FU13:FV13"/>
    <mergeCell ref="FS13:FT13"/>
    <mergeCell ref="FQ13:FR13"/>
    <mergeCell ref="FU12:FV12"/>
    <mergeCell ref="FS12:FT12"/>
    <mergeCell ref="FQ12:FR12"/>
    <mergeCell ref="FU11:FV11"/>
    <mergeCell ref="FS11:FT11"/>
    <mergeCell ref="FQ11:FR11"/>
    <mergeCell ref="FU10:FV10"/>
    <mergeCell ref="FS10:FT10"/>
    <mergeCell ref="FQ10:FR10"/>
    <mergeCell ref="FU9:FV9"/>
    <mergeCell ref="FS9:FT9"/>
    <mergeCell ref="FQ9:FR9"/>
    <mergeCell ref="FU8:FV8"/>
    <mergeCell ref="FS8:FT8"/>
    <mergeCell ref="FQ8:FR8"/>
    <mergeCell ref="FU7:FV7"/>
    <mergeCell ref="FS7:FT7"/>
    <mergeCell ref="FQ7:FR7"/>
    <mergeCell ref="FU6:FV6"/>
    <mergeCell ref="FS6:FT6"/>
    <mergeCell ref="FQ6:FR6"/>
    <mergeCell ref="FR4:FU4"/>
    <mergeCell ref="CW86:CX86"/>
    <mergeCell ref="FK10:FL10"/>
    <mergeCell ref="FM10:FN10"/>
    <mergeCell ref="FI11:FJ11"/>
    <mergeCell ref="FK11:FL11"/>
    <mergeCell ref="FM11:FN11"/>
    <mergeCell ref="FI12:FJ12"/>
    <mergeCell ref="FK12:FL12"/>
    <mergeCell ref="FM12:FN12"/>
    <mergeCell ref="FI13:FJ13"/>
    <mergeCell ref="FK13:FL13"/>
    <mergeCell ref="FM13:FN13"/>
    <mergeCell ref="O455:R455"/>
    <mergeCell ref="GC2:GI2"/>
    <mergeCell ref="FJ4:FM4"/>
    <mergeCell ref="FI6:FJ6"/>
    <mergeCell ref="FK6:FL6"/>
    <mergeCell ref="FM6:FN6"/>
    <mergeCell ref="FI7:FJ7"/>
    <mergeCell ref="FK7:FL7"/>
    <mergeCell ref="FM7:FN7"/>
    <mergeCell ref="FI8:FJ8"/>
    <mergeCell ref="FK8:FL8"/>
    <mergeCell ref="FM8:FN8"/>
    <mergeCell ref="FI9:FJ9"/>
    <mergeCell ref="FK9:FL9"/>
    <mergeCell ref="FM9:FN9"/>
    <mergeCell ref="FI10:FJ10"/>
    <mergeCell ref="FI16:FJ16"/>
    <mergeCell ref="FK16:FL16"/>
    <mergeCell ref="FM16:FN16"/>
    <mergeCell ref="FI14:FJ14"/>
    <mergeCell ref="FK14:FL14"/>
    <mergeCell ref="FM14:FN14"/>
    <mergeCell ref="FI15:FJ15"/>
    <mergeCell ref="FK15:FL15"/>
    <mergeCell ref="FM15:FN15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2011-01-12T21:47:11Z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