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7365" yWindow="420" windowWidth="9765" windowHeight="808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G213" i="1"/>
  <c r="DG262"/>
  <c r="DG261"/>
  <c r="DH262" s="1"/>
  <c r="DG260"/>
  <c r="DH260" s="1"/>
  <c r="DG259"/>
  <c r="DG258"/>
  <c r="DH259" s="1"/>
  <c r="DG257"/>
  <c r="DH258" s="1"/>
  <c r="DG256"/>
  <c r="DH256" s="1"/>
  <c r="DG255"/>
  <c r="DH254"/>
  <c r="DG254"/>
  <c r="DH255" s="1"/>
  <c r="DG253"/>
  <c r="DH263" s="1"/>
  <c r="DG212"/>
  <c r="DH212"/>
  <c r="DI212"/>
  <c r="DJ212"/>
  <c r="DK212"/>
  <c r="DL212"/>
  <c r="DM212"/>
  <c r="DN212"/>
  <c r="DO212"/>
  <c r="DP212"/>
  <c r="DH213"/>
  <c r="DI213"/>
  <c r="DJ213"/>
  <c r="DK213"/>
  <c r="DL213"/>
  <c r="DM213"/>
  <c r="DN213"/>
  <c r="DO213"/>
  <c r="DP213"/>
  <c r="DG214"/>
  <c r="DH214"/>
  <c r="DI214"/>
  <c r="DJ214"/>
  <c r="DK214"/>
  <c r="DL214"/>
  <c r="DM214"/>
  <c r="DN214"/>
  <c r="DO214"/>
  <c r="DP214"/>
  <c r="DG215"/>
  <c r="DH215"/>
  <c r="DI215"/>
  <c r="DJ215"/>
  <c r="DK215"/>
  <c r="DL215"/>
  <c r="DM215"/>
  <c r="DN215"/>
  <c r="DO215"/>
  <c r="DP215"/>
  <c r="DG216"/>
  <c r="DH216"/>
  <c r="DI216"/>
  <c r="DJ216"/>
  <c r="DK216"/>
  <c r="DL216"/>
  <c r="DM216"/>
  <c r="DN216"/>
  <c r="DO216"/>
  <c r="DP216"/>
  <c r="DG217"/>
  <c r="DG230" s="1"/>
  <c r="DH217"/>
  <c r="DI217"/>
  <c r="DJ217"/>
  <c r="DK217"/>
  <c r="DL217"/>
  <c r="DM217"/>
  <c r="DN217"/>
  <c r="DO217"/>
  <c r="DP217"/>
  <c r="DG218"/>
  <c r="DH218"/>
  <c r="DI218"/>
  <c r="DJ218"/>
  <c r="DK218"/>
  <c r="DL218"/>
  <c r="DM218"/>
  <c r="DN218"/>
  <c r="DO218"/>
  <c r="DP218"/>
  <c r="DG219"/>
  <c r="DH219"/>
  <c r="DI219"/>
  <c r="DJ219"/>
  <c r="DK219"/>
  <c r="DL219"/>
  <c r="DM219"/>
  <c r="DN219"/>
  <c r="DO219"/>
  <c r="DP219"/>
  <c r="DG220"/>
  <c r="DH220"/>
  <c r="DI220"/>
  <c r="DJ220"/>
  <c r="DK220"/>
  <c r="DL220"/>
  <c r="DM220"/>
  <c r="DN220"/>
  <c r="DO220"/>
  <c r="DP220"/>
  <c r="DG221"/>
  <c r="DH221"/>
  <c r="DI221"/>
  <c r="DJ221"/>
  <c r="DK221"/>
  <c r="DL221"/>
  <c r="DM221"/>
  <c r="DN221"/>
  <c r="DO221"/>
  <c r="DP221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DH257" l="1"/>
  <c r="DH261"/>
  <c r="DQ213"/>
  <c r="DQ212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H460" l="1"/>
  <c r="DE22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A438"/>
  <c r="I36"/>
  <c r="J36"/>
  <c r="E463" s="1"/>
  <c r="K36"/>
  <c r="E465"/>
  <c r="H466" s="1"/>
  <c r="L36"/>
  <c r="E467" s="1"/>
  <c r="H468" s="1"/>
  <c r="M36"/>
  <c r="E469"/>
  <c r="N36"/>
  <c r="E471"/>
  <c r="O36"/>
  <c r="P36"/>
  <c r="E475"/>
  <c r="Q36"/>
  <c r="R36"/>
  <c r="E479"/>
  <c r="S36"/>
  <c r="E481" s="1"/>
  <c r="T36"/>
  <c r="U36"/>
  <c r="E485" s="1"/>
  <c r="V36"/>
  <c r="W36"/>
  <c r="E489"/>
  <c r="X36"/>
  <c r="Y36"/>
  <c r="E493"/>
  <c r="Z36"/>
  <c r="E495" s="1"/>
  <c r="AA36"/>
  <c r="AB36"/>
  <c r="E499" s="1"/>
  <c r="AC36"/>
  <c r="AD36"/>
  <c r="E503"/>
  <c r="AE36"/>
  <c r="AF36"/>
  <c r="E507"/>
  <c r="AG36"/>
  <c r="AH36"/>
  <c r="AI36"/>
  <c r="E513" s="1"/>
  <c r="AJ36"/>
  <c r="E515"/>
  <c r="H516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H372"/>
  <c r="H382" s="1"/>
  <c r="I372"/>
  <c r="J372"/>
  <c r="L372"/>
  <c r="L376" s="1"/>
  <c r="M372"/>
  <c r="M379" s="1"/>
  <c r="N372"/>
  <c r="N382" s="1"/>
  <c r="O372"/>
  <c r="P372"/>
  <c r="S372"/>
  <c r="U372"/>
  <c r="W372"/>
  <c r="Y372"/>
  <c r="Z372"/>
  <c r="AB372"/>
  <c r="AD372"/>
  <c r="AD382" s="1"/>
  <c r="AF372"/>
  <c r="AI372"/>
  <c r="AI381" s="1"/>
  <c r="AK372"/>
  <c r="N381"/>
  <c r="O381"/>
  <c r="W381"/>
  <c r="AD381"/>
  <c r="AK381"/>
  <c r="H380"/>
  <c r="N380"/>
  <c r="W380"/>
  <c r="AB380"/>
  <c r="AD380"/>
  <c r="AI380"/>
  <c r="H379"/>
  <c r="U379"/>
  <c r="W379"/>
  <c r="AF379"/>
  <c r="AI379"/>
  <c r="H378"/>
  <c r="J378"/>
  <c r="L378"/>
  <c r="U378"/>
  <c r="AF378"/>
  <c r="J377"/>
  <c r="N377"/>
  <c r="Y377"/>
  <c r="Z377"/>
  <c r="AI377"/>
  <c r="J376"/>
  <c r="Z376"/>
  <c r="AB376"/>
  <c r="H375"/>
  <c r="M375"/>
  <c r="W375"/>
  <c r="Y375"/>
  <c r="AI375"/>
  <c r="N374"/>
  <c r="P374"/>
  <c r="U374"/>
  <c r="AF374"/>
  <c r="J373"/>
  <c r="N373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/>
  <c r="EI188"/>
  <c r="FS188" s="1"/>
  <c r="EH188"/>
  <c r="FR188"/>
  <c r="EG188"/>
  <c r="FQ188" s="1"/>
  <c r="EF188"/>
  <c r="FP188"/>
  <c r="EE188"/>
  <c r="FO188" s="1"/>
  <c r="ED188"/>
  <c r="FN188"/>
  <c r="EC188"/>
  <c r="FM188" s="1"/>
  <c r="EB188"/>
  <c r="FL188"/>
  <c r="EA188"/>
  <c r="FK188" s="1"/>
  <c r="DZ188"/>
  <c r="FJ188"/>
  <c r="DY188"/>
  <c r="FI188" s="1"/>
  <c r="DX188"/>
  <c r="FH188"/>
  <c r="DW188"/>
  <c r="FG188" s="1"/>
  <c r="DV188"/>
  <c r="FF188"/>
  <c r="DU188"/>
  <c r="FE188" s="1"/>
  <c r="DT188"/>
  <c r="FD188"/>
  <c r="DS188"/>
  <c r="FC188" s="1"/>
  <c r="DR188"/>
  <c r="FB188"/>
  <c r="DQ188"/>
  <c r="FA188" s="1"/>
  <c r="DP188"/>
  <c r="EZ188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EZ187" s="1"/>
  <c r="DV187"/>
  <c r="FF187" s="1"/>
  <c r="ED187"/>
  <c r="EH187"/>
  <c r="FR187" s="1"/>
  <c r="DD187"/>
  <c r="BA187"/>
  <c r="CM187"/>
  <c r="CL187"/>
  <c r="CK187"/>
  <c r="AY187"/>
  <c r="B178"/>
  <c r="CX186"/>
  <c r="CZ186"/>
  <c r="DJ186"/>
  <c r="DN186"/>
  <c r="EX186" s="1"/>
  <c r="DO186"/>
  <c r="EY186" s="1"/>
  <c r="DP186"/>
  <c r="DQ186"/>
  <c r="FA186" s="1"/>
  <c r="DR186"/>
  <c r="FB186" s="1"/>
  <c r="DS186"/>
  <c r="DT186"/>
  <c r="FD186"/>
  <c r="DU186"/>
  <c r="DV186"/>
  <c r="FF186"/>
  <c r="DW186"/>
  <c r="DX186"/>
  <c r="FH186" s="1"/>
  <c r="DY186"/>
  <c r="FI186" s="1"/>
  <c r="DZ186"/>
  <c r="EA186"/>
  <c r="FK186" s="1"/>
  <c r="EB186"/>
  <c r="EC186"/>
  <c r="FM186" s="1"/>
  <c r="ED186"/>
  <c r="EE186"/>
  <c r="FO186" s="1"/>
  <c r="EF186"/>
  <c r="FP186"/>
  <c r="EG186"/>
  <c r="EH186"/>
  <c r="FR186" s="1"/>
  <c r="EI186"/>
  <c r="EJ186"/>
  <c r="FT186" s="1"/>
  <c r="DD186"/>
  <c r="BA186"/>
  <c r="CM186"/>
  <c r="CL186"/>
  <c r="CK186"/>
  <c r="AY186"/>
  <c r="B181"/>
  <c r="CX185"/>
  <c r="CZ185"/>
  <c r="DK185"/>
  <c r="EU185" s="1"/>
  <c r="DO185"/>
  <c r="EY185"/>
  <c r="DS185"/>
  <c r="DW185"/>
  <c r="EA185"/>
  <c r="FK185" s="1"/>
  <c r="EC185"/>
  <c r="FM185" s="1"/>
  <c r="EE185"/>
  <c r="FO185" s="1"/>
  <c r="DD185"/>
  <c r="DE185"/>
  <c r="DC185"/>
  <c r="BA185"/>
  <c r="CM185" s="1"/>
  <c r="CL185"/>
  <c r="CK185"/>
  <c r="AY185"/>
  <c r="B187"/>
  <c r="CX184"/>
  <c r="CZ184"/>
  <c r="DF184"/>
  <c r="DL184"/>
  <c r="EV184" s="1"/>
  <c r="DT184"/>
  <c r="FD184" s="1"/>
  <c r="EA184"/>
  <c r="FK184" s="1"/>
  <c r="EI184"/>
  <c r="FS184" s="1"/>
  <c r="DD184"/>
  <c r="BA184"/>
  <c r="CM184"/>
  <c r="CL184"/>
  <c r="CK184"/>
  <c r="AY184"/>
  <c r="B182"/>
  <c r="CX183"/>
  <c r="CZ183"/>
  <c r="DH183"/>
  <c r="DL183"/>
  <c r="DP183"/>
  <c r="EZ183" s="1"/>
  <c r="DR183"/>
  <c r="FB183" s="1"/>
  <c r="DT183"/>
  <c r="FD183" s="1"/>
  <c r="DZ183"/>
  <c r="FJ183" s="1"/>
  <c r="EF183"/>
  <c r="FP183" s="1"/>
  <c r="EH183"/>
  <c r="FR183" s="1"/>
  <c r="EJ183"/>
  <c r="FT183"/>
  <c r="DD183"/>
  <c r="DC183" s="1"/>
  <c r="DE183"/>
  <c r="BA183"/>
  <c r="CM183" s="1"/>
  <c r="CL183"/>
  <c r="CK183"/>
  <c r="AY183"/>
  <c r="B179"/>
  <c r="CX182"/>
  <c r="CZ182"/>
  <c r="DF182"/>
  <c r="DG182"/>
  <c r="EQ182" s="1"/>
  <c r="DH182"/>
  <c r="DI182"/>
  <c r="ES182" s="1"/>
  <c r="DJ182"/>
  <c r="DK182"/>
  <c r="EU182" s="1"/>
  <c r="DL182"/>
  <c r="EV182" s="1"/>
  <c r="DM182"/>
  <c r="EW182" s="1"/>
  <c r="DN182"/>
  <c r="DO182"/>
  <c r="EY182" s="1"/>
  <c r="DP182"/>
  <c r="DQ182"/>
  <c r="DR182"/>
  <c r="FB182" s="1"/>
  <c r="DS182"/>
  <c r="DT182"/>
  <c r="FD182" s="1"/>
  <c r="DU182"/>
  <c r="DV182"/>
  <c r="FF182"/>
  <c r="DW182"/>
  <c r="DX182"/>
  <c r="FH182" s="1"/>
  <c r="DY182"/>
  <c r="FI182" s="1"/>
  <c r="DZ182"/>
  <c r="EA182"/>
  <c r="FK182" s="1"/>
  <c r="EB182"/>
  <c r="EC182"/>
  <c r="FM182" s="1"/>
  <c r="ED182"/>
  <c r="EE182"/>
  <c r="FO182" s="1"/>
  <c r="EF182"/>
  <c r="FP182" s="1"/>
  <c r="EG182"/>
  <c r="EH182"/>
  <c r="FR182"/>
  <c r="EI182"/>
  <c r="FS182" s="1"/>
  <c r="EJ182"/>
  <c r="FT182" s="1"/>
  <c r="DD182"/>
  <c r="BA182"/>
  <c r="CM182"/>
  <c r="CL182"/>
  <c r="CK182"/>
  <c r="AY182"/>
  <c r="B180"/>
  <c r="CX181"/>
  <c r="CZ181"/>
  <c r="DO181"/>
  <c r="EY181" s="1"/>
  <c r="DQ181"/>
  <c r="DS181"/>
  <c r="FC181" s="1"/>
  <c r="DU181"/>
  <c r="DW181"/>
  <c r="DY181"/>
  <c r="FI181" s="1"/>
  <c r="EA181"/>
  <c r="FK181"/>
  <c r="EC181"/>
  <c r="FM181" s="1"/>
  <c r="EE181"/>
  <c r="FO181" s="1"/>
  <c r="EG181"/>
  <c r="EI181"/>
  <c r="FS181" s="1"/>
  <c r="DD181"/>
  <c r="DE181"/>
  <c r="DC181"/>
  <c r="BA181"/>
  <c r="CM181" s="1"/>
  <c r="CL181"/>
  <c r="CK181"/>
  <c r="AY181"/>
  <c r="B185"/>
  <c r="CX180"/>
  <c r="CZ180"/>
  <c r="DF180"/>
  <c r="DH180"/>
  <c r="DJ180"/>
  <c r="ET180" s="1"/>
  <c r="DK180"/>
  <c r="EU180" s="1"/>
  <c r="DN180"/>
  <c r="DP180"/>
  <c r="DQ180"/>
  <c r="FA180" s="1"/>
  <c r="DR180"/>
  <c r="FB180" s="1"/>
  <c r="DS180"/>
  <c r="DU180"/>
  <c r="FE180" s="1"/>
  <c r="DV180"/>
  <c r="FF180" s="1"/>
  <c r="DX180"/>
  <c r="FH180" s="1"/>
  <c r="DY180"/>
  <c r="FI180" s="1"/>
  <c r="DZ180"/>
  <c r="FJ180" s="1"/>
  <c r="EA180"/>
  <c r="FK180"/>
  <c r="EC180"/>
  <c r="FM180" s="1"/>
  <c r="ED180"/>
  <c r="FN180" s="1"/>
  <c r="EF180"/>
  <c r="EG180"/>
  <c r="EH180"/>
  <c r="FR180" s="1"/>
  <c r="EI180"/>
  <c r="DD180"/>
  <c r="DE180" s="1"/>
  <c r="DC180"/>
  <c r="BA180"/>
  <c r="CM180" s="1"/>
  <c r="CL180"/>
  <c r="CK180"/>
  <c r="AY180"/>
  <c r="B186"/>
  <c r="CX179"/>
  <c r="CZ179"/>
  <c r="DP179"/>
  <c r="DR179"/>
  <c r="FB179" s="1"/>
  <c r="EF179"/>
  <c r="EH179"/>
  <c r="FR179" s="1"/>
  <c r="DD179"/>
  <c r="DC179" s="1"/>
  <c r="BA179"/>
  <c r="CM179"/>
  <c r="CL179"/>
  <c r="CK179"/>
  <c r="AY179"/>
  <c r="B184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FH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3"/>
  <c r="CX177"/>
  <c r="CZ177"/>
  <c r="DF177"/>
  <c r="DH177"/>
  <c r="DN177"/>
  <c r="EX177" s="1"/>
  <c r="DP177"/>
  <c r="DV177"/>
  <c r="FF177" s="1"/>
  <c r="DX177"/>
  <c r="FH177"/>
  <c r="ED177"/>
  <c r="EF177"/>
  <c r="FP177"/>
  <c r="DD177"/>
  <c r="BA177"/>
  <c r="CM177"/>
  <c r="CL177"/>
  <c r="CK177"/>
  <c r="AY177"/>
  <c r="B174"/>
  <c r="CZ176"/>
  <c r="DK176"/>
  <c r="EU176" s="1"/>
  <c r="DM176"/>
  <c r="EW176" s="1"/>
  <c r="DS176"/>
  <c r="DU176"/>
  <c r="EA176"/>
  <c r="FK176" s="1"/>
  <c r="EC176"/>
  <c r="FM176"/>
  <c r="EI176"/>
  <c r="DD176"/>
  <c r="DE176"/>
  <c r="DC176"/>
  <c r="BA176"/>
  <c r="CM176" s="1"/>
  <c r="CL176"/>
  <c r="CK176"/>
  <c r="AY176"/>
  <c r="B177"/>
  <c r="CZ175"/>
  <c r="DH175"/>
  <c r="DJ175"/>
  <c r="ET175" s="1"/>
  <c r="DL175"/>
  <c r="DP175"/>
  <c r="DR175"/>
  <c r="FB175" s="1"/>
  <c r="DT175"/>
  <c r="FD175"/>
  <c r="DX175"/>
  <c r="FH175" s="1"/>
  <c r="DZ175"/>
  <c r="EB175"/>
  <c r="EF175"/>
  <c r="EH175"/>
  <c r="FR175" s="1"/>
  <c r="EJ175"/>
  <c r="FT175"/>
  <c r="DD175"/>
  <c r="DC175" s="1"/>
  <c r="DE175"/>
  <c r="BA175"/>
  <c r="CM175" s="1"/>
  <c r="CL175"/>
  <c r="CK175"/>
  <c r="AY175"/>
  <c r="B171"/>
  <c r="CZ174"/>
  <c r="DG174"/>
  <c r="EQ174" s="1"/>
  <c r="DI174"/>
  <c r="ES174" s="1"/>
  <c r="DK174"/>
  <c r="EU174" s="1"/>
  <c r="DM174"/>
  <c r="EW174" s="1"/>
  <c r="DO174"/>
  <c r="EY174" s="1"/>
  <c r="DQ174"/>
  <c r="DR174"/>
  <c r="FB174" s="1"/>
  <c r="DS174"/>
  <c r="FC174" s="1"/>
  <c r="DT174"/>
  <c r="FD174" s="1"/>
  <c r="DU174"/>
  <c r="FE174"/>
  <c r="DV174"/>
  <c r="FF174" s="1"/>
  <c r="DW174"/>
  <c r="DX174"/>
  <c r="FH174" s="1"/>
  <c r="DY174"/>
  <c r="FI174" s="1"/>
  <c r="DZ174"/>
  <c r="EA174"/>
  <c r="FK174" s="1"/>
  <c r="EB174"/>
  <c r="FL174" s="1"/>
  <c r="EC174"/>
  <c r="FM174" s="1"/>
  <c r="ED174"/>
  <c r="EE174"/>
  <c r="FO174" s="1"/>
  <c r="EF174"/>
  <c r="EG174"/>
  <c r="FQ174"/>
  <c r="EH174"/>
  <c r="FR174" s="1"/>
  <c r="EI174"/>
  <c r="EJ174"/>
  <c r="FT174" s="1"/>
  <c r="DD174"/>
  <c r="DE174" s="1"/>
  <c r="DC174"/>
  <c r="BA174"/>
  <c r="CM174" s="1"/>
  <c r="CL174"/>
  <c r="CK174"/>
  <c r="AY174"/>
  <c r="B175"/>
  <c r="CZ173"/>
  <c r="DF173"/>
  <c r="DG173"/>
  <c r="EQ173" s="1"/>
  <c r="DH173"/>
  <c r="DI173"/>
  <c r="ES173" s="1"/>
  <c r="DJ173"/>
  <c r="DK173"/>
  <c r="EU173" s="1"/>
  <c r="DL173"/>
  <c r="EV173"/>
  <c r="DM173"/>
  <c r="EW173" s="1"/>
  <c r="DN173"/>
  <c r="EX173" s="1"/>
  <c r="DO173"/>
  <c r="EY173" s="1"/>
  <c r="DP173"/>
  <c r="DQ173"/>
  <c r="DR173"/>
  <c r="FB173"/>
  <c r="DS173"/>
  <c r="DT173"/>
  <c r="FD173" s="1"/>
  <c r="DU173"/>
  <c r="DV173"/>
  <c r="FF173" s="1"/>
  <c r="DW173"/>
  <c r="DX173"/>
  <c r="FH173" s="1"/>
  <c r="DY173"/>
  <c r="FI173" s="1"/>
  <c r="DZ173"/>
  <c r="EA173"/>
  <c r="FK173" s="1"/>
  <c r="EB173"/>
  <c r="EC173"/>
  <c r="FM173" s="1"/>
  <c r="ED173"/>
  <c r="EE173"/>
  <c r="FO173" s="1"/>
  <c r="EF173"/>
  <c r="FP173" s="1"/>
  <c r="EG173"/>
  <c r="EH173"/>
  <c r="FR173" s="1"/>
  <c r="EI173"/>
  <c r="EJ173"/>
  <c r="FT173"/>
  <c r="DD173"/>
  <c r="BA173"/>
  <c r="CM173"/>
  <c r="CL173"/>
  <c r="CK173"/>
  <c r="AY173"/>
  <c r="B173"/>
  <c r="CZ172"/>
  <c r="DD172"/>
  <c r="DE172" s="1"/>
  <c r="DC172"/>
  <c r="BA172"/>
  <c r="CM172" s="1"/>
  <c r="CL172"/>
  <c r="CK172"/>
  <c r="AY172"/>
  <c r="B176"/>
  <c r="CX171"/>
  <c r="CZ171"/>
  <c r="DF171"/>
  <c r="DH171"/>
  <c r="ER171" s="1"/>
  <c r="DJ171"/>
  <c r="ET171" s="1"/>
  <c r="DL171"/>
  <c r="DN171"/>
  <c r="DP171"/>
  <c r="EZ171" s="1"/>
  <c r="DR171"/>
  <c r="FB171" s="1"/>
  <c r="DT171"/>
  <c r="FD171" s="1"/>
  <c r="DV171"/>
  <c r="FF171" s="1"/>
  <c r="DX171"/>
  <c r="FH171" s="1"/>
  <c r="DZ171"/>
  <c r="FJ171" s="1"/>
  <c r="EB171"/>
  <c r="ED171"/>
  <c r="EF171"/>
  <c r="FP171" s="1"/>
  <c r="EH171"/>
  <c r="FR171" s="1"/>
  <c r="EJ171"/>
  <c r="FT171" s="1"/>
  <c r="DD171"/>
  <c r="BA171"/>
  <c r="CM171"/>
  <c r="CL171"/>
  <c r="CK171"/>
  <c r="AY171"/>
  <c r="B170"/>
  <c r="CX170"/>
  <c r="CZ170"/>
  <c r="DF170"/>
  <c r="DG170"/>
  <c r="EQ170" s="1"/>
  <c r="DH170"/>
  <c r="ER170" s="1"/>
  <c r="DI170"/>
  <c r="ES170" s="1"/>
  <c r="DJ170"/>
  <c r="DK170"/>
  <c r="EU170" s="1"/>
  <c r="DL170"/>
  <c r="EV170" s="1"/>
  <c r="DM170"/>
  <c r="EW170" s="1"/>
  <c r="DN170"/>
  <c r="EX170" s="1"/>
  <c r="DO170"/>
  <c r="EY170" s="1"/>
  <c r="DP170"/>
  <c r="DQ170"/>
  <c r="FA170" s="1"/>
  <c r="DR170"/>
  <c r="FB170" s="1"/>
  <c r="DS170"/>
  <c r="DT170"/>
  <c r="FD170" s="1"/>
  <c r="DU170"/>
  <c r="DV170"/>
  <c r="FF170"/>
  <c r="DW170"/>
  <c r="DX170"/>
  <c r="FH170" s="1"/>
  <c r="DY170"/>
  <c r="FI170" s="1"/>
  <c r="DZ170"/>
  <c r="EA170"/>
  <c r="FK170" s="1"/>
  <c r="EB170"/>
  <c r="EC170"/>
  <c r="FM170" s="1"/>
  <c r="ED170"/>
  <c r="EE170"/>
  <c r="FO170" s="1"/>
  <c r="EF170"/>
  <c r="FP170"/>
  <c r="EG170"/>
  <c r="EH170"/>
  <c r="FR170" s="1"/>
  <c r="EI170"/>
  <c r="FS170" s="1"/>
  <c r="EJ170"/>
  <c r="FT170" s="1"/>
  <c r="DD170"/>
  <c r="DC170" s="1"/>
  <c r="DE170"/>
  <c r="BA170"/>
  <c r="CM170"/>
  <c r="CL170"/>
  <c r="CK170"/>
  <c r="AY170"/>
  <c r="B172"/>
  <c r="CZ169"/>
  <c r="DI169" s="1"/>
  <c r="ES169" s="1"/>
  <c r="DG169"/>
  <c r="EQ169"/>
  <c r="DK169"/>
  <c r="EU169" s="1"/>
  <c r="DO169"/>
  <c r="EY169"/>
  <c r="DS169"/>
  <c r="DW169"/>
  <c r="EA169"/>
  <c r="FK169"/>
  <c r="EE169"/>
  <c r="FO169" s="1"/>
  <c r="EI169"/>
  <c r="DD169"/>
  <c r="DE169" s="1"/>
  <c r="DC169"/>
  <c r="BA169"/>
  <c r="CM169"/>
  <c r="CL169"/>
  <c r="CK169"/>
  <c r="AY169"/>
  <c r="B169"/>
  <c r="CX168"/>
  <c r="CZ168"/>
  <c r="DZ168" s="1"/>
  <c r="DJ168"/>
  <c r="DP168"/>
  <c r="EF168"/>
  <c r="DD168"/>
  <c r="DC168" s="1"/>
  <c r="DE168"/>
  <c r="CL168"/>
  <c r="CK168"/>
  <c r="AY168"/>
  <c r="B168"/>
  <c r="CX167"/>
  <c r="CZ167"/>
  <c r="DZ167" s="1"/>
  <c r="DJ167"/>
  <c r="ET167" s="1"/>
  <c r="DK167"/>
  <c r="EU167" s="1"/>
  <c r="DP167"/>
  <c r="DU167"/>
  <c r="EA167"/>
  <c r="FK167" s="1"/>
  <c r="EF167"/>
  <c r="FP167" s="1"/>
  <c r="DD167"/>
  <c r="DE167" s="1"/>
  <c r="DC167"/>
  <c r="BA167"/>
  <c r="CM167"/>
  <c r="CL167"/>
  <c r="CK167"/>
  <c r="AY167"/>
  <c r="B164"/>
  <c r="CW166"/>
  <c r="CX166"/>
  <c r="CZ166"/>
  <c r="DF166"/>
  <c r="DK166"/>
  <c r="EU166" s="1"/>
  <c r="DP166"/>
  <c r="DQ166"/>
  <c r="FA166" s="1"/>
  <c r="DV166"/>
  <c r="FF166" s="1"/>
  <c r="EA166"/>
  <c r="FK166"/>
  <c r="EF166"/>
  <c r="FP166" s="1"/>
  <c r="EG166"/>
  <c r="DD166"/>
  <c r="BA166"/>
  <c r="CM166"/>
  <c r="CL166"/>
  <c r="CK166"/>
  <c r="AY166"/>
  <c r="B161"/>
  <c r="CZ165"/>
  <c r="DF165"/>
  <c r="DG165"/>
  <c r="EQ165" s="1"/>
  <c r="DH165"/>
  <c r="ER165" s="1"/>
  <c r="DI165"/>
  <c r="ES165" s="1"/>
  <c r="DJ165"/>
  <c r="ET165" s="1"/>
  <c r="DK165"/>
  <c r="EU165" s="1"/>
  <c r="DL165"/>
  <c r="DM165"/>
  <c r="EW165" s="1"/>
  <c r="DN165"/>
  <c r="DO165"/>
  <c r="EY165" s="1"/>
  <c r="DP165"/>
  <c r="EZ165" s="1"/>
  <c r="DQ165"/>
  <c r="FA165" s="1"/>
  <c r="DR165"/>
  <c r="FB165" s="1"/>
  <c r="DS165"/>
  <c r="DT165"/>
  <c r="FD165" s="1"/>
  <c r="DU165"/>
  <c r="DV165"/>
  <c r="FF165" s="1"/>
  <c r="DW165"/>
  <c r="DX165"/>
  <c r="FH165" s="1"/>
  <c r="DY165"/>
  <c r="FI165" s="1"/>
  <c r="DZ165"/>
  <c r="FJ165" s="1"/>
  <c r="EA165"/>
  <c r="FK165" s="1"/>
  <c r="EB165"/>
  <c r="EC165"/>
  <c r="FM165" s="1"/>
  <c r="ED165"/>
  <c r="EE165"/>
  <c r="FO165" s="1"/>
  <c r="EF165"/>
  <c r="FP165" s="1"/>
  <c r="EG165"/>
  <c r="FQ165" s="1"/>
  <c r="EH165"/>
  <c r="FR165" s="1"/>
  <c r="EI165"/>
  <c r="FS165" s="1"/>
  <c r="EJ165"/>
  <c r="FT165" s="1"/>
  <c r="DD165"/>
  <c r="DE165"/>
  <c r="DC165"/>
  <c r="BA165"/>
  <c r="CM165"/>
  <c r="CL165"/>
  <c r="CK165"/>
  <c r="AY165"/>
  <c r="B159"/>
  <c r="CZ164"/>
  <c r="DJ164" s="1"/>
  <c r="ET164" s="1"/>
  <c r="DF164"/>
  <c r="DG164"/>
  <c r="EQ164" s="1"/>
  <c r="DH164"/>
  <c r="DI164"/>
  <c r="ES164"/>
  <c r="DK164"/>
  <c r="EU164" s="1"/>
  <c r="DL164"/>
  <c r="EV164" s="1"/>
  <c r="DN164"/>
  <c r="EX164" s="1"/>
  <c r="DO164"/>
  <c r="EY164" s="1"/>
  <c r="DP164"/>
  <c r="DQ164"/>
  <c r="FA164"/>
  <c r="DS164"/>
  <c r="DT164"/>
  <c r="FD164" s="1"/>
  <c r="DV164"/>
  <c r="FF164" s="1"/>
  <c r="DW164"/>
  <c r="DX164"/>
  <c r="FH164" s="1"/>
  <c r="DY164"/>
  <c r="FI164"/>
  <c r="EA164"/>
  <c r="FK164" s="1"/>
  <c r="EB164"/>
  <c r="ED164"/>
  <c r="EE164"/>
  <c r="FO164" s="1"/>
  <c r="EF164"/>
  <c r="EG164"/>
  <c r="EI164"/>
  <c r="EJ164"/>
  <c r="FT164" s="1"/>
  <c r="DD164"/>
  <c r="DE164" s="1"/>
  <c r="DC164"/>
  <c r="BA164"/>
  <c r="CM164"/>
  <c r="CL164"/>
  <c r="CK164"/>
  <c r="AY164"/>
  <c r="B167"/>
  <c r="CZ163"/>
  <c r="DF163"/>
  <c r="DG163"/>
  <c r="EQ163" s="1"/>
  <c r="DH163"/>
  <c r="DI163"/>
  <c r="ES163" s="1"/>
  <c r="DJ163"/>
  <c r="ET163"/>
  <c r="DK163"/>
  <c r="EU163" s="1"/>
  <c r="DL163"/>
  <c r="DM163"/>
  <c r="DN163"/>
  <c r="EX163" s="1"/>
  <c r="DO163"/>
  <c r="EY163" s="1"/>
  <c r="DP163"/>
  <c r="DQ163"/>
  <c r="FA163" s="1"/>
  <c r="DR163"/>
  <c r="FB163"/>
  <c r="DS163"/>
  <c r="DT163"/>
  <c r="FD163"/>
  <c r="DU163"/>
  <c r="DV163"/>
  <c r="FF163" s="1"/>
  <c r="DW163"/>
  <c r="FG163" s="1"/>
  <c r="DX163"/>
  <c r="FH163" s="1"/>
  <c r="DY163"/>
  <c r="FI163" s="1"/>
  <c r="DZ163"/>
  <c r="FJ163" s="1"/>
  <c r="EA163"/>
  <c r="FK163" s="1"/>
  <c r="EB163"/>
  <c r="EC163"/>
  <c r="FM163" s="1"/>
  <c r="ED163"/>
  <c r="FN163" s="1"/>
  <c r="EE163"/>
  <c r="FO163" s="1"/>
  <c r="EF163"/>
  <c r="FP163" s="1"/>
  <c r="EG163"/>
  <c r="FQ163" s="1"/>
  <c r="EH163"/>
  <c r="FR163"/>
  <c r="EI163"/>
  <c r="FS163" s="1"/>
  <c r="EJ163"/>
  <c r="FT163"/>
  <c r="DD163"/>
  <c r="BA163"/>
  <c r="CM163"/>
  <c r="CL163"/>
  <c r="CK163"/>
  <c r="AY163"/>
  <c r="B160"/>
  <c r="CZ162"/>
  <c r="DF162"/>
  <c r="DG162"/>
  <c r="EQ162" s="1"/>
  <c r="DH162"/>
  <c r="ER162" s="1"/>
  <c r="DI162"/>
  <c r="ES162" s="1"/>
  <c r="DJ162"/>
  <c r="ET162" s="1"/>
  <c r="DK162"/>
  <c r="EU162" s="1"/>
  <c r="DL162"/>
  <c r="DM162"/>
  <c r="EW162" s="1"/>
  <c r="DN162"/>
  <c r="EX162" s="1"/>
  <c r="DO162"/>
  <c r="EY162" s="1"/>
  <c r="DP162"/>
  <c r="DQ162"/>
  <c r="DR162"/>
  <c r="FB162" s="1"/>
  <c r="DS162"/>
  <c r="DT162"/>
  <c r="FD162" s="1"/>
  <c r="DU162"/>
  <c r="DV162"/>
  <c r="FF162" s="1"/>
  <c r="DW162"/>
  <c r="DX162"/>
  <c r="FH162" s="1"/>
  <c r="DY162"/>
  <c r="FI162"/>
  <c r="DZ162"/>
  <c r="EA162"/>
  <c r="FK162" s="1"/>
  <c r="EB162"/>
  <c r="EC162"/>
  <c r="FM162" s="1"/>
  <c r="ED162"/>
  <c r="EE162"/>
  <c r="FO162"/>
  <c r="EF162"/>
  <c r="EG162"/>
  <c r="EH162"/>
  <c r="FR162" s="1"/>
  <c r="EI162"/>
  <c r="EJ162"/>
  <c r="FT162" s="1"/>
  <c r="DD162"/>
  <c r="DE162" s="1"/>
  <c r="DC162"/>
  <c r="BA162"/>
  <c r="CM162" s="1"/>
  <c r="CL162"/>
  <c r="CK162"/>
  <c r="AY162"/>
  <c r="B166"/>
  <c r="CX161"/>
  <c r="CZ161"/>
  <c r="DP161"/>
  <c r="DV161"/>
  <c r="FF161" s="1"/>
  <c r="DD161"/>
  <c r="BA161"/>
  <c r="CM161"/>
  <c r="CL161"/>
  <c r="CK161"/>
  <c r="AY161"/>
  <c r="B162"/>
  <c r="CW160"/>
  <c r="CX160"/>
  <c r="CZ160"/>
  <c r="EB160"/>
  <c r="ED160"/>
  <c r="DD160"/>
  <c r="DC160" s="1"/>
  <c r="DE160"/>
  <c r="BA160"/>
  <c r="CM160"/>
  <c r="CL160"/>
  <c r="CK160"/>
  <c r="AY160"/>
  <c r="B163"/>
  <c r="CX159"/>
  <c r="DH159" s="1"/>
  <c r="ER159" s="1"/>
  <c r="CZ159"/>
  <c r="DG159"/>
  <c r="EQ159" s="1"/>
  <c r="DJ159"/>
  <c r="ET159" s="1"/>
  <c r="DN159"/>
  <c r="DO159"/>
  <c r="EY159" s="1"/>
  <c r="DP159"/>
  <c r="DQ159"/>
  <c r="FA159" s="1"/>
  <c r="DR159"/>
  <c r="FB159" s="1"/>
  <c r="DS159"/>
  <c r="DT159"/>
  <c r="FD159" s="1"/>
  <c r="DU159"/>
  <c r="DV159"/>
  <c r="FF159"/>
  <c r="DW159"/>
  <c r="DX159"/>
  <c r="FH159" s="1"/>
  <c r="DY159"/>
  <c r="FI159" s="1"/>
  <c r="DZ159"/>
  <c r="EA159"/>
  <c r="FK159" s="1"/>
  <c r="EB159"/>
  <c r="EC159"/>
  <c r="FM159" s="1"/>
  <c r="ED159"/>
  <c r="EE159"/>
  <c r="FO159" s="1"/>
  <c r="EF159"/>
  <c r="EG159"/>
  <c r="EH159"/>
  <c r="FR159" s="1"/>
  <c r="EI159"/>
  <c r="EJ159"/>
  <c r="FT159"/>
  <c r="DD159"/>
  <c r="DE159"/>
  <c r="DC159"/>
  <c r="CL159"/>
  <c r="CK159"/>
  <c r="AY159"/>
  <c r="B158"/>
  <c r="CZ158"/>
  <c r="DF158"/>
  <c r="DG158"/>
  <c r="DH158"/>
  <c r="DI158"/>
  <c r="ES158" s="1"/>
  <c r="DJ158"/>
  <c r="DK158"/>
  <c r="DL158"/>
  <c r="EV158" s="1"/>
  <c r="DM158"/>
  <c r="EW158" s="1"/>
  <c r="DN158"/>
  <c r="EX158" s="1"/>
  <c r="DO158"/>
  <c r="DP158"/>
  <c r="DQ158"/>
  <c r="DR158"/>
  <c r="DS158"/>
  <c r="DT158"/>
  <c r="FD158" s="1"/>
  <c r="DU158"/>
  <c r="DV158"/>
  <c r="FF158" s="1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5"/>
  <c r="CZ157"/>
  <c r="DF157"/>
  <c r="DH157"/>
  <c r="DJ157"/>
  <c r="DL157"/>
  <c r="EV157" s="1"/>
  <c r="DN157"/>
  <c r="DP157"/>
  <c r="DR157"/>
  <c r="FB157" s="1"/>
  <c r="DT157"/>
  <c r="FD157" s="1"/>
  <c r="DV157"/>
  <c r="FF157" s="1"/>
  <c r="DX157"/>
  <c r="FH157"/>
  <c r="DZ157"/>
  <c r="FJ157" s="1"/>
  <c r="EB157"/>
  <c r="ED157"/>
  <c r="FN157"/>
  <c r="EF157"/>
  <c r="EH157"/>
  <c r="FR157" s="1"/>
  <c r="EJ157"/>
  <c r="FT157"/>
  <c r="DD157"/>
  <c r="DC157" s="1"/>
  <c r="DE157"/>
  <c r="BA157"/>
  <c r="CM157" s="1"/>
  <c r="CL157"/>
  <c r="CK157"/>
  <c r="AY157"/>
  <c r="B150"/>
  <c r="CX156"/>
  <c r="DI156" s="1"/>
  <c r="ES156" s="1"/>
  <c r="CZ156"/>
  <c r="DF156"/>
  <c r="DG156"/>
  <c r="EQ156" s="1"/>
  <c r="DH156"/>
  <c r="DJ156"/>
  <c r="ET156" s="1"/>
  <c r="DL156"/>
  <c r="DN156"/>
  <c r="EX156" s="1"/>
  <c r="DO156"/>
  <c r="EY156" s="1"/>
  <c r="DP156"/>
  <c r="EZ156" s="1"/>
  <c r="DQ156"/>
  <c r="DR156"/>
  <c r="FB156"/>
  <c r="DS156"/>
  <c r="DT156"/>
  <c r="FD156" s="1"/>
  <c r="DU156"/>
  <c r="DV156"/>
  <c r="FF156" s="1"/>
  <c r="DW156"/>
  <c r="DX156"/>
  <c r="FH156" s="1"/>
  <c r="DY156"/>
  <c r="FI156" s="1"/>
  <c r="DZ156"/>
  <c r="FJ156" s="1"/>
  <c r="EA156"/>
  <c r="FK156" s="1"/>
  <c r="EB156"/>
  <c r="EC156"/>
  <c r="FM156" s="1"/>
  <c r="ED156"/>
  <c r="EE156"/>
  <c r="FO156" s="1"/>
  <c r="EF156"/>
  <c r="FP156" s="1"/>
  <c r="EG156"/>
  <c r="EH156"/>
  <c r="FR156" s="1"/>
  <c r="EI156"/>
  <c r="EJ156"/>
  <c r="FT156" s="1"/>
  <c r="DD156"/>
  <c r="DC156" s="1"/>
  <c r="DE156"/>
  <c r="BA156"/>
  <c r="CM156"/>
  <c r="CL156"/>
  <c r="CK156"/>
  <c r="AY156"/>
  <c r="B153"/>
  <c r="CZ155"/>
  <c r="DK155" s="1"/>
  <c r="EU155" s="1"/>
  <c r="DG155"/>
  <c r="DO155"/>
  <c r="EY155" s="1"/>
  <c r="DW155"/>
  <c r="EE155"/>
  <c r="FO155" s="1"/>
  <c r="DD155"/>
  <c r="DE155"/>
  <c r="DC155"/>
  <c r="BA155"/>
  <c r="CM155" s="1"/>
  <c r="CL155"/>
  <c r="CK155"/>
  <c r="AY155"/>
  <c r="B155"/>
  <c r="CZ154"/>
  <c r="DG154" s="1"/>
  <c r="EQ154" s="1"/>
  <c r="DF154"/>
  <c r="DH154"/>
  <c r="DJ154"/>
  <c r="ET154" s="1"/>
  <c r="DL154"/>
  <c r="DN154"/>
  <c r="EX154" s="1"/>
  <c r="DP154"/>
  <c r="DR154"/>
  <c r="FB154" s="1"/>
  <c r="DT154"/>
  <c r="FD154" s="1"/>
  <c r="DV154"/>
  <c r="FF154" s="1"/>
  <c r="DX154"/>
  <c r="FH154" s="1"/>
  <c r="DZ154"/>
  <c r="FJ154" s="1"/>
  <c r="EB154"/>
  <c r="ED154"/>
  <c r="EF154"/>
  <c r="EH154"/>
  <c r="FR154" s="1"/>
  <c r="EJ154"/>
  <c r="FT154"/>
  <c r="DD154"/>
  <c r="DC154" s="1"/>
  <c r="DE154"/>
  <c r="BA154"/>
  <c r="CM154"/>
  <c r="CL154"/>
  <c r="CK154"/>
  <c r="AY154"/>
  <c r="B148"/>
  <c r="CZ153"/>
  <c r="DG153"/>
  <c r="EQ153" s="1"/>
  <c r="DI153"/>
  <c r="ES153" s="1"/>
  <c r="DK153"/>
  <c r="EU153" s="1"/>
  <c r="DM153"/>
  <c r="EW153" s="1"/>
  <c r="DO153"/>
  <c r="EY153" s="1"/>
  <c r="DQ153"/>
  <c r="FA153" s="1"/>
  <c r="DS153"/>
  <c r="DU153"/>
  <c r="DW153"/>
  <c r="DY153"/>
  <c r="FI153" s="1"/>
  <c r="EA153"/>
  <c r="FK153"/>
  <c r="EC153"/>
  <c r="FM153" s="1"/>
  <c r="EE153"/>
  <c r="FO153" s="1"/>
  <c r="EG153"/>
  <c r="EI153"/>
  <c r="DD153"/>
  <c r="DE153"/>
  <c r="DC153"/>
  <c r="BA153"/>
  <c r="CM153" s="1"/>
  <c r="CL153"/>
  <c r="CK153"/>
  <c r="AY153"/>
  <c r="B157"/>
  <c r="CZ152"/>
  <c r="DG152" s="1"/>
  <c r="EQ152" s="1"/>
  <c r="DF152"/>
  <c r="DH152"/>
  <c r="DJ152"/>
  <c r="ET152" s="1"/>
  <c r="DL152"/>
  <c r="DN152"/>
  <c r="EX152" s="1"/>
  <c r="DP152"/>
  <c r="DR152"/>
  <c r="FB152"/>
  <c r="DT152"/>
  <c r="FD152" s="1"/>
  <c r="DV152"/>
  <c r="FF152"/>
  <c r="DX152"/>
  <c r="FH152" s="1"/>
  <c r="DZ152"/>
  <c r="EB152"/>
  <c r="ED152"/>
  <c r="EF152"/>
  <c r="EH152"/>
  <c r="FR152"/>
  <c r="EJ152"/>
  <c r="FT152" s="1"/>
  <c r="DD152"/>
  <c r="DC152" s="1"/>
  <c r="DE152"/>
  <c r="BA152"/>
  <c r="CM152"/>
  <c r="CL152"/>
  <c r="CK152"/>
  <c r="AY152"/>
  <c r="B151"/>
  <c r="CZ151"/>
  <c r="DK151" s="1"/>
  <c r="EU151" s="1"/>
  <c r="DG151"/>
  <c r="EQ151" s="1"/>
  <c r="DO151"/>
  <c r="EY151" s="1"/>
  <c r="DW151"/>
  <c r="EE151"/>
  <c r="FO151" s="1"/>
  <c r="DD151"/>
  <c r="DE151"/>
  <c r="DC151"/>
  <c r="BA151"/>
  <c r="CM151" s="1"/>
  <c r="CL151"/>
  <c r="CK151"/>
  <c r="AY151"/>
  <c r="B156"/>
  <c r="CZ150"/>
  <c r="DG150" s="1"/>
  <c r="EQ150" s="1"/>
  <c r="DF150"/>
  <c r="DH150"/>
  <c r="DJ150"/>
  <c r="DL150"/>
  <c r="EV150" s="1"/>
  <c r="DN150"/>
  <c r="DP150"/>
  <c r="EZ150"/>
  <c r="DR150"/>
  <c r="FB150" s="1"/>
  <c r="DT150"/>
  <c r="FD150"/>
  <c r="DV150"/>
  <c r="FF150" s="1"/>
  <c r="DX150"/>
  <c r="FH150"/>
  <c r="DZ150"/>
  <c r="EB150"/>
  <c r="FL150" s="1"/>
  <c r="ED150"/>
  <c r="EF150"/>
  <c r="FP150" s="1"/>
  <c r="EH150"/>
  <c r="FR150"/>
  <c r="EJ150"/>
  <c r="FT150" s="1"/>
  <c r="DD150"/>
  <c r="DC150" s="1"/>
  <c r="DE150"/>
  <c r="BA150"/>
  <c r="CM150"/>
  <c r="CL150"/>
  <c r="CK150"/>
  <c r="AY150"/>
  <c r="B154"/>
  <c r="CW149"/>
  <c r="CX149"/>
  <c r="CZ149"/>
  <c r="DF149"/>
  <c r="DH149"/>
  <c r="DJ149"/>
  <c r="ET149" s="1"/>
  <c r="DL149"/>
  <c r="DN149"/>
  <c r="DP149"/>
  <c r="EZ149"/>
  <c r="DR149"/>
  <c r="FB149" s="1"/>
  <c r="DT149"/>
  <c r="FD149" s="1"/>
  <c r="DV149"/>
  <c r="FF149" s="1"/>
  <c r="DX149"/>
  <c r="FH149" s="1"/>
  <c r="DZ149"/>
  <c r="FJ149" s="1"/>
  <c r="EB149"/>
  <c r="ED149"/>
  <c r="EF149"/>
  <c r="FP149" s="1"/>
  <c r="EH149"/>
  <c r="FR149" s="1"/>
  <c r="EJ149"/>
  <c r="FT149" s="1"/>
  <c r="DD149"/>
  <c r="CM149"/>
  <c r="CL149"/>
  <c r="CK149"/>
  <c r="AY149"/>
  <c r="B149"/>
  <c r="CZ148"/>
  <c r="DF148"/>
  <c r="DJ148"/>
  <c r="ET148" s="1"/>
  <c r="DN148"/>
  <c r="DR148"/>
  <c r="DV148"/>
  <c r="DZ148"/>
  <c r="ED148"/>
  <c r="EH148"/>
  <c r="DD148"/>
  <c r="CL148"/>
  <c r="CK148"/>
  <c r="AY148"/>
  <c r="B152"/>
  <c r="CZ147"/>
  <c r="DF147"/>
  <c r="DH147"/>
  <c r="DJ147"/>
  <c r="ET147" s="1"/>
  <c r="DL147"/>
  <c r="EV147" s="1"/>
  <c r="DN147"/>
  <c r="DP147"/>
  <c r="DR147"/>
  <c r="FB147" s="1"/>
  <c r="DT147"/>
  <c r="FD147" s="1"/>
  <c r="DV147"/>
  <c r="FF147" s="1"/>
  <c r="DX147"/>
  <c r="FH147" s="1"/>
  <c r="DZ147"/>
  <c r="EB147"/>
  <c r="FL147" s="1"/>
  <c r="ED147"/>
  <c r="EF147"/>
  <c r="EH147"/>
  <c r="FR147" s="1"/>
  <c r="EJ147"/>
  <c r="FT147" s="1"/>
  <c r="DD147"/>
  <c r="BA147"/>
  <c r="CM147"/>
  <c r="CL147"/>
  <c r="CK147"/>
  <c r="AY147"/>
  <c r="B139"/>
  <c r="CX146"/>
  <c r="CZ146"/>
  <c r="DG146" s="1"/>
  <c r="EQ146" s="1"/>
  <c r="DF146"/>
  <c r="DH146"/>
  <c r="DJ146"/>
  <c r="ET146" s="1"/>
  <c r="DL146"/>
  <c r="DN146"/>
  <c r="EX146" s="1"/>
  <c r="DP146"/>
  <c r="DR146"/>
  <c r="FB146" s="1"/>
  <c r="DT146"/>
  <c r="FD146"/>
  <c r="DV146"/>
  <c r="FF146" s="1"/>
  <c r="DX146"/>
  <c r="FH146"/>
  <c r="DZ146"/>
  <c r="FJ146" s="1"/>
  <c r="EB146"/>
  <c r="ED146"/>
  <c r="EF146"/>
  <c r="EH146"/>
  <c r="FR146" s="1"/>
  <c r="EJ146"/>
  <c r="FT146" s="1"/>
  <c r="DD146"/>
  <c r="DC146" s="1"/>
  <c r="DE146"/>
  <c r="BA146"/>
  <c r="CM146"/>
  <c r="CL146"/>
  <c r="CK146"/>
  <c r="AY146"/>
  <c r="B147"/>
  <c r="CX145"/>
  <c r="CZ145"/>
  <c r="DI145"/>
  <c r="ES145" s="1"/>
  <c r="DM145"/>
  <c r="EW145" s="1"/>
  <c r="DN145"/>
  <c r="EX145" s="1"/>
  <c r="DO145"/>
  <c r="EY145" s="1"/>
  <c r="DP145"/>
  <c r="DQ145"/>
  <c r="FA145" s="1"/>
  <c r="DR145"/>
  <c r="FB145"/>
  <c r="DS145"/>
  <c r="DT145"/>
  <c r="FD145" s="1"/>
  <c r="DU145"/>
  <c r="DV145"/>
  <c r="FF145" s="1"/>
  <c r="DW145"/>
  <c r="DX145"/>
  <c r="FH145" s="1"/>
  <c r="DY145"/>
  <c r="FI145" s="1"/>
  <c r="DZ145"/>
  <c r="EA145"/>
  <c r="FK145" s="1"/>
  <c r="EB145"/>
  <c r="EC145"/>
  <c r="FM145" s="1"/>
  <c r="ED145"/>
  <c r="FN145"/>
  <c r="EE145"/>
  <c r="FO145" s="1"/>
  <c r="EF145"/>
  <c r="EG145"/>
  <c r="EH145"/>
  <c r="FR145" s="1"/>
  <c r="EI145"/>
  <c r="EJ145"/>
  <c r="FT145"/>
  <c r="DD145"/>
  <c r="DE145"/>
  <c r="DC145"/>
  <c r="BA145"/>
  <c r="CM145"/>
  <c r="CL145"/>
  <c r="CK145"/>
  <c r="AY145"/>
  <c r="B146"/>
  <c r="CX144"/>
  <c r="CZ144"/>
  <c r="DG144"/>
  <c r="EQ144" s="1"/>
  <c r="DK144"/>
  <c r="EU144" s="1"/>
  <c r="DO144"/>
  <c r="EY144" s="1"/>
  <c r="DS144"/>
  <c r="DW144"/>
  <c r="FG144" s="1"/>
  <c r="EA144"/>
  <c r="FK144" s="1"/>
  <c r="EE144"/>
  <c r="FO144" s="1"/>
  <c r="EI144"/>
  <c r="FS144" s="1"/>
  <c r="DD144"/>
  <c r="DE144"/>
  <c r="DC144"/>
  <c r="BA144"/>
  <c r="CM144" s="1"/>
  <c r="CL144"/>
  <c r="CK144"/>
  <c r="AY144"/>
  <c r="B142"/>
  <c r="CZ143"/>
  <c r="DG143" s="1"/>
  <c r="EQ143" s="1"/>
  <c r="DF143"/>
  <c r="DH143"/>
  <c r="DJ143"/>
  <c r="DL143"/>
  <c r="EV143" s="1"/>
  <c r="DN143"/>
  <c r="DP143"/>
  <c r="EZ143"/>
  <c r="DR143"/>
  <c r="FB143" s="1"/>
  <c r="DT143"/>
  <c r="FD143"/>
  <c r="DV143"/>
  <c r="FF143" s="1"/>
  <c r="DW143"/>
  <c r="DX143"/>
  <c r="FH143" s="1"/>
  <c r="DY143"/>
  <c r="FI143" s="1"/>
  <c r="DZ143"/>
  <c r="EA143"/>
  <c r="FK143" s="1"/>
  <c r="EB143"/>
  <c r="EC143"/>
  <c r="FM143" s="1"/>
  <c r="ED143"/>
  <c r="EE143"/>
  <c r="FO143"/>
  <c r="EF143"/>
  <c r="EG143"/>
  <c r="EH143"/>
  <c r="FR143"/>
  <c r="EI143"/>
  <c r="FS143" s="1"/>
  <c r="EJ143"/>
  <c r="FT143"/>
  <c r="DD143"/>
  <c r="DC143" s="1"/>
  <c r="DE143"/>
  <c r="BA143"/>
  <c r="CM143"/>
  <c r="CL143"/>
  <c r="CK143"/>
  <c r="AY143"/>
  <c r="B140"/>
  <c r="CX142"/>
  <c r="CZ142"/>
  <c r="DI142"/>
  <c r="ES142" s="1"/>
  <c r="DM142"/>
  <c r="EW142" s="1"/>
  <c r="DN142"/>
  <c r="EX142" s="1"/>
  <c r="DO142"/>
  <c r="EY142" s="1"/>
  <c r="DP142"/>
  <c r="EZ142" s="1"/>
  <c r="DQ142"/>
  <c r="FA142" s="1"/>
  <c r="DR142"/>
  <c r="FB142"/>
  <c r="DS142"/>
  <c r="FC142" s="1"/>
  <c r="DT142"/>
  <c r="FD142" s="1"/>
  <c r="DU142"/>
  <c r="DV142"/>
  <c r="FF142" s="1"/>
  <c r="DW142"/>
  <c r="DX142"/>
  <c r="FH142" s="1"/>
  <c r="DY142"/>
  <c r="FI142" s="1"/>
  <c r="DZ142"/>
  <c r="EA142"/>
  <c r="FK142" s="1"/>
  <c r="EB142"/>
  <c r="EC142"/>
  <c r="FM142" s="1"/>
  <c r="ED142"/>
  <c r="EE142"/>
  <c r="FO142" s="1"/>
  <c r="EF142"/>
  <c r="FP142" s="1"/>
  <c r="EG142"/>
  <c r="EH142"/>
  <c r="FR142" s="1"/>
  <c r="EI142"/>
  <c r="FS142" s="1"/>
  <c r="EJ142"/>
  <c r="FT142"/>
  <c r="DD142"/>
  <c r="DE142"/>
  <c r="DC142"/>
  <c r="BA142"/>
  <c r="CM142"/>
  <c r="CL142"/>
  <c r="CK142"/>
  <c r="AY142"/>
  <c r="B141"/>
  <c r="CW141"/>
  <c r="CX141"/>
  <c r="CZ141"/>
  <c r="DI141"/>
  <c r="ES141" s="1"/>
  <c r="DM141"/>
  <c r="EW141" s="1"/>
  <c r="DO141"/>
  <c r="EY141" s="1"/>
  <c r="DQ141"/>
  <c r="DS141"/>
  <c r="DU141"/>
  <c r="DW141"/>
  <c r="DY141"/>
  <c r="FI141" s="1"/>
  <c r="EA141"/>
  <c r="FK141" s="1"/>
  <c r="EC141"/>
  <c r="FM141" s="1"/>
  <c r="EE141"/>
  <c r="FO141" s="1"/>
  <c r="EG141"/>
  <c r="EI141"/>
  <c r="DD141"/>
  <c r="DE141"/>
  <c r="DC141"/>
  <c r="BA141"/>
  <c r="CM141"/>
  <c r="CL141"/>
  <c r="CK141"/>
  <c r="AY141"/>
  <c r="B145"/>
  <c r="CW140"/>
  <c r="CX140"/>
  <c r="CZ140"/>
  <c r="DO140"/>
  <c r="EY140" s="1"/>
  <c r="DQ140"/>
  <c r="FA140" s="1"/>
  <c r="DS140"/>
  <c r="DU140"/>
  <c r="DW140"/>
  <c r="DY140"/>
  <c r="FI140" s="1"/>
  <c r="EA140"/>
  <c r="FK140" s="1"/>
  <c r="EC140"/>
  <c r="FM140" s="1"/>
  <c r="EE140"/>
  <c r="FO140" s="1"/>
  <c r="EG140"/>
  <c r="EI140"/>
  <c r="DD140"/>
  <c r="DE140"/>
  <c r="DC140"/>
  <c r="BA140"/>
  <c r="CM140"/>
  <c r="CL140"/>
  <c r="CK140"/>
  <c r="AY140"/>
  <c r="B143"/>
  <c r="CZ139"/>
  <c r="DJ139" s="1"/>
  <c r="ET139" s="1"/>
  <c r="DF139"/>
  <c r="DG139"/>
  <c r="EQ139" s="1"/>
  <c r="DH139"/>
  <c r="DI139"/>
  <c r="ES139" s="1"/>
  <c r="DK139"/>
  <c r="EU139"/>
  <c r="DL139"/>
  <c r="DN139"/>
  <c r="EX139" s="1"/>
  <c r="DO139"/>
  <c r="EY139" s="1"/>
  <c r="DP139"/>
  <c r="DQ139"/>
  <c r="DS139"/>
  <c r="DT139"/>
  <c r="FD139" s="1"/>
  <c r="DV139"/>
  <c r="FF139" s="1"/>
  <c r="DW139"/>
  <c r="DX139"/>
  <c r="FH139" s="1"/>
  <c r="DY139"/>
  <c r="FI139" s="1"/>
  <c r="EA139"/>
  <c r="FK139" s="1"/>
  <c r="EB139"/>
  <c r="ED139"/>
  <c r="EE139"/>
  <c r="FO139" s="1"/>
  <c r="EF139"/>
  <c r="FP139" s="1"/>
  <c r="EG139"/>
  <c r="EI139"/>
  <c r="EJ139"/>
  <c r="FT139" s="1"/>
  <c r="DD139"/>
  <c r="DE139" s="1"/>
  <c r="DC139"/>
  <c r="BA139"/>
  <c r="CM139"/>
  <c r="CL139"/>
  <c r="CK139"/>
  <c r="AY139"/>
  <c r="B138"/>
  <c r="CZ138"/>
  <c r="DF138"/>
  <c r="DG138"/>
  <c r="EQ138" s="1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FP138"/>
  <c r="EG138"/>
  <c r="EH138"/>
  <c r="EI138"/>
  <c r="EJ138"/>
  <c r="DD138"/>
  <c r="CL138"/>
  <c r="CK138"/>
  <c r="AY138"/>
  <c r="B144"/>
  <c r="CZ137"/>
  <c r="DF137"/>
  <c r="DG137"/>
  <c r="EQ137" s="1"/>
  <c r="DH137"/>
  <c r="DI137"/>
  <c r="ES137" s="1"/>
  <c r="DJ137"/>
  <c r="DK137"/>
  <c r="EU137" s="1"/>
  <c r="DL137"/>
  <c r="DM137"/>
  <c r="EW137" s="1"/>
  <c r="DN137"/>
  <c r="DO137"/>
  <c r="EY137"/>
  <c r="DP137"/>
  <c r="DQ137"/>
  <c r="FA137" s="1"/>
  <c r="DR137"/>
  <c r="FB137" s="1"/>
  <c r="DS137"/>
  <c r="DT137"/>
  <c r="FD137"/>
  <c r="DU137"/>
  <c r="DV137"/>
  <c r="FF137" s="1"/>
  <c r="DW137"/>
  <c r="DX137"/>
  <c r="FH137" s="1"/>
  <c r="DY137"/>
  <c r="FI137"/>
  <c r="DZ137"/>
  <c r="EA137"/>
  <c r="FK137" s="1"/>
  <c r="EB137"/>
  <c r="EC137"/>
  <c r="FM137" s="1"/>
  <c r="ED137"/>
  <c r="EE137"/>
  <c r="FO137" s="1"/>
  <c r="EF137"/>
  <c r="EG137"/>
  <c r="EH137"/>
  <c r="FR137" s="1"/>
  <c r="EI137"/>
  <c r="FS137" s="1"/>
  <c r="EJ137"/>
  <c r="FT137" s="1"/>
  <c r="DD137"/>
  <c r="DE137"/>
  <c r="DC137"/>
  <c r="BA137"/>
  <c r="CM137" s="1"/>
  <c r="CL137"/>
  <c r="CK137"/>
  <c r="AY137"/>
  <c r="B135"/>
  <c r="CZ136"/>
  <c r="DG136" s="1"/>
  <c r="EQ136" s="1"/>
  <c r="DF136"/>
  <c r="DH136"/>
  <c r="DJ136"/>
  <c r="ET136" s="1"/>
  <c r="DL136"/>
  <c r="DN136"/>
  <c r="EX136" s="1"/>
  <c r="DP136"/>
  <c r="DR136"/>
  <c r="FB136" s="1"/>
  <c r="DT136"/>
  <c r="FD136" s="1"/>
  <c r="DV136"/>
  <c r="FF136"/>
  <c r="DX136"/>
  <c r="FH136" s="1"/>
  <c r="DZ136"/>
  <c r="EB136"/>
  <c r="ED136"/>
  <c r="EF136"/>
  <c r="FP136" s="1"/>
  <c r="EH136"/>
  <c r="FR136" s="1"/>
  <c r="EJ136"/>
  <c r="FT136" s="1"/>
  <c r="DD136"/>
  <c r="DC136" s="1"/>
  <c r="DE136"/>
  <c r="BA136"/>
  <c r="CM136"/>
  <c r="CL136"/>
  <c r="CK136"/>
  <c r="AY136"/>
  <c r="B130"/>
  <c r="CW135"/>
  <c r="CX135"/>
  <c r="CZ135"/>
  <c r="DF135"/>
  <c r="DH135"/>
  <c r="DJ135"/>
  <c r="DL135"/>
  <c r="EV135" s="1"/>
  <c r="DN135"/>
  <c r="DP135"/>
  <c r="EZ135" s="1"/>
  <c r="DR135"/>
  <c r="FB135" s="1"/>
  <c r="DT135"/>
  <c r="FD135" s="1"/>
  <c r="DV135"/>
  <c r="FF135" s="1"/>
  <c r="DX135"/>
  <c r="FH135" s="1"/>
  <c r="DZ135"/>
  <c r="EB135"/>
  <c r="ED135"/>
  <c r="EF135"/>
  <c r="FP135" s="1"/>
  <c r="EH135"/>
  <c r="FR135" s="1"/>
  <c r="EJ135"/>
  <c r="FT135" s="1"/>
  <c r="DD135"/>
  <c r="DC135" s="1"/>
  <c r="BA135"/>
  <c r="CM135"/>
  <c r="CL135"/>
  <c r="CK135"/>
  <c r="AY135"/>
  <c r="B134"/>
  <c r="CW134"/>
  <c r="CX134"/>
  <c r="CZ134"/>
  <c r="DF134"/>
  <c r="DJ134"/>
  <c r="DN134"/>
  <c r="EX134" s="1"/>
  <c r="DR134"/>
  <c r="FB134" s="1"/>
  <c r="DV134"/>
  <c r="FF134" s="1"/>
  <c r="DZ134"/>
  <c r="ED134"/>
  <c r="FN134" s="1"/>
  <c r="EH134"/>
  <c r="FR134" s="1"/>
  <c r="DD134"/>
  <c r="DC134" s="1"/>
  <c r="BA134"/>
  <c r="CM134"/>
  <c r="CL134"/>
  <c r="CK134"/>
  <c r="AY134"/>
  <c r="B129"/>
  <c r="CZ133"/>
  <c r="DG133" s="1"/>
  <c r="EQ133" s="1"/>
  <c r="DD133"/>
  <c r="DE133"/>
  <c r="DC133"/>
  <c r="BA133"/>
  <c r="CM133" s="1"/>
  <c r="CL133"/>
  <c r="CK133"/>
  <c r="AY133"/>
  <c r="B137"/>
  <c r="CX132"/>
  <c r="CZ132"/>
  <c r="DF132"/>
  <c r="EP132" s="1"/>
  <c r="DH132"/>
  <c r="DJ132"/>
  <c r="DL132"/>
  <c r="DN132"/>
  <c r="EX132" s="1"/>
  <c r="DP132"/>
  <c r="EZ132" s="1"/>
  <c r="DR132"/>
  <c r="FB132" s="1"/>
  <c r="DT132"/>
  <c r="FD132" s="1"/>
  <c r="DV132"/>
  <c r="FF132" s="1"/>
  <c r="DX132"/>
  <c r="FH132" s="1"/>
  <c r="DZ132"/>
  <c r="EB132"/>
  <c r="ED132"/>
  <c r="FN132" s="1"/>
  <c r="EF132"/>
  <c r="FP132" s="1"/>
  <c r="EH132"/>
  <c r="FR132" s="1"/>
  <c r="EJ132"/>
  <c r="FT132" s="1"/>
  <c r="DD132"/>
  <c r="BA132"/>
  <c r="CM132" s="1"/>
  <c r="CL132"/>
  <c r="CK132"/>
  <c r="AY132"/>
  <c r="B136"/>
  <c r="CZ131"/>
  <c r="DF131"/>
  <c r="EP131" s="1"/>
  <c r="DG131"/>
  <c r="EQ131" s="1"/>
  <c r="DH131"/>
  <c r="DI131"/>
  <c r="ES131" s="1"/>
  <c r="DJ131"/>
  <c r="DK131"/>
  <c r="EU131" s="1"/>
  <c r="DL131"/>
  <c r="EV131" s="1"/>
  <c r="DM131"/>
  <c r="EW131" s="1"/>
  <c r="DN131"/>
  <c r="EX131"/>
  <c r="DO131"/>
  <c r="EY131" s="1"/>
  <c r="DP131"/>
  <c r="DQ131"/>
  <c r="FA131" s="1"/>
  <c r="DR131"/>
  <c r="FB131" s="1"/>
  <c r="DS131"/>
  <c r="DT131"/>
  <c r="FD131"/>
  <c r="DU131"/>
  <c r="DV131"/>
  <c r="FF131"/>
  <c r="DW131"/>
  <c r="DX131"/>
  <c r="FH131" s="1"/>
  <c r="DY131"/>
  <c r="FI131" s="1"/>
  <c r="DZ131"/>
  <c r="EA131"/>
  <c r="FK131" s="1"/>
  <c r="EB131"/>
  <c r="EC131"/>
  <c r="FM131" s="1"/>
  <c r="ED131"/>
  <c r="FN131" s="1"/>
  <c r="EE131"/>
  <c r="FO131" s="1"/>
  <c r="EF131"/>
  <c r="EG131"/>
  <c r="EH131"/>
  <c r="FR131" s="1"/>
  <c r="EI131"/>
  <c r="EJ131"/>
  <c r="FT131" s="1"/>
  <c r="DD131"/>
  <c r="DE131"/>
  <c r="DC131"/>
  <c r="BA131"/>
  <c r="CM131"/>
  <c r="CL131"/>
  <c r="CK131"/>
  <c r="AY131"/>
  <c r="B132"/>
  <c r="CX130"/>
  <c r="DG130" s="1"/>
  <c r="EQ130" s="1"/>
  <c r="CZ130"/>
  <c r="DI130"/>
  <c r="ES130" s="1"/>
  <c r="DM130"/>
  <c r="EW130" s="1"/>
  <c r="DQ130"/>
  <c r="DU130"/>
  <c r="DY130"/>
  <c r="FI130" s="1"/>
  <c r="EC130"/>
  <c r="FM130" s="1"/>
  <c r="EG130"/>
  <c r="DD130"/>
  <c r="DE130"/>
  <c r="DC130"/>
  <c r="BA130"/>
  <c r="CM130" s="1"/>
  <c r="CL130"/>
  <c r="CK130"/>
  <c r="AY130"/>
  <c r="B131"/>
  <c r="CX129"/>
  <c r="CZ129"/>
  <c r="DH129" s="1"/>
  <c r="ER129" s="1"/>
  <c r="DF129"/>
  <c r="DJ129"/>
  <c r="DN129"/>
  <c r="EX129" s="1"/>
  <c r="DR129"/>
  <c r="FB129" s="1"/>
  <c r="DV129"/>
  <c r="FF129" s="1"/>
  <c r="DZ129"/>
  <c r="ED129"/>
  <c r="EH129"/>
  <c r="FR129" s="1"/>
  <c r="DD129"/>
  <c r="BA129"/>
  <c r="CM129" s="1"/>
  <c r="CL129"/>
  <c r="CK129"/>
  <c r="AY129"/>
  <c r="B128"/>
  <c r="CW128"/>
  <c r="CX128"/>
  <c r="CZ128"/>
  <c r="DH128"/>
  <c r="DL128"/>
  <c r="DP128"/>
  <c r="DT128"/>
  <c r="DX128"/>
  <c r="EB128"/>
  <c r="EF128"/>
  <c r="EJ128"/>
  <c r="DD128"/>
  <c r="CL128"/>
  <c r="CK128"/>
  <c r="AY128"/>
  <c r="B133"/>
  <c r="CX127"/>
  <c r="CZ127"/>
  <c r="DD127"/>
  <c r="DE127"/>
  <c r="DC127"/>
  <c r="BA127"/>
  <c r="CM127" s="1"/>
  <c r="CL127"/>
  <c r="CK127"/>
  <c r="AY127"/>
  <c r="B118"/>
  <c r="CX126"/>
  <c r="CZ126"/>
  <c r="DF126"/>
  <c r="DH126"/>
  <c r="ER126" s="1"/>
  <c r="DJ126"/>
  <c r="DL126"/>
  <c r="DN126"/>
  <c r="EX126" s="1"/>
  <c r="DP126"/>
  <c r="EZ126" s="1"/>
  <c r="DR126"/>
  <c r="FB126" s="1"/>
  <c r="DT126"/>
  <c r="FD126" s="1"/>
  <c r="DV126"/>
  <c r="FF126" s="1"/>
  <c r="DX126"/>
  <c r="FH126" s="1"/>
  <c r="DZ126"/>
  <c r="EB126"/>
  <c r="ED126"/>
  <c r="EF126"/>
  <c r="FP126" s="1"/>
  <c r="EH126"/>
  <c r="FR126" s="1"/>
  <c r="EJ126"/>
  <c r="FT126" s="1"/>
  <c r="DD126"/>
  <c r="BA126"/>
  <c r="CM126" s="1"/>
  <c r="CL126"/>
  <c r="CK126"/>
  <c r="AY126"/>
  <c r="B124"/>
  <c r="CX125"/>
  <c r="CZ125"/>
  <c r="DG125" s="1"/>
  <c r="EQ125" s="1"/>
  <c r="DF125"/>
  <c r="DH125"/>
  <c r="DJ125"/>
  <c r="DL125"/>
  <c r="EV125" s="1"/>
  <c r="DN125"/>
  <c r="DP125"/>
  <c r="DR125"/>
  <c r="FB125" s="1"/>
  <c r="DT125"/>
  <c r="FD125" s="1"/>
  <c r="DV125"/>
  <c r="FF125" s="1"/>
  <c r="DX125"/>
  <c r="FH125"/>
  <c r="DZ125"/>
  <c r="EB125"/>
  <c r="ED125"/>
  <c r="EF125"/>
  <c r="FP125" s="1"/>
  <c r="EH125"/>
  <c r="FR125" s="1"/>
  <c r="EJ125"/>
  <c r="FT125"/>
  <c r="DD125"/>
  <c r="DC125" s="1"/>
  <c r="BA125"/>
  <c r="CM125"/>
  <c r="CL125"/>
  <c r="CK125"/>
  <c r="AY125"/>
  <c r="B120"/>
  <c r="CX124"/>
  <c r="DI124" s="1"/>
  <c r="ES124" s="1"/>
  <c r="CZ124"/>
  <c r="DN124"/>
  <c r="DO124"/>
  <c r="EY124" s="1"/>
  <c r="DP124"/>
  <c r="DQ124"/>
  <c r="DR124"/>
  <c r="FB124"/>
  <c r="DS124"/>
  <c r="DT124"/>
  <c r="FD124" s="1"/>
  <c r="DU124"/>
  <c r="FE124" s="1"/>
  <c r="DV124"/>
  <c r="FF124" s="1"/>
  <c r="DW124"/>
  <c r="DX124"/>
  <c r="FH124"/>
  <c r="DY124"/>
  <c r="FI124" s="1"/>
  <c r="DZ124"/>
  <c r="FJ124"/>
  <c r="EA124"/>
  <c r="FK124" s="1"/>
  <c r="EB124"/>
  <c r="EC124"/>
  <c r="FM124" s="1"/>
  <c r="ED124"/>
  <c r="EE124"/>
  <c r="FO124" s="1"/>
  <c r="EF124"/>
  <c r="FP124" s="1"/>
  <c r="EG124"/>
  <c r="EH124"/>
  <c r="FR124" s="1"/>
  <c r="EI124"/>
  <c r="FS124" s="1"/>
  <c r="EJ124"/>
  <c r="FT124"/>
  <c r="DD124"/>
  <c r="DE124"/>
  <c r="DC124"/>
  <c r="BA124"/>
  <c r="CM124"/>
  <c r="CL124"/>
  <c r="CK124"/>
  <c r="AY124"/>
  <c r="B125"/>
  <c r="CX123"/>
  <c r="CZ123"/>
  <c r="DD123"/>
  <c r="DE123"/>
  <c r="DC123"/>
  <c r="BA123"/>
  <c r="CM123" s="1"/>
  <c r="CL123"/>
  <c r="CK123"/>
  <c r="AY123"/>
  <c r="B122"/>
  <c r="CX122"/>
  <c r="CZ122"/>
  <c r="DF122"/>
  <c r="EP122" s="1"/>
  <c r="DH122"/>
  <c r="DJ122"/>
  <c r="DL122"/>
  <c r="EV122" s="1"/>
  <c r="DN122"/>
  <c r="EX122" s="1"/>
  <c r="DP122"/>
  <c r="DR122"/>
  <c r="FB122" s="1"/>
  <c r="DT122"/>
  <c r="FD122" s="1"/>
  <c r="DV122"/>
  <c r="FF122" s="1"/>
  <c r="DX122"/>
  <c r="FH122" s="1"/>
  <c r="DZ122"/>
  <c r="EB122"/>
  <c r="ED122"/>
  <c r="FN122" s="1"/>
  <c r="EF122"/>
  <c r="EH122"/>
  <c r="FR122" s="1"/>
  <c r="EJ122"/>
  <c r="FT122" s="1"/>
  <c r="DD122"/>
  <c r="BA122"/>
  <c r="CM122" s="1"/>
  <c r="CL122"/>
  <c r="CK122"/>
  <c r="AY122"/>
  <c r="B121"/>
  <c r="CW121"/>
  <c r="CX121"/>
  <c r="CZ121"/>
  <c r="DD121"/>
  <c r="BA121"/>
  <c r="CM121"/>
  <c r="CL121"/>
  <c r="CK121"/>
  <c r="AY121"/>
  <c r="B127"/>
  <c r="CZ120"/>
  <c r="DF120"/>
  <c r="DG120"/>
  <c r="EQ120" s="1"/>
  <c r="DH120"/>
  <c r="DI120"/>
  <c r="ES120" s="1"/>
  <c r="DJ120"/>
  <c r="ET120"/>
  <c r="DK120"/>
  <c r="EU120" s="1"/>
  <c r="DL120"/>
  <c r="EV120"/>
  <c r="DM120"/>
  <c r="EW120" s="1"/>
  <c r="DN120"/>
  <c r="DO120"/>
  <c r="EY120" s="1"/>
  <c r="DP120"/>
  <c r="DQ120"/>
  <c r="DR120"/>
  <c r="FB120" s="1"/>
  <c r="DS120"/>
  <c r="DT120"/>
  <c r="FD120" s="1"/>
  <c r="DU120"/>
  <c r="FE120" s="1"/>
  <c r="DV120"/>
  <c r="FF120"/>
  <c r="DW120"/>
  <c r="DX120"/>
  <c r="FH120"/>
  <c r="DY120"/>
  <c r="FI120" s="1"/>
  <c r="DZ120"/>
  <c r="FJ120" s="1"/>
  <c r="EA120"/>
  <c r="FK120" s="1"/>
  <c r="EB120"/>
  <c r="EC120"/>
  <c r="FM120" s="1"/>
  <c r="ED120"/>
  <c r="EE120"/>
  <c r="FO120" s="1"/>
  <c r="EF120"/>
  <c r="EG120"/>
  <c r="EH120"/>
  <c r="FR120"/>
  <c r="EI120"/>
  <c r="EJ120"/>
  <c r="FT120" s="1"/>
  <c r="DD120"/>
  <c r="DE120"/>
  <c r="DC120"/>
  <c r="BA120"/>
  <c r="CM120"/>
  <c r="CL120"/>
  <c r="CK120"/>
  <c r="AY120"/>
  <c r="B123"/>
  <c r="CW119"/>
  <c r="CX119"/>
  <c r="DG119" s="1"/>
  <c r="EQ119" s="1"/>
  <c r="CZ119"/>
  <c r="DI119"/>
  <c r="ES119" s="1"/>
  <c r="DM119"/>
  <c r="EW119" s="1"/>
  <c r="DO119"/>
  <c r="EY119" s="1"/>
  <c r="DQ119"/>
  <c r="FA119" s="1"/>
  <c r="DS119"/>
  <c r="DU119"/>
  <c r="DW119"/>
  <c r="DY119"/>
  <c r="FI119" s="1"/>
  <c r="EA119"/>
  <c r="FK119" s="1"/>
  <c r="EC119"/>
  <c r="FM119" s="1"/>
  <c r="EE119"/>
  <c r="FO119" s="1"/>
  <c r="EG119"/>
  <c r="EI119"/>
  <c r="DD119"/>
  <c r="DE119"/>
  <c r="DC119"/>
  <c r="BA119"/>
  <c r="CM119"/>
  <c r="CL119"/>
  <c r="CK119"/>
  <c r="AY119"/>
  <c r="B126"/>
  <c r="CX118"/>
  <c r="CZ118"/>
  <c r="DI118" s="1"/>
  <c r="DG118"/>
  <c r="EQ118" s="1"/>
  <c r="DK118"/>
  <c r="EU118" s="1"/>
  <c r="DO118"/>
  <c r="DS118"/>
  <c r="DW118"/>
  <c r="EA118"/>
  <c r="EE118"/>
  <c r="EI118"/>
  <c r="DD118"/>
  <c r="DE118"/>
  <c r="DC118"/>
  <c r="CL118"/>
  <c r="CK118"/>
  <c r="AY118"/>
  <c r="B119"/>
  <c r="CZ117"/>
  <c r="DI117" s="1"/>
  <c r="ES117" s="1"/>
  <c r="DG117"/>
  <c r="EQ117" s="1"/>
  <c r="DK117"/>
  <c r="EU117" s="1"/>
  <c r="DO117"/>
  <c r="EY117" s="1"/>
  <c r="DS117"/>
  <c r="DW117"/>
  <c r="EA117"/>
  <c r="FK117" s="1"/>
  <c r="EE117"/>
  <c r="FO117" s="1"/>
  <c r="EI117"/>
  <c r="FS117" s="1"/>
  <c r="DD117"/>
  <c r="DE117"/>
  <c r="DC117"/>
  <c r="BA117"/>
  <c r="CM117" s="1"/>
  <c r="CL117"/>
  <c r="CK117"/>
  <c r="AY117"/>
  <c r="B114"/>
  <c r="CZ116"/>
  <c r="DG116" s="1"/>
  <c r="DF116"/>
  <c r="DH116"/>
  <c r="DJ116"/>
  <c r="DL116"/>
  <c r="DN116"/>
  <c r="EX116" s="1"/>
  <c r="DP116"/>
  <c r="DR116"/>
  <c r="FB116" s="1"/>
  <c r="DT116"/>
  <c r="FD116"/>
  <c r="DV116"/>
  <c r="FF116" s="1"/>
  <c r="DX116"/>
  <c r="FH116"/>
  <c r="DZ116"/>
  <c r="EB116"/>
  <c r="FL116" s="1"/>
  <c r="ED116"/>
  <c r="EF116"/>
  <c r="EH116"/>
  <c r="FR116" s="1"/>
  <c r="EJ116"/>
  <c r="FT116"/>
  <c r="DD116"/>
  <c r="DC116" s="1"/>
  <c r="BA116"/>
  <c r="CM116"/>
  <c r="CL116"/>
  <c r="CK116"/>
  <c r="AY116"/>
  <c r="B113"/>
  <c r="CZ115"/>
  <c r="DI115"/>
  <c r="ES115" s="1"/>
  <c r="DM115"/>
  <c r="EW115" s="1"/>
  <c r="DQ115"/>
  <c r="FA115" s="1"/>
  <c r="DU115"/>
  <c r="DY115"/>
  <c r="FI115" s="1"/>
  <c r="EC115"/>
  <c r="FM115" s="1"/>
  <c r="EG115"/>
  <c r="FQ115" s="1"/>
  <c r="DD115"/>
  <c r="DE115"/>
  <c r="DC115"/>
  <c r="BA115"/>
  <c r="CM115" s="1"/>
  <c r="CL115"/>
  <c r="CK115"/>
  <c r="AY115"/>
  <c r="B108"/>
  <c r="CZ114"/>
  <c r="DG114" s="1"/>
  <c r="EQ114" s="1"/>
  <c r="DF114"/>
  <c r="DH114"/>
  <c r="ER114" s="1"/>
  <c r="DJ114"/>
  <c r="DL114"/>
  <c r="EV114" s="1"/>
  <c r="DN114"/>
  <c r="DP114"/>
  <c r="DR114"/>
  <c r="FB114"/>
  <c r="DT114"/>
  <c r="FD114" s="1"/>
  <c r="DV114"/>
  <c r="FF114" s="1"/>
  <c r="DX114"/>
  <c r="FH114" s="1"/>
  <c r="DZ114"/>
  <c r="EB114"/>
  <c r="FL114" s="1"/>
  <c r="ED114"/>
  <c r="EF114"/>
  <c r="EH114"/>
  <c r="FR114" s="1"/>
  <c r="EJ114"/>
  <c r="FT114" s="1"/>
  <c r="DD114"/>
  <c r="DC114" s="1"/>
  <c r="DE114"/>
  <c r="BA114"/>
  <c r="CM114"/>
  <c r="CL114"/>
  <c r="CK114"/>
  <c r="AY114"/>
  <c r="B117"/>
  <c r="CZ113"/>
  <c r="DI113" s="1"/>
  <c r="ES113" s="1"/>
  <c r="DG113"/>
  <c r="EQ113" s="1"/>
  <c r="DK113"/>
  <c r="EU113" s="1"/>
  <c r="DO113"/>
  <c r="EY113" s="1"/>
  <c r="DS113"/>
  <c r="DW113"/>
  <c r="EA113"/>
  <c r="FK113" s="1"/>
  <c r="EE113"/>
  <c r="FO113" s="1"/>
  <c r="EI113"/>
  <c r="DD113"/>
  <c r="DE113"/>
  <c r="DC113"/>
  <c r="BA113"/>
  <c r="CM113" s="1"/>
  <c r="CL113"/>
  <c r="CK113"/>
  <c r="AY113"/>
  <c r="B112"/>
  <c r="CZ112"/>
  <c r="DG112" s="1"/>
  <c r="EQ112" s="1"/>
  <c r="DF112"/>
  <c r="DH112"/>
  <c r="DJ112"/>
  <c r="ET112" s="1"/>
  <c r="DL112"/>
  <c r="DN112"/>
  <c r="DP112"/>
  <c r="DR112"/>
  <c r="FB112" s="1"/>
  <c r="DT112"/>
  <c r="FD112" s="1"/>
  <c r="DV112"/>
  <c r="FF112" s="1"/>
  <c r="DX112"/>
  <c r="FH112"/>
  <c r="DZ112"/>
  <c r="FJ112" s="1"/>
  <c r="EB112"/>
  <c r="ED112"/>
  <c r="EF112"/>
  <c r="FP112" s="1"/>
  <c r="EH112"/>
  <c r="FR112" s="1"/>
  <c r="EJ112"/>
  <c r="FT112"/>
  <c r="DD112"/>
  <c r="DC112" s="1"/>
  <c r="BA112"/>
  <c r="CM112"/>
  <c r="CL112"/>
  <c r="CK112"/>
  <c r="AY112"/>
  <c r="B116"/>
  <c r="CZ111"/>
  <c r="DI111"/>
  <c r="ES111" s="1"/>
  <c r="DM111"/>
  <c r="EW111" s="1"/>
  <c r="DQ111"/>
  <c r="DU111"/>
  <c r="FE111" s="1"/>
  <c r="DY111"/>
  <c r="FI111" s="1"/>
  <c r="EC111"/>
  <c r="FM111" s="1"/>
  <c r="EG111"/>
  <c r="DD111"/>
  <c r="DE111"/>
  <c r="DC111"/>
  <c r="BA111"/>
  <c r="CM111" s="1"/>
  <c r="CL111"/>
  <c r="CK111"/>
  <c r="AY111"/>
  <c r="B115"/>
  <c r="CZ110"/>
  <c r="DG110" s="1"/>
  <c r="EQ110" s="1"/>
  <c r="DF110"/>
  <c r="DH110"/>
  <c r="DJ110"/>
  <c r="ET110" s="1"/>
  <c r="DL110"/>
  <c r="DN110"/>
  <c r="EX110" s="1"/>
  <c r="DP110"/>
  <c r="EZ110" s="1"/>
  <c r="DR110"/>
  <c r="FB110" s="1"/>
  <c r="DT110"/>
  <c r="FD110" s="1"/>
  <c r="DV110"/>
  <c r="FF110"/>
  <c r="DX110"/>
  <c r="FH110" s="1"/>
  <c r="DZ110"/>
  <c r="FJ110" s="1"/>
  <c r="EB110"/>
  <c r="ED110"/>
  <c r="EF110"/>
  <c r="FP110" s="1"/>
  <c r="EH110"/>
  <c r="FR110"/>
  <c r="EJ110"/>
  <c r="FT110" s="1"/>
  <c r="DD110"/>
  <c r="DC110" s="1"/>
  <c r="DE110"/>
  <c r="BA110"/>
  <c r="CM110"/>
  <c r="CL110"/>
  <c r="CK110"/>
  <c r="AY110"/>
  <c r="B111"/>
  <c r="CZ109"/>
  <c r="DI109" s="1"/>
  <c r="ES109" s="1"/>
  <c r="DG109"/>
  <c r="EQ109" s="1"/>
  <c r="DK109"/>
  <c r="EU109" s="1"/>
  <c r="DO109"/>
  <c r="EY109" s="1"/>
  <c r="DS109"/>
  <c r="FC109" s="1"/>
  <c r="DW109"/>
  <c r="EA109"/>
  <c r="FK109" s="1"/>
  <c r="EE109"/>
  <c r="FO109" s="1"/>
  <c r="EI109"/>
  <c r="FS109" s="1"/>
  <c r="DD109"/>
  <c r="DE109"/>
  <c r="DC109"/>
  <c r="BA109"/>
  <c r="CM109" s="1"/>
  <c r="CL109"/>
  <c r="CK109"/>
  <c r="AY109"/>
  <c r="B109"/>
  <c r="CZ108"/>
  <c r="DG108" s="1"/>
  <c r="EQ108" s="1"/>
  <c r="DF108"/>
  <c r="DH108"/>
  <c r="ER108" s="1"/>
  <c r="DJ108"/>
  <c r="ET108" s="1"/>
  <c r="DL108"/>
  <c r="EV108" s="1"/>
  <c r="DN108"/>
  <c r="DP108"/>
  <c r="DR108"/>
  <c r="DT108"/>
  <c r="FD108"/>
  <c r="DV108"/>
  <c r="DX108"/>
  <c r="DZ108"/>
  <c r="EB108"/>
  <c r="ED108"/>
  <c r="EF108"/>
  <c r="FP108"/>
  <c r="EH108"/>
  <c r="EJ108"/>
  <c r="DD108"/>
  <c r="DC108" s="1"/>
  <c r="CL108"/>
  <c r="CK108"/>
  <c r="AY108"/>
  <c r="B110"/>
  <c r="CW107"/>
  <c r="CX107"/>
  <c r="DG107" s="1"/>
  <c r="EQ107" s="1"/>
  <c r="CZ107"/>
  <c r="DO107" s="1"/>
  <c r="EY107" s="1"/>
  <c r="DI107"/>
  <c r="ES107" s="1"/>
  <c r="DM107"/>
  <c r="EW107" s="1"/>
  <c r="DQ107"/>
  <c r="FA107" s="1"/>
  <c r="DU107"/>
  <c r="FE107" s="1"/>
  <c r="DY107"/>
  <c r="FI107" s="1"/>
  <c r="EC107"/>
  <c r="FM107" s="1"/>
  <c r="EG107"/>
  <c r="FQ107" s="1"/>
  <c r="DD107"/>
  <c r="DE107"/>
  <c r="DC107"/>
  <c r="BA107"/>
  <c r="CM107" s="1"/>
  <c r="CL107"/>
  <c r="CK107"/>
  <c r="AY107"/>
  <c r="B103"/>
  <c r="CZ106"/>
  <c r="DG106" s="1"/>
  <c r="EQ106" s="1"/>
  <c r="DF106"/>
  <c r="DH106"/>
  <c r="ER106" s="1"/>
  <c r="DJ106"/>
  <c r="ET106" s="1"/>
  <c r="DL106"/>
  <c r="EV106" s="1"/>
  <c r="DN106"/>
  <c r="EX106" s="1"/>
  <c r="DP106"/>
  <c r="DR106"/>
  <c r="FB106" s="1"/>
  <c r="DT106"/>
  <c r="FD106" s="1"/>
  <c r="DV106"/>
  <c r="FF106"/>
  <c r="DX106"/>
  <c r="FH106" s="1"/>
  <c r="DZ106"/>
  <c r="EB106"/>
  <c r="ED106"/>
  <c r="EF106"/>
  <c r="FP106" s="1"/>
  <c r="EH106"/>
  <c r="FR106" s="1"/>
  <c r="EJ106"/>
  <c r="FT106" s="1"/>
  <c r="DD106"/>
  <c r="DC106" s="1"/>
  <c r="DE106"/>
  <c r="BA106"/>
  <c r="CM106"/>
  <c r="CL106"/>
  <c r="CK106"/>
  <c r="AY106"/>
  <c r="B106"/>
  <c r="CZ105"/>
  <c r="DI105" s="1"/>
  <c r="ES105" s="1"/>
  <c r="DG105"/>
  <c r="EQ105" s="1"/>
  <c r="DK105"/>
  <c r="EU105" s="1"/>
  <c r="DO105"/>
  <c r="EY105" s="1"/>
  <c r="DS105"/>
  <c r="DW105"/>
  <c r="EA105"/>
  <c r="FK105" s="1"/>
  <c r="EE105"/>
  <c r="FO105" s="1"/>
  <c r="EI105"/>
  <c r="FS105" s="1"/>
  <c r="DD105"/>
  <c r="DE105"/>
  <c r="DC105"/>
  <c r="BA105"/>
  <c r="CM105" s="1"/>
  <c r="CL105"/>
  <c r="CK105"/>
  <c r="AY105"/>
  <c r="B107"/>
  <c r="CZ104"/>
  <c r="DG104" s="1"/>
  <c r="EQ104" s="1"/>
  <c r="DF104"/>
  <c r="DH104"/>
  <c r="DJ104"/>
  <c r="ET104" s="1"/>
  <c r="DL104"/>
  <c r="EV104" s="1"/>
  <c r="DN104"/>
  <c r="EX104" s="1"/>
  <c r="DP104"/>
  <c r="EZ104" s="1"/>
  <c r="DR104"/>
  <c r="FB104" s="1"/>
  <c r="DT104"/>
  <c r="FD104" s="1"/>
  <c r="DV104"/>
  <c r="FF104" s="1"/>
  <c r="DX104"/>
  <c r="FH104"/>
  <c r="DZ104"/>
  <c r="FJ104" s="1"/>
  <c r="EB104"/>
  <c r="ED104"/>
  <c r="EF104"/>
  <c r="FP104" s="1"/>
  <c r="EH104"/>
  <c r="FR104" s="1"/>
  <c r="EJ104"/>
  <c r="FT104"/>
  <c r="DD104"/>
  <c r="DC104" s="1"/>
  <c r="BA104"/>
  <c r="CM104"/>
  <c r="CL104"/>
  <c r="CK104"/>
  <c r="AY104"/>
  <c r="B99"/>
  <c r="CZ103"/>
  <c r="DI103"/>
  <c r="ES103" s="1"/>
  <c r="DM103"/>
  <c r="EW103" s="1"/>
  <c r="DQ103"/>
  <c r="FA103" s="1"/>
  <c r="DU103"/>
  <c r="FE103" s="1"/>
  <c r="DY103"/>
  <c r="FI103" s="1"/>
  <c r="EC103"/>
  <c r="FM103" s="1"/>
  <c r="EG103"/>
  <c r="DD103"/>
  <c r="DE103"/>
  <c r="DC103"/>
  <c r="BA103"/>
  <c r="CM103" s="1"/>
  <c r="CL103"/>
  <c r="CK103"/>
  <c r="AY103"/>
  <c r="B105"/>
  <c r="CZ102"/>
  <c r="DG102" s="1"/>
  <c r="EQ102" s="1"/>
  <c r="DF102"/>
  <c r="DH102"/>
  <c r="DJ102"/>
  <c r="ET102" s="1"/>
  <c r="DL102"/>
  <c r="EV102" s="1"/>
  <c r="DN102"/>
  <c r="EX102" s="1"/>
  <c r="DP102"/>
  <c r="EZ102" s="1"/>
  <c r="DR102"/>
  <c r="FB102" s="1"/>
  <c r="DT102"/>
  <c r="FD102" s="1"/>
  <c r="DV102"/>
  <c r="FF102" s="1"/>
  <c r="DX102"/>
  <c r="FH102" s="1"/>
  <c r="DZ102"/>
  <c r="FJ102"/>
  <c r="EB102"/>
  <c r="ED102"/>
  <c r="EF102"/>
  <c r="FP102" s="1"/>
  <c r="EH102"/>
  <c r="FR102" s="1"/>
  <c r="EJ102"/>
  <c r="FT102" s="1"/>
  <c r="DD102"/>
  <c r="DC102" s="1"/>
  <c r="DE102"/>
  <c r="BA102"/>
  <c r="CM102"/>
  <c r="CL102"/>
  <c r="CK102"/>
  <c r="AY102"/>
  <c r="B98"/>
  <c r="CX101"/>
  <c r="DG101" s="1"/>
  <c r="EQ101" s="1"/>
  <c r="CZ101"/>
  <c r="DI101"/>
  <c r="ES101" s="1"/>
  <c r="DM101"/>
  <c r="EW101" s="1"/>
  <c r="DN101"/>
  <c r="EX101"/>
  <c r="DO101"/>
  <c r="EY101" s="1"/>
  <c r="DP101"/>
  <c r="EZ101" s="1"/>
  <c r="DQ101"/>
  <c r="FA101" s="1"/>
  <c r="DR101"/>
  <c r="FB101" s="1"/>
  <c r="DS101"/>
  <c r="FC101" s="1"/>
  <c r="DT101"/>
  <c r="FD101" s="1"/>
  <c r="DU101"/>
  <c r="FE101" s="1"/>
  <c r="DV101"/>
  <c r="FF101"/>
  <c r="DW101"/>
  <c r="DX101"/>
  <c r="FH101" s="1"/>
  <c r="DY101"/>
  <c r="FI101" s="1"/>
  <c r="DZ101"/>
  <c r="FJ101" s="1"/>
  <c r="EA101"/>
  <c r="FK101" s="1"/>
  <c r="EB101"/>
  <c r="EC101"/>
  <c r="FM101" s="1"/>
  <c r="ED101"/>
  <c r="EE101"/>
  <c r="FO101" s="1"/>
  <c r="EF101"/>
  <c r="FP101" s="1"/>
  <c r="EG101"/>
  <c r="EH101"/>
  <c r="FR101"/>
  <c r="EI101"/>
  <c r="FS101" s="1"/>
  <c r="EJ101"/>
  <c r="FT101"/>
  <c r="DD101"/>
  <c r="DE101"/>
  <c r="DC101"/>
  <c r="BA101"/>
  <c r="CM101"/>
  <c r="CL101"/>
  <c r="CK101"/>
  <c r="AY101"/>
  <c r="B102"/>
  <c r="CX100"/>
  <c r="CZ100"/>
  <c r="DI100" s="1"/>
  <c r="ES100" s="1"/>
  <c r="DG100"/>
  <c r="EQ100" s="1"/>
  <c r="DK100"/>
  <c r="EU100" s="1"/>
  <c r="DO100"/>
  <c r="EY100" s="1"/>
  <c r="DS100"/>
  <c r="FC100" s="1"/>
  <c r="DW100"/>
  <c r="EA100"/>
  <c r="FK100" s="1"/>
  <c r="EE100"/>
  <c r="FO100" s="1"/>
  <c r="EI100"/>
  <c r="FS100" s="1"/>
  <c r="DD100"/>
  <c r="DE100"/>
  <c r="DC100"/>
  <c r="BA100"/>
  <c r="CM100" s="1"/>
  <c r="CL100"/>
  <c r="CK100"/>
  <c r="AY100"/>
  <c r="B101"/>
  <c r="CZ99"/>
  <c r="DG99" s="1"/>
  <c r="EQ99" s="1"/>
  <c r="DF99"/>
  <c r="DH99"/>
  <c r="DJ99"/>
  <c r="ET99" s="1"/>
  <c r="DL99"/>
  <c r="EV99" s="1"/>
  <c r="DN99"/>
  <c r="EX99" s="1"/>
  <c r="DP99"/>
  <c r="EZ99" s="1"/>
  <c r="DR99"/>
  <c r="FB99" s="1"/>
  <c r="DT99"/>
  <c r="FD99" s="1"/>
  <c r="DV99"/>
  <c r="FF99" s="1"/>
  <c r="DX99"/>
  <c r="FH99" s="1"/>
  <c r="DZ99"/>
  <c r="EB99"/>
  <c r="FL99"/>
  <c r="ED99"/>
  <c r="EF99"/>
  <c r="FP99" s="1"/>
  <c r="EG99"/>
  <c r="EH99"/>
  <c r="FR99" s="1"/>
  <c r="EI99"/>
  <c r="FS99"/>
  <c r="EJ99"/>
  <c r="FT99" s="1"/>
  <c r="DD99"/>
  <c r="DC99" s="1"/>
  <c r="BA99"/>
  <c r="CM99"/>
  <c r="CL99"/>
  <c r="CK99"/>
  <c r="AY99"/>
  <c r="B104"/>
  <c r="CZ98"/>
  <c r="DI98"/>
  <c r="DM98"/>
  <c r="EW98" s="1"/>
  <c r="DQ98"/>
  <c r="FA98" s="1"/>
  <c r="DU98"/>
  <c r="DY98"/>
  <c r="EC98"/>
  <c r="EG98"/>
  <c r="DD98"/>
  <c r="DE98" s="1"/>
  <c r="DC98"/>
  <c r="CL98"/>
  <c r="CK98"/>
  <c r="AY98"/>
  <c r="B100"/>
  <c r="CZ97"/>
  <c r="DG97" s="1"/>
  <c r="EQ97" s="1"/>
  <c r="DD97"/>
  <c r="DE97" s="1"/>
  <c r="DC97"/>
  <c r="BA97"/>
  <c r="CM97" s="1"/>
  <c r="CL97"/>
  <c r="CK97"/>
  <c r="AY97"/>
  <c r="B96"/>
  <c r="CZ96"/>
  <c r="DF96"/>
  <c r="DG96"/>
  <c r="EQ96" s="1"/>
  <c r="DH96"/>
  <c r="ER96" s="1"/>
  <c r="DI96"/>
  <c r="ES96" s="1"/>
  <c r="DJ96"/>
  <c r="ET96" s="1"/>
  <c r="DK96"/>
  <c r="EU96" s="1"/>
  <c r="DL96"/>
  <c r="EV96" s="1"/>
  <c r="DM96"/>
  <c r="EW96" s="1"/>
  <c r="DN96"/>
  <c r="EX96" s="1"/>
  <c r="DO96"/>
  <c r="EY96" s="1"/>
  <c r="DP96"/>
  <c r="DQ96"/>
  <c r="FA96" s="1"/>
  <c r="DR96"/>
  <c r="FB96"/>
  <c r="DS96"/>
  <c r="DT96"/>
  <c r="FD96" s="1"/>
  <c r="DU96"/>
  <c r="FE96" s="1"/>
  <c r="DV96"/>
  <c r="FF96" s="1"/>
  <c r="DW96"/>
  <c r="DX96"/>
  <c r="FH96" s="1"/>
  <c r="DY96"/>
  <c r="FI96" s="1"/>
  <c r="DZ96"/>
  <c r="FJ96" s="1"/>
  <c r="EA96"/>
  <c r="FK96" s="1"/>
  <c r="EB96"/>
  <c r="EC96"/>
  <c r="FM96" s="1"/>
  <c r="ED96"/>
  <c r="FN96" s="1"/>
  <c r="EE96"/>
  <c r="FO96" s="1"/>
  <c r="EF96"/>
  <c r="FP96" s="1"/>
  <c r="EG96"/>
  <c r="EH96"/>
  <c r="FR96" s="1"/>
  <c r="EI96"/>
  <c r="FS96" s="1"/>
  <c r="EJ96"/>
  <c r="FT96" s="1"/>
  <c r="DD96"/>
  <c r="DC96" s="1"/>
  <c r="BA96"/>
  <c r="CM96"/>
  <c r="CL96"/>
  <c r="CK96"/>
  <c r="AY96"/>
  <c r="B97"/>
  <c r="CZ95"/>
  <c r="DD95"/>
  <c r="DE95" s="1"/>
  <c r="DC95"/>
  <c r="BA95"/>
  <c r="CM95" s="1"/>
  <c r="CL95"/>
  <c r="CK95"/>
  <c r="AY95"/>
  <c r="B93"/>
  <c r="CZ94"/>
  <c r="DF94"/>
  <c r="DG94"/>
  <c r="EQ94" s="1"/>
  <c r="DH94"/>
  <c r="DI94"/>
  <c r="ES94" s="1"/>
  <c r="DJ94"/>
  <c r="ET94" s="1"/>
  <c r="DK94"/>
  <c r="EU94" s="1"/>
  <c r="DL94"/>
  <c r="EV94" s="1"/>
  <c r="DM94"/>
  <c r="EW94" s="1"/>
  <c r="DN94"/>
  <c r="EX94" s="1"/>
  <c r="DO94"/>
  <c r="EY94" s="1"/>
  <c r="DP94"/>
  <c r="EZ94" s="1"/>
  <c r="DQ94"/>
  <c r="FA94" s="1"/>
  <c r="DR94"/>
  <c r="FB94" s="1"/>
  <c r="DS94"/>
  <c r="FC94" s="1"/>
  <c r="DT94"/>
  <c r="FD94"/>
  <c r="DU94"/>
  <c r="FE94" s="1"/>
  <c r="DV94"/>
  <c r="FF94" s="1"/>
  <c r="DW94"/>
  <c r="DX94"/>
  <c r="FH94" s="1"/>
  <c r="DY94"/>
  <c r="FI94" s="1"/>
  <c r="DZ94"/>
  <c r="EA94"/>
  <c r="FK94" s="1"/>
  <c r="EB94"/>
  <c r="EC94"/>
  <c r="FM94" s="1"/>
  <c r="ED94"/>
  <c r="EE94"/>
  <c r="FO94" s="1"/>
  <c r="EF94"/>
  <c r="FP94" s="1"/>
  <c r="EG94"/>
  <c r="EH94"/>
  <c r="FR94"/>
  <c r="EI94"/>
  <c r="FS94" s="1"/>
  <c r="EJ94"/>
  <c r="FT94" s="1"/>
  <c r="DD94"/>
  <c r="DC94" s="1"/>
  <c r="BA94"/>
  <c r="CM94"/>
  <c r="CL94"/>
  <c r="CK94"/>
  <c r="AY94"/>
  <c r="B95"/>
  <c r="CZ93"/>
  <c r="DD93"/>
  <c r="DE93" s="1"/>
  <c r="DC93"/>
  <c r="BA93"/>
  <c r="CM93" s="1"/>
  <c r="CL93"/>
  <c r="CK93"/>
  <c r="AY93"/>
  <c r="B91"/>
  <c r="CZ92"/>
  <c r="DF92"/>
  <c r="DG92"/>
  <c r="EQ92" s="1"/>
  <c r="DH92"/>
  <c r="DI92"/>
  <c r="ES92" s="1"/>
  <c r="DJ92"/>
  <c r="ET92" s="1"/>
  <c r="DK92"/>
  <c r="EU92" s="1"/>
  <c r="DL92"/>
  <c r="EV92" s="1"/>
  <c r="DM92"/>
  <c r="EW92" s="1"/>
  <c r="DN92"/>
  <c r="EX92" s="1"/>
  <c r="DO92"/>
  <c r="EY92" s="1"/>
  <c r="DP92"/>
  <c r="EZ92" s="1"/>
  <c r="DQ92"/>
  <c r="FA92" s="1"/>
  <c r="DR92"/>
  <c r="FB92" s="1"/>
  <c r="DS92"/>
  <c r="FC92" s="1"/>
  <c r="DT92"/>
  <c r="FD92" s="1"/>
  <c r="DU92"/>
  <c r="FE92" s="1"/>
  <c r="DV92"/>
  <c r="FF92" s="1"/>
  <c r="DW92"/>
  <c r="FG92" s="1"/>
  <c r="DX92"/>
  <c r="FH92" s="1"/>
  <c r="DY92"/>
  <c r="FI92" s="1"/>
  <c r="DZ92"/>
  <c r="FJ92"/>
  <c r="EA92"/>
  <c r="FK92" s="1"/>
  <c r="EB92"/>
  <c r="FL92"/>
  <c r="EC92"/>
  <c r="FM92" s="1"/>
  <c r="ED92"/>
  <c r="EE92"/>
  <c r="FO92" s="1"/>
  <c r="EF92"/>
  <c r="FP92" s="1"/>
  <c r="EG92"/>
  <c r="EH92"/>
  <c r="FR92" s="1"/>
  <c r="EI92"/>
  <c r="FS92" s="1"/>
  <c r="EJ92"/>
  <c r="FT92" s="1"/>
  <c r="DD92"/>
  <c r="DC92" s="1"/>
  <c r="BA92"/>
  <c r="CM92"/>
  <c r="CL92"/>
  <c r="CK92"/>
  <c r="AY92"/>
  <c r="B94"/>
  <c r="CZ91"/>
  <c r="DG91" s="1"/>
  <c r="EQ91" s="1"/>
  <c r="DD91"/>
  <c r="DE91" s="1"/>
  <c r="DC91"/>
  <c r="BA91"/>
  <c r="CM91" s="1"/>
  <c r="CL91"/>
  <c r="CK91"/>
  <c r="AY91"/>
  <c r="B90"/>
  <c r="CZ90"/>
  <c r="DF90"/>
  <c r="DG90"/>
  <c r="EQ90" s="1"/>
  <c r="DH90"/>
  <c r="DI90"/>
  <c r="ES90" s="1"/>
  <c r="DJ90"/>
  <c r="ET90" s="1"/>
  <c r="DK90"/>
  <c r="EU90" s="1"/>
  <c r="DL90"/>
  <c r="EV90" s="1"/>
  <c r="DM90"/>
  <c r="EW90" s="1"/>
  <c r="DN90"/>
  <c r="EX90" s="1"/>
  <c r="DO90"/>
  <c r="EY90" s="1"/>
  <c r="DP90"/>
  <c r="EZ90" s="1"/>
  <c r="DQ90"/>
  <c r="FA90" s="1"/>
  <c r="DR90"/>
  <c r="FB90" s="1"/>
  <c r="DS90"/>
  <c r="FC90" s="1"/>
  <c r="DT90"/>
  <c r="FD90"/>
  <c r="DU90"/>
  <c r="DV90"/>
  <c r="FF90" s="1"/>
  <c r="DW90"/>
  <c r="FG90" s="1"/>
  <c r="DX90"/>
  <c r="FH90" s="1"/>
  <c r="DY90"/>
  <c r="FI90" s="1"/>
  <c r="DZ90"/>
  <c r="FJ90"/>
  <c r="EA90"/>
  <c r="FK90" s="1"/>
  <c r="EB90"/>
  <c r="EC90"/>
  <c r="FM90" s="1"/>
  <c r="ED90"/>
  <c r="EE90"/>
  <c r="FO90" s="1"/>
  <c r="EF90"/>
  <c r="FP90" s="1"/>
  <c r="EG90"/>
  <c r="FQ90" s="1"/>
  <c r="EH90"/>
  <c r="FR90"/>
  <c r="EI90"/>
  <c r="FS90" s="1"/>
  <c r="EJ90"/>
  <c r="FT90"/>
  <c r="DD90"/>
  <c r="DC90" s="1"/>
  <c r="BA90"/>
  <c r="CM90"/>
  <c r="CL90"/>
  <c r="CK90"/>
  <c r="AY90"/>
  <c r="B88"/>
  <c r="CX89"/>
  <c r="CZ89"/>
  <c r="DN89" s="1"/>
  <c r="EX89" s="1"/>
  <c r="DO89"/>
  <c r="EY89" s="1"/>
  <c r="DQ89"/>
  <c r="FA89" s="1"/>
  <c r="DS89"/>
  <c r="FC89" s="1"/>
  <c r="DU89"/>
  <c r="DW89"/>
  <c r="DY89"/>
  <c r="FI89" s="1"/>
  <c r="EA89"/>
  <c r="FK89" s="1"/>
  <c r="EC89"/>
  <c r="FM89" s="1"/>
  <c r="EE89"/>
  <c r="FO89" s="1"/>
  <c r="EG89"/>
  <c r="FQ89" s="1"/>
  <c r="EI89"/>
  <c r="FS89" s="1"/>
  <c r="DD89"/>
  <c r="DE89"/>
  <c r="DC89"/>
  <c r="BA89"/>
  <c r="CM89" s="1"/>
  <c r="CL89"/>
  <c r="CK89"/>
  <c r="AY89"/>
  <c r="B92"/>
  <c r="CZ88"/>
  <c r="DF88"/>
  <c r="DH88"/>
  <c r="DJ88"/>
  <c r="DL88"/>
  <c r="EV88" s="1"/>
  <c r="DN88"/>
  <c r="EX88" s="1"/>
  <c r="DP88"/>
  <c r="EZ88" s="1"/>
  <c r="DR88"/>
  <c r="DT88"/>
  <c r="DV88"/>
  <c r="DX88"/>
  <c r="DZ88"/>
  <c r="EB88"/>
  <c r="ED88"/>
  <c r="EF88"/>
  <c r="EH88"/>
  <c r="EJ88"/>
  <c r="DD88"/>
  <c r="CL88"/>
  <c r="CK88"/>
  <c r="AY88"/>
  <c r="B89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EK137" l="1"/>
  <c r="FD88"/>
  <c r="DT212"/>
  <c r="EV128"/>
  <c r="FS138"/>
  <c r="FM138"/>
  <c r="FI158"/>
  <c r="DY219"/>
  <c r="FB178"/>
  <c r="EY178"/>
  <c r="EY118"/>
  <c r="EZ128"/>
  <c r="EW138"/>
  <c r="ES138"/>
  <c r="FR148"/>
  <c r="FI178"/>
  <c r="DY221"/>
  <c r="EU178"/>
  <c r="FP88"/>
  <c r="FH88"/>
  <c r="ER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EJ217"/>
  <c r="FP178"/>
  <c r="FT138"/>
  <c r="FD138"/>
  <c r="FT158"/>
  <c r="FN158"/>
  <c r="EZ178"/>
  <c r="FT88"/>
  <c r="FM98"/>
  <c r="FJ108"/>
  <c r="EX108"/>
  <c r="FK118"/>
  <c r="FI138"/>
  <c r="FF138"/>
  <c r="FM158"/>
  <c r="EY158"/>
  <c r="FJ168"/>
  <c r="FS178"/>
  <c r="FF88"/>
  <c r="FR108"/>
  <c r="FF108"/>
  <c r="FO118"/>
  <c r="FP128"/>
  <c r="FB148"/>
  <c r="ET168"/>
  <c r="FT178"/>
  <c r="FM178"/>
  <c r="FC178"/>
  <c r="FR88"/>
  <c r="FJ88"/>
  <c r="FB88"/>
  <c r="ET88"/>
  <c r="FI98"/>
  <c r="ES98"/>
  <c r="FH128"/>
  <c r="FE138"/>
  <c r="EY138"/>
  <c r="EU138"/>
  <c r="FJ148"/>
  <c r="FO158"/>
  <c r="FH158"/>
  <c r="FE158"/>
  <c r="FB158"/>
  <c r="FR178"/>
  <c r="FO178"/>
  <c r="FK178"/>
  <c r="ES178"/>
  <c r="EG217"/>
  <c r="FF178"/>
  <c r="FT108"/>
  <c r="FH108"/>
  <c r="DT214"/>
  <c r="FR138"/>
  <c r="EB217"/>
  <c r="FH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Y381"/>
  <c r="Y379"/>
  <c r="S379"/>
  <c r="S377"/>
  <c r="S375"/>
  <c r="S37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1"/>
  <c r="Z380"/>
  <c r="Z382"/>
  <c r="Z378"/>
  <c r="Z374"/>
  <c r="O376"/>
  <c r="O373"/>
  <c r="O380"/>
  <c r="J380"/>
  <c r="J374"/>
  <c r="J382"/>
  <c r="J381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FC169"/>
  <c r="FC156"/>
  <c r="FC153"/>
  <c r="EZ186"/>
  <c r="EZ177"/>
  <c r="EZ170"/>
  <c r="EZ152"/>
  <c r="EZ145"/>
  <c r="EZ131"/>
  <c r="EZ116"/>
  <c r="E477"/>
  <c r="Q372"/>
  <c r="Q382" s="1"/>
  <c r="EZ182"/>
  <c r="EZ154"/>
  <c r="EZ146"/>
  <c r="EZ137"/>
  <c r="EZ120"/>
  <c r="AK378"/>
  <c r="AK379"/>
  <c r="AK377"/>
  <c r="AK374"/>
  <c r="AF380"/>
  <c r="AF376"/>
  <c r="AF382"/>
  <c r="AB378"/>
  <c r="AB374"/>
  <c r="AB375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H482"/>
  <c r="H476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E511"/>
  <c r="H510" s="1"/>
  <c r="E501"/>
  <c r="H502" s="1"/>
  <c r="E46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Y373"/>
  <c r="Y374"/>
  <c r="O375"/>
  <c r="O377"/>
  <c r="S381"/>
  <c r="V372"/>
  <c r="V376" s="1"/>
  <c r="G372"/>
  <c r="H514"/>
  <c r="H508"/>
  <c r="E497"/>
  <c r="H498" s="1"/>
  <c r="E483"/>
  <c r="H484" s="1"/>
  <c r="W377"/>
  <c r="W376"/>
  <c r="W373"/>
  <c r="M378"/>
  <c r="M377"/>
  <c r="AJ372"/>
  <c r="FS164"/>
  <c r="FS162"/>
  <c r="FS139"/>
  <c r="FS180"/>
  <c r="FS169"/>
  <c r="FS156"/>
  <c r="FS153"/>
  <c r="AG372"/>
  <c r="AG378" s="1"/>
  <c r="FP152"/>
  <c r="FP145"/>
  <c r="FP143"/>
  <c r="FP131"/>
  <c r="FP116"/>
  <c r="E509"/>
  <c r="FP157"/>
  <c r="FP154"/>
  <c r="FP146"/>
  <c r="FP137"/>
  <c r="FP120"/>
  <c r="K372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Z373"/>
  <c r="O379"/>
  <c r="S380"/>
  <c r="AH372"/>
  <c r="AC372"/>
  <c r="H500"/>
  <c r="H490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EX98" s="1"/>
  <c r="DP98"/>
  <c r="EZ98" s="1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EY98" s="1"/>
  <c r="DK98"/>
  <c r="EU98" s="1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6"/>
  <c r="H494"/>
  <c r="H464"/>
  <c r="H462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F219" s="1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81"/>
  <c r="AJ377"/>
  <c r="AJ373"/>
  <c r="AJ382"/>
  <c r="AJ380"/>
  <c r="AJ378"/>
  <c r="AJ379"/>
  <c r="AJ374"/>
  <c r="AG382"/>
  <c r="AG380"/>
  <c r="AG377"/>
  <c r="AG375"/>
  <c r="AG373"/>
  <c r="AA382"/>
  <c r="AA377"/>
  <c r="AA375"/>
  <c r="AA379"/>
  <c r="AA376"/>
  <c r="U382"/>
  <c r="U380"/>
  <c r="U376"/>
  <c r="U375"/>
  <c r="U373"/>
  <c r="U381"/>
  <c r="U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V381"/>
  <c r="V374"/>
  <c r="L381"/>
  <c r="L377"/>
  <c r="L373"/>
  <c r="L382"/>
  <c r="L379"/>
  <c r="L375"/>
  <c r="L374"/>
  <c r="L380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2"/>
  <c r="M380"/>
  <c r="M376"/>
  <c r="M381"/>
  <c r="M374"/>
  <c r="M373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82"/>
  <c r="AI378"/>
  <c r="AI374"/>
  <c r="AI376"/>
  <c r="AI373"/>
  <c r="AD379"/>
  <c r="AD375"/>
  <c r="AD378"/>
  <c r="AD376"/>
  <c r="AD377"/>
  <c r="AD374"/>
  <c r="AD373"/>
  <c r="X381"/>
  <c r="X374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82"/>
  <c r="AK380"/>
  <c r="AK376"/>
  <c r="AK375"/>
  <c r="AK373"/>
  <c r="AB381"/>
  <c r="AB377"/>
  <c r="AB373"/>
  <c r="AB382"/>
  <c r="AB379"/>
  <c r="Y382"/>
  <c r="Y380"/>
  <c r="Y376"/>
  <c r="Y378"/>
  <c r="S382"/>
  <c r="S378"/>
  <c r="S374"/>
  <c r="S376"/>
  <c r="N379"/>
  <c r="N375"/>
  <c r="N378"/>
  <c r="N376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Q374"/>
  <c r="AC378"/>
  <c r="AH28"/>
  <c r="AH44" s="1"/>
  <c r="AD28"/>
  <c r="AD44" s="1"/>
  <c r="Z28"/>
  <c r="Z44" s="1"/>
  <c r="V28"/>
  <c r="V44" s="1"/>
  <c r="R28"/>
  <c r="R44" s="1"/>
  <c r="N28"/>
  <c r="N44" s="1"/>
  <c r="J28"/>
  <c r="CM128"/>
  <c r="AF381"/>
  <c r="AF377"/>
  <c r="AF373"/>
  <c r="AF375"/>
  <c r="AC382"/>
  <c r="AC380"/>
  <c r="AC376"/>
  <c r="AC381"/>
  <c r="AC374"/>
  <c r="T381"/>
  <c r="T377"/>
  <c r="T380"/>
  <c r="T378"/>
  <c r="Q376"/>
  <c r="Q379"/>
  <c r="K378"/>
  <c r="H512"/>
  <c r="H480"/>
  <c r="H478"/>
  <c r="H472"/>
  <c r="H470"/>
  <c r="AH379"/>
  <c r="AH375"/>
  <c r="AE382"/>
  <c r="AE378"/>
  <c r="AE374"/>
  <c r="Z379"/>
  <c r="Z375"/>
  <c r="W382"/>
  <c r="W378"/>
  <c r="W374"/>
  <c r="O382"/>
  <c r="O378"/>
  <c r="O374"/>
  <c r="J379"/>
  <c r="J375"/>
  <c r="G382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G459" s="1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R424" l="1"/>
  <c r="R442" s="1"/>
  <c r="K426"/>
  <c r="K444" s="1"/>
  <c r="R426"/>
  <c r="R444" s="1"/>
  <c r="V428"/>
  <c r="V446" s="1"/>
  <c r="Z430"/>
  <c r="Z448" s="1"/>
  <c r="K424"/>
  <c r="K442" s="1"/>
  <c r="AC423"/>
  <c r="AC441" s="1"/>
  <c r="AA423"/>
  <c r="AA441" s="1"/>
  <c r="L423"/>
  <c r="L441" s="1"/>
  <c r="V429"/>
  <c r="V447" s="1"/>
  <c r="W61"/>
  <c r="W432"/>
  <c r="W450" s="1"/>
  <c r="J423"/>
  <c r="J441" s="1"/>
  <c r="AG423"/>
  <c r="AG441" s="1"/>
  <c r="AI61"/>
  <c r="AI432"/>
  <c r="AI450" s="1"/>
  <c r="AG424"/>
  <c r="AG442" s="1"/>
  <c r="AI425"/>
  <c r="AI443" s="1"/>
  <c r="AK426"/>
  <c r="AK444" s="1"/>
  <c r="Y427"/>
  <c r="Y445" s="1"/>
  <c r="AK428"/>
  <c r="AK446" s="1"/>
  <c r="AB429"/>
  <c r="AB447" s="1"/>
  <c r="AE428"/>
  <c r="AE446" s="1"/>
  <c r="M429"/>
  <c r="M447" s="1"/>
  <c r="P429"/>
  <c r="P447" s="1"/>
  <c r="S430"/>
  <c r="S448" s="1"/>
  <c r="Y430"/>
  <c r="Y448" s="1"/>
  <c r="Q430"/>
  <c r="Q448" s="1"/>
  <c r="U431"/>
  <c r="U449" s="1"/>
  <c r="O431"/>
  <c r="O449" s="1"/>
  <c r="Q424"/>
  <c r="Q442" s="1"/>
  <c r="P424"/>
  <c r="P442" s="1"/>
  <c r="AF424"/>
  <c r="AF442" s="1"/>
  <c r="Y425"/>
  <c r="Y443" s="1"/>
  <c r="I430"/>
  <c r="I448" s="1"/>
  <c r="AJ425"/>
  <c r="AJ443" s="1"/>
  <c r="O425"/>
  <c r="O443" s="1"/>
  <c r="X430"/>
  <c r="X448" s="1"/>
  <c r="AD424"/>
  <c r="AD442" s="1"/>
  <c r="W426"/>
  <c r="W444" s="1"/>
  <c r="N426"/>
  <c r="N444" s="1"/>
  <c r="R428"/>
  <c r="R446" s="1"/>
  <c r="V425"/>
  <c r="V443" s="1"/>
  <c r="V430"/>
  <c r="V448" s="1"/>
  <c r="AB423"/>
  <c r="AB441" s="1"/>
  <c r="H423"/>
  <c r="H441" s="1"/>
  <c r="AH431"/>
  <c r="AH449" s="1"/>
  <c r="N429"/>
  <c r="N447" s="1"/>
  <c r="V431"/>
  <c r="V449" s="1"/>
  <c r="N423"/>
  <c r="N441" s="1"/>
  <c r="M423"/>
  <c r="M441" s="1"/>
  <c r="T432"/>
  <c r="T450" s="1"/>
  <c r="Q425"/>
  <c r="Q443" s="1"/>
  <c r="AB425"/>
  <c r="AB443" s="1"/>
  <c r="Q426"/>
  <c r="Q444" s="1"/>
  <c r="H427"/>
  <c r="H445" s="1"/>
  <c r="AK427"/>
  <c r="AK445" s="1"/>
  <c r="AI427"/>
  <c r="AI445" s="1"/>
  <c r="AC428"/>
  <c r="AC446" s="1"/>
  <c r="P428"/>
  <c r="P446" s="1"/>
  <c r="AA428"/>
  <c r="AA446" s="1"/>
  <c r="S429"/>
  <c r="S447" s="1"/>
  <c r="O430"/>
  <c r="O448" s="1"/>
  <c r="AI430"/>
  <c r="AI448" s="1"/>
  <c r="M430"/>
  <c r="M448" s="1"/>
  <c r="Q431"/>
  <c r="Q449" s="1"/>
  <c r="K431"/>
  <c r="K449" s="1"/>
  <c r="AI431"/>
  <c r="AI449" s="1"/>
  <c r="L424"/>
  <c r="L442" s="1"/>
  <c r="K425"/>
  <c r="K443" s="1"/>
  <c r="AK425"/>
  <c r="AK443" s="1"/>
  <c r="AJ427"/>
  <c r="AJ445" s="1"/>
  <c r="AF430"/>
  <c r="AF448" s="1"/>
  <c r="AK423"/>
  <c r="AK441" s="1"/>
  <c r="X426"/>
  <c r="X444" s="1"/>
  <c r="P430"/>
  <c r="P448" s="1"/>
  <c r="J424"/>
  <c r="J442" s="1"/>
  <c r="Z424"/>
  <c r="Z442" s="1"/>
  <c r="V424"/>
  <c r="V442" s="1"/>
  <c r="O426"/>
  <c r="O444" s="1"/>
  <c r="AE426"/>
  <c r="AE444" s="1"/>
  <c r="V426"/>
  <c r="V444" s="1"/>
  <c r="Z428"/>
  <c r="Z446" s="1"/>
  <c r="R425"/>
  <c r="R443" s="1"/>
  <c r="Z425"/>
  <c r="Z443" s="1"/>
  <c r="AH425"/>
  <c r="AH443" s="1"/>
  <c r="N430"/>
  <c r="N448" s="1"/>
  <c r="AD430"/>
  <c r="AD448" s="1"/>
  <c r="O424"/>
  <c r="O442" s="1"/>
  <c r="AE424"/>
  <c r="AE442" s="1"/>
  <c r="I61"/>
  <c r="I432"/>
  <c r="I450" s="1"/>
  <c r="R429"/>
  <c r="R447" s="1"/>
  <c r="R431"/>
  <c r="R449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X423"/>
  <c r="X441" s="1"/>
  <c r="V423"/>
  <c r="V441" s="1"/>
  <c r="L432"/>
  <c r="L450" s="1"/>
  <c r="U423"/>
  <c r="U441" s="1"/>
  <c r="AK61"/>
  <c r="AK432"/>
  <c r="AK450" s="1"/>
  <c r="Y424"/>
  <c r="Y442" s="1"/>
  <c r="M424"/>
  <c r="M442" s="1"/>
  <c r="H425"/>
  <c r="H443" s="1"/>
  <c r="S425"/>
  <c r="S443" s="1"/>
  <c r="I426"/>
  <c r="I444" s="1"/>
  <c r="Y426"/>
  <c r="Y444" s="1"/>
  <c r="X427"/>
  <c r="X445" s="1"/>
  <c r="I427"/>
  <c r="I445" s="1"/>
  <c r="AC427"/>
  <c r="AC445" s="1"/>
  <c r="O427"/>
  <c r="O445" s="1"/>
  <c r="AA427"/>
  <c r="AA445" s="1"/>
  <c r="Q428"/>
  <c r="Q446" s="1"/>
  <c r="L429"/>
  <c r="L447" s="1"/>
  <c r="T429"/>
  <c r="T447" s="1"/>
  <c r="S428"/>
  <c r="S446" s="1"/>
  <c r="AI428"/>
  <c r="AI446" s="1"/>
  <c r="K429"/>
  <c r="K447" s="1"/>
  <c r="AA429"/>
  <c r="AA447" s="1"/>
  <c r="Q429"/>
  <c r="Q447" s="1"/>
  <c r="AG429"/>
  <c r="AG447" s="1"/>
  <c r="AF429"/>
  <c r="AF447" s="1"/>
  <c r="W430"/>
  <c r="W448" s="1"/>
  <c r="AC430"/>
  <c r="AC448" s="1"/>
  <c r="AB430"/>
  <c r="AB448" s="1"/>
  <c r="U430"/>
  <c r="U448" s="1"/>
  <c r="I431"/>
  <c r="I449" s="1"/>
  <c r="AC431"/>
  <c r="AC449" s="1"/>
  <c r="AF431"/>
  <c r="AF449" s="1"/>
  <c r="W431"/>
  <c r="W449" s="1"/>
  <c r="S431"/>
  <c r="S449" s="1"/>
  <c r="L428"/>
  <c r="L446" s="1"/>
  <c r="AJ428"/>
  <c r="AJ446" s="1"/>
  <c r="T424"/>
  <c r="T442" s="1"/>
  <c r="AJ424"/>
  <c r="AJ442" s="1"/>
  <c r="I425"/>
  <c r="I443" s="1"/>
  <c r="AC425"/>
  <c r="AC443" s="1"/>
  <c r="L426"/>
  <c r="L444" s="1"/>
  <c r="AB427"/>
  <c r="AB445" s="1"/>
  <c r="Y431"/>
  <c r="Y449" s="1"/>
  <c r="AH423"/>
  <c r="AH441" s="1"/>
  <c r="L425"/>
  <c r="L443" s="1"/>
  <c r="H426"/>
  <c r="H444" s="1"/>
  <c r="AE429"/>
  <c r="AE447" s="1"/>
  <c r="AJ430"/>
  <c r="AJ448" s="1"/>
  <c r="AH424"/>
  <c r="AH442" s="1"/>
  <c r="AA426"/>
  <c r="AA444" s="1"/>
  <c r="AH426"/>
  <c r="AH444" s="1"/>
  <c r="AA424"/>
  <c r="AA442" s="1"/>
  <c r="K423"/>
  <c r="K441" s="1"/>
  <c r="U424"/>
  <c r="U442" s="1"/>
  <c r="R427"/>
  <c r="R445" s="1"/>
  <c r="AD431"/>
  <c r="AD449" s="1"/>
  <c r="R423"/>
  <c r="R441" s="1"/>
  <c r="Q432"/>
  <c r="Q450" s="1"/>
  <c r="X432"/>
  <c r="X450" s="1"/>
  <c r="I424"/>
  <c r="I442" s="1"/>
  <c r="G425"/>
  <c r="G443" s="1"/>
  <c r="U426"/>
  <c r="U444" s="1"/>
  <c r="AF427"/>
  <c r="AF445" s="1"/>
  <c r="T427"/>
  <c r="T445" s="1"/>
  <c r="W427"/>
  <c r="W445" s="1"/>
  <c r="I428"/>
  <c r="I446" s="1"/>
  <c r="H429"/>
  <c r="H447" s="1"/>
  <c r="O428"/>
  <c r="O446" s="1"/>
  <c r="G429"/>
  <c r="G447" s="1"/>
  <c r="W429"/>
  <c r="W447" s="1"/>
  <c r="AC429"/>
  <c r="AC447" s="1"/>
  <c r="T430"/>
  <c r="T448" s="1"/>
  <c r="AJ431"/>
  <c r="AJ449" s="1"/>
  <c r="T431"/>
  <c r="T449" s="1"/>
  <c r="G431"/>
  <c r="G449" s="1"/>
  <c r="AB428"/>
  <c r="AB446" s="1"/>
  <c r="AJ426"/>
  <c r="AJ444" s="1"/>
  <c r="AD427"/>
  <c r="AD445" s="1"/>
  <c r="H424"/>
  <c r="H442" s="1"/>
  <c r="AF426"/>
  <c r="AF444" s="1"/>
  <c r="N424"/>
  <c r="N442" s="1"/>
  <c r="AD426"/>
  <c r="AD444" s="1"/>
  <c r="AH428"/>
  <c r="AH446" s="1"/>
  <c r="N425"/>
  <c r="N443" s="1"/>
  <c r="AD425"/>
  <c r="AD443" s="1"/>
  <c r="AJ423"/>
  <c r="AJ441" s="1"/>
  <c r="W424"/>
  <c r="W442" s="1"/>
  <c r="V427"/>
  <c r="V445" s="1"/>
  <c r="AH429"/>
  <c r="AH447" s="1"/>
  <c r="W423"/>
  <c r="W441" s="1"/>
  <c r="T423"/>
  <c r="T441" s="1"/>
  <c r="J427"/>
  <c r="J445" s="1"/>
  <c r="S61"/>
  <c r="S432"/>
  <c r="S450" s="1"/>
  <c r="AD423"/>
  <c r="AD441" s="1"/>
  <c r="AC432"/>
  <c r="AC450" s="1"/>
  <c r="AA432"/>
  <c r="AA450" s="1"/>
  <c r="AC424"/>
  <c r="AC442" s="1"/>
  <c r="AE425"/>
  <c r="AE443" s="1"/>
  <c r="AG426"/>
  <c r="AG444" s="1"/>
  <c r="Q427"/>
  <c r="Q445" s="1"/>
  <c r="S427"/>
  <c r="S445" s="1"/>
  <c r="X429"/>
  <c r="X447" s="1"/>
  <c r="AF428"/>
  <c r="AF446" s="1"/>
  <c r="K428"/>
  <c r="K446" s="1"/>
  <c r="U428"/>
  <c r="U446" s="1"/>
  <c r="I429"/>
  <c r="I447" s="1"/>
  <c r="Y429"/>
  <c r="Y447" s="1"/>
  <c r="H430"/>
  <c r="H448" s="1"/>
  <c r="AK430"/>
  <c r="AK448" s="1"/>
  <c r="P431"/>
  <c r="P449" s="1"/>
  <c r="H431"/>
  <c r="H449" s="1"/>
  <c r="X428"/>
  <c r="X446" s="1"/>
  <c r="AB424"/>
  <c r="AB442" s="1"/>
  <c r="U425"/>
  <c r="U443" s="1"/>
  <c r="AB426"/>
  <c r="AB444" s="1"/>
  <c r="AF425"/>
  <c r="AF443" s="1"/>
  <c r="S426"/>
  <c r="S444" s="1"/>
  <c r="AI426"/>
  <c r="AI444" s="1"/>
  <c r="J426"/>
  <c r="J444" s="1"/>
  <c r="Z426"/>
  <c r="Z444" s="1"/>
  <c r="N428"/>
  <c r="N446" s="1"/>
  <c r="AD428"/>
  <c r="AD446" s="1"/>
  <c r="R430"/>
  <c r="R448" s="1"/>
  <c r="AH430"/>
  <c r="AH448" s="1"/>
  <c r="AF423"/>
  <c r="AF441" s="1"/>
  <c r="S424"/>
  <c r="S442" s="1"/>
  <c r="AI424"/>
  <c r="AI442" s="1"/>
  <c r="N427"/>
  <c r="N445" s="1"/>
  <c r="Z429"/>
  <c r="Z447" s="1"/>
  <c r="Z431"/>
  <c r="Z449" s="1"/>
  <c r="S423"/>
  <c r="S441" s="1"/>
  <c r="AI423"/>
  <c r="AI441" s="1"/>
  <c r="M61"/>
  <c r="M432"/>
  <c r="M450" s="1"/>
  <c r="AK424"/>
  <c r="AK442" s="1"/>
  <c r="AH427"/>
  <c r="AH445" s="1"/>
  <c r="N431"/>
  <c r="N449" s="1"/>
  <c r="K432"/>
  <c r="K450" s="1"/>
  <c r="AG432"/>
  <c r="AG450" s="1"/>
  <c r="Z423"/>
  <c r="Z441" s="1"/>
  <c r="I423"/>
  <c r="I441" s="1"/>
  <c r="Y432"/>
  <c r="Y450" s="1"/>
  <c r="H432"/>
  <c r="H450" s="1"/>
  <c r="O432"/>
  <c r="O450" s="1"/>
  <c r="U61"/>
  <c r="U432"/>
  <c r="U450" s="1"/>
  <c r="P425"/>
  <c r="P443" s="1"/>
  <c r="AA425"/>
  <c r="AA443" s="1"/>
  <c r="M426"/>
  <c r="M444" s="1"/>
  <c r="AC426"/>
  <c r="AC444" s="1"/>
  <c r="M427"/>
  <c r="M445" s="1"/>
  <c r="AG427"/>
  <c r="AG445" s="1"/>
  <c r="K427"/>
  <c r="K445" s="1"/>
  <c r="AE427"/>
  <c r="AE445" s="1"/>
  <c r="Y428"/>
  <c r="Y446" s="1"/>
  <c r="H428"/>
  <c r="H446" s="1"/>
  <c r="AJ429"/>
  <c r="AJ447" s="1"/>
  <c r="AG428"/>
  <c r="AG446" s="1"/>
  <c r="W428"/>
  <c r="W446" s="1"/>
  <c r="M428"/>
  <c r="M446" s="1"/>
  <c r="O429"/>
  <c r="O447" s="1"/>
  <c r="AI429"/>
  <c r="AI447" s="1"/>
  <c r="U429"/>
  <c r="U447" s="1"/>
  <c r="AK429"/>
  <c r="AK447" s="1"/>
  <c r="AE430"/>
  <c r="AE448" s="1"/>
  <c r="K430"/>
  <c r="K448" s="1"/>
  <c r="AA430"/>
  <c r="AA448" s="1"/>
  <c r="AG430"/>
  <c r="AG448" s="1"/>
  <c r="X431"/>
  <c r="X449" s="1"/>
  <c r="L431"/>
  <c r="L449" s="1"/>
  <c r="M431"/>
  <c r="M449" s="1"/>
  <c r="AG431"/>
  <c r="AG449" s="1"/>
  <c r="AB431"/>
  <c r="AB449" s="1"/>
  <c r="AE431"/>
  <c r="AE449" s="1"/>
  <c r="AA431"/>
  <c r="AA449" s="1"/>
  <c r="T428"/>
  <c r="T446" s="1"/>
  <c r="P427"/>
  <c r="P445" s="1"/>
  <c r="X424"/>
  <c r="X442" s="1"/>
  <c r="T425"/>
  <c r="T443" s="1"/>
  <c r="M425"/>
  <c r="M443" s="1"/>
  <c r="AG425"/>
  <c r="AG443" s="1"/>
  <c r="T426"/>
  <c r="T444" s="1"/>
  <c r="L427"/>
  <c r="L445" s="1"/>
  <c r="U427"/>
  <c r="U445" s="1"/>
  <c r="X425"/>
  <c r="X443" s="1"/>
  <c r="Q423"/>
  <c r="Q441" s="1"/>
  <c r="P426"/>
  <c r="P444" s="1"/>
  <c r="L430"/>
  <c r="L448" s="1"/>
  <c r="AK431"/>
  <c r="AK449" s="1"/>
  <c r="DF212"/>
  <c r="DF217"/>
  <c r="DF214"/>
  <c r="EK171"/>
  <c r="DF221"/>
  <c r="EK156"/>
  <c r="DF216"/>
  <c r="FU131"/>
  <c r="EY108"/>
  <c r="FU108" s="1"/>
  <c r="FB168"/>
  <c r="DR220"/>
  <c r="FQ168"/>
  <c r="EG220"/>
  <c r="FF118"/>
  <c r="DV215"/>
  <c r="FJ128"/>
  <c r="DZ216"/>
  <c r="FS98"/>
  <c r="EI213"/>
  <c r="FH148"/>
  <c r="DX218"/>
  <c r="FM148"/>
  <c r="EC218"/>
  <c r="FE148"/>
  <c r="DU218"/>
  <c r="FS88"/>
  <c r="EI212"/>
  <c r="FG128"/>
  <c r="DW216"/>
  <c r="EY128"/>
  <c r="FR98"/>
  <c r="EH213"/>
  <c r="FB98"/>
  <c r="DR213"/>
  <c r="FR168"/>
  <c r="EH220"/>
  <c r="FT168"/>
  <c r="EJ220"/>
  <c r="FK168"/>
  <c r="EA220"/>
  <c r="FH118"/>
  <c r="DX215"/>
  <c r="FO148"/>
  <c r="EE218"/>
  <c r="EY148"/>
  <c r="FM88"/>
  <c r="EC212"/>
  <c r="FE88"/>
  <c r="DU212"/>
  <c r="FQ128"/>
  <c r="EG216"/>
  <c r="FA128"/>
  <c r="DQ216"/>
  <c r="FL98"/>
  <c r="EB213"/>
  <c r="FA108"/>
  <c r="DQ214"/>
  <c r="FI108"/>
  <c r="DY214"/>
  <c r="FQ108"/>
  <c r="EG214"/>
  <c r="FH168"/>
  <c r="DX220"/>
  <c r="FD168"/>
  <c r="DT220"/>
  <c r="FO168"/>
  <c r="EE220"/>
  <c r="FG168"/>
  <c r="DW220"/>
  <c r="EY168"/>
  <c r="EQ168"/>
  <c r="FT118"/>
  <c r="EJ215"/>
  <c r="FL118"/>
  <c r="EB215"/>
  <c r="FD118"/>
  <c r="DT215"/>
  <c r="EX128"/>
  <c r="FN128"/>
  <c r="ED216"/>
  <c r="FA118"/>
  <c r="DQ215"/>
  <c r="FQ118"/>
  <c r="EG215"/>
  <c r="EQ98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FM128"/>
  <c r="EC216"/>
  <c r="FE128"/>
  <c r="DU216"/>
  <c r="EW128"/>
  <c r="FP98"/>
  <c r="EF213"/>
  <c r="FH98"/>
  <c r="DX213"/>
  <c r="ER98"/>
  <c r="EB219"/>
  <c r="DZ219"/>
  <c r="DQ219"/>
  <c r="EJ219"/>
  <c r="EF221"/>
  <c r="EJ216"/>
  <c r="EI215"/>
  <c r="ED214"/>
  <c r="EF212"/>
  <c r="FU92"/>
  <c r="DF215"/>
  <c r="DW217"/>
  <c r="EI219"/>
  <c r="EE221"/>
  <c r="DX219"/>
  <c r="DR212"/>
  <c r="EC221"/>
  <c r="EF216"/>
  <c r="DV212"/>
  <c r="DY217"/>
  <c r="FU162"/>
  <c r="EF220"/>
  <c r="EF217"/>
  <c r="EG219"/>
  <c r="EB221"/>
  <c r="EA221"/>
  <c r="EH221"/>
  <c r="DU219"/>
  <c r="EE219"/>
  <c r="DU217"/>
  <c r="DZ212"/>
  <c r="DS221"/>
  <c r="EJ221"/>
  <c r="DR218"/>
  <c r="EE215"/>
  <c r="EH214"/>
  <c r="EI221"/>
  <c r="DV217"/>
  <c r="EA215"/>
  <c r="DZ214"/>
  <c r="EJ212"/>
  <c r="ED221"/>
  <c r="DW219"/>
  <c r="DX217"/>
  <c r="DX214"/>
  <c r="DT217"/>
  <c r="EB214"/>
  <c r="FG108"/>
  <c r="DW214"/>
  <c r="FO108"/>
  <c r="EE214"/>
  <c r="FF168"/>
  <c r="DV220"/>
  <c r="FL168"/>
  <c r="EB220"/>
  <c r="FI168"/>
  <c r="DY220"/>
  <c r="FA168"/>
  <c r="DQ220"/>
  <c r="FN118"/>
  <c r="ED215"/>
  <c r="EX118"/>
  <c r="ET128"/>
  <c r="FM118"/>
  <c r="EC215"/>
  <c r="FC98"/>
  <c r="DS213"/>
  <c r="FK88"/>
  <c r="EA212"/>
  <c r="FC88"/>
  <c r="DS212"/>
  <c r="FO128"/>
  <c r="EE216"/>
  <c r="FJ98"/>
  <c r="DZ213"/>
  <c r="ET98"/>
  <c r="FE108"/>
  <c r="DU214"/>
  <c r="FM108"/>
  <c r="EC214"/>
  <c r="FN168"/>
  <c r="ED220"/>
  <c r="FS168"/>
  <c r="EI220"/>
  <c r="FC168"/>
  <c r="DS220"/>
  <c r="FP118"/>
  <c r="EF215"/>
  <c r="EZ118"/>
  <c r="FF128"/>
  <c r="DV216"/>
  <c r="FI118"/>
  <c r="DY215"/>
  <c r="FO98"/>
  <c r="EE213"/>
  <c r="FL148"/>
  <c r="EB218"/>
  <c r="FG148"/>
  <c r="DW218"/>
  <c r="FI128"/>
  <c r="DY216"/>
  <c r="ES128"/>
  <c r="FT98"/>
  <c r="EJ213"/>
  <c r="FD98"/>
  <c r="DT213"/>
  <c r="EW178"/>
  <c r="FU178" s="1"/>
  <c r="FC108"/>
  <c r="DS214"/>
  <c r="FK108"/>
  <c r="EA214"/>
  <c r="FS108"/>
  <c r="EI214"/>
  <c r="ER168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FQ148"/>
  <c r="EG218"/>
  <c r="FI148"/>
  <c r="DY218"/>
  <c r="FA148"/>
  <c r="DQ218"/>
  <c r="FO88"/>
  <c r="EE212"/>
  <c r="FG88"/>
  <c r="DW212"/>
  <c r="EQ88"/>
  <c r="FS128"/>
  <c r="EI216"/>
  <c r="FK128"/>
  <c r="EA216"/>
  <c r="FC128"/>
  <c r="DS216"/>
  <c r="EU128"/>
  <c r="FN98"/>
  <c r="ED213"/>
  <c r="FF98"/>
  <c r="DV213"/>
  <c r="DX221"/>
  <c r="DW221"/>
  <c r="DS215"/>
  <c r="ED218"/>
  <c r="DT221"/>
  <c r="EA219"/>
  <c r="EE217"/>
  <c r="EI217"/>
  <c r="FU137"/>
  <c r="FU170"/>
  <c r="FU173"/>
  <c r="DU221"/>
  <c r="DW215"/>
  <c r="DT219"/>
  <c r="DR219"/>
  <c r="DZ218"/>
  <c r="DX216"/>
  <c r="DY213"/>
  <c r="EH212"/>
  <c r="DV214"/>
  <c r="DZ220"/>
  <c r="EC219"/>
  <c r="EC213"/>
  <c r="EH219"/>
  <c r="DR217"/>
  <c r="ED219"/>
  <c r="ED217"/>
  <c r="DV221"/>
  <c r="EF219"/>
  <c r="EB212"/>
  <c r="FU125"/>
  <c r="FU106"/>
  <c r="FU102"/>
  <c r="DF220"/>
  <c r="DF218"/>
  <c r="DF213"/>
  <c r="FU147"/>
  <c r="FU129"/>
  <c r="FU158"/>
  <c r="DQ221"/>
  <c r="EF214"/>
  <c r="DQ217"/>
  <c r="EG213"/>
  <c r="DV219"/>
  <c r="EB216"/>
  <c r="EG221"/>
  <c r="EH217"/>
  <c r="EJ214"/>
  <c r="DZ217"/>
  <c r="ED212"/>
  <c r="DS219"/>
  <c r="DS217"/>
  <c r="DZ221"/>
  <c r="DV218"/>
  <c r="EA217"/>
  <c r="DT216"/>
  <c r="DR214"/>
  <c r="DU213"/>
  <c r="DX212"/>
  <c r="EH218"/>
  <c r="DR221"/>
  <c r="EC217"/>
  <c r="EW118"/>
  <c r="ET118"/>
  <c r="FA91"/>
  <c r="EU91"/>
  <c r="EV123"/>
  <c r="EU123"/>
  <c r="ET155"/>
  <c r="ES155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EW175"/>
  <c r="EU175"/>
  <c r="FU165"/>
  <c r="EV153"/>
  <c r="EW154"/>
  <c r="EU154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I500" s="1"/>
  <c r="J500" s="1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I504" s="1"/>
  <c r="J504" s="1"/>
  <c r="G503"/>
  <c r="F495"/>
  <c r="I496" s="1"/>
  <c r="J496" s="1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I476" s="1"/>
  <c r="J476" s="1"/>
  <c r="G475"/>
  <c r="F459"/>
  <c r="I460" s="1"/>
  <c r="J460" s="1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FU153" s="1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I490" s="1"/>
  <c r="J490" s="1"/>
  <c r="G481"/>
  <c r="F481"/>
  <c r="I482" s="1"/>
  <c r="J482" s="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29" l="1"/>
  <c r="C429" s="1"/>
  <c r="J431"/>
  <c r="J449" s="1"/>
  <c r="C449" s="1"/>
  <c r="Y11"/>
  <c r="AD9"/>
  <c r="Z9"/>
  <c r="X11"/>
  <c r="FU88"/>
  <c r="FU154"/>
  <c r="AD13"/>
  <c r="DG229"/>
  <c r="DG234"/>
  <c r="FU98"/>
  <c r="AC5" s="1"/>
  <c r="FU168"/>
  <c r="FU148"/>
  <c r="FU116"/>
  <c r="AE6" s="1"/>
  <c r="DG232"/>
  <c r="FU128"/>
  <c r="AD8" s="1"/>
  <c r="DG226"/>
  <c r="DG233"/>
  <c r="FU118"/>
  <c r="DG228"/>
  <c r="FU91"/>
  <c r="DG225"/>
  <c r="FU123"/>
  <c r="FU155"/>
  <c r="DG231"/>
  <c r="DG227"/>
  <c r="I546"/>
  <c r="D43"/>
  <c r="E43" s="1"/>
  <c r="E41"/>
  <c r="D377"/>
  <c r="E377" s="1"/>
  <c r="K470"/>
  <c r="K492"/>
  <c r="I458"/>
  <c r="J458" s="1"/>
  <c r="K458" s="1"/>
  <c r="D376"/>
  <c r="E376" s="1"/>
  <c r="D380"/>
  <c r="E380" s="1"/>
  <c r="D378"/>
  <c r="E378" s="1"/>
  <c r="D373"/>
  <c r="E373" s="1"/>
  <c r="D381"/>
  <c r="E381" s="1"/>
  <c r="F395" s="1"/>
  <c r="F381" s="1"/>
  <c r="E59" s="1"/>
  <c r="D382"/>
  <c r="E382" s="1"/>
  <c r="D379"/>
  <c r="E379" s="1"/>
  <c r="F393" s="1"/>
  <c r="F379" s="1"/>
  <c r="E57" s="1"/>
  <c r="K482"/>
  <c r="K514"/>
  <c r="K502"/>
  <c r="D375"/>
  <c r="E375" s="1"/>
  <c r="D32"/>
  <c r="AN15" s="1"/>
  <c r="K510"/>
  <c r="D45"/>
  <c r="E45" s="1"/>
  <c r="FU175"/>
  <c r="AD11"/>
  <c r="AC11"/>
  <c r="K472"/>
  <c r="C427"/>
  <c r="G445"/>
  <c r="C445" s="1"/>
  <c r="K494"/>
  <c r="K498"/>
  <c r="AC9"/>
  <c r="I486"/>
  <c r="J486" s="1"/>
  <c r="K486" s="1"/>
  <c r="K518"/>
  <c r="AE13"/>
  <c r="D374"/>
  <c r="E374" s="1"/>
  <c r="K504"/>
  <c r="K462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K512"/>
  <c r="G520"/>
  <c r="AR15" s="1"/>
  <c r="X9"/>
  <c r="Z11"/>
  <c r="K476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AE8"/>
  <c r="AC6"/>
  <c r="Y4"/>
  <c r="Z4"/>
  <c r="X4"/>
  <c r="Z7"/>
  <c r="X7"/>
  <c r="Y7"/>
  <c r="J61"/>
  <c r="D61" s="1"/>
  <c r="D46"/>
  <c r="E46" s="1"/>
  <c r="D406"/>
  <c r="K464"/>
  <c r="K466"/>
  <c r="Y9"/>
  <c r="K484"/>
  <c r="K496"/>
  <c r="K474"/>
  <c r="K490"/>
  <c r="K506"/>
  <c r="K478"/>
  <c r="K480"/>
  <c r="K468"/>
  <c r="K500"/>
  <c r="C431" l="1"/>
  <c r="F390"/>
  <c r="F376" s="1"/>
  <c r="E54" s="1"/>
  <c r="AF54" s="1"/>
  <c r="J447"/>
  <c r="C447" s="1"/>
  <c r="F394"/>
  <c r="F380" s="1"/>
  <c r="E58" s="1"/>
  <c r="U58" s="1"/>
  <c r="DH235"/>
  <c r="AD6"/>
  <c r="AF6" s="1"/>
  <c r="AE7"/>
  <c r="DH230"/>
  <c r="AA11"/>
  <c r="DH232"/>
  <c r="AC4"/>
  <c r="DH229"/>
  <c r="AA9"/>
  <c r="AE5"/>
  <c r="AD5"/>
  <c r="AE10"/>
  <c r="AF9"/>
  <c r="DH234"/>
  <c r="AC8"/>
  <c r="AA13"/>
  <c r="AF13"/>
  <c r="AC12"/>
  <c r="DH226"/>
  <c r="DH233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E52" s="1"/>
  <c r="AA7"/>
  <c r="AF8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H54" l="1"/>
  <c r="V54"/>
  <c r="K54"/>
  <c r="N54"/>
  <c r="L54"/>
  <c r="U54"/>
  <c r="AD54"/>
  <c r="P54"/>
  <c r="AC54"/>
  <c r="AH54"/>
  <c r="Y54"/>
  <c r="R54"/>
  <c r="S54"/>
  <c r="T54"/>
  <c r="Z54"/>
  <c r="M54"/>
  <c r="O54"/>
  <c r="I54"/>
  <c r="G54"/>
  <c r="AK54"/>
  <c r="AE54"/>
  <c r="Q54"/>
  <c r="AG54"/>
  <c r="AB54"/>
  <c r="J54"/>
  <c r="X54"/>
  <c r="AI54"/>
  <c r="AJ54"/>
  <c r="AA54"/>
  <c r="W54"/>
  <c r="V58"/>
  <c r="T58"/>
  <c r="G58"/>
  <c r="H58"/>
  <c r="O58"/>
  <c r="P58"/>
  <c r="W58"/>
  <c r="R58"/>
  <c r="J58"/>
  <c r="AH58"/>
  <c r="I58"/>
  <c r="AI58"/>
  <c r="Q58"/>
  <c r="AA58"/>
  <c r="AC58"/>
  <c r="L58"/>
  <c r="X58"/>
  <c r="S58"/>
  <c r="K58"/>
  <c r="AK58"/>
  <c r="AG58"/>
  <c r="AB58"/>
  <c r="N58"/>
  <c r="AJ58"/>
  <c r="AF58"/>
  <c r="AD58"/>
  <c r="AE58"/>
  <c r="Y58"/>
  <c r="M58"/>
  <c r="Z58"/>
  <c r="AF7"/>
  <c r="AF10"/>
  <c r="AF5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4" l="1"/>
  <c r="D58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<sst xmlns="http://schemas.openxmlformats.org/spreadsheetml/2006/main" count="1030" uniqueCount="150">
  <si>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</si>
  <si>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</si>
  <si>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</si>
  <si>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</si>
  <si>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</si>
  <si>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</si>
  <si>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</si>
  <si>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</si>
  <si>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</si>
  <si>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</si>
  <si>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</si>
  <si>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</si>
  <si>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</si>
  <si>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</si>
  <si>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</si>
  <si>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</si>
  <si>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</si>
  <si>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</si>
  <si>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</si>
  <si>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</si>
  <si>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</si>
  <si>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</si>
  <si>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</si>
  <si>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</si>
  <si>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</si>
  <si>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</si>
  <si>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</si>
  <si>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</si>
  <si>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</si>
  <si>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</si>
  <si>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</si>
  <si>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</si>
  <si>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</si>
  <si>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</si>
  <si>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</si>
  <si>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</si>
  <si>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</si>
  <si>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</si>
  <si>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</si>
  <si>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</si>
  <si>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</si>
  <si>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</si>
  <si>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</si>
  <si>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</si>
  <si>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</si>
  <si>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</si>
  <si>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</si>
  <si>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</si>
  <si>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</si>
  <si>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</si>
  <si>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</si>
  <si>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</si>
  <si>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</si>
  <si>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</si>
  <si>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</si>
  <si>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</si>
  <si>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</si>
  <si>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</si>
  <si>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</si>
  <si>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</si>
  <si>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</si>
  <si>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</si>
  <si>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</si>
  <si>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</si>
  <si>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</si>
  <si>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</si>
  <si>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</si>
  <si>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</si>
  <si>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</si>
  <si>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</si>
  <si>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</si>
  <si>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</si>
  <si>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</si>
  <si>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</si>
  <si>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</si>
  <si>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</si>
  <si>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</si>
  <si>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</si>
  <si>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</si>
  <si>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</si>
  <si>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</si>
  <si>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</si>
  <si>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</si>
  <si>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</si>
  <si>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</si>
  <si>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</si>
  <si>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</si>
  <si>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</si>
  <si>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</si>
  <si>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</si>
  <si>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</si>
  <si>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</si>
  <si>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</si>
  <si>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</si>
  <si>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</si>
  <si>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</si>
  <si>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</si>
  <si>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</si>
  <si>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</si>
  <si>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</si>
  <si>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</si>
  <si>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</si>
  <si>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</si>
  <si>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</si>
  <si>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</si>
  <si>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</si>
  <si>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</si>
  <si>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</si>
  <si>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</si>
  <si>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</si>
  <si>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</si>
  <si>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</si>
  <si>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</si>
  <si>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</si>
  <si>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</si>
  <si>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</si>
  <si>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</si>
  <si>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</si>
  <si>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</si>
  <si>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</si>
  <si>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</si>
  <si>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</si>
  <si>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</si>
  <si>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</si>
  <si>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</si>
  <si>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</si>
  <si>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</si>
  <si>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</si>
  <si>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</si>
  <si>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</si>
  <si>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</si>
  <si>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</si>
  <si>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</si>
  <si>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</si>
  <si>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</si>
  <si>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</si>
  <si>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</si>
  <si>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</si>
  <si>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</si>
  <si>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</si>
  <si>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</si>
  <si>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</si>
  <si>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</si>
  <si>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D. grandis</t>
  </si>
  <si>
    <t>Inerval Growth Boot</t>
  </si>
  <si>
    <t>Boot</t>
  </si>
  <si>
    <t>Interval Growth Variation</t>
  </si>
  <si>
    <t>Avg. Boot</t>
  </si>
  <si>
    <t>Upper 95% CI</t>
  </si>
  <si>
    <t>Lower 95% CI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</si>
</sst>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22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0" borderId="0" xfId="0" applyFill="1"/>
    <xf numFmtId="0" fontId="1" fillId="30" borderId="10" xfId="0" applyFont="1" applyFill="1" applyBorder="1"/>
    <xf numFmtId="2" fontId="3" fillId="29" borderId="0" xfId="0" applyNumberFormat="1" applyFont="1" applyFill="1" applyBorder="1"/>
    <xf numFmtId="0" fontId="1" fillId="31" borderId="0" xfId="0" applyFont="1" applyFill="1"/>
    <xf numFmtId="0" fontId="1" fillId="32" borderId="12" xfId="0" applyFont="1" applyFill="1" applyBorder="1" applyAlignment="1"/>
    <xf numFmtId="0" fontId="1" fillId="32" borderId="13" xfId="0" applyFont="1" applyFill="1" applyBorder="1" applyAlignment="1">
      <alignment horizontal="center"/>
    </xf>
    <xf numFmtId="164" fontId="1" fillId="32" borderId="13" xfId="0" applyNumberFormat="1" applyFont="1" applyFill="1" applyBorder="1" applyAlignment="1"/>
    <xf numFmtId="0" fontId="1" fillId="32" borderId="13" xfId="0" applyFont="1" applyFill="1" applyBorder="1" applyAlignment="1"/>
    <xf numFmtId="0" fontId="1" fillId="33" borderId="10" xfId="0" applyFont="1" applyFill="1" applyBorder="1"/>
    <xf numFmtId="164" fontId="3" fillId="20" borderId="14" xfId="0" applyNumberFormat="1" applyFont="1" applyFill="1" applyBorder="1"/>
    <xf numFmtId="0" fontId="3" fillId="20" borderId="14" xfId="0" applyFont="1" applyFill="1" applyBorder="1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1" borderId="11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1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CZ235" zoomScale="85" zoomScaleNormal="85" workbookViewId="0">
      <selection activeCell="DE253" sqref="DE253:DG253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76" width="8.85546875" style="8"/>
    <col min="177" max="177" width="15.140625" style="8" customWidth="1"/>
    <col min="178" max="16384" width="8.85546875" style="8"/>
  </cols>
  <sheetData>
    <row r="1" spans="1:196" s="7" customFormat="1">
      <c r="A1" s="181" t="s">
        <v>143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7"/>
      <c r="FY2" s="207"/>
      <c r="FZ2" s="207"/>
      <c r="GA2" s="207"/>
      <c r="GB2" s="207"/>
      <c r="GC2" s="217" t="s">
        <v>144</v>
      </c>
      <c r="GD2" s="217"/>
      <c r="GE2" s="217"/>
      <c r="GF2" s="217"/>
      <c r="GG2" s="217"/>
      <c r="GH2" s="217"/>
      <c r="GI2" s="217"/>
      <c r="GJ2" s="207"/>
      <c r="GK2" s="207"/>
      <c r="GL2" s="207"/>
      <c r="GM2" s="207"/>
      <c r="GN2" s="207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7"/>
      <c r="FY3" s="208"/>
      <c r="FZ3" s="208"/>
      <c r="GA3" s="208"/>
      <c r="GB3" s="208"/>
      <c r="GC3" s="208"/>
      <c r="GD3" s="208"/>
      <c r="GE3" s="208"/>
      <c r="GF3" s="208"/>
      <c r="GG3" s="208"/>
      <c r="GH3" s="208"/>
      <c r="GI3" s="208"/>
      <c r="GJ3" s="208"/>
      <c r="GK3" s="208"/>
      <c r="GL3" s="208"/>
      <c r="GM3" s="208"/>
      <c r="GN3" s="207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16.189886998976295</v>
      </c>
      <c r="N4" s="130">
        <v>9.0851036142218344</v>
      </c>
      <c r="O4" s="130">
        <v>50.428127422695525</v>
      </c>
      <c r="P4" s="130">
        <v>47.502464054902909</v>
      </c>
      <c r="Q4" s="130">
        <v>8.3553856592646216</v>
      </c>
      <c r="R4" s="130">
        <v>45.852692809850573</v>
      </c>
      <c r="S4" s="131">
        <v>4.5430722149592526</v>
      </c>
      <c r="T4" s="131">
        <v>16.273074121474988</v>
      </c>
      <c r="U4" s="5"/>
      <c r="V4" s="4"/>
      <c r="W4" s="127">
        <f t="shared" ref="W4:W13" si="0">C4</f>
        <v>39646</v>
      </c>
      <c r="X4" s="132">
        <f>AVERAGE(EK88:EK97)</f>
        <v>10.416666666666666</v>
      </c>
      <c r="Y4" s="131">
        <f>COUNT(EK88:EK97)</f>
        <v>10</v>
      </c>
      <c r="Z4" s="130">
        <f>STDEV(EK88:EK97)</f>
        <v>20.833333333333332</v>
      </c>
      <c r="AA4" s="130">
        <f>Z4/SQRT(Y4)</f>
        <v>6.588078458684123</v>
      </c>
      <c r="AB4" s="131"/>
      <c r="AC4" s="130">
        <f>AVERAGE($FU88:$FU97)</f>
        <v>0.20224362095138954</v>
      </c>
      <c r="AD4" s="132">
        <f>COUNT($FU88:$FU97)</f>
        <v>10</v>
      </c>
      <c r="AE4" s="130">
        <f>STDEV($FU88:$FU97)</f>
        <v>0.40448724190277913</v>
      </c>
      <c r="AF4" s="130">
        <f>AE4/SQRT(AD4)</f>
        <v>0.12791009688922816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18" t="s">
        <v>146</v>
      </c>
      <c r="FK4" s="218"/>
      <c r="FL4" s="218"/>
      <c r="FM4" s="218"/>
      <c r="FN4" s="5"/>
      <c r="FO4" s="5"/>
      <c r="FX4" s="207"/>
      <c r="FY4" s="209" t="s">
        <v>145</v>
      </c>
      <c r="FZ4" s="210">
        <f>C4</f>
        <v>39646</v>
      </c>
      <c r="GA4" s="210">
        <f>C5</f>
        <v>39673</v>
      </c>
      <c r="GB4" s="210">
        <f>C6</f>
        <v>39714</v>
      </c>
      <c r="GC4" s="210">
        <f>C7</f>
        <v>39747</v>
      </c>
      <c r="GD4" s="210">
        <f>C8</f>
        <v>39775</v>
      </c>
      <c r="GE4" s="210">
        <f>C9</f>
        <v>39799</v>
      </c>
      <c r="GF4" s="210">
        <f>C10</f>
        <v>39847</v>
      </c>
      <c r="GG4" s="210">
        <f>C11</f>
        <v>39910</v>
      </c>
      <c r="GH4" s="210">
        <f>C12</f>
        <v>39949</v>
      </c>
      <c r="GI4" s="210">
        <f>C13</f>
        <v>39987</v>
      </c>
      <c r="GJ4" s="211"/>
      <c r="GK4" s="211"/>
      <c r="GL4" s="211"/>
      <c r="GM4" s="211"/>
      <c r="GN4" s="207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16.17934904077093</v>
      </c>
      <c r="N5" s="130">
        <f t="shared" si="1"/>
        <v>9.1321651869317968</v>
      </c>
      <c r="O5" s="130">
        <f t="shared" si="1"/>
        <v>58.277976140855102</v>
      </c>
      <c r="P5" s="130">
        <f t="shared" si="1"/>
        <v>47.874437162051599</v>
      </c>
      <c r="Q5" s="130">
        <f t="shared" si="1"/>
        <v>8.3968486106302365</v>
      </c>
      <c r="R5" s="130">
        <f t="shared" si="1"/>
        <v>45.737239324347264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15.625000000000004</v>
      </c>
      <c r="Y5" s="131">
        <f>COUNT(EK98:EK107)</f>
        <v>10</v>
      </c>
      <c r="Z5" s="130">
        <f>STDEV(EK98:EK107)</f>
        <v>29.564906885288892</v>
      </c>
      <c r="AA5" s="130">
        <f t="shared" ref="AA5:AA13" si="2">Z5/SQRT(Y5)</f>
        <v>9.3492444568307356</v>
      </c>
      <c r="AB5" s="131"/>
      <c r="AC5" s="130">
        <f>AVERAGE($FU98:$FU107)</f>
        <v>8.1801215582352249</v>
      </c>
      <c r="AD5" s="132">
        <f>COUNT($FU98:$FU107)</f>
        <v>10</v>
      </c>
      <c r="AE5" s="130">
        <f>STDEV($FU98:$FU107)</f>
        <v>25.075375355262352</v>
      </c>
      <c r="AF5" s="130">
        <f t="shared" ref="AF5:AF13" si="3">AE5/SQRT(AD5)</f>
        <v>7.9295299306282869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7"/>
      <c r="FY5" s="207"/>
      <c r="FZ5" s="207"/>
      <c r="GA5" s="207"/>
      <c r="GB5" s="207"/>
      <c r="GC5" s="207"/>
      <c r="GD5" s="207"/>
      <c r="GE5" s="207"/>
      <c r="GF5" s="207"/>
      <c r="GG5" s="207"/>
      <c r="GH5" s="207"/>
      <c r="GI5" s="207"/>
      <c r="GJ5" s="207"/>
      <c r="GK5" s="207"/>
      <c r="GL5" s="207"/>
      <c r="GM5" s="207"/>
      <c r="GN5" s="207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24.248183481474914</v>
      </c>
      <c r="N6" s="130">
        <f t="shared" si="4"/>
        <v>13.383098913262026</v>
      </c>
      <c r="O6" s="130">
        <f t="shared" si="4"/>
        <v>104.91539757826516</v>
      </c>
      <c r="P6" s="130">
        <f t="shared" si="4"/>
        <v>70.372680322041717</v>
      </c>
      <c r="Q6" s="130">
        <f t="shared" si="4"/>
        <v>12.249462008122341</v>
      </c>
      <c r="R6" s="130">
        <f t="shared" si="4"/>
        <v>64.518442878757398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17.708333333333332</v>
      </c>
      <c r="Y6" s="131">
        <f>COUNT(EK108:EK117)</f>
        <v>10</v>
      </c>
      <c r="Z6" s="130">
        <f>STDEV(EK108:EK117)</f>
        <v>17.045746817546632</v>
      </c>
      <c r="AA6" s="130">
        <f t="shared" si="2"/>
        <v>5.3903384362013957</v>
      </c>
      <c r="AB6" s="131"/>
      <c r="AC6" s="130">
        <f>AVERAGE($FU108:$FU117)</f>
        <v>5.8589012031682124</v>
      </c>
      <c r="AD6" s="132">
        <f>COUNT($FU108:$FU117)</f>
        <v>10</v>
      </c>
      <c r="AE6" s="130">
        <f>STDEV($FU108:$FU117)</f>
        <v>7.2813322473333733</v>
      </c>
      <c r="AF6" s="130">
        <f t="shared" si="3"/>
        <v>2.3025594302005947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19" t="s">
        <v>147</v>
      </c>
      <c r="FJ6" s="219"/>
      <c r="FK6" s="220" t="s">
        <v>148</v>
      </c>
      <c r="FL6" s="220"/>
      <c r="FM6" s="220" t="s">
        <v>149</v>
      </c>
      <c r="FN6" s="220"/>
      <c r="FO6" s="5"/>
      <c r="FY6" s="212">
        <v>1</v>
      </c>
      <c r="FZ6">
        <v>3.6211060807362383</v>
      </c>
      <c r="GA6">
        <v>7.3283150806610591</v>
      </c>
      <c r="GB6">
        <v>9.852862336636818</v>
      </c>
      <c r="GC6">
        <v>4.8937842060745353</v>
      </c>
      <c r="GD6">
        <v>1.0807052874727898</v>
      </c>
      <c r="GE6">
        <v>2.8717439715052668</v>
      </c>
      <c r="GF6">
        <v>6.2590815726597224</v>
      </c>
      <c r="GG6">
        <v>4.605253987110915</v>
      </c>
      <c r="GH6">
        <v>2.002544397690377</v>
      </c>
      <c r="GI6">
        <v>5.6206085490595701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10.3305952978581</v>
      </c>
      <c r="N7" s="130">
        <f t="shared" si="5"/>
        <v>5.556549509239411</v>
      </c>
      <c r="O7" s="130">
        <f t="shared" si="5"/>
        <v>28.287137740241015</v>
      </c>
      <c r="P7" s="130">
        <f t="shared" si="5"/>
        <v>29.053370084567064</v>
      </c>
      <c r="Q7" s="130">
        <f t="shared" si="5"/>
        <v>5.1406584028038651</v>
      </c>
      <c r="R7" s="130">
        <f t="shared" si="5"/>
        <v>29.617145255761407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29.987373737373737</v>
      </c>
      <c r="Y7" s="131">
        <f>COUNT(EK118:EK127)</f>
        <v>10</v>
      </c>
      <c r="Z7" s="130">
        <f>STDEV(EK118:EK127)</f>
        <v>41.665072411087785</v>
      </c>
      <c r="AA7" s="130">
        <f t="shared" si="2"/>
        <v>13.175652769488076</v>
      </c>
      <c r="AB7" s="131"/>
      <c r="AC7" s="130">
        <f>AVERAGE($FU118:$FU127)</f>
        <v>19.69982196432057</v>
      </c>
      <c r="AD7" s="132">
        <f>COUNT($FU118:$FU127)</f>
        <v>10</v>
      </c>
      <c r="AE7" s="130">
        <f>STDEV($FU118:$FU127)</f>
        <v>25.843364082360953</v>
      </c>
      <c r="AF7" s="130">
        <f t="shared" si="3"/>
        <v>8.1723892901247925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21">
        <f>AVERAGE(FZ6:FZ1005)</f>
        <v>3.4711235953215231</v>
      </c>
      <c r="FJ7" s="221"/>
      <c r="FK7" s="221">
        <f>PERCENTILE($FZ$6:$FZ$1005,0.975)</f>
        <v>9.7510753848394547</v>
      </c>
      <c r="FL7" s="221"/>
      <c r="FM7" s="221">
        <f>PERCENTILE($FZ$6:$FZ$1005,0.025)</f>
        <v>0.10243823452367483</v>
      </c>
      <c r="FN7" s="221"/>
      <c r="FO7" s="5"/>
      <c r="FY7" s="212">
        <v>2</v>
      </c>
      <c r="FZ7">
        <v>3.4177014141559812</v>
      </c>
      <c r="GA7">
        <v>5.0245048420473388</v>
      </c>
      <c r="GB7">
        <v>4.416648648769713</v>
      </c>
      <c r="GC7">
        <v>2.0029350757145927</v>
      </c>
      <c r="GD7">
        <v>0.95363504287308309</v>
      </c>
      <c r="GE7">
        <v>4.2864112387536482</v>
      </c>
      <c r="GF7">
        <v>4.1258921942913682</v>
      </c>
      <c r="GG7">
        <v>2.8454189221778756E-2</v>
      </c>
      <c r="GH7">
        <v>1.1755885801322095</v>
      </c>
      <c r="GI7">
        <v>3.3466045432786657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12.5</v>
      </c>
      <c r="Y8" s="131">
        <f>COUNT(EK128:EK137)</f>
        <v>10</v>
      </c>
      <c r="Z8" s="130">
        <f>STDEV(EK128:EK137)</f>
        <v>16.137430609197573</v>
      </c>
      <c r="AA8" s="130">
        <f t="shared" si="2"/>
        <v>5.1031036307982882</v>
      </c>
      <c r="AB8" s="131"/>
      <c r="AC8" s="130">
        <f>AVERAGE($FU128:$FU137)</f>
        <v>3.9399004195967193</v>
      </c>
      <c r="AD8" s="132">
        <f>COUNT($FU128:$FU137)</f>
        <v>10</v>
      </c>
      <c r="AE8" s="130">
        <f>STDEV($FU128:$FU137)</f>
        <v>5.8141061700794747</v>
      </c>
      <c r="AF8" s="130">
        <f t="shared" si="3"/>
        <v>1.8385818055489458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21">
        <f>AVERAGE(GA6:GA1005)</f>
        <v>7.1109878168725054</v>
      </c>
      <c r="FJ8" s="221"/>
      <c r="FK8" s="221">
        <f>PERCENTILE($GA$6:$GA$1005,0.975)</f>
        <v>14.597835231806588</v>
      </c>
      <c r="FL8" s="221"/>
      <c r="FM8" s="221">
        <f>PERCENTILE($GA$6:$GA$1005,0.025)</f>
        <v>1.9227491273661286</v>
      </c>
      <c r="FN8" s="221"/>
      <c r="FO8" s="5"/>
      <c r="FY8" s="212">
        <v>3</v>
      </c>
      <c r="FZ8">
        <v>3.5620437894145027</v>
      </c>
      <c r="GA8">
        <v>6.2504124853024177</v>
      </c>
      <c r="GB8">
        <v>3.379715351244803</v>
      </c>
      <c r="GC8">
        <v>1.7544570407813525</v>
      </c>
      <c r="GD8">
        <v>1.0062181848860103</v>
      </c>
      <c r="GE8">
        <v>3.3283683195871294</v>
      </c>
      <c r="GF8">
        <v>7.1392328160126359</v>
      </c>
      <c r="GG8">
        <v>3.9579260302609329</v>
      </c>
      <c r="GH8">
        <v>1.0865391882687825</v>
      </c>
      <c r="GI8">
        <v>3.9346792552392835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37.577985739750446</v>
      </c>
      <c r="Y9" s="131">
        <f>COUNT(EK138:EK147)</f>
        <v>10</v>
      </c>
      <c r="Z9" s="130">
        <f>STDEV(EK138:EK147)</f>
        <v>90.946940428100021</v>
      </c>
      <c r="AA9" s="130">
        <f t="shared" si="2"/>
        <v>28.759947797644511</v>
      </c>
      <c r="AB9" s="131"/>
      <c r="AC9" s="130">
        <f>AVERAGE($FU138:$FU147)</f>
        <v>8.416345000854724</v>
      </c>
      <c r="AD9" s="132">
        <f>COUNT($FU138:$FU147)</f>
        <v>10</v>
      </c>
      <c r="AE9" s="130">
        <f>STDEV($FU138:$FU147)</f>
        <v>16.540668601072827</v>
      </c>
      <c r="AF9" s="130">
        <f t="shared" si="3"/>
        <v>5.2306186801421157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21">
        <f>AVERAGE(GB6:GB1005)</f>
        <v>7.0339034093438304</v>
      </c>
      <c r="FJ9" s="221"/>
      <c r="FK9" s="221">
        <f>PERCENTILE($GB$6:$GB$1005,0.975)</f>
        <v>11.397688834345399</v>
      </c>
      <c r="FL9" s="221"/>
      <c r="FM9" s="221">
        <f>PERCENTILE($GB$6:$GB$1005,0.025)</f>
        <v>3.1189105069017971</v>
      </c>
      <c r="FN9" s="221"/>
      <c r="FO9" s="5"/>
      <c r="FY9" s="212">
        <v>4</v>
      </c>
      <c r="FZ9">
        <v>0.35937033508929739</v>
      </c>
      <c r="GA9">
        <v>4.6195482542177704</v>
      </c>
      <c r="GB9">
        <v>7.5735915772645672</v>
      </c>
      <c r="GC9">
        <v>3.2801573715489774</v>
      </c>
      <c r="GD9">
        <v>1.6250635090781045</v>
      </c>
      <c r="GE9">
        <v>3.5414811886515594</v>
      </c>
      <c r="GF9">
        <v>4.8961349262371883</v>
      </c>
      <c r="GG9">
        <v>3.2971141018669936</v>
      </c>
      <c r="GH9">
        <v>0.76348042623801482</v>
      </c>
      <c r="GI9">
        <v>4.4790623753719023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8.6805555555555571</v>
      </c>
      <c r="Y10" s="131">
        <f>COUNT(EK148:EK157)</f>
        <v>10</v>
      </c>
      <c r="Z10" s="130">
        <f>STDEV(EK148:EK157)</f>
        <v>11.602973180418644</v>
      </c>
      <c r="AA10" s="130">
        <f t="shared" si="2"/>
        <v>3.6691822879970726</v>
      </c>
      <c r="AB10" s="131"/>
      <c r="AC10" s="130">
        <f>AVERAGE($FU148:$FU157)</f>
        <v>11.553188772290458</v>
      </c>
      <c r="AD10" s="132">
        <f>COUNT($FU148:$FU157)</f>
        <v>10</v>
      </c>
      <c r="AE10" s="130">
        <f>STDEV($FU148:$FU157)</f>
        <v>18.26163355121599</v>
      </c>
      <c r="AF10" s="130">
        <f t="shared" si="3"/>
        <v>5.7748355817191666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21">
        <f>AVERAGE(GC6:GC1005)</f>
        <v>3.3553876192105352</v>
      </c>
      <c r="FJ10" s="221"/>
      <c r="FK10" s="221">
        <f>PERCENTILE($GC$6:$GC$1005,0.975)</f>
        <v>5.6314603599212329</v>
      </c>
      <c r="FL10" s="221"/>
      <c r="FM10" s="221">
        <f>PERCENTILE($GC$6:$GC$1005,0.025)</f>
        <v>1.3934384610195081</v>
      </c>
      <c r="FN10" s="221"/>
      <c r="FO10" s="5"/>
      <c r="FY10" s="212">
        <v>5</v>
      </c>
      <c r="FZ10">
        <v>3.4677229668395668</v>
      </c>
      <c r="GA10">
        <v>6.2815926897443664</v>
      </c>
      <c r="GB10">
        <v>7.7114438878061824</v>
      </c>
      <c r="GC10">
        <v>4.0091990868201295</v>
      </c>
      <c r="GD10">
        <v>1.5852741847081588</v>
      </c>
      <c r="GE10">
        <v>5.2627838984870809</v>
      </c>
      <c r="GF10">
        <v>9.3925799771721561</v>
      </c>
      <c r="GG10">
        <v>5.6835236283411916</v>
      </c>
      <c r="GH10">
        <v>2.7655116669756614</v>
      </c>
      <c r="GI10">
        <v>6.2197571166889976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8.3333333333333321</v>
      </c>
      <c r="Y11" s="131">
        <f>COUNT(EK158:EK167)</f>
        <v>10</v>
      </c>
      <c r="Z11" s="130">
        <f>STDEV(EK158:EK167)</f>
        <v>10.75828707279838</v>
      </c>
      <c r="AA11" s="130">
        <f t="shared" si="2"/>
        <v>3.4020690871988584</v>
      </c>
      <c r="AB11" s="131"/>
      <c r="AC11" s="130">
        <f>AVERAGE($FU158:$FU167)</f>
        <v>20.697972008537938</v>
      </c>
      <c r="AD11" s="132">
        <f>COUNT($FU158:$FU167)</f>
        <v>10</v>
      </c>
      <c r="AE11" s="130">
        <f>STDEV($FU158:$FU167)</f>
        <v>38.758018725978559</v>
      </c>
      <c r="AF11" s="130">
        <f t="shared" si="3"/>
        <v>12.25636167695497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21">
        <f>AVERAGE(GD5:GD1005)</f>
        <v>1.2676758607497496</v>
      </c>
      <c r="FJ11" s="221"/>
      <c r="FK11" s="221">
        <f>PERCENTILE($GD$6:$GD$1005,0.975)</f>
        <v>2.2985062464837682</v>
      </c>
      <c r="FL11" s="221"/>
      <c r="FM11" s="221">
        <f>PERCENTILE($GD$6:$GD$1005,0.025)</f>
        <v>0.47072462033514229</v>
      </c>
      <c r="FN11" s="221"/>
      <c r="FO11" s="5"/>
      <c r="FY11" s="212">
        <v>6</v>
      </c>
      <c r="FZ11">
        <v>6.5585425970912166</v>
      </c>
      <c r="GA11">
        <v>10.885264274481257</v>
      </c>
      <c r="GB11">
        <v>5.4684682074316351</v>
      </c>
      <c r="GC11">
        <v>2.6774561187602548</v>
      </c>
      <c r="GD11">
        <v>2.083940243111523</v>
      </c>
      <c r="GE11">
        <v>4.6224973930132052</v>
      </c>
      <c r="GF11">
        <v>3.7397621380904575</v>
      </c>
      <c r="GG11">
        <v>1.5565573505061305</v>
      </c>
      <c r="GH11">
        <v>1.4365215701627503</v>
      </c>
      <c r="GI11">
        <v>4.7017466836211037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8.2454819277108431</v>
      </c>
      <c r="Y12" s="131">
        <f>COUNT(EK168:EK177)</f>
        <v>10</v>
      </c>
      <c r="Z12" s="130">
        <f>STDEV(EK168:EK177)</f>
        <v>14.34437259665957</v>
      </c>
      <c r="AA12" s="130">
        <f t="shared" si="2"/>
        <v>4.5360889011548045</v>
      </c>
      <c r="AB12" s="131"/>
      <c r="AC12" s="130">
        <f>AVERAGE($FU168:$FU177)</f>
        <v>3.0911934462573587</v>
      </c>
      <c r="AD12" s="132">
        <f>COUNT($FU168:$FU177)</f>
        <v>10</v>
      </c>
      <c r="AE12" s="130">
        <f>STDEV($FU168:$FU177)</f>
        <v>6.3379072839229131</v>
      </c>
      <c r="AF12" s="130">
        <f t="shared" si="3"/>
        <v>2.0042222616167877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21">
        <f>AVERAGE(GE6:GE1005)</f>
        <v>3.7552364435204164</v>
      </c>
      <c r="FJ12" s="221"/>
      <c r="FK12" s="221">
        <f>PERCENTILE($GE$6:$GE$1005,0.975)</f>
        <v>6.5452900449344016</v>
      </c>
      <c r="FL12" s="221"/>
      <c r="FM12" s="221">
        <f>PERCENTILE($GE$6:$GE$1005,0.025)</f>
        <v>1.4027156740704292</v>
      </c>
      <c r="FN12" s="221"/>
      <c r="FO12" s="5"/>
      <c r="FY12" s="212">
        <v>7</v>
      </c>
      <c r="FZ12">
        <v>0.17349867000765939</v>
      </c>
      <c r="GA12">
        <v>3.6313113439582416</v>
      </c>
      <c r="GB12">
        <v>5.6255789729200432</v>
      </c>
      <c r="GC12">
        <v>2.8595301024002859</v>
      </c>
      <c r="GD12">
        <v>1.3231613474052768</v>
      </c>
      <c r="GE12">
        <v>2.0650950665898264</v>
      </c>
      <c r="GF12">
        <v>8.3553032671953389</v>
      </c>
      <c r="GG12">
        <v>8.9410478226849222</v>
      </c>
      <c r="GH12">
        <v>2.793592653602706</v>
      </c>
      <c r="GI12">
        <v>5.0763452546500041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5.208333333333333</v>
      </c>
      <c r="Y13" s="131">
        <f>COUNT(EK178:EK187)</f>
        <v>10</v>
      </c>
      <c r="Z13" s="130">
        <f>STDEV(EK178:EK187)</f>
        <v>5.4900653822367698</v>
      </c>
      <c r="AA13" s="130">
        <f t="shared" si="2"/>
        <v>1.7361111111111109</v>
      </c>
      <c r="AB13" s="131"/>
      <c r="AC13" s="130">
        <f>AVERAGE($FU178:$FU187)</f>
        <v>1.9141685984336259</v>
      </c>
      <c r="AD13" s="132">
        <f>COUNT($FU178:$FU187)</f>
        <v>10</v>
      </c>
      <c r="AE13" s="130">
        <f>STDEV($FU178:$FU187)</f>
        <v>2.9640439719382803</v>
      </c>
      <c r="AF13" s="130">
        <f t="shared" si="3"/>
        <v>0.93731300362171743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21">
        <f>AVERAGE(GF6:GF1005)</f>
        <v>8.1405648839474711</v>
      </c>
      <c r="FJ13" s="221"/>
      <c r="FK13" s="221">
        <f>PERCENTILE($GF$6:$GF$1005,0.975)</f>
        <v>13.97906408964268</v>
      </c>
      <c r="FL13" s="221"/>
      <c r="FM13" s="221">
        <f>PERCENTILE($GF$6:$GF$1005,0.025)</f>
        <v>3.1837267676310845</v>
      </c>
      <c r="FN13" s="221"/>
      <c r="FO13" s="5"/>
      <c r="FY13" s="212">
        <v>8</v>
      </c>
      <c r="FZ13">
        <v>3.3344554090538829</v>
      </c>
      <c r="GA13">
        <v>5.5238902578017015</v>
      </c>
      <c r="GB13">
        <v>6.5545878706287111</v>
      </c>
      <c r="GC13">
        <v>3.2776417409874639</v>
      </c>
      <c r="GD13">
        <v>1.6073640669021225</v>
      </c>
      <c r="GE13">
        <v>3.4764126618264788</v>
      </c>
      <c r="GF13">
        <v>8.3470675982629441</v>
      </c>
      <c r="GG13">
        <v>8.4403783927841651</v>
      </c>
      <c r="GH13">
        <v>0.97020259999776415</v>
      </c>
      <c r="GI13">
        <v>5.6200234140460594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21">
        <f>AVERAGE(GG6:GG1005)</f>
        <v>6.0460869362803997</v>
      </c>
      <c r="FJ14" s="221"/>
      <c r="FK14" s="221">
        <f>PERCENTILE($GG$6:$GG$1005,0.975)</f>
        <v>11.865549000459126</v>
      </c>
      <c r="FL14" s="221"/>
      <c r="FM14" s="221">
        <f>PERCENTILE($GG$6:$GG$1005,0.025)</f>
        <v>1.4141685561248734</v>
      </c>
      <c r="FN14" s="221"/>
      <c r="FO14" s="5"/>
      <c r="FY14" s="212">
        <v>9</v>
      </c>
      <c r="FZ14">
        <v>3.4370810690334226</v>
      </c>
      <c r="GA14">
        <v>5.7811682573390364</v>
      </c>
      <c r="GB14">
        <v>4.2675025655854366</v>
      </c>
      <c r="GC14">
        <v>2.2287612121967402</v>
      </c>
      <c r="GD14">
        <v>0.74214067255280969</v>
      </c>
      <c r="GE14">
        <v>1.9958731034816992</v>
      </c>
      <c r="GF14">
        <v>9.2875495511191417</v>
      </c>
      <c r="GG14">
        <v>8.9521835409864039</v>
      </c>
      <c r="GH14">
        <v>2.9742752091944271</v>
      </c>
      <c r="GI14">
        <v>5.0075935657731936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21.406045751633986</v>
      </c>
      <c r="AO15" s="163">
        <f>D48</f>
        <v>10.107685033094</v>
      </c>
      <c r="AP15" s="163">
        <f>D63</f>
        <v>64.143636014228406</v>
      </c>
      <c r="AQ15" s="163">
        <f>C453</f>
        <v>55.299040343832246</v>
      </c>
      <c r="AR15" s="163">
        <f>G520</f>
        <v>9.3159190439882416</v>
      </c>
      <c r="AS15" s="163">
        <f>I523</f>
        <v>51.849264179137002</v>
      </c>
      <c r="AT15" s="122">
        <f>G556</f>
        <v>4.6136685801368493</v>
      </c>
      <c r="AU15" s="122">
        <f>I556</f>
        <v>48.694177421050412</v>
      </c>
      <c r="AV15" s="23"/>
      <c r="AW15" s="23"/>
      <c r="FG15" s="5"/>
      <c r="FH15" s="213">
        <f t="shared" si="6"/>
        <v>39949</v>
      </c>
      <c r="FI15" s="221">
        <f>AVERAGE(GH6:GH1005)</f>
        <v>2.1988637542752962</v>
      </c>
      <c r="FJ15" s="221"/>
      <c r="FK15" s="221">
        <f>PERCENTILE($GH$6:$GH$1005,0.975)</f>
        <v>4.1118756936805756</v>
      </c>
      <c r="FL15" s="221"/>
      <c r="FM15" s="221">
        <f>PERCENTILE($GH$6:$GH$1005,0.025)</f>
        <v>0.50177983954167971</v>
      </c>
      <c r="FN15" s="221"/>
      <c r="FO15" s="5"/>
      <c r="FY15" s="212">
        <v>10</v>
      </c>
      <c r="FZ15">
        <v>0.15615309396490526</v>
      </c>
      <c r="GA15">
        <v>2.7188293090057511</v>
      </c>
      <c r="GB15">
        <v>5.0337357151796143</v>
      </c>
      <c r="GC15">
        <v>2.6894527551762248</v>
      </c>
      <c r="GD15">
        <v>1.1819411890918285</v>
      </c>
      <c r="GE15">
        <v>2.9891890007501392</v>
      </c>
      <c r="GF15">
        <v>11.305348294727272</v>
      </c>
      <c r="GG15">
        <v>10.32611848935761</v>
      </c>
      <c r="GH15">
        <v>2.0548924376885123</v>
      </c>
      <c r="GI15">
        <v>5.5082145301626362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21">
        <f>AVERAGE(GI6:GI1005)</f>
        <v>5.4946068425299437</v>
      </c>
      <c r="FJ16" s="221"/>
      <c r="FK16" s="221">
        <f>PERCENTILE($GI$6:$GI$1005,0.975)</f>
        <v>7.879932651260769</v>
      </c>
      <c r="FL16" s="221"/>
      <c r="FM16" s="221">
        <f>PERCENTILE($GI$6:$GI$1005,0.025)</f>
        <v>3.4809413667955194</v>
      </c>
      <c r="FN16" s="221"/>
      <c r="FO16" s="5"/>
      <c r="FY16" s="212">
        <v>11</v>
      </c>
      <c r="FZ16">
        <v>3.4271170037058614</v>
      </c>
      <c r="GA16">
        <v>8.8333751300436791</v>
      </c>
      <c r="GB16">
        <v>6.1332327370872655</v>
      </c>
      <c r="GC16">
        <v>2.26697718767858</v>
      </c>
      <c r="GD16">
        <v>2.0694557122293196</v>
      </c>
      <c r="GE16">
        <v>5.2175191764367463</v>
      </c>
      <c r="GF16">
        <v>7.6522874187573873</v>
      </c>
      <c r="GG16">
        <v>7.2015113546135527</v>
      </c>
      <c r="GH16">
        <v>3.4505142235717936</v>
      </c>
      <c r="GI16">
        <v>5.8726683945049931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20.704656862745097</v>
      </c>
      <c r="AO17">
        <v>9.2355420462373683</v>
      </c>
      <c r="AP17">
        <v>55.709575323317736</v>
      </c>
      <c r="AQ17">
        <v>48.136005469607291</v>
      </c>
      <c r="AR17">
        <v>8.4912245963012403</v>
      </c>
      <c r="AS17">
        <v>46.479547657441067</v>
      </c>
      <c r="AT17">
        <v>4.8480274000148258</v>
      </c>
      <c r="AU17">
        <v>30.414158478959617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2">
        <v>12</v>
      </c>
      <c r="FZ17">
        <v>6.4243517126161223</v>
      </c>
      <c r="GA17">
        <v>8.9210323640381333</v>
      </c>
      <c r="GB17">
        <v>5.0608656543861077</v>
      </c>
      <c r="GC17">
        <v>2.2140549517715615</v>
      </c>
      <c r="GD17">
        <v>0.42758824231481957</v>
      </c>
      <c r="GE17">
        <v>1.8723428992062345</v>
      </c>
      <c r="GF17">
        <v>8.9608560661140402</v>
      </c>
      <c r="GG17">
        <v>9.6465129083067254</v>
      </c>
      <c r="GH17">
        <v>3.2973339712251954</v>
      </c>
      <c r="GI17">
        <v>5.341133847380295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12.773220332309631</v>
      </c>
      <c r="AO18">
        <v>5.4038031474968751</v>
      </c>
      <c r="AP18">
        <v>60.248202743463757</v>
      </c>
      <c r="AQ18">
        <v>28.77837576923838</v>
      </c>
      <c r="AR18">
        <v>5.0371971841934284</v>
      </c>
      <c r="AS18">
        <v>27.877087955930268</v>
      </c>
      <c r="AT18" t="e">
        <v>#DIV/0!</v>
      </c>
      <c r="AU18" t="e">
        <v>#DIV/0!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2">
        <v>13</v>
      </c>
      <c r="FZ18">
        <v>3.4197354929906689</v>
      </c>
      <c r="GA18">
        <v>5.1150879609318443</v>
      </c>
      <c r="GB18">
        <v>4.3402153543778725</v>
      </c>
      <c r="GC18">
        <v>2.4232525080481988</v>
      </c>
      <c r="GD18">
        <v>0.80158702481565869</v>
      </c>
      <c r="GE18">
        <v>2.1144042241124392</v>
      </c>
      <c r="GF18">
        <v>2.634389636762239</v>
      </c>
      <c r="GG18">
        <v>1.2830652969513265</v>
      </c>
      <c r="GH18">
        <v>1.7045101992740812</v>
      </c>
      <c r="GI18">
        <v>3.0324262932908397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11.650058567603747</v>
      </c>
      <c r="AO19">
        <v>6.6388841673604047</v>
      </c>
      <c r="AP19">
        <v>31.950222994318043</v>
      </c>
      <c r="AQ19">
        <v>35.399592460997852</v>
      </c>
      <c r="AR19">
        <v>6.0802910365841827</v>
      </c>
      <c r="AS19">
        <v>32.025676743056657</v>
      </c>
      <c r="AT19">
        <v>3.3912023065752535</v>
      </c>
      <c r="AU19">
        <v>6.850621773072783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2">
        <v>14</v>
      </c>
      <c r="FZ19">
        <v>0.24566985763692006</v>
      </c>
      <c r="GA19">
        <v>5.5438189898097807</v>
      </c>
      <c r="GB19">
        <v>8.0841870427830731</v>
      </c>
      <c r="GC19">
        <v>2.9242748637884137</v>
      </c>
      <c r="GD19">
        <v>0.80262970021515312</v>
      </c>
      <c r="GE19">
        <v>3.3121823776231092</v>
      </c>
      <c r="GF19">
        <v>9.3690096530576898</v>
      </c>
      <c r="GG19">
        <v>7.7110674691980314</v>
      </c>
      <c r="GH19">
        <v>2.9748538925763501</v>
      </c>
      <c r="GI19">
        <v>5.5472248356357436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18.58660130718954</v>
      </c>
      <c r="AO20">
        <v>7.2728493959288034</v>
      </c>
      <c r="AP20">
        <v>53.367928314827196</v>
      </c>
      <c r="AQ20">
        <v>34.435004065564371</v>
      </c>
      <c r="AR20">
        <v>6.7003494028723587</v>
      </c>
      <c r="AS20">
        <v>40.406843805426611</v>
      </c>
      <c r="AT20" t="e">
        <v>#DIV/0!</v>
      </c>
      <c r="AU20" t="e">
        <v>#DIV/0!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2">
        <v>15</v>
      </c>
      <c r="FZ20">
        <v>6.4448421196388388</v>
      </c>
      <c r="GA20">
        <v>11.864994286840288</v>
      </c>
      <c r="GB20">
        <v>9.4803540534869892</v>
      </c>
      <c r="GC20">
        <v>4.1573996460436247</v>
      </c>
      <c r="GD20">
        <v>1.7164141635655734</v>
      </c>
      <c r="GE20">
        <v>5.1808747559452186</v>
      </c>
      <c r="GF20">
        <v>8.3631131881043412</v>
      </c>
      <c r="GG20">
        <v>5.7481881241570498</v>
      </c>
      <c r="GH20">
        <v>1.6673453961267528</v>
      </c>
      <c r="GI20">
        <v>6.755359378725311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15.104166666666664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10.9375</v>
      </c>
      <c r="J21" s="18">
        <f t="shared" si="9"/>
        <v>2.083333333333333</v>
      </c>
      <c r="K21" s="18">
        <f t="shared" si="9"/>
        <v>0</v>
      </c>
      <c r="L21" s="18">
        <f t="shared" si="9"/>
        <v>0</v>
      </c>
      <c r="M21" s="18">
        <f t="shared" si="9"/>
        <v>0</v>
      </c>
      <c r="N21" s="18">
        <f t="shared" si="9"/>
        <v>0</v>
      </c>
      <c r="O21" s="18">
        <f t="shared" si="9"/>
        <v>1.0416666666666665</v>
      </c>
      <c r="P21" s="18">
        <f t="shared" si="9"/>
        <v>0</v>
      </c>
      <c r="Q21" s="18">
        <f t="shared" si="9"/>
        <v>1.0416666666666665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25.519543861721399</v>
      </c>
      <c r="AO21">
        <v>10.211566393962713</v>
      </c>
      <c r="AP21">
        <v>67.919900037096795</v>
      </c>
      <c r="AQ21">
        <v>52.379389103583485</v>
      </c>
      <c r="AR21">
        <v>9.4388597656358559</v>
      </c>
      <c r="AS21">
        <v>53.290315101731238</v>
      </c>
      <c r="AT21">
        <v>5.0347730949284157</v>
      </c>
      <c r="AU21">
        <v>51.364941724896532</v>
      </c>
      <c r="AV21"/>
      <c r="AW21"/>
      <c r="FY21" s="212">
        <v>16</v>
      </c>
      <c r="FZ21">
        <v>3.3842895362816034</v>
      </c>
      <c r="GA21">
        <v>5.7970782047135563</v>
      </c>
      <c r="GB21">
        <v>5.5154580084239013</v>
      </c>
      <c r="GC21">
        <v>3.0444266495964238</v>
      </c>
      <c r="GD21">
        <v>1.2996832190961383</v>
      </c>
      <c r="GE21">
        <v>3.0982511485712068</v>
      </c>
      <c r="GF21">
        <v>3.4581941176584765</v>
      </c>
      <c r="GG21">
        <v>1.7887869121594675</v>
      </c>
      <c r="GH21">
        <v>1.6570545071719311</v>
      </c>
      <c r="GI21">
        <v>3.7062540335210596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18.229166666666668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7.291666666666667</v>
      </c>
      <c r="J22" s="18">
        <f t="shared" si="10"/>
        <v>4.1666666666666661</v>
      </c>
      <c r="K22" s="18">
        <f t="shared" si="10"/>
        <v>2.083333333333333</v>
      </c>
      <c r="L22" s="18">
        <f t="shared" si="10"/>
        <v>2.6041666666666665</v>
      </c>
      <c r="M22" s="18">
        <f t="shared" si="10"/>
        <v>0</v>
      </c>
      <c r="N22" s="18">
        <f t="shared" si="10"/>
        <v>0</v>
      </c>
      <c r="O22" s="18">
        <f t="shared" si="10"/>
        <v>1.0416666666666665</v>
      </c>
      <c r="P22" s="18">
        <f t="shared" si="10"/>
        <v>0</v>
      </c>
      <c r="Q22" s="18">
        <f t="shared" si="10"/>
        <v>1.0416666666666665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16.064133986928105</v>
      </c>
      <c r="AO22">
        <v>7.6884681429888957</v>
      </c>
      <c r="AP22">
        <v>46.403678476333795</v>
      </c>
      <c r="AQ22">
        <v>43.730756576269535</v>
      </c>
      <c r="AR22">
        <v>7.0693427957061195</v>
      </c>
      <c r="AS22">
        <v>39.833111059692676</v>
      </c>
      <c r="AT22">
        <v>3.1036166895082284</v>
      </c>
      <c r="AU22">
        <v>22.005838720335163</v>
      </c>
      <c r="AV22"/>
      <c r="AW22"/>
      <c r="FY22" s="212">
        <v>17</v>
      </c>
      <c r="FZ22">
        <v>3.439302573323975</v>
      </c>
      <c r="GA22">
        <v>8.0116576344788619</v>
      </c>
      <c r="GB22">
        <v>6.4020604455106547</v>
      </c>
      <c r="GC22">
        <v>2.7586197494023041</v>
      </c>
      <c r="GD22">
        <v>1.3249431140553278</v>
      </c>
      <c r="GE22">
        <v>2.9853449417685116</v>
      </c>
      <c r="GF22">
        <v>11.121156555823324</v>
      </c>
      <c r="GG22">
        <v>11.479168061415733</v>
      </c>
      <c r="GH22">
        <v>3.1550232912153406</v>
      </c>
      <c r="GI22">
        <v>6.4743019800590158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29.987373737373737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0</v>
      </c>
      <c r="I23" s="18">
        <f t="shared" si="11"/>
        <v>0</v>
      </c>
      <c r="J23" s="18">
        <f t="shared" si="11"/>
        <v>10.763888888888889</v>
      </c>
      <c r="K23" s="18">
        <f t="shared" si="11"/>
        <v>4.1666666666666661</v>
      </c>
      <c r="L23" s="18">
        <f t="shared" si="11"/>
        <v>6.4867424242424239</v>
      </c>
      <c r="M23" s="18">
        <f t="shared" si="11"/>
        <v>3.645833333333333</v>
      </c>
      <c r="N23" s="18">
        <f t="shared" si="11"/>
        <v>4.9242424242424239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11.514641900937082</v>
      </c>
      <c r="AO23">
        <v>8.461859226780799</v>
      </c>
      <c r="AP23">
        <v>40.471363423389427</v>
      </c>
      <c r="AQ23">
        <v>40.844464501414308</v>
      </c>
      <c r="AR23">
        <v>7.8453974128099428</v>
      </c>
      <c r="AS23">
        <v>41.274517504751728</v>
      </c>
      <c r="AT23">
        <v>5.2895064599759971</v>
      </c>
      <c r="AU23">
        <v>-0.95396292563669904</v>
      </c>
      <c r="AV23"/>
      <c r="AW23"/>
      <c r="FY23" s="212">
        <v>18</v>
      </c>
      <c r="FZ23">
        <v>6.741269431192892</v>
      </c>
      <c r="GA23">
        <v>10.646090119451866</v>
      </c>
      <c r="GB23">
        <v>6.4057194260823138</v>
      </c>
      <c r="GC23">
        <v>3.0691103030323967</v>
      </c>
      <c r="GD23">
        <v>1.4846100346759969</v>
      </c>
      <c r="GE23">
        <v>2.4774654495632031</v>
      </c>
      <c r="GF23">
        <v>5.2859615460485836</v>
      </c>
      <c r="GG23">
        <v>6.8165507974141057</v>
      </c>
      <c r="GH23">
        <v>3.2226315885204788</v>
      </c>
      <c r="GI23">
        <v>5.5296652548756393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31.029040404040401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0</v>
      </c>
      <c r="I24" s="18">
        <f t="shared" si="12"/>
        <v>4.166666666666667</v>
      </c>
      <c r="J24" s="18">
        <f t="shared" si="12"/>
        <v>8.6805555555555554</v>
      </c>
      <c r="K24" s="18">
        <f t="shared" si="12"/>
        <v>3.645833333333333</v>
      </c>
      <c r="L24" s="18">
        <f t="shared" si="12"/>
        <v>3.8825757575757569</v>
      </c>
      <c r="M24" s="18">
        <f t="shared" si="12"/>
        <v>5.208333333333333</v>
      </c>
      <c r="N24" s="18">
        <f t="shared" si="12"/>
        <v>5.4450757575757569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11.969503012048191</v>
      </c>
      <c r="AO24">
        <v>9.5960519879689237</v>
      </c>
      <c r="AP24">
        <v>71.648023144555538</v>
      </c>
      <c r="AQ24">
        <v>47.152024012291292</v>
      </c>
      <c r="AR24">
        <v>8.7568476115395377</v>
      </c>
      <c r="AS24">
        <v>47.365463018906901</v>
      </c>
      <c r="AT24">
        <v>5.8971967545938</v>
      </c>
      <c r="AU24">
        <v>3.4085476480778318</v>
      </c>
      <c r="AV24"/>
      <c r="AW24"/>
      <c r="FY24" s="212">
        <v>19</v>
      </c>
      <c r="FZ24">
        <v>0.23348428801880633</v>
      </c>
      <c r="GA24">
        <v>2.5921843717017055</v>
      </c>
      <c r="GB24">
        <v>3.8077411599439426</v>
      </c>
      <c r="GC24">
        <v>1.4186427837766284</v>
      </c>
      <c r="GD24">
        <v>1.4042513531885141</v>
      </c>
      <c r="GE24">
        <v>4.8213347354273903</v>
      </c>
      <c r="GF24">
        <v>4.1183674600182973</v>
      </c>
      <c r="GG24">
        <v>0.59378811493839145</v>
      </c>
      <c r="GH24">
        <v>0.89198034299843787</v>
      </c>
      <c r="GI24">
        <v>2.9463282649152873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41.223819073083774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33.411319073083774</v>
      </c>
      <c r="J25" s="18">
        <f t="shared" si="13"/>
        <v>0</v>
      </c>
      <c r="K25" s="18">
        <f t="shared" si="13"/>
        <v>2.6041666666666665</v>
      </c>
      <c r="L25" s="18">
        <f t="shared" si="13"/>
        <v>1.0416666666666665</v>
      </c>
      <c r="M25" s="18">
        <f t="shared" si="13"/>
        <v>2.083333333333333</v>
      </c>
      <c r="N25" s="18">
        <f t="shared" si="13"/>
        <v>1.5624999999999998</v>
      </c>
      <c r="O25" s="18">
        <f t="shared" si="13"/>
        <v>0.52083333333333326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10.927083333333332</v>
      </c>
      <c r="AO25">
        <v>8.5447393022335731</v>
      </c>
      <c r="AP25">
        <v>36.485101117297845</v>
      </c>
      <c r="AQ25">
        <v>44.674128747262309</v>
      </c>
      <c r="AR25">
        <v>7.8868970319779281</v>
      </c>
      <c r="AS25">
        <v>45.137894084216526</v>
      </c>
      <c r="AT25">
        <v>5.0164329652098338</v>
      </c>
      <c r="AU25">
        <v>-1.1370533421623332</v>
      </c>
      <c r="AV25"/>
      <c r="AW25"/>
      <c r="FY25" s="212">
        <v>20</v>
      </c>
      <c r="FZ25">
        <v>6.4142002218326954</v>
      </c>
      <c r="GA25">
        <v>10.481080081336046</v>
      </c>
      <c r="GB25">
        <v>4.5418899085102904</v>
      </c>
      <c r="GC25">
        <v>2.3309182519964891</v>
      </c>
      <c r="GD25">
        <v>1.9733504162483653</v>
      </c>
      <c r="GE25">
        <v>3.8061731748570082</v>
      </c>
      <c r="GF25">
        <v>13.168634110367346</v>
      </c>
      <c r="GG25">
        <v>12.990874852052444</v>
      </c>
      <c r="GH25">
        <v>0.97954396082822204</v>
      </c>
      <c r="GI25">
        <v>7.1244030552493163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35.494652406417117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29.24465240641711</v>
      </c>
      <c r="J26" s="18">
        <f t="shared" si="14"/>
        <v>0</v>
      </c>
      <c r="K26" s="18">
        <f t="shared" si="14"/>
        <v>1.0416666666666665</v>
      </c>
      <c r="L26" s="18">
        <f t="shared" si="14"/>
        <v>1.0416666666666665</v>
      </c>
      <c r="M26" s="18">
        <f t="shared" si="14"/>
        <v>0.52083333333333326</v>
      </c>
      <c r="N26" s="18">
        <f t="shared" si="14"/>
        <v>2.6041666666666665</v>
      </c>
      <c r="O26" s="18">
        <f t="shared" si="14"/>
        <v>0.52083333333333326</v>
      </c>
      <c r="P26" s="18">
        <f t="shared" si="14"/>
        <v>0.52083333333333326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14.444112233246708</v>
      </c>
      <c r="AO26">
        <v>9.4448360828002773</v>
      </c>
      <c r="AP26">
        <v>54.036938137905551</v>
      </c>
      <c r="AQ26">
        <v>43.963874815104504</v>
      </c>
      <c r="AR26">
        <v>8.6532313088255819</v>
      </c>
      <c r="AS26">
        <v>43.207347357730391</v>
      </c>
      <c r="AT26">
        <v>5.8299477515654585</v>
      </c>
      <c r="AU26">
        <v>5.1661861230139969</v>
      </c>
      <c r="AV26"/>
      <c r="AW26"/>
      <c r="FY26" s="212">
        <v>21</v>
      </c>
      <c r="FZ26">
        <v>3.4675355413837017</v>
      </c>
      <c r="GA26">
        <v>5.2466701954136479</v>
      </c>
      <c r="GB26">
        <v>6.5376151124239934</v>
      </c>
      <c r="GC26">
        <v>3.3691192988466474</v>
      </c>
      <c r="GD26">
        <v>0.7818569696764438</v>
      </c>
      <c r="GE26">
        <v>2.7975918580296431</v>
      </c>
      <c r="GF26">
        <v>11.855370581304761</v>
      </c>
      <c r="GG26">
        <v>10.28754886512384</v>
      </c>
      <c r="GH26">
        <v>0.91461931012559694</v>
      </c>
      <c r="GI26">
        <v>5.9521229920839342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5.7291666666666661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</v>
      </c>
      <c r="J27" s="18">
        <f t="shared" si="15"/>
        <v>0</v>
      </c>
      <c r="K27" s="18">
        <f t="shared" si="15"/>
        <v>0</v>
      </c>
      <c r="L27" s="18">
        <f t="shared" si="15"/>
        <v>1.0416666666666665</v>
      </c>
      <c r="M27" s="18">
        <f t="shared" si="15"/>
        <v>1.0416666666666665</v>
      </c>
      <c r="N27" s="18">
        <f t="shared" si="15"/>
        <v>1.5625</v>
      </c>
      <c r="O27" s="18">
        <f t="shared" si="15"/>
        <v>0</v>
      </c>
      <c r="P27" s="18">
        <f t="shared" si="15"/>
        <v>2.083333333333333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16.915581443420741</v>
      </c>
      <c r="AO27">
        <v>9.6844529925567748</v>
      </c>
      <c r="AP27">
        <v>42.305182403846061</v>
      </c>
      <c r="AQ27">
        <v>52.124658338629175</v>
      </c>
      <c r="AR27">
        <v>8.8993294412920587</v>
      </c>
      <c r="AS27">
        <v>47.191866253538493</v>
      </c>
      <c r="AT27">
        <v>4.7109979033309983</v>
      </c>
      <c r="AU27">
        <v>20.056043553386203</v>
      </c>
      <c r="AV27"/>
      <c r="AW27"/>
      <c r="FY27" s="212">
        <v>22</v>
      </c>
      <c r="FZ27">
        <v>3.367131385694714</v>
      </c>
      <c r="GA27">
        <v>5.9961251397484006</v>
      </c>
      <c r="GB27">
        <v>8.6487743677675795</v>
      </c>
      <c r="GC27">
        <v>4.2762658538802611</v>
      </c>
      <c r="GD27">
        <v>0.54339783467899228</v>
      </c>
      <c r="GE27">
        <v>1.2796872960525332</v>
      </c>
      <c r="GF27">
        <v>2.4371462011712057</v>
      </c>
      <c r="GG27">
        <v>3.5491196350971563</v>
      </c>
      <c r="GH27">
        <v>4.4123905172926561</v>
      </c>
      <c r="GI27">
        <v>4.2880692722060729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8.8541666666666661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0</v>
      </c>
      <c r="J28" s="18">
        <f t="shared" si="15"/>
        <v>1.5625</v>
      </c>
      <c r="K28" s="18">
        <f t="shared" si="15"/>
        <v>0</v>
      </c>
      <c r="L28" s="18">
        <f t="shared" si="15"/>
        <v>2.083333333333333</v>
      </c>
      <c r="M28" s="18">
        <f t="shared" si="15"/>
        <v>2.083333333333333</v>
      </c>
      <c r="N28" s="18">
        <f t="shared" si="15"/>
        <v>1.5625</v>
      </c>
      <c r="O28" s="18">
        <f t="shared" si="15"/>
        <v>0</v>
      </c>
      <c r="P28" s="18">
        <f t="shared" si="15"/>
        <v>1.5625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16.231553665642963</v>
      </c>
      <c r="AO28">
        <v>9.2327727755212035</v>
      </c>
      <c r="AP28">
        <v>64.171871780525748</v>
      </c>
      <c r="AQ28">
        <v>52.166072617359234</v>
      </c>
      <c r="AR28">
        <v>8.4649785106324806</v>
      </c>
      <c r="AS28">
        <v>40.78253477244305</v>
      </c>
      <c r="AT28">
        <v>4.3950095077821834</v>
      </c>
      <c r="AU28">
        <v>1.4989681464746778</v>
      </c>
      <c r="AV28"/>
      <c r="AW28"/>
      <c r="FY28" s="212">
        <v>23</v>
      </c>
      <c r="FZ28">
        <v>0.16353460468009795</v>
      </c>
      <c r="GA28">
        <v>1.9542265846466935</v>
      </c>
      <c r="GB28">
        <v>6.3608083074560691</v>
      </c>
      <c r="GC28">
        <v>3.6517561741810791</v>
      </c>
      <c r="GD28">
        <v>0.98001954700016547</v>
      </c>
      <c r="GE28">
        <v>3.4841067215559249</v>
      </c>
      <c r="GF28">
        <v>8.6288429171388472</v>
      </c>
      <c r="GG28">
        <v>5.4698412879364131</v>
      </c>
      <c r="GH28">
        <v>2.095871174091795</v>
      </c>
      <c r="GI28">
        <v>4.6180497007003334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8.3333333333333321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2.083333333333333</v>
      </c>
      <c r="K29" s="18">
        <f t="shared" si="15"/>
        <v>0.52083333333333326</v>
      </c>
      <c r="L29" s="18">
        <f t="shared" si="15"/>
        <v>2.6041666666666665</v>
      </c>
      <c r="M29" s="18">
        <f t="shared" si="15"/>
        <v>1.5624999999999998</v>
      </c>
      <c r="N29" s="18">
        <f t="shared" si="15"/>
        <v>1.5625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10.549364123159304</v>
      </c>
      <c r="AO29">
        <v>5.0090702652000711</v>
      </c>
      <c r="AP29">
        <v>25.71936315966073</v>
      </c>
      <c r="AQ29">
        <v>26.868673991555173</v>
      </c>
      <c r="AR29">
        <v>4.5971036049746337</v>
      </c>
      <c r="AS29">
        <v>25.758415757429376</v>
      </c>
      <c r="AT29">
        <v>2.2410114575833879</v>
      </c>
      <c r="AU29">
        <v>3.4564245692513009</v>
      </c>
      <c r="AV29"/>
      <c r="AW29"/>
      <c r="FY29" s="212">
        <v>24</v>
      </c>
      <c r="FZ29">
        <v>6.6296030325752007</v>
      </c>
      <c r="GA29">
        <v>10.822652552951181</v>
      </c>
      <c r="GB29">
        <v>8.6643233103547388</v>
      </c>
      <c r="GC29">
        <v>4.061955792694965</v>
      </c>
      <c r="GD29">
        <v>0.86952321813183686</v>
      </c>
      <c r="GE29">
        <v>3.7723215072968728</v>
      </c>
      <c r="GF29">
        <v>11.716825354986089</v>
      </c>
      <c r="GG29">
        <v>9.3161014119111485</v>
      </c>
      <c r="GH29">
        <v>3.0784715579325894</v>
      </c>
      <c r="GI29">
        <v>7.0472870309267126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20.075571895424837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0</v>
      </c>
      <c r="I30" s="18">
        <f t="shared" si="16"/>
        <v>8.8697638146167552</v>
      </c>
      <c r="J30" s="18">
        <f t="shared" si="16"/>
        <v>2.9861111111111112</v>
      </c>
      <c r="K30" s="18">
        <f t="shared" si="16"/>
        <v>1.458333333333333</v>
      </c>
      <c r="L30" s="18">
        <f t="shared" si="16"/>
        <v>2.2348484848484844</v>
      </c>
      <c r="M30" s="18">
        <f t="shared" si="16"/>
        <v>1.6666666666666665</v>
      </c>
      <c r="N30" s="18">
        <f t="shared" si="16"/>
        <v>1.9223484848484849</v>
      </c>
      <c r="O30" s="18">
        <f t="shared" si="16"/>
        <v>0.31249999999999994</v>
      </c>
      <c r="P30" s="18">
        <f t="shared" si="16"/>
        <v>0.41666666666666663</v>
      </c>
      <c r="Q30" s="18">
        <f t="shared" si="16"/>
        <v>0.20833333333333331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12.382697456492638</v>
      </c>
      <c r="AO30">
        <v>9.1169779650599914</v>
      </c>
      <c r="AP30">
        <v>47.54038878560425</v>
      </c>
      <c r="AQ30">
        <v>46.514918682324264</v>
      </c>
      <c r="AR30">
        <v>8.4581958233768049</v>
      </c>
      <c r="AS30">
        <v>44.626586430492601</v>
      </c>
      <c r="AT30">
        <v>5.5656152513346973</v>
      </c>
      <c r="AU30">
        <v>3.7417590051004375</v>
      </c>
      <c r="AV30"/>
      <c r="AW30"/>
      <c r="FY30" s="212">
        <v>25</v>
      </c>
      <c r="FZ30">
        <v>0.27501357784192287</v>
      </c>
      <c r="GA30">
        <v>3.5882753977703232</v>
      </c>
      <c r="GB30">
        <v>8.5082971968182655</v>
      </c>
      <c r="GC30">
        <v>3.632488024596602</v>
      </c>
      <c r="GD30">
        <v>1.3387974700855798</v>
      </c>
      <c r="GE30">
        <v>3.997081955283746</v>
      </c>
      <c r="GF30">
        <v>6.0153753743679541</v>
      </c>
      <c r="GG30">
        <v>4.5567773949039285</v>
      </c>
      <c r="GH30">
        <v>2.5741515569281779</v>
      </c>
      <c r="GI30">
        <v>5.0404254902479861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22.037990196078432</v>
      </c>
      <c r="AO31">
        <v>11.29889254426377</v>
      </c>
      <c r="AP31">
        <v>80.345203764314704</v>
      </c>
      <c r="AQ31">
        <v>61.378885112633995</v>
      </c>
      <c r="AR31">
        <v>10.315685377817628</v>
      </c>
      <c r="AS31">
        <v>55.979201723293635</v>
      </c>
      <c r="AT31">
        <v>5.5363354506497968</v>
      </c>
      <c r="AU31">
        <v>35.853394154528097</v>
      </c>
      <c r="AV31"/>
      <c r="AW31"/>
      <c r="FY31" s="212">
        <v>26</v>
      </c>
      <c r="FZ31">
        <v>0.40809371017174184</v>
      </c>
      <c r="GA31">
        <v>3.2419065054358684</v>
      </c>
      <c r="GB31">
        <v>5.8221176018397269</v>
      </c>
      <c r="GC31">
        <v>3.1281552990466208</v>
      </c>
      <c r="GD31">
        <v>1.1091225986245965</v>
      </c>
      <c r="GE31">
        <v>2.5706303837015905</v>
      </c>
      <c r="GF31">
        <v>7.8687519597881455</v>
      </c>
      <c r="GG31">
        <v>5.8202751873172014</v>
      </c>
      <c r="GH31">
        <v>1.9908405293291542</v>
      </c>
      <c r="GI31">
        <v>4.5418143078695428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21.406045751633986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13.630859221198516</v>
      </c>
      <c r="AO32">
        <v>5.9738961508023127</v>
      </c>
      <c r="AP32">
        <v>34.901980617959957</v>
      </c>
      <c r="AQ32">
        <v>32.749476337193769</v>
      </c>
      <c r="AR32">
        <v>5.4750101388945112</v>
      </c>
      <c r="AS32">
        <v>33.951265119813364</v>
      </c>
      <c r="AT32">
        <v>2.85048517682216</v>
      </c>
      <c r="AU32">
        <v>10.089724673175121</v>
      </c>
      <c r="AV32"/>
      <c r="AW32"/>
      <c r="FY32" s="212">
        <v>27</v>
      </c>
      <c r="FZ32">
        <v>3.4481558865062603</v>
      </c>
      <c r="GA32">
        <v>9.6086178101387496</v>
      </c>
      <c r="GB32">
        <v>11.143555304292462</v>
      </c>
      <c r="GC32">
        <v>4.3143223305734697</v>
      </c>
      <c r="GD32">
        <v>1.745392371487374</v>
      </c>
      <c r="GE32">
        <v>6.4111502948311596</v>
      </c>
      <c r="GF32">
        <v>13.709327555464196</v>
      </c>
      <c r="GG32">
        <v>10.132458551938042</v>
      </c>
      <c r="GH32">
        <v>2.4952373161146628</v>
      </c>
      <c r="GI32">
        <v>8.529941277875233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17.891275887865184</v>
      </c>
      <c r="AO33">
        <v>10.936982079134349</v>
      </c>
      <c r="AP33">
        <v>74.9361026130601</v>
      </c>
      <c r="AQ33">
        <v>57.151578347053054</v>
      </c>
      <c r="AR33">
        <v>10.120962170741395</v>
      </c>
      <c r="AS33">
        <v>49.836873465699334</v>
      </c>
      <c r="AT33">
        <v>6.3011581890713986</v>
      </c>
      <c r="AU33">
        <v>6.2810989167530078</v>
      </c>
      <c r="AV33"/>
      <c r="AW33"/>
      <c r="FY33" s="212">
        <v>28</v>
      </c>
      <c r="FZ33">
        <v>3.2848087072820276</v>
      </c>
      <c r="GA33">
        <v>6.3739276922723338</v>
      </c>
      <c r="GB33">
        <v>4.8468710221487523</v>
      </c>
      <c r="GC33">
        <v>2.7300038421218771</v>
      </c>
      <c r="GD33">
        <v>1.9724480309201513</v>
      </c>
      <c r="GE33">
        <v>5.4616901741784947</v>
      </c>
      <c r="GF33">
        <v>13.264126199695609</v>
      </c>
      <c r="GG33">
        <v>9.58938499842718</v>
      </c>
      <c r="GH33">
        <v>1.419888839254372</v>
      </c>
      <c r="GI33">
        <v>6.5746310674557851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16.228081443420741</v>
      </c>
      <c r="AO34">
        <v>9.3837654022554915</v>
      </c>
      <c r="AP34">
        <v>60.163777634589202</v>
      </c>
      <c r="AQ34">
        <v>51.679073950857479</v>
      </c>
      <c r="AR34">
        <v>8.5996047233128952</v>
      </c>
      <c r="AS34">
        <v>44.10369371079009</v>
      </c>
      <c r="AT34">
        <v>4.5719024234048371</v>
      </c>
      <c r="AU34">
        <v>8.5109903601527304</v>
      </c>
      <c r="AV34"/>
      <c r="AW34"/>
      <c r="FY34" s="212">
        <v>29</v>
      </c>
      <c r="FZ34">
        <v>3.284621281826162</v>
      </c>
      <c r="GA34">
        <v>6.9999153581846576</v>
      </c>
      <c r="GB34">
        <v>4.431710597524491</v>
      </c>
      <c r="GC34">
        <v>1.8730969371725079</v>
      </c>
      <c r="GD34">
        <v>1.1701918868370356</v>
      </c>
      <c r="GE34">
        <v>4.0505040221552635</v>
      </c>
      <c r="GF34">
        <v>6.0465483209475002</v>
      </c>
      <c r="GG34">
        <v>4.1728371209939752</v>
      </c>
      <c r="GH34">
        <v>3.0129682238480422</v>
      </c>
      <c r="GI34">
        <v>4.2086273684550859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8.7638888888888893</v>
      </c>
      <c r="AO35">
        <v>4.5570598335703814</v>
      </c>
      <c r="AP35">
        <v>47.666783557532398</v>
      </c>
      <c r="AQ35">
        <v>22.828102874927399</v>
      </c>
      <c r="AR35">
        <v>4.2520908136302324</v>
      </c>
      <c r="AS35">
        <v>25.812199229927238</v>
      </c>
      <c r="AT35" t="e">
        <v>#DIV/0!</v>
      </c>
      <c r="AU35" t="e">
        <v>#DIV/0!</v>
      </c>
      <c r="AV35"/>
      <c r="AW35"/>
      <c r="FY35" s="212">
        <v>30</v>
      </c>
      <c r="FZ35">
        <v>0.32799253604960715</v>
      </c>
      <c r="GA35">
        <v>4.5935843393556857</v>
      </c>
      <c r="GB35">
        <v>7.1627470098929118</v>
      </c>
      <c r="GC35">
        <v>3.5017470777128574</v>
      </c>
      <c r="GD35">
        <v>2.0348904914922876</v>
      </c>
      <c r="GE35">
        <v>3.1494437827584596</v>
      </c>
      <c r="GF35">
        <v>7.9127485603457401</v>
      </c>
      <c r="GG35">
        <v>8.41530380449157</v>
      </c>
      <c r="GH35">
        <v>1.3961215171413901</v>
      </c>
      <c r="GI35">
        <v>5.5338617399954426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1.6033136695055734E-4</v>
      </c>
      <c r="H36" s="59">
        <f t="shared" ref="H36:AK36" si="17">(1-($A$43/100))*($A$39*(H35^$A$41))</f>
        <v>1.7643399999999999E-3</v>
      </c>
      <c r="I36" s="59">
        <f t="shared" si="17"/>
        <v>1.9415387611333396E-2</v>
      </c>
      <c r="J36" s="59">
        <f t="shared" si="17"/>
        <v>7.8962669401822033E-2</v>
      </c>
      <c r="K36" s="59">
        <f t="shared" si="17"/>
        <v>0.21365342059825113</v>
      </c>
      <c r="L36" s="59">
        <f t="shared" si="17"/>
        <v>0.46240071322475906</v>
      </c>
      <c r="M36" s="59">
        <f t="shared" si="17"/>
        <v>0.86893163067319767</v>
      </c>
      <c r="N36" s="59">
        <f t="shared" si="17"/>
        <v>1.4812265869906192</v>
      </c>
      <c r="O36" s="59">
        <f t="shared" si="17"/>
        <v>2.35111371697195</v>
      </c>
      <c r="P36" s="59">
        <f t="shared" si="17"/>
        <v>3.5339578307250537</v>
      </c>
      <c r="Q36" s="59">
        <f t="shared" si="17"/>
        <v>5.0884121422263986</v>
      </c>
      <c r="R36" s="59">
        <f t="shared" si="17"/>
        <v>7.0762142035182416</v>
      </c>
      <c r="S36" s="59">
        <f t="shared" si="17"/>
        <v>9.5620143607627508</v>
      </c>
      <c r="T36" s="59">
        <f t="shared" si="17"/>
        <v>12.613228959633782</v>
      </c>
      <c r="U36" s="59">
        <f t="shared" si="17"/>
        <v>16.299912900368032</v>
      </c>
      <c r="V36" s="59">
        <f t="shared" si="17"/>
        <v>20.694647658350089</v>
      </c>
      <c r="W36" s="59">
        <f t="shared" si="17"/>
        <v>25.872441895175079</v>
      </c>
      <c r="X36" s="59">
        <f t="shared" si="17"/>
        <v>31.910642480438877</v>
      </c>
      <c r="Y36" s="59">
        <f t="shared" si="17"/>
        <v>38.88885423763773</v>
      </c>
      <c r="Z36" s="59">
        <f t="shared" si="17"/>
        <v>46.88886708603107</v>
      </c>
      <c r="AA36" s="59">
        <f t="shared" si="17"/>
        <v>55.994589516499502</v>
      </c>
      <c r="AB36" s="59">
        <f t="shared" si="17"/>
        <v>66.291987540796825</v>
      </c>
      <c r="AC36" s="59">
        <f t="shared" si="17"/>
        <v>77.869028408430097</v>
      </c>
      <c r="AD36" s="59">
        <f t="shared" si="17"/>
        <v>90.815628506216825</v>
      </c>
      <c r="AE36" s="59">
        <f t="shared" si="17"/>
        <v>105.22360495105548</v>
      </c>
      <c r="AF36" s="59">
        <f t="shared" si="17"/>
        <v>121.18663046281658</v>
      </c>
      <c r="AG36" s="59">
        <f t="shared" si="17"/>
        <v>138.80019116598018</v>
      </c>
      <c r="AH36" s="59">
        <f t="shared" si="17"/>
        <v>158.16154701901141</v>
      </c>
      <c r="AI36" s="59">
        <f t="shared" si="17"/>
        <v>179.36969461193365</v>
      </c>
      <c r="AJ36" s="59">
        <f t="shared" si="17"/>
        <v>202.5253321069622</v>
      </c>
      <c r="AK36" s="59">
        <f t="shared" si="17"/>
        <v>227.73082612582618</v>
      </c>
      <c r="AL36" s="42"/>
      <c r="AM36" s="43">
        <v>20</v>
      </c>
      <c r="AN36">
        <v>20.831162886841483</v>
      </c>
      <c r="AO36">
        <v>12.515604420693002</v>
      </c>
      <c r="AP36">
        <v>85.986724705846697</v>
      </c>
      <c r="AQ36">
        <v>63.811068033278225</v>
      </c>
      <c r="AR36">
        <v>11.409209214382155</v>
      </c>
      <c r="AS36">
        <v>61.302229368106438</v>
      </c>
      <c r="AT36">
        <v>6.340933283609167</v>
      </c>
      <c r="AU36">
        <v>13.470308106102534</v>
      </c>
      <c r="AV36"/>
      <c r="AW36"/>
      <c r="FY36" s="212">
        <v>31</v>
      </c>
      <c r="FZ36">
        <v>3.325414670415733</v>
      </c>
      <c r="GA36">
        <v>8.8580587701140328</v>
      </c>
      <c r="GB36">
        <v>4.8261053899393298</v>
      </c>
      <c r="GC36">
        <v>1.8499414030558086</v>
      </c>
      <c r="GD36">
        <v>1.1370942382228353</v>
      </c>
      <c r="GE36">
        <v>3.3233692359424047</v>
      </c>
      <c r="GF36">
        <v>7.8419282318833385</v>
      </c>
      <c r="GG36">
        <v>5.6885868780457951</v>
      </c>
      <c r="GH36">
        <v>2.9742752091944271</v>
      </c>
      <c r="GI36">
        <v>4.8493488213320415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8.1263674665843677</v>
      </c>
      <c r="E37" s="107">
        <f t="shared" ref="E37:E46" si="19">+D37/D21</f>
        <v>0.53802157020144792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0.21235580199895901</v>
      </c>
      <c r="J37" s="49">
        <f t="shared" si="21"/>
        <v>0.16450556125379587</v>
      </c>
      <c r="K37" s="49">
        <f t="shared" si="21"/>
        <v>0</v>
      </c>
      <c r="L37" s="49">
        <f t="shared" si="21"/>
        <v>0</v>
      </c>
      <c r="M37" s="49">
        <f t="shared" si="21"/>
        <v>0</v>
      </c>
      <c r="N37" s="49">
        <f t="shared" si="21"/>
        <v>0</v>
      </c>
      <c r="O37" s="49">
        <f t="shared" si="21"/>
        <v>2.4490767885124476</v>
      </c>
      <c r="P37" s="49">
        <f t="shared" si="21"/>
        <v>0</v>
      </c>
      <c r="Q37" s="49">
        <f t="shared" si="21"/>
        <v>5.3004293148191648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14.478834455468933</v>
      </c>
      <c r="AO37">
        <v>10.28675156434899</v>
      </c>
      <c r="AP37">
        <v>63.575656060931536</v>
      </c>
      <c r="AQ37">
        <v>51.210050724412213</v>
      </c>
      <c r="AR37">
        <v>9.3903912797783935</v>
      </c>
      <c r="AS37">
        <v>45.032478022534718</v>
      </c>
      <c r="AT37">
        <v>6.1544434582571803</v>
      </c>
      <c r="AU37">
        <v>6.4758710552915479</v>
      </c>
      <c r="AV37"/>
      <c r="AW37"/>
      <c r="FY37" s="212">
        <v>32</v>
      </c>
      <c r="FZ37">
        <v>3.2126375196527666</v>
      </c>
      <c r="GA37">
        <v>4.2658472833111061</v>
      </c>
      <c r="GB37">
        <v>3.3138080184872756</v>
      </c>
      <c r="GC37">
        <v>1.8199803900164397</v>
      </c>
      <c r="GD37">
        <v>0.47100423714964684</v>
      </c>
      <c r="GE37">
        <v>2.5969800619358328</v>
      </c>
      <c r="GF37">
        <v>6.0721652966447719</v>
      </c>
      <c r="GG37">
        <v>3.612555380584749</v>
      </c>
      <c r="GH37">
        <v>2.0571781594381804</v>
      </c>
      <c r="GI37">
        <v>3.3893245060159298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9.869367577441011</v>
      </c>
      <c r="E38" s="107">
        <f t="shared" si="19"/>
        <v>0.54140530710533541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0.14157053466597269</v>
      </c>
      <c r="J38" s="49">
        <f t="shared" si="21"/>
        <v>0.32901112250759174</v>
      </c>
      <c r="K38" s="49">
        <f t="shared" si="21"/>
        <v>0.44511129291302309</v>
      </c>
      <c r="L38" s="49">
        <f t="shared" si="21"/>
        <v>1.2041685240228099</v>
      </c>
      <c r="M38" s="49">
        <f t="shared" si="21"/>
        <v>0</v>
      </c>
      <c r="N38" s="49">
        <f t="shared" si="21"/>
        <v>0</v>
      </c>
      <c r="O38" s="49">
        <f t="shared" si="21"/>
        <v>2.4490767885124476</v>
      </c>
      <c r="P38" s="49">
        <f t="shared" si="21"/>
        <v>0</v>
      </c>
      <c r="Q38" s="49">
        <f t="shared" si="21"/>
        <v>5.3004293148191648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15.054470332309629</v>
      </c>
      <c r="AO38">
        <v>6.8748717191848829</v>
      </c>
      <c r="AP38">
        <v>40.613638528766174</v>
      </c>
      <c r="AQ38">
        <v>38.79810750358957</v>
      </c>
      <c r="AR38">
        <v>6.3533201940579538</v>
      </c>
      <c r="AS38">
        <v>43.256129741510179</v>
      </c>
      <c r="AT38">
        <v>3.2847475874219989</v>
      </c>
      <c r="AU38">
        <v>31.179408835798828</v>
      </c>
      <c r="AV38"/>
      <c r="AW38"/>
      <c r="FY38" s="212">
        <v>33</v>
      </c>
      <c r="FZ38">
        <v>0.34848294307232486</v>
      </c>
      <c r="GA38">
        <v>4.8298769783970723</v>
      </c>
      <c r="GB38">
        <v>11.678821063444566</v>
      </c>
      <c r="GC38">
        <v>5.8090595379686354</v>
      </c>
      <c r="GD38">
        <v>2.4680149204957016</v>
      </c>
      <c r="GE38">
        <v>5.8000451690875776</v>
      </c>
      <c r="GF38">
        <v>8.7324066348123353</v>
      </c>
      <c r="GG38">
        <v>7.1568692617829024</v>
      </c>
      <c r="GH38">
        <v>2.4681713840411734</v>
      </c>
      <c r="GI38">
        <v>7.2352254544333512</v>
      </c>
      <c r="GJ38"/>
      <c r="GK38"/>
      <c r="GL38"/>
      <c r="GM38"/>
    </row>
    <row r="39" spans="1:195" s="7" customFormat="1">
      <c r="A39" s="114">
        <v>1.9E-3</v>
      </c>
      <c r="B39" s="57"/>
      <c r="C39" s="48" t="s">
        <v>40</v>
      </c>
      <c r="D39" s="49">
        <f t="shared" si="18"/>
        <v>15.201541012183377</v>
      </c>
      <c r="E39" s="107">
        <f t="shared" si="19"/>
        <v>0.50693138870102039</v>
      </c>
      <c r="F39" s="18"/>
      <c r="G39" s="49">
        <f t="shared" si="20"/>
        <v>0</v>
      </c>
      <c r="H39" s="49">
        <f t="shared" si="21"/>
        <v>0</v>
      </c>
      <c r="I39" s="49">
        <f t="shared" si="21"/>
        <v>0</v>
      </c>
      <c r="J39" s="49">
        <f t="shared" si="21"/>
        <v>0.84994539981127881</v>
      </c>
      <c r="K39" s="49">
        <f t="shared" si="21"/>
        <v>0.89022258582604619</v>
      </c>
      <c r="L39" s="49">
        <f t="shared" si="21"/>
        <v>2.9994743234749994</v>
      </c>
      <c r="M39" s="49">
        <f t="shared" si="21"/>
        <v>3.167979903496033</v>
      </c>
      <c r="N39" s="49">
        <f t="shared" si="21"/>
        <v>7.2939187995750183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15.033636998976297</v>
      </c>
      <c r="AO39">
        <v>7.4759913566221998</v>
      </c>
      <c r="AP39">
        <v>38.968109293281231</v>
      </c>
      <c r="AQ39">
        <v>37.407057019387416</v>
      </c>
      <c r="AR39">
        <v>6.871643256207336</v>
      </c>
      <c r="AS39">
        <v>41.858797249859293</v>
      </c>
      <c r="AT39">
        <v>3.9138040549761324</v>
      </c>
      <c r="AU39">
        <v>12.175149918658736</v>
      </c>
      <c r="AV39"/>
      <c r="AW39"/>
      <c r="FY39" s="212">
        <v>34</v>
      </c>
      <c r="FZ39">
        <v>0.17368609546352431</v>
      </c>
      <c r="GA39">
        <v>2.7274882793111406</v>
      </c>
      <c r="GB39">
        <v>9.3529389034034764</v>
      </c>
      <c r="GC39">
        <v>4.9034159399301114</v>
      </c>
      <c r="GD39">
        <v>1.0759891976392371</v>
      </c>
      <c r="GE39">
        <v>2.0807518140740711</v>
      </c>
      <c r="GF39">
        <v>3.5598221210722936</v>
      </c>
      <c r="GG39">
        <v>3.1029992660002703</v>
      </c>
      <c r="GH39">
        <v>2.9467729059493051</v>
      </c>
      <c r="GI39">
        <v>4.3375445383349609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15.931664405710222</v>
      </c>
      <c r="E40" s="107">
        <f t="shared" si="19"/>
        <v>0.51344367077609343</v>
      </c>
      <c r="F40" s="18"/>
      <c r="G40" s="49">
        <f t="shared" si="20"/>
        <v>0</v>
      </c>
      <c r="H40" s="49">
        <f t="shared" si="21"/>
        <v>0</v>
      </c>
      <c r="I40" s="49">
        <f t="shared" si="21"/>
        <v>8.089744838055582E-2</v>
      </c>
      <c r="J40" s="49">
        <f t="shared" si="21"/>
        <v>0.68543983855748292</v>
      </c>
      <c r="K40" s="49">
        <f t="shared" si="21"/>
        <v>0.77894476259779055</v>
      </c>
      <c r="L40" s="49">
        <f t="shared" si="21"/>
        <v>1.7953057994521893</v>
      </c>
      <c r="M40" s="49">
        <f t="shared" si="21"/>
        <v>4.5256855764229043</v>
      </c>
      <c r="N40" s="49">
        <f t="shared" si="21"/>
        <v>8.0653909802992985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18.967664776754077</v>
      </c>
      <c r="AO40">
        <v>11.840730432753155</v>
      </c>
      <c r="AP40">
        <v>79.964866268126443</v>
      </c>
      <c r="AQ40">
        <v>65.979064769761322</v>
      </c>
      <c r="AR40">
        <v>10.877736870060692</v>
      </c>
      <c r="AS40">
        <v>58.414073951756791</v>
      </c>
      <c r="AT40">
        <v>6.2011424485152729</v>
      </c>
      <c r="AU40">
        <v>16.374856315072176</v>
      </c>
      <c r="AV40"/>
      <c r="AW40"/>
      <c r="FY40" s="212">
        <v>35</v>
      </c>
      <c r="FZ40">
        <v>3.3547583906207352</v>
      </c>
      <c r="GA40">
        <v>5.7695903253009631</v>
      </c>
      <c r="GB40">
        <v>5.8581536659266931</v>
      </c>
      <c r="GC40">
        <v>3.3537952029888691</v>
      </c>
      <c r="GD40">
        <v>1.111392452721969</v>
      </c>
      <c r="GE40">
        <v>3.8290985283780277</v>
      </c>
      <c r="GF40">
        <v>10.377554348134161</v>
      </c>
      <c r="GG40">
        <v>6.2476288037295387</v>
      </c>
      <c r="GH40">
        <v>0.76195221473172836</v>
      </c>
      <c r="GI40">
        <v>5.3436148183367891</v>
      </c>
      <c r="GJ40"/>
      <c r="GK40"/>
      <c r="GL40"/>
      <c r="GM40"/>
    </row>
    <row r="41" spans="1:195" s="7" customFormat="1">
      <c r="A41" s="114">
        <v>3.46</v>
      </c>
      <c r="B41" s="57"/>
      <c r="C41" s="48" t="s">
        <v>42</v>
      </c>
      <c r="D41" s="49">
        <f t="shared" si="18"/>
        <v>7.0359794031584881</v>
      </c>
      <c r="E41" s="107">
        <f t="shared" si="19"/>
        <v>0.17067752482332435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0.6486937104098579</v>
      </c>
      <c r="J41" s="49">
        <f t="shared" si="22"/>
        <v>0</v>
      </c>
      <c r="K41" s="49">
        <f t="shared" si="22"/>
        <v>0.55638911614127895</v>
      </c>
      <c r="L41" s="49">
        <f t="shared" si="22"/>
        <v>0.48166740960912396</v>
      </c>
      <c r="M41" s="49">
        <f t="shared" si="22"/>
        <v>1.8102742305691615</v>
      </c>
      <c r="N41" s="49">
        <f t="shared" si="22"/>
        <v>2.3144165421728422</v>
      </c>
      <c r="O41" s="49">
        <f t="shared" si="22"/>
        <v>1.2245383942562238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18.178717320261434</v>
      </c>
      <c r="AO41">
        <v>8.0994694638652938</v>
      </c>
      <c r="AP41">
        <v>54.513857286495465</v>
      </c>
      <c r="AQ41">
        <v>39.526683438844479</v>
      </c>
      <c r="AR41">
        <v>7.5131931348504235</v>
      </c>
      <c r="AS41">
        <v>44.890888222558004</v>
      </c>
      <c r="AT41">
        <v>4.1616915011448299</v>
      </c>
      <c r="AU41">
        <v>13.719300285395187</v>
      </c>
      <c r="AV41"/>
      <c r="AW41"/>
      <c r="FY41" s="212">
        <v>36</v>
      </c>
      <c r="FZ41">
        <v>6.6510167662873307</v>
      </c>
      <c r="GA41">
        <v>10.192972562009501</v>
      </c>
      <c r="GB41">
        <v>6.561882626962352</v>
      </c>
      <c r="GC41">
        <v>3.4383911008095476</v>
      </c>
      <c r="GD41">
        <v>1.1577367685199762</v>
      </c>
      <c r="GE41">
        <v>4.0795828022415792</v>
      </c>
      <c r="GF41">
        <v>6.8953367310736997</v>
      </c>
      <c r="GG41">
        <v>4.3365676874551156</v>
      </c>
      <c r="GH41">
        <v>4.1533068778401496</v>
      </c>
      <c r="GI41">
        <v>5.4526721718446884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8.6470902104508198</v>
      </c>
      <c r="E42" s="107">
        <f t="shared" si="19"/>
        <v>0.24361670348087427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0.56779626202930211</v>
      </c>
      <c r="J42" s="49">
        <f t="shared" si="22"/>
        <v>0</v>
      </c>
      <c r="K42" s="49">
        <f t="shared" si="22"/>
        <v>0.22255564645651155</v>
      </c>
      <c r="L42" s="49">
        <f t="shared" si="22"/>
        <v>0.48166740960912396</v>
      </c>
      <c r="M42" s="49">
        <f t="shared" si="22"/>
        <v>0.45256855764229037</v>
      </c>
      <c r="N42" s="49">
        <f t="shared" si="22"/>
        <v>3.8573609036214038</v>
      </c>
      <c r="O42" s="49">
        <f t="shared" si="22"/>
        <v>1.2245383942562238</v>
      </c>
      <c r="P42" s="49">
        <f t="shared" si="22"/>
        <v>1.8406030368359652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14.203022875816993</v>
      </c>
      <c r="AO42">
        <v>7.3578446259616497</v>
      </c>
      <c r="AP42">
        <v>36.252885429393132</v>
      </c>
      <c r="AQ42">
        <v>36.501708083124186</v>
      </c>
      <c r="AR42">
        <v>6.850072289745337</v>
      </c>
      <c r="AS42">
        <v>42.981923451056623</v>
      </c>
      <c r="AT42">
        <v>4.1800755162877712</v>
      </c>
      <c r="AU42">
        <v>19.223001736386617</v>
      </c>
      <c r="AV42"/>
      <c r="AW42"/>
      <c r="FY42" s="212">
        <v>37</v>
      </c>
      <c r="FZ42">
        <v>3.6199953285909618</v>
      </c>
      <c r="GA42">
        <v>9.0422166222735054</v>
      </c>
      <c r="GB42">
        <v>8.5064447338579825</v>
      </c>
      <c r="GC42">
        <v>4.0306335033787208</v>
      </c>
      <c r="GD42">
        <v>1.935992826487535</v>
      </c>
      <c r="GE42">
        <v>5.3421354720980787</v>
      </c>
      <c r="GF42">
        <v>8.6254074453685252</v>
      </c>
      <c r="GG42">
        <v>5.0958079819996787</v>
      </c>
      <c r="GH42">
        <v>1.9244644529013397</v>
      </c>
      <c r="GI42">
        <v>6.2849400731223195</v>
      </c>
      <c r="GJ42"/>
      <c r="GK42"/>
      <c r="GL42"/>
      <c r="GM42"/>
    </row>
    <row r="43" spans="1:195" s="7" customFormat="1">
      <c r="A43" s="95">
        <v>7.14</v>
      </c>
      <c r="B43" s="1"/>
      <c r="C43" s="48" t="s">
        <v>119</v>
      </c>
      <c r="D43" s="49">
        <f>IF(SUM(G43:AK43)&lt;0.0001, 0, SUM(G43:AK43))</f>
        <v>11.063633214410407</v>
      </c>
      <c r="E43" s="107">
        <f t="shared" si="19"/>
        <v>1.931106888333453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0</v>
      </c>
      <c r="J43" s="49">
        <f t="shared" si="22"/>
        <v>0</v>
      </c>
      <c r="K43" s="49">
        <f t="shared" si="22"/>
        <v>0</v>
      </c>
      <c r="L43" s="49">
        <f t="shared" si="22"/>
        <v>0.48166740960912396</v>
      </c>
      <c r="M43" s="49">
        <f t="shared" si="22"/>
        <v>0.90513711528458074</v>
      </c>
      <c r="N43" s="49">
        <f t="shared" si="22"/>
        <v>2.3144165421728422</v>
      </c>
      <c r="O43" s="49">
        <f t="shared" si="22"/>
        <v>0</v>
      </c>
      <c r="P43" s="49">
        <f t="shared" si="22"/>
        <v>7.3624121473438606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21.679470332309631</v>
      </c>
      <c r="AO43">
        <v>14.303895540103351</v>
      </c>
      <c r="AP43">
        <v>87.922850685745416</v>
      </c>
      <c r="AQ43">
        <v>71.538158699221611</v>
      </c>
      <c r="AR43">
        <v>13.19656563610706</v>
      </c>
      <c r="AS43">
        <v>72.901961530709627</v>
      </c>
      <c r="AT43">
        <v>7.8871865217137609</v>
      </c>
      <c r="AU43">
        <v>28.694535144601232</v>
      </c>
      <c r="AV43"/>
      <c r="AW43"/>
      <c r="FY43" s="212">
        <v>38</v>
      </c>
      <c r="FZ43">
        <v>0.19398907703037704</v>
      </c>
      <c r="GA43">
        <v>3.5970329003817918</v>
      </c>
      <c r="GB43">
        <v>6.4762911200368158</v>
      </c>
      <c r="GC43">
        <v>3.2591777315487995</v>
      </c>
      <c r="GD43">
        <v>2.6553565094652054</v>
      </c>
      <c r="GE43">
        <v>5.8916296248701983</v>
      </c>
      <c r="GF43">
        <v>11.290769413265405</v>
      </c>
      <c r="GG43">
        <v>10.434415859111841</v>
      </c>
      <c r="GH43">
        <v>1.9529818107000176</v>
      </c>
      <c r="GI43">
        <v>6.7880321710339118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10.733213873408495</v>
      </c>
      <c r="E44" s="107">
        <f t="shared" si="19"/>
        <v>1.2122218021731948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</v>
      </c>
      <c r="J44" s="49">
        <f t="shared" si="23"/>
        <v>0.12337917094034692</v>
      </c>
      <c r="K44" s="49">
        <f t="shared" si="23"/>
        <v>0</v>
      </c>
      <c r="L44" s="49">
        <f t="shared" si="23"/>
        <v>0.96333481921824793</v>
      </c>
      <c r="M44" s="49">
        <f t="shared" si="23"/>
        <v>1.8102742305691615</v>
      </c>
      <c r="N44" s="49">
        <f t="shared" si="23"/>
        <v>2.3144165421728422</v>
      </c>
      <c r="O44" s="49">
        <f t="shared" si="23"/>
        <v>0</v>
      </c>
      <c r="P44" s="49">
        <f t="shared" si="23"/>
        <v>5.5218091105078964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12.577141900937081</v>
      </c>
      <c r="AO44">
        <v>11.158050159691779</v>
      </c>
      <c r="AP44">
        <v>55.189492099197622</v>
      </c>
      <c r="AQ44">
        <v>55.517780573756575</v>
      </c>
      <c r="AR44">
        <v>10.221492750359447</v>
      </c>
      <c r="AS44">
        <v>51.652652997194835</v>
      </c>
      <c r="AT44">
        <v>6.4992467977678672</v>
      </c>
      <c r="AU44">
        <v>7.3249398637942154</v>
      </c>
      <c r="AV44"/>
      <c r="AW44"/>
      <c r="FY44" s="212">
        <v>39</v>
      </c>
      <c r="FZ44">
        <v>6.5576192704018057</v>
      </c>
      <c r="GA44">
        <v>9.174583449046434</v>
      </c>
      <c r="GB44">
        <v>9.1051038996873181</v>
      </c>
      <c r="GC44">
        <v>4.8063912645580302</v>
      </c>
      <c r="GD44">
        <v>1.9284055886860592</v>
      </c>
      <c r="GE44">
        <v>5.1964978370627115</v>
      </c>
      <c r="GF44">
        <v>7.6632476248007793</v>
      </c>
      <c r="GG44">
        <v>4.6621623655544724</v>
      </c>
      <c r="GH44">
        <v>1.8717818481368342</v>
      </c>
      <c r="GI44">
        <v>6.7883293410699661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5.1520741236045753</v>
      </c>
      <c r="E45" s="107">
        <f t="shared" si="19"/>
        <v>0.61824889483254908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0.16450556125379587</v>
      </c>
      <c r="K45" s="49">
        <f t="shared" si="24"/>
        <v>0.11127782322825577</v>
      </c>
      <c r="L45" s="49">
        <f t="shared" si="24"/>
        <v>1.2041685240228099</v>
      </c>
      <c r="M45" s="49">
        <f t="shared" si="24"/>
        <v>1.3577056729268713</v>
      </c>
      <c r="N45" s="49">
        <f t="shared" si="24"/>
        <v>2.3144165421728422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10.708333333333332</v>
      </c>
      <c r="AO45">
        <v>6.8918395713831089</v>
      </c>
      <c r="AP45">
        <v>28.556846698942248</v>
      </c>
      <c r="AQ45">
        <v>39.251021117944717</v>
      </c>
      <c r="AR45">
        <v>6.3166895037900934</v>
      </c>
      <c r="AS45">
        <v>32.577420297844185</v>
      </c>
      <c r="AT45">
        <v>3.9290786362768029</v>
      </c>
      <c r="AU45">
        <v>6.5537221398792829</v>
      </c>
      <c r="AV45"/>
      <c r="AW45"/>
      <c r="FY45" s="212">
        <v>40</v>
      </c>
      <c r="FZ45">
        <v>3.3049242633930147</v>
      </c>
      <c r="GA45">
        <v>5.9252275244585872</v>
      </c>
      <c r="GB45">
        <v>6.0129444704213144</v>
      </c>
      <c r="GC45">
        <v>3.1150233803087106</v>
      </c>
      <c r="GD45">
        <v>1.2531518692576737</v>
      </c>
      <c r="GE45">
        <v>3.1712081476759479</v>
      </c>
      <c r="GF45">
        <v>6.7043860470842613</v>
      </c>
      <c r="GG45">
        <v>6.3679460276882942</v>
      </c>
      <c r="GH45">
        <v>4.3732611314674079</v>
      </c>
      <c r="GI45">
        <v>5.175155859800789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9.3159190439882433</v>
      </c>
      <c r="E46" s="107">
        <f t="shared" si="19"/>
        <v>0.46404252354630621</v>
      </c>
      <c r="F46" s="18"/>
      <c r="G46" s="49">
        <f>G30*G36</f>
        <v>0</v>
      </c>
      <c r="H46" s="49">
        <f t="shared" ref="H46:AK46" si="25">H30*H36</f>
        <v>0</v>
      </c>
      <c r="I46" s="49">
        <f t="shared" si="25"/>
        <v>0.1722099024817634</v>
      </c>
      <c r="J46" s="49">
        <f t="shared" si="25"/>
        <v>0.23579130446377414</v>
      </c>
      <c r="K46" s="49">
        <f t="shared" si="25"/>
        <v>0.31157790503911614</v>
      </c>
      <c r="L46" s="49">
        <f t="shared" si="25"/>
        <v>1.0333955333432114</v>
      </c>
      <c r="M46" s="49">
        <f t="shared" si="25"/>
        <v>1.4482193844553293</v>
      </c>
      <c r="N46" s="49">
        <f t="shared" si="25"/>
        <v>2.847433685218709</v>
      </c>
      <c r="O46" s="49">
        <f t="shared" si="25"/>
        <v>0.73472303655373428</v>
      </c>
      <c r="P46" s="49">
        <f t="shared" si="25"/>
        <v>1.4724824294687722</v>
      </c>
      <c r="Q46" s="49">
        <f t="shared" si="25"/>
        <v>1.060085862963833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17.017028899913377</v>
      </c>
      <c r="AO46">
        <v>9.1507235617338427</v>
      </c>
      <c r="AP46">
        <v>51.80298262694842</v>
      </c>
      <c r="AQ46">
        <v>44.02844085923595</v>
      </c>
      <c r="AR46">
        <v>8.3931489971522204</v>
      </c>
      <c r="AS46">
        <v>46.840964869039169</v>
      </c>
      <c r="AT46">
        <v>4.8244488247677717</v>
      </c>
      <c r="AU46">
        <v>-2.280681923579766</v>
      </c>
      <c r="AV46"/>
      <c r="AW46"/>
      <c r="FY46" s="212">
        <v>41</v>
      </c>
      <c r="FZ46">
        <v>0.28830989960531289</v>
      </c>
      <c r="GA46">
        <v>2.793206337622121</v>
      </c>
      <c r="GB46">
        <v>9.9258123380747669</v>
      </c>
      <c r="GC46">
        <v>5.0159289148157544</v>
      </c>
      <c r="GD46">
        <v>0.64076641643375754</v>
      </c>
      <c r="GE46">
        <v>1.2409332027254614</v>
      </c>
      <c r="GF46">
        <v>6.1284341709094372</v>
      </c>
      <c r="GG46">
        <v>6.3643579597203397</v>
      </c>
      <c r="GH46">
        <v>1.6552051565938966</v>
      </c>
      <c r="GI46">
        <v>4.9066509889550414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14.814133986928098</v>
      </c>
      <c r="AO47">
        <v>7.9745594772014359</v>
      </c>
      <c r="AP47">
        <v>43.137506788137514</v>
      </c>
      <c r="AQ47">
        <v>44.67412284814575</v>
      </c>
      <c r="AR47">
        <v>7.4223954139460906</v>
      </c>
      <c r="AS47">
        <v>41.627086871031288</v>
      </c>
      <c r="AT47">
        <v>4.052807124675863</v>
      </c>
      <c r="AU47">
        <v>18.22588765272787</v>
      </c>
      <c r="AV47"/>
      <c r="AW47"/>
      <c r="FY47" s="212">
        <v>42</v>
      </c>
      <c r="FZ47">
        <v>3.3252272449598674</v>
      </c>
      <c r="GA47">
        <v>5.7167965545190933</v>
      </c>
      <c r="GB47">
        <v>9.3914900775487755</v>
      </c>
      <c r="GC47">
        <v>5.1573583545629553</v>
      </c>
      <c r="GD47">
        <v>1.2048330491786199</v>
      </c>
      <c r="GE47">
        <v>4.3075678580193069</v>
      </c>
      <c r="GF47">
        <v>12.054479046034583</v>
      </c>
      <c r="GG47">
        <v>8.7869777927886155</v>
      </c>
      <c r="GH47">
        <v>3.4896436093970422</v>
      </c>
      <c r="GI47">
        <v>7.2588211965154397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10.107685033094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8.5910307898259681</v>
      </c>
      <c r="AO48">
        <v>5.6903496007549332</v>
      </c>
      <c r="AP48">
        <v>29.852517591763526</v>
      </c>
      <c r="AQ48">
        <v>30.811480853236695</v>
      </c>
      <c r="AR48">
        <v>5.2399973603687933</v>
      </c>
      <c r="AS48">
        <v>26.920008064304529</v>
      </c>
      <c r="AT48">
        <v>3.0004103738613455</v>
      </c>
      <c r="AU48">
        <v>-1.0031346373032293</v>
      </c>
      <c r="AV48"/>
      <c r="AW48"/>
      <c r="FY48" s="212">
        <v>43</v>
      </c>
      <c r="FZ48">
        <v>0.18494833839222688</v>
      </c>
      <c r="GA48">
        <v>3.6871384558695128</v>
      </c>
      <c r="GB48">
        <v>5.4524122282627712</v>
      </c>
      <c r="GC48">
        <v>2.513123406222328</v>
      </c>
      <c r="GD48">
        <v>1.2631755189965319</v>
      </c>
      <c r="GE48">
        <v>3.9470443457595898</v>
      </c>
      <c r="GF48">
        <v>6.8015791249641406</v>
      </c>
      <c r="GG48">
        <v>4.074655186251734</v>
      </c>
      <c r="GH48">
        <v>2.0842440915116689</v>
      </c>
      <c r="GI48">
        <v>4.1238646688911249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27.161904972832502</v>
      </c>
      <c r="AO49">
        <v>11.777225304944139</v>
      </c>
      <c r="AP49">
        <v>64.635561653074404</v>
      </c>
      <c r="AQ49">
        <v>56.52697334753563</v>
      </c>
      <c r="AR49">
        <v>10.766100823612732</v>
      </c>
      <c r="AS49">
        <v>56.474738362213216</v>
      </c>
      <c r="AT49">
        <v>5.8630672981261656</v>
      </c>
      <c r="AU49">
        <v>28.862256485960145</v>
      </c>
      <c r="AV49"/>
      <c r="AW49"/>
      <c r="FY49" s="212">
        <v>44</v>
      </c>
      <c r="FZ49">
        <v>0.22647762821534353</v>
      </c>
      <c r="GA49">
        <v>3.4870279691894361</v>
      </c>
      <c r="GB49">
        <v>6.8219107426079182</v>
      </c>
      <c r="GC49">
        <v>3.8839206136666378</v>
      </c>
      <c r="GD49">
        <v>1.6424870078732074</v>
      </c>
      <c r="GE49">
        <v>3.7763370991997069</v>
      </c>
      <c r="GF49">
        <v>6.9220046825944834</v>
      </c>
      <c r="GG49">
        <v>3.457256600360179</v>
      </c>
      <c r="GH49">
        <v>0.58094852006825914</v>
      </c>
      <c r="GI49">
        <v>4.5166569953626166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18.264437652571068</v>
      </c>
      <c r="AO50">
        <v>6.7627421975044157</v>
      </c>
      <c r="AP50">
        <v>34.829701721578083</v>
      </c>
      <c r="AQ50">
        <v>34.261409061178391</v>
      </c>
      <c r="AR50">
        <v>6.2550065259332168</v>
      </c>
      <c r="AS50">
        <v>36.828750351332225</v>
      </c>
      <c r="AT50">
        <v>3.6591708935496965</v>
      </c>
      <c r="AU50">
        <v>17.994560235862682</v>
      </c>
      <c r="AV50"/>
      <c r="AW50"/>
      <c r="FY50" s="212">
        <v>45</v>
      </c>
      <c r="FZ50">
        <v>3.5398941544688274</v>
      </c>
      <c r="GA50">
        <v>6.6576066260238065</v>
      </c>
      <c r="GB50">
        <v>2.5102294021951708</v>
      </c>
      <c r="GC50">
        <v>1.1216255729274693</v>
      </c>
      <c r="GD50">
        <v>0.87695569733383649</v>
      </c>
      <c r="GE50">
        <v>2.1430287069366414</v>
      </c>
      <c r="GF50">
        <v>5.5516133868910789</v>
      </c>
      <c r="GG50">
        <v>4.2386321841212578</v>
      </c>
      <c r="GH50">
        <v>1.6277028533487743</v>
      </c>
      <c r="GI50">
        <v>3.4360460675982414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17.385965430348847</v>
      </c>
      <c r="AO51">
        <v>8.9597880397691618</v>
      </c>
      <c r="AP51">
        <v>73.666903720747086</v>
      </c>
      <c r="AQ51">
        <v>46.007538750869479</v>
      </c>
      <c r="AR51">
        <v>8.231468284649571</v>
      </c>
      <c r="AS51">
        <v>46.095770245176496</v>
      </c>
      <c r="AT51">
        <v>5.4908758834908626</v>
      </c>
      <c r="AU51">
        <v>38.088713798021573</v>
      </c>
      <c r="AV51"/>
      <c r="AW51"/>
      <c r="FY51" s="212">
        <v>46</v>
      </c>
      <c r="FZ51">
        <v>3.4280403303952722</v>
      </c>
      <c r="GA51">
        <v>7.5339358567132617</v>
      </c>
      <c r="GB51">
        <v>7.3169448035527811</v>
      </c>
      <c r="GC51">
        <v>3.2329182604764211</v>
      </c>
      <c r="GD51">
        <v>0.67907120746140104</v>
      </c>
      <c r="GE51">
        <v>2.8441430701307411</v>
      </c>
      <c r="GF51">
        <v>8.4749904629022303</v>
      </c>
      <c r="GG51">
        <v>6.1070538097744063</v>
      </c>
      <c r="GH51">
        <v>1.8849371422232466</v>
      </c>
      <c r="GI51">
        <v>5.2248206990077524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29.1682744802401</v>
      </c>
      <c r="E52" s="19">
        <f>F374</f>
        <v>0.13293842133934211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0.76221661715977107</v>
      </c>
      <c r="J52" s="49">
        <f t="shared" si="26"/>
        <v>0.59046595959479575</v>
      </c>
      <c r="K52" s="49">
        <f t="shared" si="26"/>
        <v>0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8.7905628540991056</v>
      </c>
      <c r="P52" s="49">
        <f t="shared" si="26"/>
        <v>0</v>
      </c>
      <c r="Q52" s="49">
        <f t="shared" si="26"/>
        <v>19.025029049386426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21.529079553508151</v>
      </c>
      <c r="AO52">
        <v>8.9153229419802091</v>
      </c>
      <c r="AP52">
        <v>67.274829406508886</v>
      </c>
      <c r="AQ52">
        <v>52.919466095043937</v>
      </c>
      <c r="AR52">
        <v>8.1809265774879112</v>
      </c>
      <c r="AS52">
        <v>47.761860320290687</v>
      </c>
      <c r="AT52">
        <v>4.0841474864960068</v>
      </c>
      <c r="AU52">
        <v>29.489727443261781</v>
      </c>
      <c r="AV52"/>
      <c r="AW52"/>
      <c r="FY52" s="212">
        <v>47</v>
      </c>
      <c r="FZ52">
        <v>0.31691771857676954</v>
      </c>
      <c r="GA52">
        <v>2.706315543766971</v>
      </c>
      <c r="GB52">
        <v>5.6023589179603963</v>
      </c>
      <c r="GC52">
        <v>3.0841598042449156</v>
      </c>
      <c r="GD52">
        <v>1.7208822147284601</v>
      </c>
      <c r="GE52">
        <v>4.6134202075294528</v>
      </c>
      <c r="GF52">
        <v>8.2131920231862594</v>
      </c>
      <c r="GG52">
        <v>5.7505474417967388</v>
      </c>
      <c r="GH52">
        <v>2.3145547605229413</v>
      </c>
      <c r="GI52">
        <v>5.0522399775453479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0</v>
      </c>
      <c r="E53" s="19">
        <f>F375</f>
        <v>0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</v>
      </c>
      <c r="J53" s="49">
        <f t="shared" si="28"/>
        <v>0</v>
      </c>
      <c r="K53" s="49">
        <f t="shared" si="28"/>
        <v>0</v>
      </c>
      <c r="L53" s="49">
        <f t="shared" si="28"/>
        <v>0</v>
      </c>
      <c r="M53" s="49">
        <f t="shared" si="28"/>
        <v>0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18.752386998976299</v>
      </c>
      <c r="AO53">
        <v>10.263051458186755</v>
      </c>
      <c r="AP53">
        <v>54.783381541753656</v>
      </c>
      <c r="AQ53">
        <v>54.408038440078649</v>
      </c>
      <c r="AR53">
        <v>9.4183263468710567</v>
      </c>
      <c r="AS53">
        <v>52.28543328880756</v>
      </c>
      <c r="AT53">
        <v>5.5207294915888943</v>
      </c>
      <c r="AU53">
        <v>24.415578037095553</v>
      </c>
      <c r="AV53"/>
      <c r="AW53"/>
      <c r="FY53" s="212">
        <v>48</v>
      </c>
      <c r="FZ53">
        <v>3.5295552382295359</v>
      </c>
      <c r="GA53">
        <v>8.2308211379153988</v>
      </c>
      <c r="GB53">
        <v>7.7345466016377218</v>
      </c>
      <c r="GC53">
        <v>3.5778769891292614</v>
      </c>
      <c r="GD53">
        <v>1.4353207914001134</v>
      </c>
      <c r="GE53">
        <v>3.8038354009302546</v>
      </c>
      <c r="GF53">
        <v>9.6996870851093959</v>
      </c>
      <c r="GG53">
        <v>7.5557686889734592</v>
      </c>
      <c r="GH53">
        <v>1.9120030742967351</v>
      </c>
      <c r="GI53">
        <v>6.2568412256325807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11.654773683372181</v>
      </c>
      <c r="E54" s="19">
        <f t="shared" ref="E54:E61" si="29">F376</f>
        <v>2.3232839343006927E-2</v>
      </c>
      <c r="F54" s="8"/>
      <c r="G54" s="49">
        <f>$E$54*$E$23*G39</f>
        <v>0</v>
      </c>
      <c r="H54" s="49">
        <f t="shared" ref="H54:AK54" si="30">$E$54*$E$23*H39</f>
        <v>0</v>
      </c>
      <c r="I54" s="49">
        <f t="shared" si="30"/>
        <v>0</v>
      </c>
      <c r="J54" s="49">
        <f t="shared" si="30"/>
        <v>0.65163928249672654</v>
      </c>
      <c r="K54" s="49">
        <f t="shared" si="30"/>
        <v>0.68251914442841999</v>
      </c>
      <c r="L54" s="49">
        <f t="shared" si="30"/>
        <v>2.2996480673353785</v>
      </c>
      <c r="M54" s="49">
        <f t="shared" si="30"/>
        <v>2.4288385486133315</v>
      </c>
      <c r="N54" s="49">
        <f t="shared" si="30"/>
        <v>5.5921286404983235</v>
      </c>
      <c r="O54" s="49">
        <f t="shared" si="30"/>
        <v>0</v>
      </c>
      <c r="P54" s="49">
        <f t="shared" si="30"/>
        <v>0</v>
      </c>
      <c r="Q54" s="49">
        <f t="shared" si="30"/>
        <v>0</v>
      </c>
      <c r="R54" s="49">
        <f t="shared" si="30"/>
        <v>0</v>
      </c>
      <c r="S54" s="49">
        <f t="shared" si="30"/>
        <v>0</v>
      </c>
      <c r="T54" s="49">
        <f t="shared" si="30"/>
        <v>0</v>
      </c>
      <c r="U54" s="49">
        <f t="shared" si="30"/>
        <v>0</v>
      </c>
      <c r="V54" s="49">
        <f t="shared" si="30"/>
        <v>0</v>
      </c>
      <c r="W54" s="49">
        <f t="shared" si="30"/>
        <v>0</v>
      </c>
      <c r="X54" s="49">
        <f t="shared" si="30"/>
        <v>0</v>
      </c>
      <c r="Y54" s="49">
        <f t="shared" si="30"/>
        <v>0</v>
      </c>
      <c r="Z54" s="49">
        <f t="shared" si="30"/>
        <v>0</v>
      </c>
      <c r="AA54" s="49">
        <f t="shared" si="30"/>
        <v>0</v>
      </c>
      <c r="AB54" s="49">
        <f t="shared" si="30"/>
        <v>0</v>
      </c>
      <c r="AC54" s="49">
        <f t="shared" si="30"/>
        <v>0</v>
      </c>
      <c r="AD54" s="49">
        <f t="shared" si="30"/>
        <v>0</v>
      </c>
      <c r="AE54" s="49">
        <f t="shared" si="30"/>
        <v>0</v>
      </c>
      <c r="AF54" s="49">
        <f t="shared" si="30"/>
        <v>0</v>
      </c>
      <c r="AG54" s="49">
        <f t="shared" si="30"/>
        <v>0</v>
      </c>
      <c r="AH54" s="49">
        <f t="shared" si="30"/>
        <v>0</v>
      </c>
      <c r="AI54" s="49">
        <f t="shared" si="30"/>
        <v>0</v>
      </c>
      <c r="AJ54" s="49">
        <f t="shared" si="30"/>
        <v>0</v>
      </c>
      <c r="AK54" s="49">
        <f t="shared" si="30"/>
        <v>0</v>
      </c>
      <c r="AL54" s="42"/>
      <c r="AM54" s="43">
        <v>38</v>
      </c>
      <c r="AN54">
        <v>16.522467320261434</v>
      </c>
      <c r="AO54">
        <v>11.41328668498489</v>
      </c>
      <c r="AP54">
        <v>57.910877781893824</v>
      </c>
      <c r="AQ54">
        <v>52.539676217444352</v>
      </c>
      <c r="AR54">
        <v>10.448183172058336</v>
      </c>
      <c r="AS54">
        <v>54.701760777264468</v>
      </c>
      <c r="AT54">
        <v>6.3815268776972003</v>
      </c>
      <c r="AU54">
        <v>24.393057716124932</v>
      </c>
      <c r="AV54"/>
      <c r="AW54"/>
      <c r="FY54" s="212">
        <v>49</v>
      </c>
      <c r="FZ54">
        <v>3.5413659569359197</v>
      </c>
      <c r="GA54">
        <v>7.9848948196655307</v>
      </c>
      <c r="GB54">
        <v>4.340971841260485</v>
      </c>
      <c r="GC54">
        <v>1.4987800018018334</v>
      </c>
      <c r="GD54">
        <v>1.0671742240198756</v>
      </c>
      <c r="GE54">
        <v>4.6133512742522251</v>
      </c>
      <c r="GF54">
        <v>10.062609892023787</v>
      </c>
      <c r="GG54">
        <v>6.4090000525509891</v>
      </c>
      <c r="GH54">
        <v>2.3518347957701553</v>
      </c>
      <c r="GI54">
        <v>5.0925891932044696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0</v>
      </c>
      <c r="E55" s="19">
        <f t="shared" si="29"/>
        <v>0</v>
      </c>
      <c r="F55" s="8"/>
      <c r="G55" s="49">
        <f>$E$55*$E$24*G40</f>
        <v>0</v>
      </c>
      <c r="H55" s="49">
        <f t="shared" ref="H55:AK55" si="31">$E$55*$E$24*H40</f>
        <v>0</v>
      </c>
      <c r="I55" s="49">
        <f t="shared" si="31"/>
        <v>0</v>
      </c>
      <c r="J55" s="49">
        <f t="shared" si="31"/>
        <v>0</v>
      </c>
      <c r="K55" s="49">
        <f t="shared" si="31"/>
        <v>0</v>
      </c>
      <c r="L55" s="49">
        <f t="shared" si="31"/>
        <v>0</v>
      </c>
      <c r="M55" s="49">
        <f t="shared" si="31"/>
        <v>0</v>
      </c>
      <c r="N55" s="49">
        <f t="shared" si="31"/>
        <v>0</v>
      </c>
      <c r="O55" s="49">
        <f t="shared" si="31"/>
        <v>0</v>
      </c>
      <c r="P55" s="49">
        <f t="shared" si="31"/>
        <v>0</v>
      </c>
      <c r="Q55" s="49">
        <f t="shared" si="31"/>
        <v>0</v>
      </c>
      <c r="R55" s="49">
        <f t="shared" si="31"/>
        <v>0</v>
      </c>
      <c r="S55" s="49">
        <f t="shared" si="31"/>
        <v>0</v>
      </c>
      <c r="T55" s="49">
        <f t="shared" si="31"/>
        <v>0</v>
      </c>
      <c r="U55" s="49">
        <f t="shared" si="31"/>
        <v>0</v>
      </c>
      <c r="V55" s="49">
        <f t="shared" si="31"/>
        <v>0</v>
      </c>
      <c r="W55" s="49">
        <f t="shared" si="31"/>
        <v>0</v>
      </c>
      <c r="X55" s="49">
        <f t="shared" si="31"/>
        <v>0</v>
      </c>
      <c r="Y55" s="49">
        <f t="shared" si="31"/>
        <v>0</v>
      </c>
      <c r="Z55" s="49">
        <f t="shared" si="31"/>
        <v>0</v>
      </c>
      <c r="AA55" s="49">
        <f t="shared" si="31"/>
        <v>0</v>
      </c>
      <c r="AB55" s="49">
        <f t="shared" si="31"/>
        <v>0</v>
      </c>
      <c r="AC55" s="49">
        <f t="shared" si="31"/>
        <v>0</v>
      </c>
      <c r="AD55" s="49">
        <f t="shared" si="31"/>
        <v>0</v>
      </c>
      <c r="AE55" s="49">
        <f t="shared" si="31"/>
        <v>0</v>
      </c>
      <c r="AF55" s="49">
        <f t="shared" si="31"/>
        <v>0</v>
      </c>
      <c r="AG55" s="49">
        <f t="shared" si="31"/>
        <v>0</v>
      </c>
      <c r="AH55" s="49">
        <f t="shared" si="31"/>
        <v>0</v>
      </c>
      <c r="AI55" s="49">
        <f t="shared" si="31"/>
        <v>0</v>
      </c>
      <c r="AJ55" s="49">
        <f t="shared" si="31"/>
        <v>0</v>
      </c>
      <c r="AK55" s="49">
        <f t="shared" si="31"/>
        <v>0</v>
      </c>
      <c r="AL55" s="42"/>
      <c r="AM55" s="43">
        <v>39</v>
      </c>
      <c r="AN55">
        <v>15.636922690763049</v>
      </c>
      <c r="AO55">
        <v>11.346954575101671</v>
      </c>
      <c r="AP55">
        <v>68.244084128231364</v>
      </c>
      <c r="AQ55">
        <v>57.754122489004416</v>
      </c>
      <c r="AR55">
        <v>10.43920443520466</v>
      </c>
      <c r="AS55">
        <v>54.864272910031914</v>
      </c>
      <c r="AT55">
        <v>5.8481291036623979</v>
      </c>
      <c r="AU55">
        <v>8.7603291904525822</v>
      </c>
      <c r="AV55"/>
      <c r="AW55"/>
      <c r="FY55" s="212">
        <v>50</v>
      </c>
      <c r="FZ55">
        <v>6.4649576757498277</v>
      </c>
      <c r="GA55">
        <v>10.806891574473058</v>
      </c>
      <c r="GB55">
        <v>7.3721542357776606</v>
      </c>
      <c r="GC55">
        <v>3.6831988064159198</v>
      </c>
      <c r="GD55">
        <v>0.88081645240585094</v>
      </c>
      <c r="GE55">
        <v>1.5026732681855368</v>
      </c>
      <c r="GF55">
        <v>2.3843402259409938</v>
      </c>
      <c r="GG55">
        <v>0.62224230416017023</v>
      </c>
      <c r="GH55">
        <v>0.85201666114871122</v>
      </c>
      <c r="GI55">
        <v>4.03833410547524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0</v>
      </c>
      <c r="E56" s="19">
        <f t="shared" si="29"/>
        <v>0</v>
      </c>
      <c r="F56" s="8"/>
      <c r="G56" s="49">
        <f>$E$56*$E$25*G41</f>
        <v>0</v>
      </c>
      <c r="H56" s="49">
        <f t="shared" ref="H56:AK56" si="32">$E$56*$E$25*H41</f>
        <v>0</v>
      </c>
      <c r="I56" s="49">
        <f t="shared" si="32"/>
        <v>0</v>
      </c>
      <c r="J56" s="49">
        <f t="shared" si="32"/>
        <v>0</v>
      </c>
      <c r="K56" s="49">
        <f t="shared" si="32"/>
        <v>0</v>
      </c>
      <c r="L56" s="49">
        <f t="shared" si="32"/>
        <v>0</v>
      </c>
      <c r="M56" s="49">
        <f t="shared" si="32"/>
        <v>0</v>
      </c>
      <c r="N56" s="49">
        <f t="shared" si="32"/>
        <v>0</v>
      </c>
      <c r="O56" s="49">
        <f t="shared" si="32"/>
        <v>0</v>
      </c>
      <c r="P56" s="49">
        <f t="shared" si="32"/>
        <v>0</v>
      </c>
      <c r="Q56" s="49">
        <f t="shared" si="32"/>
        <v>0</v>
      </c>
      <c r="R56" s="49">
        <f t="shared" si="32"/>
        <v>0</v>
      </c>
      <c r="S56" s="49">
        <f t="shared" si="32"/>
        <v>0</v>
      </c>
      <c r="T56" s="49">
        <f t="shared" si="32"/>
        <v>0</v>
      </c>
      <c r="U56" s="49">
        <f t="shared" si="32"/>
        <v>0</v>
      </c>
      <c r="V56" s="49">
        <f t="shared" si="32"/>
        <v>0</v>
      </c>
      <c r="W56" s="49">
        <f t="shared" si="32"/>
        <v>0</v>
      </c>
      <c r="X56" s="49">
        <f t="shared" si="32"/>
        <v>0</v>
      </c>
      <c r="Y56" s="49">
        <f t="shared" si="32"/>
        <v>0</v>
      </c>
      <c r="Z56" s="49">
        <f t="shared" si="32"/>
        <v>0</v>
      </c>
      <c r="AA56" s="49">
        <f t="shared" si="32"/>
        <v>0</v>
      </c>
      <c r="AB56" s="49">
        <f t="shared" si="32"/>
        <v>0</v>
      </c>
      <c r="AC56" s="49">
        <f t="shared" si="32"/>
        <v>0</v>
      </c>
      <c r="AD56" s="49">
        <f t="shared" si="32"/>
        <v>0</v>
      </c>
      <c r="AE56" s="49">
        <f t="shared" si="32"/>
        <v>0</v>
      </c>
      <c r="AF56" s="49">
        <f t="shared" si="32"/>
        <v>0</v>
      </c>
      <c r="AG56" s="49">
        <f t="shared" si="32"/>
        <v>0</v>
      </c>
      <c r="AH56" s="49">
        <f t="shared" si="32"/>
        <v>0</v>
      </c>
      <c r="AI56" s="49">
        <f t="shared" si="32"/>
        <v>0</v>
      </c>
      <c r="AJ56" s="49">
        <f t="shared" si="32"/>
        <v>0</v>
      </c>
      <c r="AK56" s="49">
        <f t="shared" si="32"/>
        <v>0</v>
      </c>
      <c r="AL56" s="42"/>
      <c r="AM56" s="43">
        <v>40</v>
      </c>
      <c r="AN56">
        <v>21.964741318214031</v>
      </c>
      <c r="AO56">
        <v>8.4814649504604027</v>
      </c>
      <c r="AP56">
        <v>54.592056195211043</v>
      </c>
      <c r="AQ56">
        <v>45.403228721556005</v>
      </c>
      <c r="AR56">
        <v>7.8751179207827811</v>
      </c>
      <c r="AS56">
        <v>46.396300352117926</v>
      </c>
      <c r="AT56">
        <v>4.242936184514007</v>
      </c>
      <c r="AU56">
        <v>43.866759092207538</v>
      </c>
      <c r="AV56"/>
      <c r="AW56"/>
      <c r="FY56" s="212">
        <v>51</v>
      </c>
      <c r="FZ56">
        <v>0.15411901513021786</v>
      </c>
      <c r="GA56">
        <v>4.3068109779134121</v>
      </c>
      <c r="GB56">
        <v>7.8762004386053643</v>
      </c>
      <c r="GC56">
        <v>3.4642967087433179</v>
      </c>
      <c r="GD56">
        <v>1.1685017361697514</v>
      </c>
      <c r="GE56">
        <v>2.8285889222904754</v>
      </c>
      <c r="GF56">
        <v>3.2267075353457066</v>
      </c>
      <c r="GG56">
        <v>1.2780020472467228</v>
      </c>
      <c r="GH56">
        <v>0.39841661389850375</v>
      </c>
      <c r="GI56">
        <v>3.5157380998507795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23.320587850616128</v>
      </c>
      <c r="E57" s="19">
        <f t="shared" si="29"/>
        <v>5.6186019620100558E-2</v>
      </c>
      <c r="F57" s="8"/>
      <c r="G57" s="49">
        <f>$E$57*$E$26*G42</f>
        <v>0</v>
      </c>
      <c r="H57" s="49">
        <f t="shared" ref="H57:AK57" si="33">$E$57*$E$26*H42</f>
        <v>0</v>
      </c>
      <c r="I57" s="49">
        <f t="shared" si="33"/>
        <v>1.5313061720927101</v>
      </c>
      <c r="J57" s="49">
        <f t="shared" si="33"/>
        <v>0</v>
      </c>
      <c r="K57" s="49">
        <f t="shared" si="33"/>
        <v>0.60021676408174662</v>
      </c>
      <c r="L57" s="49">
        <f t="shared" si="33"/>
        <v>1.29902277727974</v>
      </c>
      <c r="M57" s="49">
        <f t="shared" si="33"/>
        <v>1.2205452412382563</v>
      </c>
      <c r="N57" s="49">
        <f t="shared" si="33"/>
        <v>10.403028259808689</v>
      </c>
      <c r="O57" s="49">
        <f t="shared" si="33"/>
        <v>3.3024930357718381</v>
      </c>
      <c r="P57" s="49">
        <f t="shared" si="33"/>
        <v>4.9639756003431463</v>
      </c>
      <c r="Q57" s="49">
        <f t="shared" si="33"/>
        <v>0</v>
      </c>
      <c r="R57" s="49">
        <f t="shared" si="33"/>
        <v>0</v>
      </c>
      <c r="S57" s="49">
        <f t="shared" si="33"/>
        <v>0</v>
      </c>
      <c r="T57" s="49">
        <f t="shared" si="33"/>
        <v>0</v>
      </c>
      <c r="U57" s="49">
        <f t="shared" si="33"/>
        <v>0</v>
      </c>
      <c r="V57" s="49">
        <f t="shared" si="33"/>
        <v>0</v>
      </c>
      <c r="W57" s="49">
        <f t="shared" si="33"/>
        <v>0</v>
      </c>
      <c r="X57" s="49">
        <f t="shared" si="33"/>
        <v>0</v>
      </c>
      <c r="Y57" s="49">
        <f t="shared" si="33"/>
        <v>0</v>
      </c>
      <c r="Z57" s="49">
        <f t="shared" si="33"/>
        <v>0</v>
      </c>
      <c r="AA57" s="49">
        <f t="shared" si="33"/>
        <v>0</v>
      </c>
      <c r="AB57" s="49">
        <f t="shared" si="33"/>
        <v>0</v>
      </c>
      <c r="AC57" s="49">
        <f t="shared" si="33"/>
        <v>0</v>
      </c>
      <c r="AD57" s="49">
        <f t="shared" si="33"/>
        <v>0</v>
      </c>
      <c r="AE57" s="49">
        <f t="shared" si="33"/>
        <v>0</v>
      </c>
      <c r="AF57" s="49">
        <f t="shared" si="33"/>
        <v>0</v>
      </c>
      <c r="AG57" s="49">
        <f t="shared" si="33"/>
        <v>0</v>
      </c>
      <c r="AH57" s="49">
        <f t="shared" si="33"/>
        <v>0</v>
      </c>
      <c r="AI57" s="49">
        <f t="shared" si="33"/>
        <v>0</v>
      </c>
      <c r="AJ57" s="49">
        <f t="shared" si="33"/>
        <v>0</v>
      </c>
      <c r="AK57" s="49">
        <f t="shared" si="33"/>
        <v>0</v>
      </c>
      <c r="AL57" s="42"/>
      <c r="AM57" s="43">
        <v>41</v>
      </c>
      <c r="AN57">
        <v>17.743604319237736</v>
      </c>
      <c r="AO57">
        <v>8.1209754500198912</v>
      </c>
      <c r="AP57">
        <v>40.943360717215818</v>
      </c>
      <c r="AQ57">
        <v>38.959605385455887</v>
      </c>
      <c r="AR57">
        <v>7.4204077652967477</v>
      </c>
      <c r="AS57">
        <v>40.284790316259276</v>
      </c>
      <c r="AT57">
        <v>5.0572313551894199</v>
      </c>
      <c r="AU57">
        <v>50.49708874848131</v>
      </c>
      <c r="AV57"/>
      <c r="AW57"/>
      <c r="FY57" s="212">
        <v>52</v>
      </c>
      <c r="FZ57">
        <v>3.5723827056537942</v>
      </c>
      <c r="GA57">
        <v>6.6539143009944501</v>
      </c>
      <c r="GB57">
        <v>8.5889815951723492</v>
      </c>
      <c r="GC57">
        <v>4.2633898284163854</v>
      </c>
      <c r="GD57">
        <v>0.81512028233006428</v>
      </c>
      <c r="GE57">
        <v>3.4885541683182222</v>
      </c>
      <c r="GF57">
        <v>7.3485378943984561</v>
      </c>
      <c r="GG57">
        <v>4.2598833374347329</v>
      </c>
      <c r="GH57">
        <v>2.0565994760562578</v>
      </c>
      <c r="GI57">
        <v>5.2040757241801305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0</v>
      </c>
      <c r="E58" s="19">
        <f t="shared" si="29"/>
        <v>0</v>
      </c>
      <c r="F58" s="8"/>
      <c r="G58" s="49">
        <f>$E$58*$E$27*G43</f>
        <v>0</v>
      </c>
      <c r="H58" s="49">
        <f t="shared" ref="H58:AK58" si="34">$E$58*$E$27*H43</f>
        <v>0</v>
      </c>
      <c r="I58" s="49">
        <f t="shared" si="34"/>
        <v>0</v>
      </c>
      <c r="J58" s="49">
        <f t="shared" si="34"/>
        <v>0</v>
      </c>
      <c r="K58" s="49">
        <f t="shared" si="34"/>
        <v>0</v>
      </c>
      <c r="L58" s="49">
        <f t="shared" si="34"/>
        <v>0</v>
      </c>
      <c r="M58" s="49">
        <f t="shared" si="34"/>
        <v>0</v>
      </c>
      <c r="N58" s="49">
        <f t="shared" si="34"/>
        <v>0</v>
      </c>
      <c r="O58" s="49">
        <f t="shared" si="34"/>
        <v>0</v>
      </c>
      <c r="P58" s="49">
        <f t="shared" si="34"/>
        <v>0</v>
      </c>
      <c r="Q58" s="49">
        <f t="shared" si="34"/>
        <v>0</v>
      </c>
      <c r="R58" s="49">
        <f t="shared" si="34"/>
        <v>0</v>
      </c>
      <c r="S58" s="49">
        <f t="shared" si="34"/>
        <v>0</v>
      </c>
      <c r="T58" s="49">
        <f t="shared" si="34"/>
        <v>0</v>
      </c>
      <c r="U58" s="49">
        <f t="shared" si="34"/>
        <v>0</v>
      </c>
      <c r="V58" s="49">
        <f t="shared" si="34"/>
        <v>0</v>
      </c>
      <c r="W58" s="49">
        <f t="shared" si="34"/>
        <v>0</v>
      </c>
      <c r="X58" s="49">
        <f t="shared" si="34"/>
        <v>0</v>
      </c>
      <c r="Y58" s="49">
        <f t="shared" si="34"/>
        <v>0</v>
      </c>
      <c r="Z58" s="49">
        <f t="shared" si="34"/>
        <v>0</v>
      </c>
      <c r="AA58" s="49">
        <f t="shared" si="34"/>
        <v>0</v>
      </c>
      <c r="AB58" s="49">
        <f t="shared" si="34"/>
        <v>0</v>
      </c>
      <c r="AC58" s="49">
        <f t="shared" si="34"/>
        <v>0</v>
      </c>
      <c r="AD58" s="49">
        <f t="shared" si="34"/>
        <v>0</v>
      </c>
      <c r="AE58" s="49">
        <f t="shared" si="34"/>
        <v>0</v>
      </c>
      <c r="AF58" s="49">
        <f t="shared" si="34"/>
        <v>0</v>
      </c>
      <c r="AG58" s="49">
        <f t="shared" si="34"/>
        <v>0</v>
      </c>
      <c r="AH58" s="49">
        <f t="shared" si="34"/>
        <v>0</v>
      </c>
      <c r="AI58" s="49">
        <f t="shared" si="34"/>
        <v>0</v>
      </c>
      <c r="AJ58" s="49">
        <f t="shared" si="34"/>
        <v>0</v>
      </c>
      <c r="AK58" s="49">
        <f t="shared" si="34"/>
        <v>0</v>
      </c>
      <c r="AL58" s="42"/>
      <c r="AM58" s="43">
        <v>42</v>
      </c>
      <c r="AN58">
        <v>17.050245098039216</v>
      </c>
      <c r="AO58">
        <v>12.084777524762968</v>
      </c>
      <c r="AP58">
        <v>75.003244368433215</v>
      </c>
      <c r="AQ58">
        <v>60.693194783524298</v>
      </c>
      <c r="AR58">
        <v>11.156369546497606</v>
      </c>
      <c r="AS58">
        <v>57.697396985812553</v>
      </c>
      <c r="AT58">
        <v>7.0601422671901668</v>
      </c>
      <c r="AU58">
        <v>25.406244772844616</v>
      </c>
      <c r="AV58"/>
      <c r="AW58"/>
      <c r="FY58" s="212">
        <v>53</v>
      </c>
      <c r="FZ58">
        <v>3.325414670415733</v>
      </c>
      <c r="GA58">
        <v>6.7336152043418682</v>
      </c>
      <c r="GB58">
        <v>6.4001815938460762</v>
      </c>
      <c r="GC58">
        <v>3.4544091537870201</v>
      </c>
      <c r="GD58">
        <v>2.6095620988391746</v>
      </c>
      <c r="GE58">
        <v>5.5213281997257448</v>
      </c>
      <c r="GF58">
        <v>5.495449828082557</v>
      </c>
      <c r="GG58">
        <v>3.8161222859775359</v>
      </c>
      <c r="GH58">
        <v>1.9096810725709958</v>
      </c>
      <c r="GI58">
        <v>5.6012222335513417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0</v>
      </c>
      <c r="E59" s="19">
        <f t="shared" si="29"/>
        <v>0</v>
      </c>
      <c r="F59" s="8"/>
      <c r="G59" s="49">
        <f>$E$59*$E$28*G44</f>
        <v>0</v>
      </c>
      <c r="H59" s="49">
        <f t="shared" ref="H59:AK59" si="35">$E$59*$E$28*H44</f>
        <v>0</v>
      </c>
      <c r="I59" s="49">
        <f t="shared" si="35"/>
        <v>0</v>
      </c>
      <c r="J59" s="49">
        <f t="shared" si="35"/>
        <v>0</v>
      </c>
      <c r="K59" s="49">
        <f t="shared" si="35"/>
        <v>0</v>
      </c>
      <c r="L59" s="49">
        <f t="shared" si="35"/>
        <v>0</v>
      </c>
      <c r="M59" s="49">
        <f t="shared" si="35"/>
        <v>0</v>
      </c>
      <c r="N59" s="49">
        <f t="shared" si="35"/>
        <v>0</v>
      </c>
      <c r="O59" s="49">
        <f t="shared" si="35"/>
        <v>0</v>
      </c>
      <c r="P59" s="49">
        <f t="shared" si="35"/>
        <v>0</v>
      </c>
      <c r="Q59" s="49">
        <f t="shared" si="35"/>
        <v>0</v>
      </c>
      <c r="R59" s="49">
        <f t="shared" si="35"/>
        <v>0</v>
      </c>
      <c r="S59" s="49">
        <f t="shared" si="35"/>
        <v>0</v>
      </c>
      <c r="T59" s="49">
        <f t="shared" si="35"/>
        <v>0</v>
      </c>
      <c r="U59" s="49">
        <f t="shared" si="35"/>
        <v>0</v>
      </c>
      <c r="V59" s="49">
        <f t="shared" si="35"/>
        <v>0</v>
      </c>
      <c r="W59" s="49">
        <f t="shared" si="35"/>
        <v>0</v>
      </c>
      <c r="X59" s="49">
        <f t="shared" si="35"/>
        <v>0</v>
      </c>
      <c r="Y59" s="49">
        <f t="shared" si="35"/>
        <v>0</v>
      </c>
      <c r="Z59" s="49">
        <f t="shared" si="35"/>
        <v>0</v>
      </c>
      <c r="AA59" s="49">
        <f t="shared" si="35"/>
        <v>0</v>
      </c>
      <c r="AB59" s="49">
        <f t="shared" si="35"/>
        <v>0</v>
      </c>
      <c r="AC59" s="49">
        <f t="shared" si="35"/>
        <v>0</v>
      </c>
      <c r="AD59" s="49">
        <f t="shared" si="35"/>
        <v>0</v>
      </c>
      <c r="AE59" s="49">
        <f t="shared" si="35"/>
        <v>0</v>
      </c>
      <c r="AF59" s="49">
        <f t="shared" si="35"/>
        <v>0</v>
      </c>
      <c r="AG59" s="49">
        <f t="shared" si="35"/>
        <v>0</v>
      </c>
      <c r="AH59" s="49">
        <f t="shared" si="35"/>
        <v>0</v>
      </c>
      <c r="AI59" s="49">
        <f t="shared" si="35"/>
        <v>0</v>
      </c>
      <c r="AJ59" s="49">
        <f t="shared" si="35"/>
        <v>0</v>
      </c>
      <c r="AK59" s="49">
        <f t="shared" si="35"/>
        <v>0</v>
      </c>
      <c r="AL59" s="42"/>
      <c r="AM59" s="43">
        <v>43</v>
      </c>
      <c r="AN59">
        <v>10.091030789825968</v>
      </c>
      <c r="AO59">
        <v>6.6118845338010743</v>
      </c>
      <c r="AP59">
        <v>27.020615130102588</v>
      </c>
      <c r="AQ59">
        <v>34.132185365121629</v>
      </c>
      <c r="AR59">
        <v>6.0778208097353961</v>
      </c>
      <c r="AS59">
        <v>34.413088387633664</v>
      </c>
      <c r="AT59">
        <v>4.015850655802665</v>
      </c>
      <c r="AU59">
        <v>3.8031119760155887</v>
      </c>
      <c r="AV59"/>
      <c r="AW59"/>
      <c r="FY59" s="212">
        <v>54</v>
      </c>
      <c r="FZ59">
        <v>0.3279925360496071</v>
      </c>
      <c r="GA59">
        <v>5.036814761842038</v>
      </c>
      <c r="GB59">
        <v>5.0442143235640424</v>
      </c>
      <c r="GC59">
        <v>1.8989240047404981</v>
      </c>
      <c r="GD59">
        <v>1.2013401039927596</v>
      </c>
      <c r="GE59">
        <v>3.0684716410839088</v>
      </c>
      <c r="GF59">
        <v>7.397595783958284</v>
      </c>
      <c r="GG59">
        <v>5.3145425077118436</v>
      </c>
      <c r="GH59">
        <v>0.57985667973360644</v>
      </c>
      <c r="GI59">
        <v>4.0620068835441918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0</v>
      </c>
      <c r="E60" s="19">
        <f t="shared" si="29"/>
        <v>0</v>
      </c>
      <c r="F60" s="8"/>
      <c r="G60" s="49">
        <f>$E$60*$E$29*G45</f>
        <v>0</v>
      </c>
      <c r="H60" s="49">
        <f t="shared" ref="H60:AK60" si="36">$E$60*$E$29*H45</f>
        <v>0</v>
      </c>
      <c r="I60" s="49">
        <f t="shared" si="36"/>
        <v>0</v>
      </c>
      <c r="J60" s="49">
        <f t="shared" si="36"/>
        <v>0</v>
      </c>
      <c r="K60" s="49">
        <f t="shared" si="36"/>
        <v>0</v>
      </c>
      <c r="L60" s="49">
        <f t="shared" si="36"/>
        <v>0</v>
      </c>
      <c r="M60" s="49">
        <f t="shared" si="36"/>
        <v>0</v>
      </c>
      <c r="N60" s="49">
        <f t="shared" si="36"/>
        <v>0</v>
      </c>
      <c r="O60" s="49">
        <f t="shared" si="36"/>
        <v>0</v>
      </c>
      <c r="P60" s="49">
        <f t="shared" si="36"/>
        <v>0</v>
      </c>
      <c r="Q60" s="49">
        <f t="shared" si="36"/>
        <v>0</v>
      </c>
      <c r="R60" s="49">
        <f t="shared" si="36"/>
        <v>0</v>
      </c>
      <c r="S60" s="49">
        <f t="shared" si="36"/>
        <v>0</v>
      </c>
      <c r="T60" s="49">
        <f t="shared" si="36"/>
        <v>0</v>
      </c>
      <c r="U60" s="49">
        <f t="shared" si="36"/>
        <v>0</v>
      </c>
      <c r="V60" s="49">
        <f t="shared" si="36"/>
        <v>0</v>
      </c>
      <c r="W60" s="49">
        <f t="shared" si="36"/>
        <v>0</v>
      </c>
      <c r="X60" s="49">
        <f t="shared" si="36"/>
        <v>0</v>
      </c>
      <c r="Y60" s="49">
        <f t="shared" si="36"/>
        <v>0</v>
      </c>
      <c r="Z60" s="49">
        <f t="shared" si="36"/>
        <v>0</v>
      </c>
      <c r="AA60" s="49">
        <f t="shared" si="36"/>
        <v>0</v>
      </c>
      <c r="AB60" s="49">
        <f t="shared" si="36"/>
        <v>0</v>
      </c>
      <c r="AC60" s="49">
        <f t="shared" si="36"/>
        <v>0</v>
      </c>
      <c r="AD60" s="49">
        <f t="shared" si="36"/>
        <v>0</v>
      </c>
      <c r="AE60" s="49">
        <f t="shared" si="36"/>
        <v>0</v>
      </c>
      <c r="AF60" s="49">
        <f t="shared" si="36"/>
        <v>0</v>
      </c>
      <c r="AG60" s="49">
        <f t="shared" si="36"/>
        <v>0</v>
      </c>
      <c r="AH60" s="49">
        <f t="shared" si="36"/>
        <v>0</v>
      </c>
      <c r="AI60" s="49">
        <f t="shared" si="36"/>
        <v>0</v>
      </c>
      <c r="AJ60" s="49">
        <f t="shared" si="36"/>
        <v>0</v>
      </c>
      <c r="AK60" s="49">
        <f t="shared" si="36"/>
        <v>0</v>
      </c>
      <c r="AL60" s="42"/>
      <c r="AM60" s="43">
        <v>44</v>
      </c>
      <c r="AN60">
        <v>13.703775887865186</v>
      </c>
      <c r="AO60">
        <v>7.2512215579502364</v>
      </c>
      <c r="AP60">
        <v>42.91870219714508</v>
      </c>
      <c r="AQ60">
        <v>35.315027859137786</v>
      </c>
      <c r="AR60">
        <v>6.649600866957277</v>
      </c>
      <c r="AS60">
        <v>40.286115017133703</v>
      </c>
      <c r="AT60">
        <v>4.3166739024640215</v>
      </c>
      <c r="AU60">
        <v>16.589922073911733</v>
      </c>
      <c r="AV60"/>
      <c r="AW60"/>
      <c r="FY60" s="212">
        <v>55</v>
      </c>
      <c r="FZ60">
        <v>9.6148395973232148</v>
      </c>
      <c r="GA60">
        <v>13.898302023373141</v>
      </c>
      <c r="GB60">
        <v>4.6696187056268688</v>
      </c>
      <c r="GC60">
        <v>2.2356836795792021</v>
      </c>
      <c r="GD60">
        <v>0.72048229998171731</v>
      </c>
      <c r="GE60">
        <v>1.4414199567726422</v>
      </c>
      <c r="GF60">
        <v>2.6610301610188944</v>
      </c>
      <c r="GG60">
        <v>2.7515561477272068</v>
      </c>
      <c r="GH60">
        <v>3.1449880149030749</v>
      </c>
      <c r="GI60">
        <v>4.0703576289975034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0</v>
      </c>
      <c r="E61" s="19">
        <f t="shared" si="29"/>
        <v>0</v>
      </c>
      <c r="F61" s="8"/>
      <c r="G61" s="49">
        <f>$E$61*$E$30*G46</f>
        <v>0</v>
      </c>
      <c r="H61" s="49">
        <f t="shared" ref="H61:AK61" si="37">$E$61*$E$30*H46</f>
        <v>0</v>
      </c>
      <c r="I61" s="49">
        <f t="shared" si="37"/>
        <v>0</v>
      </c>
      <c r="J61" s="49">
        <f t="shared" si="37"/>
        <v>0</v>
      </c>
      <c r="K61" s="49">
        <f t="shared" si="37"/>
        <v>0</v>
      </c>
      <c r="L61" s="49">
        <f t="shared" si="37"/>
        <v>0</v>
      </c>
      <c r="M61" s="49">
        <f t="shared" si="37"/>
        <v>0</v>
      </c>
      <c r="N61" s="49">
        <f t="shared" si="37"/>
        <v>0</v>
      </c>
      <c r="O61" s="49">
        <f t="shared" si="37"/>
        <v>0</v>
      </c>
      <c r="P61" s="49">
        <f t="shared" si="37"/>
        <v>0</v>
      </c>
      <c r="Q61" s="49">
        <f t="shared" si="37"/>
        <v>0</v>
      </c>
      <c r="R61" s="49">
        <f t="shared" si="37"/>
        <v>0</v>
      </c>
      <c r="S61" s="49">
        <f t="shared" si="37"/>
        <v>0</v>
      </c>
      <c r="T61" s="49">
        <f t="shared" si="37"/>
        <v>0</v>
      </c>
      <c r="U61" s="49">
        <f t="shared" si="37"/>
        <v>0</v>
      </c>
      <c r="V61" s="49">
        <f t="shared" si="37"/>
        <v>0</v>
      </c>
      <c r="W61" s="49">
        <f t="shared" si="37"/>
        <v>0</v>
      </c>
      <c r="X61" s="49">
        <f t="shared" si="37"/>
        <v>0</v>
      </c>
      <c r="Y61" s="49">
        <f t="shared" si="37"/>
        <v>0</v>
      </c>
      <c r="Z61" s="49">
        <f t="shared" si="37"/>
        <v>0</v>
      </c>
      <c r="AA61" s="49">
        <f t="shared" si="37"/>
        <v>0</v>
      </c>
      <c r="AB61" s="49">
        <f t="shared" si="37"/>
        <v>0</v>
      </c>
      <c r="AC61" s="49">
        <f t="shared" si="37"/>
        <v>0</v>
      </c>
      <c r="AD61" s="49">
        <f t="shared" si="37"/>
        <v>0</v>
      </c>
      <c r="AE61" s="49">
        <f t="shared" si="37"/>
        <v>0</v>
      </c>
      <c r="AF61" s="49">
        <f t="shared" si="37"/>
        <v>0</v>
      </c>
      <c r="AG61" s="49">
        <f t="shared" si="37"/>
        <v>0</v>
      </c>
      <c r="AH61" s="49">
        <f t="shared" si="37"/>
        <v>0</v>
      </c>
      <c r="AI61" s="49">
        <f t="shared" si="37"/>
        <v>0</v>
      </c>
      <c r="AJ61" s="49">
        <f t="shared" si="37"/>
        <v>0</v>
      </c>
      <c r="AK61" s="49">
        <f t="shared" si="37"/>
        <v>0</v>
      </c>
      <c r="AL61" s="42"/>
      <c r="AM61" s="43">
        <v>45</v>
      </c>
      <c r="AN61">
        <v>12.395501122135601</v>
      </c>
      <c r="AO61">
        <v>5.8257893549046162</v>
      </c>
      <c r="AP61">
        <v>42.324322638107652</v>
      </c>
      <c r="AQ61">
        <v>31.7033346518451</v>
      </c>
      <c r="AR61">
        <v>5.3942112746212567</v>
      </c>
      <c r="AS61">
        <v>29.599081512888617</v>
      </c>
      <c r="AT61">
        <v>3.0022361845366272</v>
      </c>
      <c r="AU61">
        <v>10.775090175064296</v>
      </c>
      <c r="AV61"/>
      <c r="AW61"/>
      <c r="FY61" s="212">
        <v>56</v>
      </c>
      <c r="FZ61">
        <v>3.2938494459201775</v>
      </c>
      <c r="GA61">
        <v>7.2026486637038039</v>
      </c>
      <c r="GB61">
        <v>5.302337204197265</v>
      </c>
      <c r="GC61">
        <v>2.2239332141277202</v>
      </c>
      <c r="GD61">
        <v>1.0276085978863276</v>
      </c>
      <c r="GE61">
        <v>3.9852752085473204</v>
      </c>
      <c r="GF61">
        <v>6.1731338874591675</v>
      </c>
      <c r="GG61">
        <v>3.6846424437449015</v>
      </c>
      <c r="GH61">
        <v>2.6025536826269713</v>
      </c>
      <c r="GI61">
        <v>4.3082369266276093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12.941725234270413</v>
      </c>
      <c r="AO62">
        <v>8.7616752397895503</v>
      </c>
      <c r="AP62">
        <v>36.456362201357742</v>
      </c>
      <c r="AQ62">
        <v>46.726855642637503</v>
      </c>
      <c r="AR62">
        <v>8.0329692608479366</v>
      </c>
      <c r="AS62">
        <v>44.476938623973119</v>
      </c>
      <c r="AT62">
        <v>4.7300455890151989</v>
      </c>
      <c r="AU62">
        <v>1.213745886567404</v>
      </c>
      <c r="AV62"/>
      <c r="AW62"/>
      <c r="FY62" s="212">
        <v>57</v>
      </c>
      <c r="FZ62">
        <v>6.3523679504427264</v>
      </c>
      <c r="GA62">
        <v>9.6355551222978857</v>
      </c>
      <c r="GB62">
        <v>5.3273146983545967</v>
      </c>
      <c r="GC62">
        <v>2.388747383874402</v>
      </c>
      <c r="GD62">
        <v>0.87667546938026319</v>
      </c>
      <c r="GE62">
        <v>3.3297109184072933</v>
      </c>
      <c r="GF62">
        <v>7.5097856726562346</v>
      </c>
      <c r="GG62">
        <v>5.2995833544312374</v>
      </c>
      <c r="GH62">
        <v>2.7268186523220468</v>
      </c>
      <c r="GI62">
        <v>5.096298270287428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64.143636014228406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11.175117135207495</v>
      </c>
      <c r="AO63">
        <v>8.2821629013311195</v>
      </c>
      <c r="AP63">
        <v>34.852136952424623</v>
      </c>
      <c r="AQ63">
        <v>39.37458860985825</v>
      </c>
      <c r="AR63">
        <v>7.629116713381273</v>
      </c>
      <c r="AS63">
        <v>39.364908560145928</v>
      </c>
      <c r="AT63">
        <v>5.1025403407748193</v>
      </c>
      <c r="AU63">
        <v>2.3511915386048212</v>
      </c>
      <c r="AV63"/>
      <c r="AW63"/>
      <c r="FY63" s="212">
        <v>58</v>
      </c>
      <c r="FZ63">
        <v>9.6249910881066416</v>
      </c>
      <c r="GA63">
        <v>13.503277757483326</v>
      </c>
      <c r="GB63">
        <v>6.3824410246330094</v>
      </c>
      <c r="GC63">
        <v>2.8085133273628378</v>
      </c>
      <c r="GD63">
        <v>2.1445845864933504</v>
      </c>
      <c r="GE63">
        <v>6.3988832868921861</v>
      </c>
      <c r="GF63">
        <v>8.1650809296619773</v>
      </c>
      <c r="GG63">
        <v>5.5568875043771717</v>
      </c>
      <c r="GH63">
        <v>2.3293381408532854</v>
      </c>
      <c r="GI63">
        <v>6.812244464506537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20.495442554531852</v>
      </c>
      <c r="AO64">
        <v>10.457611160944534</v>
      </c>
      <c r="AP64">
        <v>53.748667574306516</v>
      </c>
      <c r="AQ64">
        <v>53.736256233254451</v>
      </c>
      <c r="AR64">
        <v>9.6470230696700838</v>
      </c>
      <c r="AS64">
        <v>52.040845528737272</v>
      </c>
      <c r="AT64">
        <v>5.5462633497417082</v>
      </c>
      <c r="AU64">
        <v>19.025111183298897</v>
      </c>
      <c r="AV64"/>
      <c r="AW64"/>
      <c r="FY64" s="212">
        <v>59</v>
      </c>
      <c r="FZ64">
        <v>0.11258972530710119</v>
      </c>
      <c r="GA64">
        <v>1.8867971867369819</v>
      </c>
      <c r="GB64">
        <v>7.0076931245052956</v>
      </c>
      <c r="GC64">
        <v>3.5827244758150072</v>
      </c>
      <c r="GD64">
        <v>0.81720803568968481</v>
      </c>
      <c r="GE64">
        <v>2.271137801187824</v>
      </c>
      <c r="GF64">
        <v>7.2983270460273362</v>
      </c>
      <c r="GG64">
        <v>6.1656458369933844</v>
      </c>
      <c r="GH64">
        <v>0.93093090196222705</v>
      </c>
      <c r="GI64">
        <v>4.3507860575466584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20.29915987479329</v>
      </c>
      <c r="AO65">
        <v>8.4525739581147405</v>
      </c>
      <c r="AP65">
        <v>55.330528105475736</v>
      </c>
      <c r="AQ65">
        <v>46.96257205148526</v>
      </c>
      <c r="AR65">
        <v>7.8050614512581724</v>
      </c>
      <c r="AS65">
        <v>41.699836705253169</v>
      </c>
      <c r="AT65">
        <v>4.3177447127494091</v>
      </c>
      <c r="AU65">
        <v>35.27392699928221</v>
      </c>
      <c r="AV65"/>
      <c r="AW65"/>
      <c r="FY65" s="212">
        <v>60</v>
      </c>
      <c r="FZ65">
        <v>3.3364894878885702</v>
      </c>
      <c r="GA65">
        <v>8.8237781834362305</v>
      </c>
      <c r="GB65">
        <v>7.5825195044102687</v>
      </c>
      <c r="GC65">
        <v>3.0478642195802297</v>
      </c>
      <c r="GD65">
        <v>0.76001649636759949</v>
      </c>
      <c r="GE65">
        <v>2.9863284335104003</v>
      </c>
      <c r="GF65">
        <v>7.1941302818865385</v>
      </c>
      <c r="GG65">
        <v>4.2598833374347329</v>
      </c>
      <c r="GH65">
        <v>1.2301205354747489</v>
      </c>
      <c r="GI65">
        <v>4.7855740003541261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13.998914776754072</v>
      </c>
      <c r="AO66">
        <v>6.6598970532366781</v>
      </c>
      <c r="AP66">
        <v>55.727326267494092</v>
      </c>
      <c r="AQ66">
        <v>38.607625309732967</v>
      </c>
      <c r="AR66">
        <v>6.1470905959539035</v>
      </c>
      <c r="AS66">
        <v>36.395803742113628</v>
      </c>
      <c r="AT66">
        <v>3.1672784921848236</v>
      </c>
      <c r="AU66">
        <v>14.611286745778282</v>
      </c>
      <c r="AV66"/>
      <c r="AW66"/>
      <c r="FY66" s="212">
        <v>61</v>
      </c>
      <c r="FZ66">
        <v>0.25563392296448145</v>
      </c>
      <c r="GA66">
        <v>3.8257647102627033</v>
      </c>
      <c r="GB66">
        <v>12.334575461149839</v>
      </c>
      <c r="GC66">
        <v>6.0004845574021193</v>
      </c>
      <c r="GD66">
        <v>1.2125715205421193</v>
      </c>
      <c r="GE66">
        <v>2.5206669896525717</v>
      </c>
      <c r="GF66">
        <v>2.3767376034759118</v>
      </c>
      <c r="GG66">
        <v>2.2508867178264524</v>
      </c>
      <c r="GH66">
        <v>3.1558575872398187</v>
      </c>
      <c r="GI66">
        <v>5.0221421373980455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12.254978246318606</v>
      </c>
      <c r="AO67">
        <v>5.4907348689100619</v>
      </c>
      <c r="AP67">
        <v>31.300231175879837</v>
      </c>
      <c r="AQ67">
        <v>28.21738209519425</v>
      </c>
      <c r="AR67">
        <v>5.0318608951419606</v>
      </c>
      <c r="AS67">
        <v>30.773872069971354</v>
      </c>
      <c r="AT67">
        <v>3.231139837643545</v>
      </c>
      <c r="AU67">
        <v>4.0146084166418285</v>
      </c>
      <c r="AV67"/>
      <c r="AW67"/>
      <c r="FY67" s="212">
        <v>62</v>
      </c>
      <c r="FZ67">
        <v>0.26800691803846022</v>
      </c>
      <c r="GA67">
        <v>6.0290158522937656</v>
      </c>
      <c r="GB67">
        <v>8.0101106105809059</v>
      </c>
      <c r="GC67">
        <v>3.4440341467384288</v>
      </c>
      <c r="GD67">
        <v>1.3641666409514437</v>
      </c>
      <c r="GE67">
        <v>2.9722457632151329</v>
      </c>
      <c r="GF67">
        <v>7.9545943295325596</v>
      </c>
      <c r="GG67">
        <v>7.1344875411580038</v>
      </c>
      <c r="GH67">
        <v>2.9461942225673825</v>
      </c>
      <c r="GI67">
        <v>5.4499072697518187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19.319240196078432</v>
      </c>
      <c r="AO68">
        <v>8.4706461782714548</v>
      </c>
      <c r="AP68">
        <v>58.557762793088159</v>
      </c>
      <c r="AQ68">
        <v>46.251439312954837</v>
      </c>
      <c r="AR68">
        <v>7.781333026058225</v>
      </c>
      <c r="AS68">
        <v>44.592842127712828</v>
      </c>
      <c r="AT68">
        <v>4.4981178973798812</v>
      </c>
      <c r="AU68">
        <v>29.078595818795488</v>
      </c>
      <c r="AV68"/>
      <c r="AW68"/>
      <c r="FY68" s="212">
        <v>63</v>
      </c>
      <c r="FZ68">
        <v>3.3132291007976189</v>
      </c>
      <c r="GA68">
        <v>8.3156751011799273</v>
      </c>
      <c r="GB68">
        <v>7.5280560809285095</v>
      </c>
      <c r="GC68">
        <v>3.4092877414368257</v>
      </c>
      <c r="GD68">
        <v>1.2507928552973708</v>
      </c>
      <c r="GE68">
        <v>1.9161986758220095</v>
      </c>
      <c r="GF68">
        <v>5.1805053719721812</v>
      </c>
      <c r="GG68">
        <v>5.6299837864295981</v>
      </c>
      <c r="GH68">
        <v>1.9522898268858284</v>
      </c>
      <c r="GI68">
        <v>4.8040843821456232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16.298278899913377</v>
      </c>
      <c r="AO69">
        <v>9.2978340006195417</v>
      </c>
      <c r="AP69">
        <v>49.660973819200976</v>
      </c>
      <c r="AQ69">
        <v>44.866986341138045</v>
      </c>
      <c r="AR69">
        <v>8.5159158074814716</v>
      </c>
      <c r="AS69">
        <v>47.03196479361749</v>
      </c>
      <c r="AT69">
        <v>4.2989812280245552</v>
      </c>
      <c r="AU69">
        <v>21.477038662166613</v>
      </c>
      <c r="AV69"/>
      <c r="AW69"/>
      <c r="FY69" s="212">
        <v>64</v>
      </c>
      <c r="FZ69">
        <v>3.5184804207566982</v>
      </c>
      <c r="GA69">
        <v>7.1323317952610372</v>
      </c>
      <c r="GB69">
        <v>6.7063846824681699</v>
      </c>
      <c r="GC69">
        <v>3.07286527614191</v>
      </c>
      <c r="GD69">
        <v>0.74951133403015491</v>
      </c>
      <c r="GE69">
        <v>2.7351899231204433</v>
      </c>
      <c r="GF69">
        <v>7.1495599755887191</v>
      </c>
      <c r="GG69">
        <v>5.596477411900433</v>
      </c>
      <c r="GH69">
        <v>2.4419397479921634</v>
      </c>
      <c r="GI69">
        <v>4.8102626690144028</v>
      </c>
      <c r="GJ69"/>
      <c r="GK69"/>
      <c r="GL69"/>
      <c r="GM69"/>
    </row>
    <row r="70" spans="1:195" s="7" customFormat="1">
      <c r="A70" s="4"/>
      <c r="B70" s="66"/>
      <c r="C70" s="71">
        <f t="shared" ref="C70:C79" si="38">C4</f>
        <v>39646</v>
      </c>
      <c r="D70" s="72">
        <f t="shared" ref="D70:D75" si="39">SUM(G70:AK70)</f>
        <v>7.291666666666667</v>
      </c>
      <c r="E70" s="64"/>
      <c r="F70" s="64"/>
      <c r="G70" s="18">
        <f>AVERAGE(E228:E237)</f>
        <v>0</v>
      </c>
      <c r="H70" s="18">
        <f t="shared" ref="H70:AK70" si="40">AVERAGE(F228:F237)</f>
        <v>0</v>
      </c>
      <c r="I70" s="18">
        <f t="shared" si="40"/>
        <v>7.291666666666667</v>
      </c>
      <c r="J70" s="18">
        <f t="shared" si="40"/>
        <v>0</v>
      </c>
      <c r="K70" s="18">
        <f t="shared" si="40"/>
        <v>0</v>
      </c>
      <c r="L70" s="18">
        <f t="shared" si="40"/>
        <v>0</v>
      </c>
      <c r="M70" s="18">
        <f t="shared" si="40"/>
        <v>0</v>
      </c>
      <c r="N70" s="18">
        <f t="shared" si="40"/>
        <v>0</v>
      </c>
      <c r="O70" s="18">
        <f t="shared" si="40"/>
        <v>0</v>
      </c>
      <c r="P70" s="18">
        <f t="shared" si="40"/>
        <v>0</v>
      </c>
      <c r="Q70" s="18">
        <f t="shared" si="40"/>
        <v>0</v>
      </c>
      <c r="R70" s="18">
        <f t="shared" si="40"/>
        <v>0</v>
      </c>
      <c r="S70" s="18">
        <f t="shared" si="40"/>
        <v>0</v>
      </c>
      <c r="T70" s="18">
        <f t="shared" si="40"/>
        <v>0</v>
      </c>
      <c r="U70" s="18">
        <f t="shared" si="40"/>
        <v>0</v>
      </c>
      <c r="V70" s="18">
        <f t="shared" si="40"/>
        <v>0</v>
      </c>
      <c r="W70" s="18">
        <f t="shared" si="40"/>
        <v>0</v>
      </c>
      <c r="X70" s="18">
        <f t="shared" si="40"/>
        <v>0</v>
      </c>
      <c r="Y70" s="18">
        <f t="shared" si="40"/>
        <v>0</v>
      </c>
      <c r="Z70" s="18">
        <f t="shared" si="40"/>
        <v>0</v>
      </c>
      <c r="AA70" s="18">
        <f t="shared" si="40"/>
        <v>0</v>
      </c>
      <c r="AB70" s="18">
        <f t="shared" si="40"/>
        <v>0</v>
      </c>
      <c r="AC70" s="18">
        <f t="shared" si="40"/>
        <v>0</v>
      </c>
      <c r="AD70" s="18">
        <f t="shared" si="40"/>
        <v>0</v>
      </c>
      <c r="AE70" s="18">
        <f t="shared" si="40"/>
        <v>0</v>
      </c>
      <c r="AF70" s="18">
        <f t="shared" si="40"/>
        <v>0</v>
      </c>
      <c r="AG70" s="18">
        <f t="shared" si="40"/>
        <v>0</v>
      </c>
      <c r="AH70" s="18">
        <f t="shared" si="40"/>
        <v>0</v>
      </c>
      <c r="AI70" s="18">
        <f t="shared" si="40"/>
        <v>0</v>
      </c>
      <c r="AJ70" s="18">
        <f t="shared" si="40"/>
        <v>0</v>
      </c>
      <c r="AK70" s="18">
        <f t="shared" si="40"/>
        <v>0</v>
      </c>
      <c r="AL70" s="2"/>
      <c r="AM70" s="43">
        <v>54</v>
      </c>
      <c r="AN70">
        <v>13.641275887865186</v>
      </c>
      <c r="AO70">
        <v>6.6889756726558574</v>
      </c>
      <c r="AP70">
        <v>39.720261571478297</v>
      </c>
      <c r="AQ70">
        <v>33.931759226220777</v>
      </c>
      <c r="AR70">
        <v>6.1478352592146326</v>
      </c>
      <c r="AS70">
        <v>36.199826334344003</v>
      </c>
      <c r="AT70">
        <v>4.011496593878868</v>
      </c>
      <c r="AU70">
        <v>28.799936474073583</v>
      </c>
      <c r="AV70"/>
      <c r="AW70"/>
      <c r="FY70" s="212">
        <v>65</v>
      </c>
      <c r="FZ70">
        <v>3.4991007658792572</v>
      </c>
      <c r="GA70">
        <v>7.9961766088099893</v>
      </c>
      <c r="GB70">
        <v>10.675522848186214</v>
      </c>
      <c r="GC70">
        <v>4.7144990621469418</v>
      </c>
      <c r="GD70">
        <v>0.63412668649659409</v>
      </c>
      <c r="GE70">
        <v>3.5458608211055096</v>
      </c>
      <c r="GF70">
        <v>6.4684645392375542</v>
      </c>
      <c r="GG70">
        <v>2.3427766525358242</v>
      </c>
      <c r="GH70">
        <v>0.69575689683299147</v>
      </c>
      <c r="GI70">
        <v>5.1444922675164424</v>
      </c>
      <c r="GJ70"/>
      <c r="GK70"/>
      <c r="GL70"/>
      <c r="GM70"/>
    </row>
    <row r="71" spans="1:195" s="7" customFormat="1">
      <c r="A71" s="4"/>
      <c r="B71" s="66"/>
      <c r="C71" s="71">
        <f t="shared" si="38"/>
        <v>39673</v>
      </c>
      <c r="D71" s="72">
        <f t="shared" si="39"/>
        <v>22.916666666666664</v>
      </c>
      <c r="E71" s="64"/>
      <c r="F71" s="64"/>
      <c r="G71" s="18">
        <f>AVERAGE(E238:E247)</f>
        <v>0</v>
      </c>
      <c r="H71" s="18">
        <f t="shared" ref="H71:AK71" si="41">AVERAGE(F238:F247)</f>
        <v>0</v>
      </c>
      <c r="I71" s="18">
        <f t="shared" si="41"/>
        <v>14.583333333333334</v>
      </c>
      <c r="J71" s="18">
        <f t="shared" si="41"/>
        <v>4.1666666666666661</v>
      </c>
      <c r="K71" s="18">
        <f t="shared" si="41"/>
        <v>0</v>
      </c>
      <c r="L71" s="18">
        <f t="shared" si="41"/>
        <v>0</v>
      </c>
      <c r="M71" s="18">
        <f t="shared" si="41"/>
        <v>0</v>
      </c>
      <c r="N71" s="18">
        <f t="shared" si="41"/>
        <v>0</v>
      </c>
      <c r="O71" s="18">
        <f t="shared" si="41"/>
        <v>2.083333333333333</v>
      </c>
      <c r="P71" s="18">
        <f t="shared" si="41"/>
        <v>0</v>
      </c>
      <c r="Q71" s="18">
        <f t="shared" si="41"/>
        <v>2.083333333333333</v>
      </c>
      <c r="R71" s="18">
        <f t="shared" si="41"/>
        <v>0</v>
      </c>
      <c r="S71" s="18">
        <f t="shared" si="41"/>
        <v>0</v>
      </c>
      <c r="T71" s="18">
        <f t="shared" si="41"/>
        <v>0</v>
      </c>
      <c r="U71" s="18">
        <f t="shared" si="41"/>
        <v>0</v>
      </c>
      <c r="V71" s="18">
        <f t="shared" si="41"/>
        <v>0</v>
      </c>
      <c r="W71" s="18">
        <f t="shared" si="41"/>
        <v>0</v>
      </c>
      <c r="X71" s="18">
        <f t="shared" si="41"/>
        <v>0</v>
      </c>
      <c r="Y71" s="18">
        <f t="shared" si="41"/>
        <v>0</v>
      </c>
      <c r="Z71" s="18">
        <f t="shared" si="41"/>
        <v>0</v>
      </c>
      <c r="AA71" s="18">
        <f t="shared" si="41"/>
        <v>0</v>
      </c>
      <c r="AB71" s="18">
        <f t="shared" si="41"/>
        <v>0</v>
      </c>
      <c r="AC71" s="18">
        <f t="shared" si="41"/>
        <v>0</v>
      </c>
      <c r="AD71" s="18">
        <f t="shared" si="41"/>
        <v>0</v>
      </c>
      <c r="AE71" s="18">
        <f t="shared" si="41"/>
        <v>0</v>
      </c>
      <c r="AF71" s="18">
        <f t="shared" si="41"/>
        <v>0</v>
      </c>
      <c r="AG71" s="18">
        <f t="shared" si="41"/>
        <v>0</v>
      </c>
      <c r="AH71" s="18">
        <f t="shared" si="41"/>
        <v>0</v>
      </c>
      <c r="AI71" s="18">
        <f t="shared" si="41"/>
        <v>0</v>
      </c>
      <c r="AJ71" s="18">
        <f t="shared" si="41"/>
        <v>0</v>
      </c>
      <c r="AK71" s="18">
        <f t="shared" si="41"/>
        <v>0</v>
      </c>
      <c r="AL71" s="2"/>
      <c r="AM71" s="43">
        <v>55</v>
      </c>
      <c r="AN71">
        <v>15.16558144342074</v>
      </c>
      <c r="AO71">
        <v>6.8937056507592036</v>
      </c>
      <c r="AP71">
        <v>64.690811476938336</v>
      </c>
      <c r="AQ71">
        <v>45.208278215303473</v>
      </c>
      <c r="AR71">
        <v>6.3205206819850499</v>
      </c>
      <c r="AS71">
        <v>34.305067846185452</v>
      </c>
      <c r="AT71">
        <v>2.7302185175217359</v>
      </c>
      <c r="AU71">
        <v>10.347935490693155</v>
      </c>
      <c r="AV71"/>
      <c r="AW71"/>
      <c r="FY71" s="212">
        <v>66</v>
      </c>
      <c r="FZ71">
        <v>3.2737338898091899</v>
      </c>
      <c r="GA71">
        <v>5.9762634570519424</v>
      </c>
      <c r="GB71">
        <v>5.3421135662163799</v>
      </c>
      <c r="GC71">
        <v>2.8453220118966156</v>
      </c>
      <c r="GD71">
        <v>1.3638461857136783</v>
      </c>
      <c r="GE71">
        <v>3.2780355806148416</v>
      </c>
      <c r="GF71">
        <v>7.3365541397956804</v>
      </c>
      <c r="GG71">
        <v>6.2411014366855024</v>
      </c>
      <c r="GH71">
        <v>2.4555947733366841</v>
      </c>
      <c r="GI71">
        <v>4.899903722691672</v>
      </c>
      <c r="GJ71"/>
      <c r="GK71"/>
      <c r="GL71"/>
      <c r="GM71"/>
    </row>
    <row r="72" spans="1:195" s="7" customFormat="1">
      <c r="A72" s="4"/>
      <c r="B72" s="66"/>
      <c r="C72" s="71">
        <f t="shared" si="38"/>
        <v>39714</v>
      </c>
      <c r="D72" s="72">
        <f t="shared" si="39"/>
        <v>13.541666666666664</v>
      </c>
      <c r="E72" s="64"/>
      <c r="F72" s="64"/>
      <c r="G72" s="18">
        <f>AVERAGE(E248:E257)</f>
        <v>0</v>
      </c>
      <c r="H72" s="18">
        <f t="shared" ref="H72:AK72" si="42">AVERAGE(F248:F257)</f>
        <v>0</v>
      </c>
      <c r="I72" s="18">
        <f t="shared" si="42"/>
        <v>0</v>
      </c>
      <c r="J72" s="18">
        <f t="shared" si="42"/>
        <v>4.1666666666666661</v>
      </c>
      <c r="K72" s="18">
        <f t="shared" si="42"/>
        <v>4.1666666666666661</v>
      </c>
      <c r="L72" s="18">
        <f t="shared" si="42"/>
        <v>5.208333333333333</v>
      </c>
      <c r="M72" s="18">
        <f t="shared" si="42"/>
        <v>0</v>
      </c>
      <c r="N72" s="18">
        <f t="shared" si="42"/>
        <v>0</v>
      </c>
      <c r="O72" s="18">
        <f t="shared" si="42"/>
        <v>0</v>
      </c>
      <c r="P72" s="18">
        <f t="shared" si="42"/>
        <v>0</v>
      </c>
      <c r="Q72" s="18">
        <f t="shared" si="42"/>
        <v>0</v>
      </c>
      <c r="R72" s="18">
        <f t="shared" si="42"/>
        <v>0</v>
      </c>
      <c r="S72" s="18">
        <f t="shared" si="42"/>
        <v>0</v>
      </c>
      <c r="T72" s="18">
        <f t="shared" si="42"/>
        <v>0</v>
      </c>
      <c r="U72" s="18">
        <f t="shared" si="42"/>
        <v>0</v>
      </c>
      <c r="V72" s="18">
        <f t="shared" si="42"/>
        <v>0</v>
      </c>
      <c r="W72" s="18">
        <f t="shared" si="42"/>
        <v>0</v>
      </c>
      <c r="X72" s="18">
        <f t="shared" si="42"/>
        <v>0</v>
      </c>
      <c r="Y72" s="18">
        <f t="shared" si="42"/>
        <v>0</v>
      </c>
      <c r="Z72" s="18">
        <f t="shared" si="42"/>
        <v>0</v>
      </c>
      <c r="AA72" s="18">
        <f t="shared" si="42"/>
        <v>0</v>
      </c>
      <c r="AB72" s="18">
        <f t="shared" si="42"/>
        <v>0</v>
      </c>
      <c r="AC72" s="18">
        <f t="shared" si="42"/>
        <v>0</v>
      </c>
      <c r="AD72" s="18">
        <f t="shared" si="42"/>
        <v>0</v>
      </c>
      <c r="AE72" s="18">
        <f t="shared" si="42"/>
        <v>0</v>
      </c>
      <c r="AF72" s="18">
        <f t="shared" si="42"/>
        <v>0</v>
      </c>
      <c r="AG72" s="18">
        <f t="shared" si="42"/>
        <v>0</v>
      </c>
      <c r="AH72" s="18">
        <f t="shared" si="42"/>
        <v>0</v>
      </c>
      <c r="AI72" s="18">
        <f t="shared" si="42"/>
        <v>0</v>
      </c>
      <c r="AJ72" s="18">
        <f t="shared" si="42"/>
        <v>0</v>
      </c>
      <c r="AK72" s="18">
        <f t="shared" si="42"/>
        <v>0</v>
      </c>
      <c r="AL72" s="2"/>
      <c r="AM72" s="43">
        <v>56</v>
      </c>
      <c r="AN72">
        <v>10.910475234270413</v>
      </c>
      <c r="AO72">
        <v>7.065001097633183</v>
      </c>
      <c r="AP72">
        <v>33.973525657431253</v>
      </c>
      <c r="AQ72">
        <v>39.804219274841259</v>
      </c>
      <c r="AR72">
        <v>6.4806057034225395</v>
      </c>
      <c r="AS72">
        <v>36.482290379617801</v>
      </c>
      <c r="AT72">
        <v>3.7695770091571248</v>
      </c>
      <c r="AU72">
        <v>6.0894318239321059</v>
      </c>
      <c r="AV72"/>
      <c r="AW72"/>
      <c r="FY72" s="212">
        <v>67</v>
      </c>
      <c r="FZ72">
        <v>3.5212504008249321</v>
      </c>
      <c r="GA72">
        <v>6.2126892178990891</v>
      </c>
      <c r="GB72">
        <v>3.2518404834773733</v>
      </c>
      <c r="GC72">
        <v>1.0909786945329354</v>
      </c>
      <c r="GD72">
        <v>0.49483484561502339</v>
      </c>
      <c r="GE72">
        <v>3.4183775570376467</v>
      </c>
      <c r="GF72">
        <v>8.8529100806346896</v>
      </c>
      <c r="GG72">
        <v>5.6550694391194121</v>
      </c>
      <c r="GH72">
        <v>2.3144124483126522</v>
      </c>
      <c r="GI72">
        <v>4.0893201787934359</v>
      </c>
      <c r="GJ72"/>
      <c r="GK72"/>
      <c r="GL72"/>
      <c r="GM72"/>
    </row>
    <row r="73" spans="1:195" s="7" customFormat="1">
      <c r="A73" s="4"/>
      <c r="B73" s="66"/>
      <c r="C73" s="71">
        <f t="shared" si="38"/>
        <v>39747</v>
      </c>
      <c r="D73" s="72">
        <f t="shared" si="39"/>
        <v>46.433080808080803</v>
      </c>
      <c r="E73" s="64"/>
      <c r="F73" s="64"/>
      <c r="G73" s="18">
        <f>AVERAGE(E258:E267)</f>
        <v>0</v>
      </c>
      <c r="H73" s="18">
        <f t="shared" ref="H73:AK73" si="43">AVERAGE(F258:F267)</f>
        <v>0</v>
      </c>
      <c r="I73" s="18">
        <f t="shared" si="43"/>
        <v>0</v>
      </c>
      <c r="J73" s="18">
        <f t="shared" si="43"/>
        <v>17.361111111111111</v>
      </c>
      <c r="K73" s="18">
        <f t="shared" si="43"/>
        <v>4.1666666666666661</v>
      </c>
      <c r="L73" s="18">
        <f t="shared" si="43"/>
        <v>7.7651515151515138</v>
      </c>
      <c r="M73" s="18">
        <f t="shared" si="43"/>
        <v>7.2916666666666661</v>
      </c>
      <c r="N73" s="18">
        <f t="shared" si="43"/>
        <v>9.8484848484848477</v>
      </c>
      <c r="O73" s="18">
        <f t="shared" si="43"/>
        <v>0</v>
      </c>
      <c r="P73" s="18">
        <f t="shared" si="43"/>
        <v>0</v>
      </c>
      <c r="Q73" s="18">
        <f t="shared" si="43"/>
        <v>0</v>
      </c>
      <c r="R73" s="18">
        <f t="shared" si="43"/>
        <v>0</v>
      </c>
      <c r="S73" s="18">
        <f t="shared" si="43"/>
        <v>0</v>
      </c>
      <c r="T73" s="18">
        <f t="shared" si="43"/>
        <v>0</v>
      </c>
      <c r="U73" s="18">
        <f t="shared" si="43"/>
        <v>0</v>
      </c>
      <c r="V73" s="18">
        <f t="shared" si="43"/>
        <v>0</v>
      </c>
      <c r="W73" s="18">
        <f t="shared" si="43"/>
        <v>0</v>
      </c>
      <c r="X73" s="18">
        <f t="shared" si="43"/>
        <v>0</v>
      </c>
      <c r="Y73" s="18">
        <f t="shared" si="43"/>
        <v>0</v>
      </c>
      <c r="Z73" s="18">
        <f t="shared" si="43"/>
        <v>0</v>
      </c>
      <c r="AA73" s="18">
        <f t="shared" si="43"/>
        <v>0</v>
      </c>
      <c r="AB73" s="18">
        <f t="shared" si="43"/>
        <v>0</v>
      </c>
      <c r="AC73" s="18">
        <f t="shared" si="43"/>
        <v>0</v>
      </c>
      <c r="AD73" s="18">
        <f t="shared" si="43"/>
        <v>0</v>
      </c>
      <c r="AE73" s="18">
        <f t="shared" si="43"/>
        <v>0</v>
      </c>
      <c r="AF73" s="18">
        <f t="shared" si="43"/>
        <v>0</v>
      </c>
      <c r="AG73" s="18">
        <f t="shared" si="43"/>
        <v>0</v>
      </c>
      <c r="AH73" s="18">
        <f t="shared" si="43"/>
        <v>0</v>
      </c>
      <c r="AI73" s="18">
        <f t="shared" si="43"/>
        <v>0</v>
      </c>
      <c r="AJ73" s="18">
        <f t="shared" si="43"/>
        <v>0</v>
      </c>
      <c r="AK73" s="18">
        <f t="shared" si="43"/>
        <v>0</v>
      </c>
      <c r="AL73" s="2"/>
      <c r="AM73" s="43">
        <v>57</v>
      </c>
      <c r="AN73">
        <v>14.057942554531852</v>
      </c>
      <c r="AO73">
        <v>8.5548544523360839</v>
      </c>
      <c r="AP73">
        <v>65.016766471446985</v>
      </c>
      <c r="AQ73">
        <v>48.542857492454111</v>
      </c>
      <c r="AR73">
        <v>7.919826345903541</v>
      </c>
      <c r="AS73">
        <v>46.905999742001839</v>
      </c>
      <c r="AT73">
        <v>4.389266789565748</v>
      </c>
      <c r="AU73">
        <v>22.105889673305349</v>
      </c>
      <c r="AV73"/>
      <c r="AW73"/>
      <c r="FY73" s="212">
        <v>68</v>
      </c>
      <c r="FZ73">
        <v>6.6794371598029221</v>
      </c>
      <c r="GA73">
        <v>10.28724205137831</v>
      </c>
      <c r="GB73">
        <v>4.0190025739527799</v>
      </c>
      <c r="GC73">
        <v>1.9715645756826912</v>
      </c>
      <c r="GD73">
        <v>1.2260875102395554</v>
      </c>
      <c r="GE73">
        <v>4.7217475021821862</v>
      </c>
      <c r="GF73">
        <v>13.47010112176725</v>
      </c>
      <c r="GG73">
        <v>9.8852698370041008</v>
      </c>
      <c r="GH73">
        <v>2.3036196617570046</v>
      </c>
      <c r="GI73">
        <v>6.4856686419760345</v>
      </c>
      <c r="GJ73"/>
      <c r="GK73"/>
      <c r="GL73"/>
      <c r="GM73"/>
    </row>
    <row r="74" spans="1:195" s="7" customFormat="1">
      <c r="A74" s="4"/>
      <c r="B74" s="66"/>
      <c r="C74" s="71">
        <f t="shared" si="38"/>
        <v>39775</v>
      </c>
      <c r="D74" s="72">
        <f t="shared" si="39"/>
        <v>15.625</v>
      </c>
      <c r="E74" s="64"/>
      <c r="F74" s="64"/>
      <c r="G74" s="18">
        <f>AVERAGE(E268:E277)</f>
        <v>0</v>
      </c>
      <c r="H74" s="18">
        <f t="shared" ref="H74:AK74" si="44">AVERAGE(F268:F277)</f>
        <v>0</v>
      </c>
      <c r="I74" s="18">
        <f t="shared" si="44"/>
        <v>8.3333333333333339</v>
      </c>
      <c r="J74" s="18">
        <f t="shared" si="44"/>
        <v>0</v>
      </c>
      <c r="K74" s="18">
        <f t="shared" si="44"/>
        <v>3.125</v>
      </c>
      <c r="L74" s="18">
        <f t="shared" si="44"/>
        <v>0</v>
      </c>
      <c r="M74" s="18">
        <f t="shared" si="44"/>
        <v>3.125</v>
      </c>
      <c r="N74" s="18">
        <f t="shared" si="44"/>
        <v>1.0416666666666665</v>
      </c>
      <c r="O74" s="18">
        <f t="shared" si="44"/>
        <v>0</v>
      </c>
      <c r="P74" s="18">
        <f t="shared" si="44"/>
        <v>0</v>
      </c>
      <c r="Q74" s="18">
        <f t="shared" si="44"/>
        <v>0</v>
      </c>
      <c r="R74" s="18">
        <f t="shared" si="44"/>
        <v>0</v>
      </c>
      <c r="S74" s="18">
        <f t="shared" si="44"/>
        <v>0</v>
      </c>
      <c r="T74" s="18">
        <f t="shared" si="44"/>
        <v>0</v>
      </c>
      <c r="U74" s="18">
        <f t="shared" si="44"/>
        <v>0</v>
      </c>
      <c r="V74" s="18">
        <f t="shared" si="44"/>
        <v>0</v>
      </c>
      <c r="W74" s="18">
        <f t="shared" si="44"/>
        <v>0</v>
      </c>
      <c r="X74" s="18">
        <f t="shared" si="44"/>
        <v>0</v>
      </c>
      <c r="Y74" s="18">
        <f t="shared" si="44"/>
        <v>0</v>
      </c>
      <c r="Z74" s="18">
        <f t="shared" si="44"/>
        <v>0</v>
      </c>
      <c r="AA74" s="18">
        <f t="shared" si="44"/>
        <v>0</v>
      </c>
      <c r="AB74" s="18">
        <f t="shared" si="44"/>
        <v>0</v>
      </c>
      <c r="AC74" s="18">
        <f t="shared" si="44"/>
        <v>0</v>
      </c>
      <c r="AD74" s="18">
        <f t="shared" si="44"/>
        <v>0</v>
      </c>
      <c r="AE74" s="18">
        <f t="shared" si="44"/>
        <v>0</v>
      </c>
      <c r="AF74" s="18">
        <f t="shared" si="44"/>
        <v>0</v>
      </c>
      <c r="AG74" s="18">
        <f t="shared" si="44"/>
        <v>0</v>
      </c>
      <c r="AH74" s="18">
        <f t="shared" si="44"/>
        <v>0</v>
      </c>
      <c r="AI74" s="18">
        <f t="shared" si="44"/>
        <v>0</v>
      </c>
      <c r="AJ74" s="18">
        <f t="shared" si="44"/>
        <v>0</v>
      </c>
      <c r="AK74" s="18">
        <f t="shared" si="44"/>
        <v>0</v>
      </c>
      <c r="AL74" s="2"/>
      <c r="AM74" s="43">
        <v>58</v>
      </c>
      <c r="AN74">
        <v>14.46950301204819</v>
      </c>
      <c r="AO74">
        <v>11.557221259403997</v>
      </c>
      <c r="AP74">
        <v>82.134059411958461</v>
      </c>
      <c r="AQ74">
        <v>63.726242110370322</v>
      </c>
      <c r="AR74">
        <v>10.610238965585632</v>
      </c>
      <c r="AS74">
        <v>51.094982140768003</v>
      </c>
      <c r="AT74">
        <v>5.9130744364226189</v>
      </c>
      <c r="AU74">
        <v>12.209853467614103</v>
      </c>
      <c r="AV74"/>
      <c r="AW74"/>
      <c r="FY74" s="212">
        <v>69</v>
      </c>
      <c r="FZ74">
        <v>3.3152631796323062</v>
      </c>
      <c r="GA74">
        <v>5.1528052737901193</v>
      </c>
      <c r="GB74">
        <v>4.9491556387086435</v>
      </c>
      <c r="GC74">
        <v>2.5339718756366985</v>
      </c>
      <c r="GD74">
        <v>1.0011553565375575</v>
      </c>
      <c r="GE74">
        <v>3.3852767838817064</v>
      </c>
      <c r="GF74">
        <v>5.5706446056836381</v>
      </c>
      <c r="GG74">
        <v>3.5069619428954315</v>
      </c>
      <c r="GH74">
        <v>2.3639750353030111</v>
      </c>
      <c r="GI74">
        <v>4.0235433805897838</v>
      </c>
      <c r="GJ74"/>
      <c r="GK74"/>
      <c r="GL74"/>
      <c r="GM74"/>
    </row>
    <row r="75" spans="1:195" s="7" customFormat="1">
      <c r="A75" s="4"/>
      <c r="B75" s="66"/>
      <c r="C75" s="71">
        <f t="shared" si="38"/>
        <v>39799</v>
      </c>
      <c r="D75" s="72">
        <f t="shared" si="39"/>
        <v>66.822638146167563</v>
      </c>
      <c r="E75" s="64"/>
      <c r="F75" s="64"/>
      <c r="G75" s="18">
        <f>AVERAGE(E278:E287)</f>
        <v>0</v>
      </c>
      <c r="H75" s="18">
        <f t="shared" ref="H75:AK75" si="45">AVERAGE(F278:F287)</f>
        <v>0</v>
      </c>
      <c r="I75" s="18">
        <f t="shared" si="45"/>
        <v>58.48930481283422</v>
      </c>
      <c r="J75" s="18">
        <f t="shared" si="45"/>
        <v>0</v>
      </c>
      <c r="K75" s="18">
        <f t="shared" si="45"/>
        <v>2.083333333333333</v>
      </c>
      <c r="L75" s="18">
        <f t="shared" si="45"/>
        <v>2.083333333333333</v>
      </c>
      <c r="M75" s="18">
        <f t="shared" si="45"/>
        <v>1.0416666666666665</v>
      </c>
      <c r="N75" s="18">
        <f t="shared" si="45"/>
        <v>2.083333333333333</v>
      </c>
      <c r="O75" s="18">
        <f t="shared" si="45"/>
        <v>1.0416666666666665</v>
      </c>
      <c r="P75" s="18">
        <f t="shared" si="45"/>
        <v>0</v>
      </c>
      <c r="Q75" s="18">
        <f t="shared" si="45"/>
        <v>0</v>
      </c>
      <c r="R75" s="18">
        <f t="shared" si="45"/>
        <v>0</v>
      </c>
      <c r="S75" s="18">
        <f t="shared" si="45"/>
        <v>0</v>
      </c>
      <c r="T75" s="18">
        <f t="shared" si="45"/>
        <v>0</v>
      </c>
      <c r="U75" s="18">
        <f t="shared" si="45"/>
        <v>0</v>
      </c>
      <c r="V75" s="18">
        <f t="shared" si="45"/>
        <v>0</v>
      </c>
      <c r="W75" s="18">
        <f t="shared" si="45"/>
        <v>0</v>
      </c>
      <c r="X75" s="18">
        <f t="shared" si="45"/>
        <v>0</v>
      </c>
      <c r="Y75" s="18">
        <f t="shared" si="45"/>
        <v>0</v>
      </c>
      <c r="Z75" s="18">
        <f t="shared" si="45"/>
        <v>0</v>
      </c>
      <c r="AA75" s="18">
        <f t="shared" si="45"/>
        <v>0</v>
      </c>
      <c r="AB75" s="18">
        <f t="shared" si="45"/>
        <v>0</v>
      </c>
      <c r="AC75" s="18">
        <f t="shared" si="45"/>
        <v>0</v>
      </c>
      <c r="AD75" s="18">
        <f t="shared" si="45"/>
        <v>0</v>
      </c>
      <c r="AE75" s="18">
        <f t="shared" si="45"/>
        <v>0</v>
      </c>
      <c r="AF75" s="18">
        <f t="shared" si="45"/>
        <v>0</v>
      </c>
      <c r="AG75" s="18">
        <f t="shared" si="45"/>
        <v>0</v>
      </c>
      <c r="AH75" s="18">
        <f t="shared" si="45"/>
        <v>0</v>
      </c>
      <c r="AI75" s="18">
        <f t="shared" si="45"/>
        <v>0</v>
      </c>
      <c r="AJ75" s="18">
        <f t="shared" si="45"/>
        <v>0</v>
      </c>
      <c r="AK75" s="18">
        <f t="shared" si="45"/>
        <v>0</v>
      </c>
      <c r="AL75" s="2"/>
      <c r="AM75" s="43">
        <v>59</v>
      </c>
      <c r="AN75">
        <v>13.529411764705884</v>
      </c>
      <c r="AO75">
        <v>7.2230657369478237</v>
      </c>
      <c r="AP75">
        <v>47.076069789681398</v>
      </c>
      <c r="AQ75">
        <v>34.423840191771504</v>
      </c>
      <c r="AR75">
        <v>6.6050454971446495</v>
      </c>
      <c r="AS75">
        <v>41.564942447424784</v>
      </c>
      <c r="AT75">
        <v>4.368918225848673</v>
      </c>
      <c r="AU75">
        <v>10.642972965240395</v>
      </c>
      <c r="AV75"/>
      <c r="AW75"/>
      <c r="FY75" s="212">
        <v>70</v>
      </c>
      <c r="FZ75">
        <v>6.1832271389969384E-2</v>
      </c>
      <c r="GA75">
        <v>4.8808097275401652</v>
      </c>
      <c r="GB75">
        <v>8.7320589629888712</v>
      </c>
      <c r="GC75">
        <v>3.9340284178276268</v>
      </c>
      <c r="GD75">
        <v>1.226191999832402</v>
      </c>
      <c r="GE75">
        <v>4.212236682875373</v>
      </c>
      <c r="GF75">
        <v>12.320130886877081</v>
      </c>
      <c r="GG75">
        <v>10.711287513595829</v>
      </c>
      <c r="GH75">
        <v>3.1945506018934338</v>
      </c>
      <c r="GI75">
        <v>6.6822398238002005</v>
      </c>
      <c r="GJ75"/>
      <c r="GK75"/>
      <c r="GL75"/>
      <c r="GM75"/>
    </row>
    <row r="76" spans="1:195" s="7" customFormat="1">
      <c r="A76" s="4"/>
      <c r="B76" s="66"/>
      <c r="C76" s="71">
        <f t="shared" si="38"/>
        <v>39847</v>
      </c>
      <c r="D76" s="72">
        <f>SUM(G76:AK76)</f>
        <v>4.1666666666666661</v>
      </c>
      <c r="E76" s="64"/>
      <c r="F76" s="64"/>
      <c r="G76" s="18">
        <f>AVERAGE(E288:E297)</f>
        <v>0</v>
      </c>
      <c r="H76" s="18">
        <f t="shared" ref="H76:AK76" si="46">AVERAGE(F288:F297)</f>
        <v>0</v>
      </c>
      <c r="I76" s="18">
        <f t="shared" si="46"/>
        <v>0</v>
      </c>
      <c r="J76" s="18">
        <f t="shared" si="46"/>
        <v>0</v>
      </c>
      <c r="K76" s="18">
        <f t="shared" si="46"/>
        <v>0</v>
      </c>
      <c r="L76" s="18">
        <f t="shared" si="46"/>
        <v>0</v>
      </c>
      <c r="M76" s="18">
        <f t="shared" si="46"/>
        <v>0</v>
      </c>
      <c r="N76" s="18">
        <f t="shared" si="46"/>
        <v>3.125</v>
      </c>
      <c r="O76" s="18">
        <f t="shared" si="46"/>
        <v>0</v>
      </c>
      <c r="P76" s="18">
        <f t="shared" si="46"/>
        <v>1.0416666666666665</v>
      </c>
      <c r="Q76" s="18">
        <f t="shared" si="46"/>
        <v>0</v>
      </c>
      <c r="R76" s="18">
        <f t="shared" si="46"/>
        <v>0</v>
      </c>
      <c r="S76" s="18">
        <f t="shared" si="46"/>
        <v>0</v>
      </c>
      <c r="T76" s="18">
        <f t="shared" si="46"/>
        <v>0</v>
      </c>
      <c r="U76" s="18">
        <f t="shared" si="46"/>
        <v>0</v>
      </c>
      <c r="V76" s="18">
        <f t="shared" si="46"/>
        <v>0</v>
      </c>
      <c r="W76" s="18">
        <f t="shared" si="46"/>
        <v>0</v>
      </c>
      <c r="X76" s="18">
        <f t="shared" si="46"/>
        <v>0</v>
      </c>
      <c r="Y76" s="18">
        <f t="shared" si="46"/>
        <v>0</v>
      </c>
      <c r="Z76" s="18">
        <f t="shared" si="46"/>
        <v>0</v>
      </c>
      <c r="AA76" s="18">
        <f t="shared" si="46"/>
        <v>0</v>
      </c>
      <c r="AB76" s="18">
        <f t="shared" si="46"/>
        <v>0</v>
      </c>
      <c r="AC76" s="18">
        <f t="shared" si="46"/>
        <v>0</v>
      </c>
      <c r="AD76" s="18">
        <f t="shared" si="46"/>
        <v>0</v>
      </c>
      <c r="AE76" s="18">
        <f t="shared" si="46"/>
        <v>0</v>
      </c>
      <c r="AF76" s="18">
        <f t="shared" si="46"/>
        <v>0</v>
      </c>
      <c r="AG76" s="18">
        <f t="shared" si="46"/>
        <v>0</v>
      </c>
      <c r="AH76" s="18">
        <f t="shared" si="46"/>
        <v>0</v>
      </c>
      <c r="AI76" s="18">
        <f t="shared" si="46"/>
        <v>0</v>
      </c>
      <c r="AJ76" s="18">
        <f t="shared" si="46"/>
        <v>0</v>
      </c>
      <c r="AK76" s="18">
        <f t="shared" si="46"/>
        <v>0</v>
      </c>
      <c r="AL76" s="2"/>
      <c r="AM76" s="43">
        <v>60</v>
      </c>
      <c r="AN76">
        <v>11.81597222222222</v>
      </c>
      <c r="AO76">
        <v>7.8945187370312428</v>
      </c>
      <c r="AP76">
        <v>30.1750822743026</v>
      </c>
      <c r="AQ76">
        <v>44.006704480343444</v>
      </c>
      <c r="AR76">
        <v>7.2347742543410618</v>
      </c>
      <c r="AS76">
        <v>40.485125595224112</v>
      </c>
      <c r="AT76">
        <v>4.1672913694002514</v>
      </c>
      <c r="AU76">
        <v>7.0584049055171967</v>
      </c>
      <c r="AV76"/>
      <c r="AW76"/>
      <c r="FY76" s="212">
        <v>71</v>
      </c>
      <c r="FZ76">
        <v>6.6395670979027628</v>
      </c>
      <c r="GA76">
        <v>10.567493311794411</v>
      </c>
      <c r="GB76">
        <v>8.1944816388472077</v>
      </c>
      <c r="GC76">
        <v>3.5995611955450224</v>
      </c>
      <c r="GD76">
        <v>1.4765982067486831</v>
      </c>
      <c r="GE76">
        <v>4.3275031060074731</v>
      </c>
      <c r="GF76">
        <v>5.3159529708845357</v>
      </c>
      <c r="GG76">
        <v>3.1118859506839951</v>
      </c>
      <c r="GH76">
        <v>1.0738202653540041</v>
      </c>
      <c r="GI76">
        <v>5.4439459032797695</v>
      </c>
      <c r="GJ76"/>
      <c r="GK76"/>
      <c r="GL76"/>
      <c r="GM76"/>
    </row>
    <row r="77" spans="1:195" s="7" customFormat="1">
      <c r="A77" s="4"/>
      <c r="B77" s="66"/>
      <c r="C77" s="71">
        <f t="shared" si="38"/>
        <v>39910</v>
      </c>
      <c r="D77" s="72">
        <f>SUM(G77:AK77)</f>
        <v>7.2916666666666661</v>
      </c>
      <c r="E77" s="64"/>
      <c r="F77" s="64"/>
      <c r="G77" s="18">
        <f>AVERAGE(E298:E307)</f>
        <v>0</v>
      </c>
      <c r="H77" s="18">
        <f t="shared" ref="H77:AK77" si="47">AVERAGE(F298:F307)</f>
        <v>0</v>
      </c>
      <c r="I77" s="18">
        <f t="shared" si="47"/>
        <v>0</v>
      </c>
      <c r="J77" s="18">
        <f t="shared" si="47"/>
        <v>0</v>
      </c>
      <c r="K77" s="18">
        <f t="shared" si="47"/>
        <v>0</v>
      </c>
      <c r="L77" s="18">
        <f t="shared" si="47"/>
        <v>2.083333333333333</v>
      </c>
      <c r="M77" s="18">
        <f t="shared" si="47"/>
        <v>2.083333333333333</v>
      </c>
      <c r="N77" s="18">
        <f t="shared" si="47"/>
        <v>0</v>
      </c>
      <c r="O77" s="18">
        <f t="shared" si="47"/>
        <v>0</v>
      </c>
      <c r="P77" s="18">
        <f t="shared" si="47"/>
        <v>3.125</v>
      </c>
      <c r="Q77" s="18">
        <f t="shared" si="47"/>
        <v>0</v>
      </c>
      <c r="R77" s="18">
        <f t="shared" si="47"/>
        <v>0</v>
      </c>
      <c r="S77" s="18">
        <f t="shared" si="47"/>
        <v>0</v>
      </c>
      <c r="T77" s="18">
        <f t="shared" si="47"/>
        <v>0</v>
      </c>
      <c r="U77" s="18">
        <f t="shared" si="47"/>
        <v>0</v>
      </c>
      <c r="V77" s="18">
        <f t="shared" si="47"/>
        <v>0</v>
      </c>
      <c r="W77" s="18">
        <f t="shared" si="47"/>
        <v>0</v>
      </c>
      <c r="X77" s="18">
        <f t="shared" si="47"/>
        <v>0</v>
      </c>
      <c r="Y77" s="18">
        <f t="shared" si="47"/>
        <v>0</v>
      </c>
      <c r="Z77" s="18">
        <f t="shared" si="47"/>
        <v>0</v>
      </c>
      <c r="AA77" s="18">
        <f t="shared" si="47"/>
        <v>0</v>
      </c>
      <c r="AB77" s="18">
        <f t="shared" si="47"/>
        <v>0</v>
      </c>
      <c r="AC77" s="18">
        <f t="shared" si="47"/>
        <v>0</v>
      </c>
      <c r="AD77" s="18">
        <f t="shared" si="47"/>
        <v>0</v>
      </c>
      <c r="AE77" s="18">
        <f t="shared" si="47"/>
        <v>0</v>
      </c>
      <c r="AF77" s="18">
        <f t="shared" si="47"/>
        <v>0</v>
      </c>
      <c r="AG77" s="18">
        <f t="shared" si="47"/>
        <v>0</v>
      </c>
      <c r="AH77" s="18">
        <f t="shared" si="47"/>
        <v>0</v>
      </c>
      <c r="AI77" s="18">
        <f t="shared" si="47"/>
        <v>0</v>
      </c>
      <c r="AJ77" s="18">
        <f t="shared" si="47"/>
        <v>0</v>
      </c>
      <c r="AK77" s="18">
        <f t="shared" si="47"/>
        <v>0</v>
      </c>
      <c r="AL77" s="2"/>
      <c r="AM77" s="43">
        <v>61</v>
      </c>
      <c r="AN77">
        <v>18.148220332309627</v>
      </c>
      <c r="AO77">
        <v>7.8219796868414848</v>
      </c>
      <c r="AP77">
        <v>36.500025175727423</v>
      </c>
      <c r="AQ77">
        <v>38.955321207914068</v>
      </c>
      <c r="AR77">
        <v>7.2428360967953305</v>
      </c>
      <c r="AS77">
        <v>43.070901704601731</v>
      </c>
      <c r="AT77">
        <v>3.9831624728093646</v>
      </c>
      <c r="AU77">
        <v>6.0355405464375949</v>
      </c>
      <c r="AV77"/>
      <c r="AW77"/>
      <c r="FY77" s="212">
        <v>72</v>
      </c>
      <c r="FZ77">
        <v>6.4031254043598578</v>
      </c>
      <c r="GA77">
        <v>12.367368213476617</v>
      </c>
      <c r="GB77">
        <v>6.9144218184338531</v>
      </c>
      <c r="GC77">
        <v>2.6298663635286572</v>
      </c>
      <c r="GD77">
        <v>0.59817897134220011</v>
      </c>
      <c r="GE77">
        <v>2.6779121139025976</v>
      </c>
      <c r="GF77">
        <v>9.0887789307533264</v>
      </c>
      <c r="GG77">
        <v>6.9866002638805096</v>
      </c>
      <c r="GH77">
        <v>1.6663958680023891</v>
      </c>
      <c r="GI77">
        <v>5.5512878732462196</v>
      </c>
      <c r="GJ77"/>
      <c r="GK77"/>
      <c r="GL77"/>
      <c r="GM77"/>
    </row>
    <row r="78" spans="1:195" s="7" customFormat="1">
      <c r="A78" s="4"/>
      <c r="B78" s="66"/>
      <c r="C78" s="71">
        <f t="shared" si="38"/>
        <v>39949</v>
      </c>
      <c r="D78" s="72">
        <f>SUM(G78:AK78)</f>
        <v>10.416666666666666</v>
      </c>
      <c r="E78" s="64"/>
      <c r="F78" s="64"/>
      <c r="G78" s="18">
        <f>AVERAGE(E308:E317)</f>
        <v>0</v>
      </c>
      <c r="H78" s="18">
        <f t="shared" ref="H78:AK78" si="48">AVERAGE(F308:F317)</f>
        <v>0</v>
      </c>
      <c r="I78" s="18">
        <f t="shared" si="48"/>
        <v>0</v>
      </c>
      <c r="J78" s="18">
        <f t="shared" si="48"/>
        <v>3.125</v>
      </c>
      <c r="K78" s="18">
        <f t="shared" si="48"/>
        <v>0</v>
      </c>
      <c r="L78" s="18">
        <f t="shared" si="48"/>
        <v>2.083333333333333</v>
      </c>
      <c r="M78" s="18">
        <f t="shared" si="48"/>
        <v>2.083333333333333</v>
      </c>
      <c r="N78" s="18">
        <f t="shared" si="48"/>
        <v>3.125</v>
      </c>
      <c r="O78" s="18">
        <f t="shared" si="48"/>
        <v>0</v>
      </c>
      <c r="P78" s="18">
        <f t="shared" si="48"/>
        <v>0</v>
      </c>
      <c r="Q78" s="18">
        <f t="shared" si="48"/>
        <v>0</v>
      </c>
      <c r="R78" s="18">
        <f t="shared" si="48"/>
        <v>0</v>
      </c>
      <c r="S78" s="18">
        <f t="shared" si="48"/>
        <v>0</v>
      </c>
      <c r="T78" s="18">
        <f t="shared" si="48"/>
        <v>0</v>
      </c>
      <c r="U78" s="18">
        <f t="shared" si="48"/>
        <v>0</v>
      </c>
      <c r="V78" s="18">
        <f t="shared" si="48"/>
        <v>0</v>
      </c>
      <c r="W78" s="18">
        <f t="shared" si="48"/>
        <v>0</v>
      </c>
      <c r="X78" s="18">
        <f t="shared" si="48"/>
        <v>0</v>
      </c>
      <c r="Y78" s="18">
        <f t="shared" si="48"/>
        <v>0</v>
      </c>
      <c r="Z78" s="18">
        <f t="shared" si="48"/>
        <v>0</v>
      </c>
      <c r="AA78" s="18">
        <f t="shared" si="48"/>
        <v>0</v>
      </c>
      <c r="AB78" s="18">
        <f t="shared" si="48"/>
        <v>0</v>
      </c>
      <c r="AC78" s="18">
        <f t="shared" si="48"/>
        <v>0</v>
      </c>
      <c r="AD78" s="18">
        <f t="shared" si="48"/>
        <v>0</v>
      </c>
      <c r="AE78" s="18">
        <f t="shared" si="48"/>
        <v>0</v>
      </c>
      <c r="AF78" s="18">
        <f t="shared" si="48"/>
        <v>0</v>
      </c>
      <c r="AG78" s="18">
        <f t="shared" si="48"/>
        <v>0</v>
      </c>
      <c r="AH78" s="18">
        <f t="shared" si="48"/>
        <v>0</v>
      </c>
      <c r="AI78" s="18">
        <f t="shared" si="48"/>
        <v>0</v>
      </c>
      <c r="AJ78" s="18">
        <f t="shared" si="48"/>
        <v>0</v>
      </c>
      <c r="AK78" s="18">
        <f t="shared" si="48"/>
        <v>0</v>
      </c>
      <c r="AL78" s="2"/>
      <c r="AM78" s="43">
        <v>62</v>
      </c>
      <c r="AN78">
        <v>19.763684640522875</v>
      </c>
      <c r="AO78">
        <v>8.8577317936337092</v>
      </c>
      <c r="AP78">
        <v>46.799554659314659</v>
      </c>
      <c r="AQ78">
        <v>45.572763294827901</v>
      </c>
      <c r="AR78">
        <v>8.1669008206039919</v>
      </c>
      <c r="AS78">
        <v>48.892355148404206</v>
      </c>
      <c r="AT78">
        <v>4.8803971973925497</v>
      </c>
      <c r="AU78">
        <v>30.727094318418796</v>
      </c>
      <c r="AV78"/>
      <c r="AW78"/>
      <c r="FY78" s="212">
        <v>73</v>
      </c>
      <c r="FZ78">
        <v>0.30861288117216568</v>
      </c>
      <c r="GA78">
        <v>4.9951516682068782</v>
      </c>
      <c r="GB78">
        <v>8.8295076364249088</v>
      </c>
      <c r="GC78">
        <v>4.4652996610052904</v>
      </c>
      <c r="GD78">
        <v>1.3060473122499217</v>
      </c>
      <c r="GE78">
        <v>2.1756286919558923</v>
      </c>
      <c r="GF78">
        <v>5.3571723766030583</v>
      </c>
      <c r="GG78">
        <v>4.601419487734578</v>
      </c>
      <c r="GH78">
        <v>3.3743988614606764</v>
      </c>
      <c r="GI78">
        <v>4.993450536564672</v>
      </c>
      <c r="GJ78"/>
      <c r="GK78"/>
      <c r="GL78"/>
      <c r="GM78"/>
    </row>
    <row r="79" spans="1:195" s="7" customFormat="1">
      <c r="A79" s="4"/>
      <c r="B79" s="66"/>
      <c r="C79" s="71">
        <f t="shared" si="38"/>
        <v>39987</v>
      </c>
      <c r="D79" s="72">
        <f>SUM(G79:AK79)</f>
        <v>6.25</v>
      </c>
      <c r="E79" s="64"/>
      <c r="F79" s="64"/>
      <c r="G79" s="18">
        <f>AVERAGE(E318:E327)</f>
        <v>0</v>
      </c>
      <c r="H79" s="18">
        <f t="shared" ref="H79:AK79" si="49">AVERAGE(F318:F327)</f>
        <v>0</v>
      </c>
      <c r="I79" s="18">
        <f t="shared" si="49"/>
        <v>0</v>
      </c>
      <c r="J79" s="18">
        <f t="shared" si="49"/>
        <v>1.0416666666666665</v>
      </c>
      <c r="K79" s="18">
        <f t="shared" si="49"/>
        <v>1.0416666666666665</v>
      </c>
      <c r="L79" s="18">
        <f t="shared" si="49"/>
        <v>3.125</v>
      </c>
      <c r="M79" s="18">
        <f t="shared" si="49"/>
        <v>1.0416666666666665</v>
      </c>
      <c r="N79" s="18">
        <f t="shared" si="49"/>
        <v>0</v>
      </c>
      <c r="O79" s="18">
        <f t="shared" si="49"/>
        <v>0</v>
      </c>
      <c r="P79" s="18">
        <f t="shared" si="49"/>
        <v>0</v>
      </c>
      <c r="Q79" s="18">
        <f t="shared" si="49"/>
        <v>0</v>
      </c>
      <c r="R79" s="18">
        <f t="shared" si="49"/>
        <v>0</v>
      </c>
      <c r="S79" s="18">
        <f t="shared" si="49"/>
        <v>0</v>
      </c>
      <c r="T79" s="18">
        <f t="shared" si="49"/>
        <v>0</v>
      </c>
      <c r="U79" s="18">
        <f t="shared" si="49"/>
        <v>0</v>
      </c>
      <c r="V79" s="18">
        <f t="shared" si="49"/>
        <v>0</v>
      </c>
      <c r="W79" s="18">
        <f t="shared" si="49"/>
        <v>0</v>
      </c>
      <c r="X79" s="18">
        <f t="shared" si="49"/>
        <v>0</v>
      </c>
      <c r="Y79" s="18">
        <f t="shared" si="49"/>
        <v>0</v>
      </c>
      <c r="Z79" s="18">
        <f t="shared" si="49"/>
        <v>0</v>
      </c>
      <c r="AA79" s="18">
        <f t="shared" si="49"/>
        <v>0</v>
      </c>
      <c r="AB79" s="18">
        <f t="shared" si="49"/>
        <v>0</v>
      </c>
      <c r="AC79" s="18">
        <f t="shared" si="49"/>
        <v>0</v>
      </c>
      <c r="AD79" s="18">
        <f t="shared" si="49"/>
        <v>0</v>
      </c>
      <c r="AE79" s="18">
        <f t="shared" si="49"/>
        <v>0</v>
      </c>
      <c r="AF79" s="18">
        <f t="shared" si="49"/>
        <v>0</v>
      </c>
      <c r="AG79" s="18">
        <f t="shared" si="49"/>
        <v>0</v>
      </c>
      <c r="AH79" s="18">
        <f t="shared" si="49"/>
        <v>0</v>
      </c>
      <c r="AI79" s="18">
        <f t="shared" si="49"/>
        <v>0</v>
      </c>
      <c r="AJ79" s="18">
        <f t="shared" si="49"/>
        <v>0</v>
      </c>
      <c r="AK79" s="18">
        <f t="shared" si="49"/>
        <v>0</v>
      </c>
      <c r="AL79" s="2"/>
      <c r="AM79" s="43">
        <v>63</v>
      </c>
      <c r="AN79">
        <v>15.760084455468936</v>
      </c>
      <c r="AO79">
        <v>7.9235085440776887</v>
      </c>
      <c r="AP79">
        <v>48.195763069674634</v>
      </c>
      <c r="AQ79">
        <v>43.300102922895498</v>
      </c>
      <c r="AR79">
        <v>7.2682376852146335</v>
      </c>
      <c r="AS79">
        <v>43.533807290411168</v>
      </c>
      <c r="AT79">
        <v>4.0098297691506586</v>
      </c>
      <c r="AU79">
        <v>-6.3958473929393023E-4</v>
      </c>
      <c r="AV79"/>
      <c r="AW79"/>
      <c r="FY79" s="212">
        <v>74</v>
      </c>
      <c r="FZ79">
        <v>3.3865110405721559</v>
      </c>
      <c r="GA79">
        <v>7.1689855564740794</v>
      </c>
      <c r="GB79">
        <v>4.0643077849008433</v>
      </c>
      <c r="GC79">
        <v>1.9668580813223322</v>
      </c>
      <c r="GD79">
        <v>1.7061064161873913</v>
      </c>
      <c r="GE79">
        <v>5.0808961947746942</v>
      </c>
      <c r="GF79">
        <v>6.99255723621771</v>
      </c>
      <c r="GG79">
        <v>3.5354161321172102</v>
      </c>
      <c r="GH79">
        <v>1.7047677435842556</v>
      </c>
      <c r="GI79">
        <v>4.4692006083509064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12.202141900937082</v>
      </c>
      <c r="AO80">
        <v>7.9766801521569546</v>
      </c>
      <c r="AP80">
        <v>37.546398135319613</v>
      </c>
      <c r="AQ80">
        <v>43.913003236274136</v>
      </c>
      <c r="AR80">
        <v>7.3166947380631822</v>
      </c>
      <c r="AS80">
        <v>38.633262266449876</v>
      </c>
      <c r="AT80">
        <v>4.2771299870682826</v>
      </c>
      <c r="AU80">
        <v>3.8655579003296352</v>
      </c>
      <c r="AV80"/>
      <c r="AW80"/>
      <c r="FY80" s="212">
        <v>75</v>
      </c>
      <c r="FZ80">
        <v>0.17460942215293557</v>
      </c>
      <c r="GA80">
        <v>5.558889493188321</v>
      </c>
      <c r="GB80">
        <v>6.7927634618488346</v>
      </c>
      <c r="GC80">
        <v>2.9205793721373619</v>
      </c>
      <c r="GD80">
        <v>0.70848440193625084</v>
      </c>
      <c r="GE80">
        <v>1.6262034724610013</v>
      </c>
      <c r="GF80">
        <v>6.9661065986082216</v>
      </c>
      <c r="GG80">
        <v>5.8202751873172014</v>
      </c>
      <c r="GH80">
        <v>1.7728124120610271</v>
      </c>
      <c r="GI80">
        <v>4.3081807146148776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17.11956157965194</v>
      </c>
      <c r="AO81">
        <v>8.297907299408374</v>
      </c>
      <c r="AP81">
        <v>40.883943775868467</v>
      </c>
      <c r="AQ81">
        <v>45.716777148747312</v>
      </c>
      <c r="AR81">
        <v>7.6187230657510501</v>
      </c>
      <c r="AS81">
        <v>41.933800435031912</v>
      </c>
      <c r="AT81">
        <v>4.3903501134407721</v>
      </c>
      <c r="AU81">
        <v>2.0916332700402362</v>
      </c>
      <c r="AV81"/>
      <c r="AW81"/>
      <c r="FY81" s="212">
        <v>76</v>
      </c>
      <c r="FZ81">
        <v>3.3772828764781408</v>
      </c>
      <c r="GA81">
        <v>7.6033035529075139</v>
      </c>
      <c r="GB81">
        <v>10.185712119352456</v>
      </c>
      <c r="GC81">
        <v>5.2130136337729382</v>
      </c>
      <c r="GD81">
        <v>1.06106709883885</v>
      </c>
      <c r="GE81">
        <v>2.1520032927764148</v>
      </c>
      <c r="GF81">
        <v>3.6756054547247796</v>
      </c>
      <c r="GG81">
        <v>2.8295072124454661</v>
      </c>
      <c r="GH81">
        <v>3.4598555844022512</v>
      </c>
      <c r="GI81">
        <v>5.2413110754893477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14.205281911961572</v>
      </c>
      <c r="AO82">
        <v>8.1148008198698829</v>
      </c>
      <c r="AP82">
        <v>49.902252104315032</v>
      </c>
      <c r="AQ82">
        <v>43.012468763812194</v>
      </c>
      <c r="AR82">
        <v>7.4769733512987839</v>
      </c>
      <c r="AS82">
        <v>42.762447917014093</v>
      </c>
      <c r="AT82">
        <v>4.1857647517227328</v>
      </c>
      <c r="AU82">
        <v>2.1592438694853846</v>
      </c>
      <c r="AV82"/>
      <c r="AW82"/>
      <c r="FY82" s="212">
        <v>77</v>
      </c>
      <c r="FZ82">
        <v>0.20525131995907958</v>
      </c>
      <c r="GA82">
        <v>4.6304254756169492</v>
      </c>
      <c r="GB82">
        <v>3.3674170754050952</v>
      </c>
      <c r="GC82">
        <v>1.444603883373899</v>
      </c>
      <c r="GD82">
        <v>0.75980400765285894</v>
      </c>
      <c r="GE82">
        <v>0.87241859636786034</v>
      </c>
      <c r="GF82">
        <v>1.1561302437714929</v>
      </c>
      <c r="GG82">
        <v>1.7140069813316186</v>
      </c>
      <c r="GH82">
        <v>3.9922565720337078</v>
      </c>
      <c r="GI82">
        <v>2.22596939522544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14.692606209150323</v>
      </c>
      <c r="AO83">
        <v>6.7255225027357213</v>
      </c>
      <c r="AP83">
        <v>53.068302754233031</v>
      </c>
      <c r="AQ83">
        <v>38.901683346247189</v>
      </c>
      <c r="AR83">
        <v>6.2916162186512326</v>
      </c>
      <c r="AS83">
        <v>34.807474404075549</v>
      </c>
      <c r="AT83">
        <v>3.7337581398431046</v>
      </c>
      <c r="AU83">
        <v>23.266053498714342</v>
      </c>
      <c r="AV83"/>
      <c r="AW83"/>
      <c r="FY83" s="212">
        <v>78</v>
      </c>
      <c r="FZ83">
        <v>0.35937033508929739</v>
      </c>
      <c r="GA83">
        <v>2.6437272157901193</v>
      </c>
      <c r="GB83">
        <v>5.3663810807547385</v>
      </c>
      <c r="GC83">
        <v>2.7861590719484783</v>
      </c>
      <c r="GD83">
        <v>2.1673574939110289</v>
      </c>
      <c r="GE83">
        <v>5.4455042322144749</v>
      </c>
      <c r="GF83">
        <v>6.2961271446844709</v>
      </c>
      <c r="GG83">
        <v>4.1315635646952913</v>
      </c>
      <c r="GH83">
        <v>3.3072540154375751</v>
      </c>
      <c r="GI83">
        <v>4.8841964783224787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16.362745098039216</v>
      </c>
      <c r="AO84">
        <v>11.098562191033398</v>
      </c>
      <c r="AP84">
        <v>76.604261177867443</v>
      </c>
      <c r="AQ84">
        <v>61.049740635742836</v>
      </c>
      <c r="AR84">
        <v>10.205176024209241</v>
      </c>
      <c r="AS84">
        <v>53.165854751497498</v>
      </c>
      <c r="AT84">
        <v>6.2108306400072166</v>
      </c>
      <c r="AU84">
        <v>27.758028527057494</v>
      </c>
      <c r="AV84"/>
      <c r="AW84"/>
      <c r="AX84" s="157" t="s">
        <v>111</v>
      </c>
      <c r="CJ84" s="157" t="s">
        <v>112</v>
      </c>
      <c r="FY84" s="212">
        <v>79</v>
      </c>
      <c r="FZ84">
        <v>0.25785542725503385</v>
      </c>
      <c r="GA84">
        <v>5.731735247697916</v>
      </c>
      <c r="GB84">
        <v>8.0779705316006627</v>
      </c>
      <c r="GC84">
        <v>3.2487500809139935</v>
      </c>
      <c r="GD84">
        <v>1.1996453085960774</v>
      </c>
      <c r="GE84">
        <v>2.3786130694863332</v>
      </c>
      <c r="GF84">
        <v>1.9048178352586582</v>
      </c>
      <c r="GG84">
        <v>1.2780020472467228</v>
      </c>
      <c r="GH84">
        <v>1.6385724256855185</v>
      </c>
      <c r="GI84">
        <v>3.5237784182111125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12.043300653594773</v>
      </c>
      <c r="AO85">
        <v>6.5230739585596522</v>
      </c>
      <c r="AP85">
        <v>36.93299167224022</v>
      </c>
      <c r="AQ85">
        <v>35.802753072658895</v>
      </c>
      <c r="AR85">
        <v>6.0489590121956178</v>
      </c>
      <c r="AS85">
        <v>33.637726606828977</v>
      </c>
      <c r="AT85">
        <v>3.2783755850055312</v>
      </c>
      <c r="AU85">
        <v>18.164231266810731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2">
        <v>80</v>
      </c>
      <c r="FZ85">
        <v>3.3854002884268795</v>
      </c>
      <c r="GA85">
        <v>6.0585260926770292</v>
      </c>
      <c r="GB85">
        <v>6.3393364236181409</v>
      </c>
      <c r="GC85">
        <v>2.8960597727844357</v>
      </c>
      <c r="GD85">
        <v>1.1634282709280546</v>
      </c>
      <c r="GE85">
        <v>3.4621584586100038</v>
      </c>
      <c r="GF85">
        <v>11.709648480544397</v>
      </c>
      <c r="GG85">
        <v>11.864337085653952</v>
      </c>
      <c r="GH85">
        <v>3.2501338917656009</v>
      </c>
      <c r="GI85">
        <v>6.6100081448594885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13.021586345381525</v>
      </c>
      <c r="AO86">
        <v>11.147570098634782</v>
      </c>
      <c r="AP86">
        <v>57.878945543640818</v>
      </c>
      <c r="AQ86">
        <v>55.955366888620951</v>
      </c>
      <c r="AR86">
        <v>10.188416517236073</v>
      </c>
      <c r="AS86">
        <v>52.049626235548423</v>
      </c>
      <c r="AT86">
        <v>7.0885880588437411</v>
      </c>
      <c r="AU86">
        <v>3.360977760808828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15" t="s">
        <v>123</v>
      </c>
      <c r="CX86" s="215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2">
        <v>81</v>
      </c>
      <c r="FZ86">
        <v>3.367131385694714</v>
      </c>
      <c r="GA86">
        <v>8.2196537281676569</v>
      </c>
      <c r="GB86">
        <v>8.5209322955051494</v>
      </c>
      <c r="GC86">
        <v>3.8542640224183167</v>
      </c>
      <c r="GD86">
        <v>1.8137105311684727</v>
      </c>
      <c r="GE86">
        <v>4.8084070897952191</v>
      </c>
      <c r="GF86">
        <v>11.04352242774717</v>
      </c>
      <c r="GG86">
        <v>10.420465924723512</v>
      </c>
      <c r="GH86">
        <v>3.1280341449229487</v>
      </c>
      <c r="GI86">
        <v>7.1592261431164541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16.94335922119852</v>
      </c>
      <c r="AO87">
        <v>9.0734737611439229</v>
      </c>
      <c r="AP87">
        <v>64.209053097334817</v>
      </c>
      <c r="AQ87">
        <v>49.750809647047866</v>
      </c>
      <c r="AR87">
        <v>8.3001662646673875</v>
      </c>
      <c r="AS87">
        <v>49.82879621849473</v>
      </c>
      <c r="AT87">
        <v>4.3761183511233259</v>
      </c>
      <c r="AU87">
        <v>29.071750558464618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2">
        <v>82</v>
      </c>
      <c r="FZ87">
        <v>0.13196938018454268</v>
      </c>
      <c r="GA87">
        <v>3.32835742890241</v>
      </c>
      <c r="GB87">
        <v>9.9169062131942916</v>
      </c>
      <c r="GC87">
        <v>4.7495723347777359</v>
      </c>
      <c r="GD87">
        <v>0.6132454323148524</v>
      </c>
      <c r="GE87">
        <v>4.6676595154195617</v>
      </c>
      <c r="GF87">
        <v>11.792758494510622</v>
      </c>
      <c r="GG87">
        <v>7.0464210414277542</v>
      </c>
      <c r="GH87">
        <v>3.3635292891239326</v>
      </c>
      <c r="GI87">
        <v>6.3746562722413138</v>
      </c>
      <c r="GJ87"/>
      <c r="GK87"/>
      <c r="GL87"/>
      <c r="GM87"/>
    </row>
    <row r="88" spans="1:195" s="7" customFormat="1">
      <c r="A88" s="128"/>
      <c r="B88" s="76">
        <f t="shared" ref="B88:B119" ca="1" si="50">IF(C88="", "", RAND())</f>
        <v>0.25740969991849916</v>
      </c>
      <c r="C88">
        <v>5</v>
      </c>
      <c r="D88">
        <v>39646</v>
      </c>
      <c r="E88">
        <v>0</v>
      </c>
      <c r="F88">
        <v>0</v>
      </c>
      <c r="G88">
        <v>31.25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14.022339357429718</v>
      </c>
      <c r="AO88">
        <v>9.4671199713701277</v>
      </c>
      <c r="AP88">
        <v>54.636621443203097</v>
      </c>
      <c r="AQ88">
        <v>54.883935820926226</v>
      </c>
      <c r="AR88">
        <v>8.6415368717422947</v>
      </c>
      <c r="AS88">
        <v>45.046424027576101</v>
      </c>
      <c r="AT88">
        <v>4.8083539177367287</v>
      </c>
      <c r="AU88">
        <v>-3.0824161000483699</v>
      </c>
      <c r="AV88"/>
      <c r="AW88"/>
      <c r="AX88" s="128"/>
      <c r="AY88" s="76">
        <f ca="1">IF(AZ88="", "", RAND())</f>
        <v>0.60438641960987916</v>
      </c>
      <c r="AZ88">
        <v>1</v>
      </c>
      <c r="BA88" s="129">
        <f>IF(AZ88="", "",$C$4)</f>
        <v>39646</v>
      </c>
      <c r="BB88">
        <v>0</v>
      </c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0.82183597381819951</v>
      </c>
      <c r="CL88" s="179">
        <f>IF(AZ88="", "", AZ88)</f>
        <v>1</v>
      </c>
      <c r="CM88" s="180">
        <f>IF(AZ88="", "", BA88)</f>
        <v>39646</v>
      </c>
      <c r="CN88">
        <v>0</v>
      </c>
      <c r="CO88"/>
      <c r="CP88"/>
      <c r="CQ88"/>
      <c r="CR88"/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1">IF(DD88="", "", RAND())</f>
        <v>0.48620389761479244</v>
      </c>
      <c r="DD88">
        <f>IF(AZ88="", "", AZ88)</f>
        <v>1</v>
      </c>
      <c r="DE88" s="129">
        <f t="shared" ref="DE88:DE97" si="52">IF(DD88="", "", $C$4)</f>
        <v>39646</v>
      </c>
      <c r="DF88" s="161">
        <f t="shared" ref="DF88:DM88" si="53">IF($AZ88="", "", ((BB88*$CW88)+(CN88*$CX88))/$CZ88)</f>
        <v>0</v>
      </c>
      <c r="DG88" s="161">
        <f t="shared" si="53"/>
        <v>0</v>
      </c>
      <c r="DH88" s="161">
        <f t="shared" si="53"/>
        <v>0</v>
      </c>
      <c r="DI88" s="161">
        <f t="shared" si="53"/>
        <v>0</v>
      </c>
      <c r="DJ88" s="161">
        <f t="shared" si="53"/>
        <v>0</v>
      </c>
      <c r="DK88" s="161">
        <f t="shared" si="53"/>
        <v>0</v>
      </c>
      <c r="DL88" s="161">
        <f t="shared" si="53"/>
        <v>0</v>
      </c>
      <c r="DM88" s="161">
        <f t="shared" si="53"/>
        <v>0</v>
      </c>
      <c r="DN88" s="161">
        <f t="shared" ref="DN88:EJ88" si="54">IF($AZ88="", "", (BJ88*$CW88)/$CZ88)</f>
        <v>0</v>
      </c>
      <c r="DO88" s="161">
        <f t="shared" si="54"/>
        <v>0</v>
      </c>
      <c r="DP88" s="161">
        <f t="shared" si="54"/>
        <v>0</v>
      </c>
      <c r="DQ88" s="161">
        <f t="shared" si="54"/>
        <v>0</v>
      </c>
      <c r="DR88" s="161">
        <f t="shared" si="54"/>
        <v>0</v>
      </c>
      <c r="DS88" s="161">
        <f t="shared" si="54"/>
        <v>0</v>
      </c>
      <c r="DT88" s="161">
        <f t="shared" si="54"/>
        <v>0</v>
      </c>
      <c r="DU88" s="161">
        <f t="shared" si="54"/>
        <v>0</v>
      </c>
      <c r="DV88" s="161">
        <f t="shared" si="54"/>
        <v>0</v>
      </c>
      <c r="DW88" s="161">
        <f t="shared" si="54"/>
        <v>0</v>
      </c>
      <c r="DX88" s="161">
        <f t="shared" si="54"/>
        <v>0</v>
      </c>
      <c r="DY88" s="161">
        <f t="shared" si="54"/>
        <v>0</v>
      </c>
      <c r="DZ88" s="161">
        <f t="shared" si="54"/>
        <v>0</v>
      </c>
      <c r="EA88" s="161">
        <f t="shared" si="54"/>
        <v>0</v>
      </c>
      <c r="EB88" s="161">
        <f t="shared" si="54"/>
        <v>0</v>
      </c>
      <c r="EC88" s="161">
        <f t="shared" si="54"/>
        <v>0</v>
      </c>
      <c r="ED88" s="161">
        <f t="shared" si="54"/>
        <v>0</v>
      </c>
      <c r="EE88" s="161">
        <f t="shared" si="54"/>
        <v>0</v>
      </c>
      <c r="EF88" s="161">
        <f t="shared" si="54"/>
        <v>0</v>
      </c>
      <c r="EG88" s="161">
        <f t="shared" si="54"/>
        <v>0</v>
      </c>
      <c r="EH88" s="161">
        <f t="shared" si="54"/>
        <v>0</v>
      </c>
      <c r="EI88" s="161">
        <f t="shared" si="54"/>
        <v>0</v>
      </c>
      <c r="EJ88" s="161">
        <f t="shared" si="54"/>
        <v>0</v>
      </c>
      <c r="EK88" s="147">
        <f t="shared" ref="EK88:EK119" si="55">IF(DF88="", "", SUM(DF88:EJ88))</f>
        <v>0</v>
      </c>
      <c r="EL88" s="149"/>
      <c r="EN88" s="146"/>
      <c r="EO88" s="146"/>
      <c r="EP88" s="139">
        <f t="shared" ref="EP88:EP119" si="56">IF(DF88="", "", DF88*G$36)</f>
        <v>0</v>
      </c>
      <c r="EQ88" s="139">
        <f t="shared" ref="EQ88:EQ119" si="57">IF(DG88="", "", DG88*H$36)</f>
        <v>0</v>
      </c>
      <c r="ER88" s="139">
        <f t="shared" ref="ER88:ER119" si="58">IF(DH88="", "", DH88*I$36)</f>
        <v>0</v>
      </c>
      <c r="ES88" s="139">
        <f t="shared" ref="ES88:ES119" si="59">IF(DI88="", "", DI88*J$36)</f>
        <v>0</v>
      </c>
      <c r="ET88" s="139">
        <f t="shared" ref="ET88:ET119" si="60">IF(DJ88="", "", DJ88*K$36)</f>
        <v>0</v>
      </c>
      <c r="EU88" s="139">
        <f t="shared" ref="EU88:EU119" si="61">IF(DK88="", "", DK88*L$36)</f>
        <v>0</v>
      </c>
      <c r="EV88" s="139">
        <f t="shared" ref="EV88:EV119" si="62">IF(DL88="", "", DL88*M$36)</f>
        <v>0</v>
      </c>
      <c r="EW88" s="139">
        <f t="shared" ref="EW88:EW119" si="63">IF(DM88="", "", DM88*N$36)</f>
        <v>0</v>
      </c>
      <c r="EX88" s="139">
        <f t="shared" ref="EX88:EX119" si="64">IF(DN88="", "", DN88*O$36)</f>
        <v>0</v>
      </c>
      <c r="EY88" s="139">
        <f t="shared" ref="EY88:EY119" si="65">IF(DO88="", "", DO88*P$36)</f>
        <v>0</v>
      </c>
      <c r="EZ88" s="139">
        <f t="shared" ref="EZ88:EZ119" si="66">IF(DP88="", "", DP88*Q$36)</f>
        <v>0</v>
      </c>
      <c r="FA88" s="139">
        <f t="shared" ref="FA88:FA119" si="67">IF(DQ88="", "", DQ88*R$36)</f>
        <v>0</v>
      </c>
      <c r="FB88" s="139">
        <f t="shared" ref="FB88:FB119" si="68">IF(DR88="", "", DR88*S$36)</f>
        <v>0</v>
      </c>
      <c r="FC88" s="139">
        <f t="shared" ref="FC88:FC119" si="69">IF(DS88="", "", DS88*T$36)</f>
        <v>0</v>
      </c>
      <c r="FD88" s="139">
        <f t="shared" ref="FD88:FD119" si="70">IF(DT88="", "", DT88*U$36)</f>
        <v>0</v>
      </c>
      <c r="FE88" s="139">
        <f t="shared" ref="FE88:FE119" si="71">IF(DU88="", "", DU88*V$36)</f>
        <v>0</v>
      </c>
      <c r="FF88" s="139">
        <f t="shared" ref="FF88:FF119" si="72">IF(DV88="", "", DV88*W$36)</f>
        <v>0</v>
      </c>
      <c r="FG88" s="139">
        <f t="shared" ref="FG88:FG119" si="73">IF(DW88="", "", DW88*X$36)</f>
        <v>0</v>
      </c>
      <c r="FH88" s="139">
        <f t="shared" ref="FH88:FH119" si="74">IF(DX88="", "", DX88*Y$36)</f>
        <v>0</v>
      </c>
      <c r="FI88" s="139">
        <f t="shared" ref="FI88:FI119" si="75">IF(DY88="", "", DY88*Z$36)</f>
        <v>0</v>
      </c>
      <c r="FJ88" s="139">
        <f t="shared" ref="FJ88:FJ119" si="76">IF(DZ88="", "", DZ88*AA$36)</f>
        <v>0</v>
      </c>
      <c r="FK88" s="139">
        <f t="shared" ref="FK88:FK119" si="77">IF(EA88="", "", EA88*AB$36)</f>
        <v>0</v>
      </c>
      <c r="FL88" s="139">
        <f t="shared" ref="FL88:FL119" si="78">IF(EB88="", "", EB88*AC$36)</f>
        <v>0</v>
      </c>
      <c r="FM88" s="139">
        <f t="shared" ref="FM88:FM119" si="79">IF(EC88="", "", EC88*AD$36)</f>
        <v>0</v>
      </c>
      <c r="FN88" s="139">
        <f t="shared" ref="FN88:FN119" si="80">IF(ED88="", "", ED88*AE$36)</f>
        <v>0</v>
      </c>
      <c r="FO88" s="139">
        <f t="shared" ref="FO88:FO119" si="81">IF(EE88="", "", EE88*AF$36)</f>
        <v>0</v>
      </c>
      <c r="FP88" s="139">
        <f t="shared" ref="FP88:FP119" si="82">IF(EF88="", "", EF88*AG$36)</f>
        <v>0</v>
      </c>
      <c r="FQ88" s="139">
        <f t="shared" ref="FQ88:FQ119" si="83">IF(EG88="", "", EG88*AH$36)</f>
        <v>0</v>
      </c>
      <c r="FR88" s="139">
        <f t="shared" ref="FR88:FR119" si="84">IF(EH88="", "", EH88*AI$36)</f>
        <v>0</v>
      </c>
      <c r="FS88" s="139">
        <f t="shared" ref="FS88:FS119" si="85">IF(EI88="", "", EI88*AJ$36)</f>
        <v>0</v>
      </c>
      <c r="FT88" s="139">
        <f t="shared" ref="FT88:FT119" si="86">IF(EJ88="", "", EJ88*AK$36)</f>
        <v>0</v>
      </c>
      <c r="FU88" s="148">
        <f t="shared" ref="FU88:FU119" si="87">IF(EP88="","",SUM(EP88:FT88))</f>
        <v>0</v>
      </c>
      <c r="FV88" s="149"/>
      <c r="FY88" s="212">
        <v>83</v>
      </c>
      <c r="FZ88">
        <v>3.3872469418057021</v>
      </c>
      <c r="GA88">
        <v>8.0867597276944938</v>
      </c>
      <c r="GB88">
        <v>3.5469870121023162</v>
      </c>
      <c r="GC88">
        <v>1.7918373781144756</v>
      </c>
      <c r="GD88">
        <v>1.998288938693078</v>
      </c>
      <c r="GE88">
        <v>3.9476985822859962</v>
      </c>
      <c r="GF88">
        <v>10.126403500561523</v>
      </c>
      <c r="GG88">
        <v>9.5471022232362213</v>
      </c>
      <c r="GH88">
        <v>1.9778275474530309</v>
      </c>
      <c r="GI88">
        <v>5.7070341865609802</v>
      </c>
      <c r="GJ88"/>
      <c r="GK88"/>
      <c r="GL88"/>
      <c r="GM88"/>
    </row>
    <row r="89" spans="1:195" s="7" customFormat="1">
      <c r="A89" s="115"/>
      <c r="B89" s="76">
        <f t="shared" ca="1" si="50"/>
        <v>0.54820627720052695</v>
      </c>
      <c r="C89">
        <v>2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18.972017973856207</v>
      </c>
      <c r="AO89">
        <v>7.9232525897040489</v>
      </c>
      <c r="AP89">
        <v>44.706410378254915</v>
      </c>
      <c r="AQ89">
        <v>40.406689113378043</v>
      </c>
      <c r="AR89">
        <v>7.3575359725289839</v>
      </c>
      <c r="AS89">
        <v>41.648577047855419</v>
      </c>
      <c r="AT89">
        <v>4.4783951508158006</v>
      </c>
      <c r="AU89">
        <v>30.079696635932805</v>
      </c>
      <c r="AV89"/>
      <c r="AW89"/>
      <c r="AX89" s="150"/>
      <c r="AY89" s="76">
        <f t="shared" ref="AY89:AY151" ca="1" si="88">IF(AZ89="", "", RAND())</f>
        <v>0.33522310234827229</v>
      </c>
      <c r="AZ89">
        <v>2</v>
      </c>
      <c r="BA89" s="129">
        <f t="shared" ref="BA89:BA97" si="89">IF(AZ89="", "",$C$4)</f>
        <v>39646</v>
      </c>
      <c r="BB89">
        <v>0</v>
      </c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90">IF(AZ89="", "", RAND())</f>
        <v>0.47210722170855601</v>
      </c>
      <c r="CL89" s="179">
        <f t="shared" ref="CL89:CL152" si="91">IF(AZ89="", "", AZ89)</f>
        <v>2</v>
      </c>
      <c r="CM89" s="180">
        <f t="shared" ref="CM89:CM152" si="92">IF(AZ89="", "", BA89)</f>
        <v>39646</v>
      </c>
      <c r="CN89">
        <v>0</v>
      </c>
      <c r="CO89"/>
      <c r="CP89"/>
      <c r="CQ89"/>
      <c r="CR89"/>
      <c r="CS89"/>
      <c r="CT89"/>
      <c r="CU89"/>
      <c r="CW89">
        <v>1</v>
      </c>
      <c r="CX89">
        <f>2/1</f>
        <v>2</v>
      </c>
      <c r="CY89" s="158"/>
      <c r="CZ89" s="177">
        <f t="shared" ref="CZ89:CZ152" si="93">IF(AZ89="", "", $G$15)</f>
        <v>9.6000000000000002E-2</v>
      </c>
      <c r="DB89" s="150"/>
      <c r="DC89" s="76">
        <f t="shared" ca="1" si="51"/>
        <v>0.71706876221782423</v>
      </c>
      <c r="DD89">
        <f t="shared" ref="DD89:DD152" si="94">IF(AZ89="", "", AZ89)</f>
        <v>2</v>
      </c>
      <c r="DE89" s="129">
        <f t="shared" si="52"/>
        <v>39646</v>
      </c>
      <c r="DF89" s="161">
        <f t="shared" ref="DF89:DF152" si="95">IF($AZ89="", "", ((BB89*$CW89)+(CN89*$CX89))/$CZ89)</f>
        <v>0</v>
      </c>
      <c r="DG89" s="161">
        <f t="shared" ref="DG89:DG152" si="96">IF($AZ89="", "", ((BC89*$CW89)+(CO89*$CX89))/$CZ89)</f>
        <v>0</v>
      </c>
      <c r="DH89" s="161">
        <f t="shared" ref="DH89:DH152" si="97">IF($AZ89="", "", ((BD89*$CW89)+(CP89*$CX89))/$CZ89)</f>
        <v>0</v>
      </c>
      <c r="DI89" s="161">
        <f t="shared" ref="DI89:DI152" si="98">IF($AZ89="", "", ((BE89*$CW89)+(CQ89*$CX89))/$CZ89)</f>
        <v>0</v>
      </c>
      <c r="DJ89" s="161">
        <f t="shared" ref="DJ89:DJ152" si="99">IF($AZ89="", "", ((BF89*$CW89)+(CR89*$CX89))/$CZ89)</f>
        <v>0</v>
      </c>
      <c r="DK89" s="161">
        <f t="shared" ref="DK89:DK152" si="100">IF($AZ89="", "", ((BG89*$CW89)+(CS89*$CX89))/$CZ89)</f>
        <v>0</v>
      </c>
      <c r="DL89" s="161">
        <f t="shared" ref="DL89:DL152" si="101">IF($AZ89="", "", ((BH89*$CW89)+(CT89*$CX89))/$CZ89)</f>
        <v>0</v>
      </c>
      <c r="DM89" s="161">
        <f t="shared" ref="DM89:DM152" si="102">IF($AZ89="", "", ((BI89*$CW89)+(CU89*$CX89))/$CZ89)</f>
        <v>0</v>
      </c>
      <c r="DN89" s="161">
        <f t="shared" ref="DN89:DN152" si="103">IF($AZ89="", "", (BJ89*$CW89)/$CZ89)</f>
        <v>0</v>
      </c>
      <c r="DO89" s="161">
        <f t="shared" ref="DO89:DO152" si="104">IF($AZ89="", "", (BK89*$CW89)/$CZ89)</f>
        <v>0</v>
      </c>
      <c r="DP89" s="161">
        <f t="shared" ref="DP89:DP152" si="105">IF($AZ89="", "", (BL89*$CW89)/$CZ89)</f>
        <v>0</v>
      </c>
      <c r="DQ89" s="161">
        <f t="shared" ref="DQ89:DQ152" si="106">IF($AZ89="", "", (BM89*$CW89)/$CZ89)</f>
        <v>0</v>
      </c>
      <c r="DR89" s="161">
        <f t="shared" ref="DR89:DR152" si="107">IF($AZ89="", "", (BN89*$CW89)/$CZ89)</f>
        <v>0</v>
      </c>
      <c r="DS89" s="161">
        <f t="shared" ref="DS89:DS152" si="108">IF($AZ89="", "", (BO89*$CW89)/$CZ89)</f>
        <v>0</v>
      </c>
      <c r="DT89" s="161">
        <f t="shared" ref="DT89:DT152" si="109">IF($AZ89="", "", (BP89*$CW89)/$CZ89)</f>
        <v>0</v>
      </c>
      <c r="DU89" s="161">
        <f t="shared" ref="DU89:DU152" si="110">IF($AZ89="", "", (BQ89*$CW89)/$CZ89)</f>
        <v>0</v>
      </c>
      <c r="DV89" s="161">
        <f t="shared" ref="DV89:DV152" si="111">IF($AZ89="", "", (BR89*$CW89)/$CZ89)</f>
        <v>0</v>
      </c>
      <c r="DW89" s="161">
        <f t="shared" ref="DW89:DW152" si="112">IF($AZ89="", "", (BS89*$CW89)/$CZ89)</f>
        <v>0</v>
      </c>
      <c r="DX89" s="161">
        <f t="shared" ref="DX89:DX152" si="113">IF($AZ89="", "", (BT89*$CW89)/$CZ89)</f>
        <v>0</v>
      </c>
      <c r="DY89" s="161">
        <f t="shared" ref="DY89:DY152" si="114">IF($AZ89="", "", (BU89*$CW89)/$CZ89)</f>
        <v>0</v>
      </c>
      <c r="DZ89" s="161">
        <f t="shared" ref="DZ89:DZ152" si="115">IF($AZ89="", "", (BV89*$CW89)/$CZ89)</f>
        <v>0</v>
      </c>
      <c r="EA89" s="161">
        <f t="shared" ref="EA89:EA152" si="116">IF($AZ89="", "", (BW89*$CW89)/$CZ89)</f>
        <v>0</v>
      </c>
      <c r="EB89" s="161">
        <f t="shared" ref="EB89:EB152" si="117">IF($AZ89="", "", (BX89*$CW89)/$CZ89)</f>
        <v>0</v>
      </c>
      <c r="EC89" s="161">
        <f t="shared" ref="EC89:EC152" si="118">IF($AZ89="", "", (BY89*$CW89)/$CZ89)</f>
        <v>0</v>
      </c>
      <c r="ED89" s="161">
        <f t="shared" ref="ED89:ED152" si="119">IF($AZ89="", "", (BZ89*$CW89)/$CZ89)</f>
        <v>0</v>
      </c>
      <c r="EE89" s="161">
        <f t="shared" ref="EE89:EE152" si="120">IF($AZ89="", "", (CA89*$CW89)/$CZ89)</f>
        <v>0</v>
      </c>
      <c r="EF89" s="161">
        <f t="shared" ref="EF89:EF152" si="121">IF($AZ89="", "", (CB89*$CW89)/$CZ89)</f>
        <v>0</v>
      </c>
      <c r="EG89" s="161">
        <f t="shared" ref="EG89:EG152" si="122">IF($AZ89="", "", (CC89*$CW89)/$CZ89)</f>
        <v>0</v>
      </c>
      <c r="EH89" s="161">
        <f t="shared" ref="EH89:EH152" si="123">IF($AZ89="", "", (CD89*$CW89)/$CZ89)</f>
        <v>0</v>
      </c>
      <c r="EI89" s="161">
        <f t="shared" ref="EI89:EI152" si="124">IF($AZ89="", "", (CE89*$CW89)/$CZ89)</f>
        <v>0</v>
      </c>
      <c r="EJ89" s="161">
        <f t="shared" ref="EJ89:EJ152" si="125">IF($AZ89="", "", (CF89*$CW89)/$CZ89)</f>
        <v>0</v>
      </c>
      <c r="EK89" s="147">
        <f t="shared" si="55"/>
        <v>0</v>
      </c>
      <c r="EL89" s="149"/>
      <c r="EN89" s="150"/>
      <c r="EO89" s="150"/>
      <c r="EP89" s="139">
        <f t="shared" si="56"/>
        <v>0</v>
      </c>
      <c r="EQ89" s="139">
        <f t="shared" si="57"/>
        <v>0</v>
      </c>
      <c r="ER89" s="139">
        <f t="shared" si="58"/>
        <v>0</v>
      </c>
      <c r="ES89" s="139">
        <f t="shared" si="59"/>
        <v>0</v>
      </c>
      <c r="ET89" s="139">
        <f t="shared" si="60"/>
        <v>0</v>
      </c>
      <c r="EU89" s="139">
        <f t="shared" si="61"/>
        <v>0</v>
      </c>
      <c r="EV89" s="139">
        <f t="shared" si="62"/>
        <v>0</v>
      </c>
      <c r="EW89" s="139">
        <f t="shared" si="63"/>
        <v>0</v>
      </c>
      <c r="EX89" s="139">
        <f t="shared" si="64"/>
        <v>0</v>
      </c>
      <c r="EY89" s="139">
        <f t="shared" si="65"/>
        <v>0</v>
      </c>
      <c r="EZ89" s="139">
        <f t="shared" si="66"/>
        <v>0</v>
      </c>
      <c r="FA89" s="139">
        <f t="shared" si="67"/>
        <v>0</v>
      </c>
      <c r="FB89" s="139">
        <f t="shared" si="68"/>
        <v>0</v>
      </c>
      <c r="FC89" s="139">
        <f t="shared" si="69"/>
        <v>0</v>
      </c>
      <c r="FD89" s="139">
        <f t="shared" si="70"/>
        <v>0</v>
      </c>
      <c r="FE89" s="139">
        <f t="shared" si="71"/>
        <v>0</v>
      </c>
      <c r="FF89" s="139">
        <f t="shared" si="72"/>
        <v>0</v>
      </c>
      <c r="FG89" s="139">
        <f t="shared" si="73"/>
        <v>0</v>
      </c>
      <c r="FH89" s="139">
        <f t="shared" si="74"/>
        <v>0</v>
      </c>
      <c r="FI89" s="139">
        <f t="shared" si="75"/>
        <v>0</v>
      </c>
      <c r="FJ89" s="139">
        <f t="shared" si="76"/>
        <v>0</v>
      </c>
      <c r="FK89" s="139">
        <f t="shared" si="77"/>
        <v>0</v>
      </c>
      <c r="FL89" s="139">
        <f t="shared" si="78"/>
        <v>0</v>
      </c>
      <c r="FM89" s="139">
        <f t="shared" si="79"/>
        <v>0</v>
      </c>
      <c r="FN89" s="139">
        <f t="shared" si="80"/>
        <v>0</v>
      </c>
      <c r="FO89" s="139">
        <f t="shared" si="81"/>
        <v>0</v>
      </c>
      <c r="FP89" s="139">
        <f t="shared" si="82"/>
        <v>0</v>
      </c>
      <c r="FQ89" s="139">
        <f t="shared" si="83"/>
        <v>0</v>
      </c>
      <c r="FR89" s="139">
        <f t="shared" si="84"/>
        <v>0</v>
      </c>
      <c r="FS89" s="139">
        <f t="shared" si="85"/>
        <v>0</v>
      </c>
      <c r="FT89" s="139">
        <f t="shared" si="86"/>
        <v>0</v>
      </c>
      <c r="FU89" s="148">
        <f t="shared" si="87"/>
        <v>0</v>
      </c>
      <c r="FV89" s="149"/>
      <c r="FY89" s="212">
        <v>84</v>
      </c>
      <c r="FZ89">
        <v>6.5360181112338118</v>
      </c>
      <c r="GA89">
        <v>9.869104608558434</v>
      </c>
      <c r="GB89">
        <v>10.320633721782556</v>
      </c>
      <c r="GC89">
        <v>5.2200203018624514</v>
      </c>
      <c r="GD89">
        <v>1.0264210031945604</v>
      </c>
      <c r="GE89">
        <v>2.8958926012240855</v>
      </c>
      <c r="GF89">
        <v>8.3730750760522916</v>
      </c>
      <c r="GG89">
        <v>6.4574766447579766</v>
      </c>
      <c r="GH89">
        <v>1.600058237893363</v>
      </c>
      <c r="GI89">
        <v>6.5639018628411092</v>
      </c>
      <c r="GJ89"/>
      <c r="GK89"/>
      <c r="GL89"/>
      <c r="GM89"/>
    </row>
    <row r="90" spans="1:195" s="7" customFormat="1">
      <c r="A90" s="115"/>
      <c r="B90" s="76">
        <f t="shared" ca="1" si="50"/>
        <v>0.36013758217109038</v>
      </c>
      <c r="C90">
        <v>9</v>
      </c>
      <c r="D90">
        <v>39646</v>
      </c>
      <c r="E90">
        <v>0</v>
      </c>
      <c r="F90">
        <v>0</v>
      </c>
      <c r="G90">
        <v>10.416666666666666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14.425998110087409</v>
      </c>
      <c r="AO90">
        <v>7.3124241863798147</v>
      </c>
      <c r="AP90">
        <v>42.502002706766291</v>
      </c>
      <c r="AQ90">
        <v>40.075606794501581</v>
      </c>
      <c r="AR90">
        <v>6.6953003910313313</v>
      </c>
      <c r="AS90">
        <v>38.396857828313252</v>
      </c>
      <c r="AT90">
        <v>3.4768929961688531</v>
      </c>
      <c r="AU90">
        <v>16.702464864669015</v>
      </c>
      <c r="AV90"/>
      <c r="AW90"/>
      <c r="AX90" s="150"/>
      <c r="AY90" s="76">
        <f t="shared" ca="1" si="88"/>
        <v>0.86225752187049931</v>
      </c>
      <c r="AZ90">
        <v>3</v>
      </c>
      <c r="BA90" s="129">
        <f t="shared" si="89"/>
        <v>39646</v>
      </c>
      <c r="BB90">
        <v>0</v>
      </c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90"/>
        <v>0.95255977485667387</v>
      </c>
      <c r="CL90" s="179">
        <f t="shared" si="91"/>
        <v>3</v>
      </c>
      <c r="CM90" s="180">
        <f t="shared" si="92"/>
        <v>39646</v>
      </c>
      <c r="CN90">
        <v>0</v>
      </c>
      <c r="CO90"/>
      <c r="CP90"/>
      <c r="CQ90"/>
      <c r="CR90"/>
      <c r="CS90"/>
      <c r="CT90"/>
      <c r="CU90"/>
      <c r="CW90">
        <v>1</v>
      </c>
      <c r="CX90">
        <v>1</v>
      </c>
      <c r="CY90" s="158"/>
      <c r="CZ90" s="177">
        <f t="shared" si="93"/>
        <v>9.6000000000000002E-2</v>
      </c>
      <c r="DB90" s="150"/>
      <c r="DC90" s="76">
        <f t="shared" ca="1" si="51"/>
        <v>5.1085186560788642E-3</v>
      </c>
      <c r="DD90">
        <f t="shared" si="94"/>
        <v>3</v>
      </c>
      <c r="DE90" s="129">
        <f t="shared" si="52"/>
        <v>39646</v>
      </c>
      <c r="DF90" s="161">
        <f t="shared" si="95"/>
        <v>0</v>
      </c>
      <c r="DG90" s="161">
        <f t="shared" si="96"/>
        <v>0</v>
      </c>
      <c r="DH90" s="161">
        <f t="shared" si="97"/>
        <v>0</v>
      </c>
      <c r="DI90" s="161">
        <f t="shared" si="98"/>
        <v>0</v>
      </c>
      <c r="DJ90" s="161">
        <f t="shared" si="99"/>
        <v>0</v>
      </c>
      <c r="DK90" s="161">
        <f t="shared" si="100"/>
        <v>0</v>
      </c>
      <c r="DL90" s="161">
        <f t="shared" si="101"/>
        <v>0</v>
      </c>
      <c r="DM90" s="161">
        <f t="shared" si="102"/>
        <v>0</v>
      </c>
      <c r="DN90" s="161">
        <f t="shared" si="103"/>
        <v>0</v>
      </c>
      <c r="DO90" s="161">
        <f t="shared" si="104"/>
        <v>0</v>
      </c>
      <c r="DP90" s="161">
        <f t="shared" si="105"/>
        <v>0</v>
      </c>
      <c r="DQ90" s="161">
        <f t="shared" si="106"/>
        <v>0</v>
      </c>
      <c r="DR90" s="161">
        <f t="shared" si="107"/>
        <v>0</v>
      </c>
      <c r="DS90" s="161">
        <f t="shared" si="108"/>
        <v>0</v>
      </c>
      <c r="DT90" s="161">
        <f t="shared" si="109"/>
        <v>0</v>
      </c>
      <c r="DU90" s="161">
        <f t="shared" si="110"/>
        <v>0</v>
      </c>
      <c r="DV90" s="161">
        <f t="shared" si="111"/>
        <v>0</v>
      </c>
      <c r="DW90" s="161">
        <f t="shared" si="112"/>
        <v>0</v>
      </c>
      <c r="DX90" s="161">
        <f t="shared" si="113"/>
        <v>0</v>
      </c>
      <c r="DY90" s="161">
        <f t="shared" si="114"/>
        <v>0</v>
      </c>
      <c r="DZ90" s="161">
        <f t="shared" si="115"/>
        <v>0</v>
      </c>
      <c r="EA90" s="161">
        <f t="shared" si="116"/>
        <v>0</v>
      </c>
      <c r="EB90" s="161">
        <f t="shared" si="117"/>
        <v>0</v>
      </c>
      <c r="EC90" s="161">
        <f t="shared" si="118"/>
        <v>0</v>
      </c>
      <c r="ED90" s="161">
        <f t="shared" si="119"/>
        <v>0</v>
      </c>
      <c r="EE90" s="161">
        <f t="shared" si="120"/>
        <v>0</v>
      </c>
      <c r="EF90" s="161">
        <f t="shared" si="121"/>
        <v>0</v>
      </c>
      <c r="EG90" s="161">
        <f t="shared" si="122"/>
        <v>0</v>
      </c>
      <c r="EH90" s="161">
        <f t="shared" si="123"/>
        <v>0</v>
      </c>
      <c r="EI90" s="161">
        <f t="shared" si="124"/>
        <v>0</v>
      </c>
      <c r="EJ90" s="161">
        <f t="shared" si="125"/>
        <v>0</v>
      </c>
      <c r="EK90" s="147">
        <f t="shared" si="55"/>
        <v>0</v>
      </c>
      <c r="EL90" s="149"/>
      <c r="EN90" s="150"/>
      <c r="EO90" s="150"/>
      <c r="EP90" s="139">
        <f t="shared" si="56"/>
        <v>0</v>
      </c>
      <c r="EQ90" s="139">
        <f t="shared" si="57"/>
        <v>0</v>
      </c>
      <c r="ER90" s="139">
        <f t="shared" si="58"/>
        <v>0</v>
      </c>
      <c r="ES90" s="139">
        <f t="shared" si="59"/>
        <v>0</v>
      </c>
      <c r="ET90" s="139">
        <f t="shared" si="60"/>
        <v>0</v>
      </c>
      <c r="EU90" s="139">
        <f t="shared" si="61"/>
        <v>0</v>
      </c>
      <c r="EV90" s="139">
        <f t="shared" si="62"/>
        <v>0</v>
      </c>
      <c r="EW90" s="139">
        <f t="shared" si="63"/>
        <v>0</v>
      </c>
      <c r="EX90" s="139">
        <f t="shared" si="64"/>
        <v>0</v>
      </c>
      <c r="EY90" s="139">
        <f t="shared" si="65"/>
        <v>0</v>
      </c>
      <c r="EZ90" s="139">
        <f t="shared" si="66"/>
        <v>0</v>
      </c>
      <c r="FA90" s="139">
        <f t="shared" si="67"/>
        <v>0</v>
      </c>
      <c r="FB90" s="139">
        <f t="shared" si="68"/>
        <v>0</v>
      </c>
      <c r="FC90" s="139">
        <f t="shared" si="69"/>
        <v>0</v>
      </c>
      <c r="FD90" s="139">
        <f t="shared" si="70"/>
        <v>0</v>
      </c>
      <c r="FE90" s="139">
        <f t="shared" si="71"/>
        <v>0</v>
      </c>
      <c r="FF90" s="139">
        <f t="shared" si="72"/>
        <v>0</v>
      </c>
      <c r="FG90" s="139">
        <f t="shared" si="73"/>
        <v>0</v>
      </c>
      <c r="FH90" s="139">
        <f t="shared" si="74"/>
        <v>0</v>
      </c>
      <c r="FI90" s="139">
        <f t="shared" si="75"/>
        <v>0</v>
      </c>
      <c r="FJ90" s="139">
        <f t="shared" si="76"/>
        <v>0</v>
      </c>
      <c r="FK90" s="139">
        <f t="shared" si="77"/>
        <v>0</v>
      </c>
      <c r="FL90" s="139">
        <f t="shared" si="78"/>
        <v>0</v>
      </c>
      <c r="FM90" s="139">
        <f t="shared" si="79"/>
        <v>0</v>
      </c>
      <c r="FN90" s="139">
        <f t="shared" si="80"/>
        <v>0</v>
      </c>
      <c r="FO90" s="139">
        <f t="shared" si="81"/>
        <v>0</v>
      </c>
      <c r="FP90" s="139">
        <f t="shared" si="82"/>
        <v>0</v>
      </c>
      <c r="FQ90" s="139">
        <f t="shared" si="83"/>
        <v>0</v>
      </c>
      <c r="FR90" s="139">
        <f t="shared" si="84"/>
        <v>0</v>
      </c>
      <c r="FS90" s="139">
        <f t="shared" si="85"/>
        <v>0</v>
      </c>
      <c r="FT90" s="139">
        <f t="shared" si="86"/>
        <v>0</v>
      </c>
      <c r="FU90" s="148">
        <f t="shared" si="87"/>
        <v>0</v>
      </c>
      <c r="FV90" s="149"/>
      <c r="FY90" s="212">
        <v>85</v>
      </c>
      <c r="FZ90">
        <v>3.2947727726095888</v>
      </c>
      <c r="GA90">
        <v>6.7875445620133306</v>
      </c>
      <c r="GB90">
        <v>7.0437376567992684</v>
      </c>
      <c r="GC90">
        <v>3.4512416595140709</v>
      </c>
      <c r="GD90">
        <v>0.90768364698721538</v>
      </c>
      <c r="GE90">
        <v>2.0115763418405206</v>
      </c>
      <c r="GF90">
        <v>7.7147163019033744</v>
      </c>
      <c r="GG90">
        <v>6.9704123602716397</v>
      </c>
      <c r="GH90">
        <v>1.8861712947681881</v>
      </c>
      <c r="GI90">
        <v>5.1765613179031629</v>
      </c>
      <c r="GJ90"/>
      <c r="GK90"/>
      <c r="GL90"/>
      <c r="GM90"/>
    </row>
    <row r="91" spans="1:195" s="7" customFormat="1">
      <c r="A91" s="77"/>
      <c r="B91" s="76">
        <f t="shared" ca="1" si="50"/>
        <v>4.9022088399698127E-2</v>
      </c>
      <c r="C91">
        <v>7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11.128472222222223</v>
      </c>
      <c r="AO91">
        <v>7.1302699909608567</v>
      </c>
      <c r="AP91">
        <v>31.327309800173204</v>
      </c>
      <c r="AQ91">
        <v>36.648904536326029</v>
      </c>
      <c r="AR91">
        <v>6.533444430678955</v>
      </c>
      <c r="AS91">
        <v>36.131923723414978</v>
      </c>
      <c r="AT91">
        <v>4.0746823967424524</v>
      </c>
      <c r="AU91">
        <v>5.6724452977909801</v>
      </c>
      <c r="AV91"/>
      <c r="AW91"/>
      <c r="AX91" s="151"/>
      <c r="AY91" s="76">
        <f t="shared" ca="1" si="88"/>
        <v>0.82321663968084646</v>
      </c>
      <c r="AZ91">
        <v>4</v>
      </c>
      <c r="BA91" s="129">
        <f t="shared" si="89"/>
        <v>39646</v>
      </c>
      <c r="BB91">
        <v>0</v>
      </c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90"/>
        <v>0.48271285356971383</v>
      </c>
      <c r="CL91" s="179">
        <f t="shared" si="91"/>
        <v>4</v>
      </c>
      <c r="CM91" s="180">
        <f t="shared" si="92"/>
        <v>39646</v>
      </c>
      <c r="CN91"/>
      <c r="CO91"/>
      <c r="CP91"/>
      <c r="CQ91"/>
      <c r="CR91"/>
      <c r="CS91"/>
      <c r="CT91"/>
      <c r="CU91"/>
      <c r="CW91">
        <v>1</v>
      </c>
      <c r="CX91">
        <v>1</v>
      </c>
      <c r="CY91" s="158"/>
      <c r="CZ91" s="177">
        <f t="shared" si="93"/>
        <v>9.6000000000000002E-2</v>
      </c>
      <c r="DB91" s="151"/>
      <c r="DC91" s="76">
        <f t="shared" ca="1" si="51"/>
        <v>0.29465436033345771</v>
      </c>
      <c r="DD91">
        <f t="shared" si="94"/>
        <v>4</v>
      </c>
      <c r="DE91" s="129">
        <f t="shared" si="52"/>
        <v>39646</v>
      </c>
      <c r="DF91" s="161">
        <f t="shared" si="95"/>
        <v>0</v>
      </c>
      <c r="DG91" s="161">
        <f t="shared" si="96"/>
        <v>0</v>
      </c>
      <c r="DH91" s="161">
        <f t="shared" si="97"/>
        <v>0</v>
      </c>
      <c r="DI91" s="161">
        <f t="shared" si="98"/>
        <v>0</v>
      </c>
      <c r="DJ91" s="161">
        <f t="shared" si="99"/>
        <v>0</v>
      </c>
      <c r="DK91" s="161">
        <f t="shared" si="100"/>
        <v>0</v>
      </c>
      <c r="DL91" s="161">
        <f t="shared" si="101"/>
        <v>0</v>
      </c>
      <c r="DM91" s="161">
        <f t="shared" si="102"/>
        <v>0</v>
      </c>
      <c r="DN91" s="161">
        <f t="shared" si="103"/>
        <v>0</v>
      </c>
      <c r="DO91" s="161">
        <f t="shared" si="104"/>
        <v>0</v>
      </c>
      <c r="DP91" s="161">
        <f t="shared" si="105"/>
        <v>0</v>
      </c>
      <c r="DQ91" s="161">
        <f t="shared" si="106"/>
        <v>0</v>
      </c>
      <c r="DR91" s="161">
        <f t="shared" si="107"/>
        <v>0</v>
      </c>
      <c r="DS91" s="161">
        <f t="shared" si="108"/>
        <v>0</v>
      </c>
      <c r="DT91" s="161">
        <f t="shared" si="109"/>
        <v>0</v>
      </c>
      <c r="DU91" s="161">
        <f t="shared" si="110"/>
        <v>0</v>
      </c>
      <c r="DV91" s="161">
        <f t="shared" si="111"/>
        <v>0</v>
      </c>
      <c r="DW91" s="161">
        <f t="shared" si="112"/>
        <v>0</v>
      </c>
      <c r="DX91" s="161">
        <f t="shared" si="113"/>
        <v>0</v>
      </c>
      <c r="DY91" s="161">
        <f t="shared" si="114"/>
        <v>0</v>
      </c>
      <c r="DZ91" s="161">
        <f t="shared" si="115"/>
        <v>0</v>
      </c>
      <c r="EA91" s="161">
        <f t="shared" si="116"/>
        <v>0</v>
      </c>
      <c r="EB91" s="161">
        <f t="shared" si="117"/>
        <v>0</v>
      </c>
      <c r="EC91" s="161">
        <f t="shared" si="118"/>
        <v>0</v>
      </c>
      <c r="ED91" s="161">
        <f t="shared" si="119"/>
        <v>0</v>
      </c>
      <c r="EE91" s="161">
        <f t="shared" si="120"/>
        <v>0</v>
      </c>
      <c r="EF91" s="161">
        <f t="shared" si="121"/>
        <v>0</v>
      </c>
      <c r="EG91" s="161">
        <f t="shared" si="122"/>
        <v>0</v>
      </c>
      <c r="EH91" s="161">
        <f t="shared" si="123"/>
        <v>0</v>
      </c>
      <c r="EI91" s="161">
        <f t="shared" si="124"/>
        <v>0</v>
      </c>
      <c r="EJ91" s="161">
        <f t="shared" si="125"/>
        <v>0</v>
      </c>
      <c r="EK91" s="147">
        <f t="shared" si="55"/>
        <v>0</v>
      </c>
      <c r="EL91" s="149"/>
      <c r="EN91" s="151"/>
      <c r="EO91" s="151"/>
      <c r="EP91" s="139">
        <f t="shared" si="56"/>
        <v>0</v>
      </c>
      <c r="EQ91" s="139">
        <f t="shared" si="57"/>
        <v>0</v>
      </c>
      <c r="ER91" s="139">
        <f t="shared" si="58"/>
        <v>0</v>
      </c>
      <c r="ES91" s="139">
        <f t="shared" si="59"/>
        <v>0</v>
      </c>
      <c r="ET91" s="139">
        <f t="shared" si="60"/>
        <v>0</v>
      </c>
      <c r="EU91" s="139">
        <f t="shared" si="61"/>
        <v>0</v>
      </c>
      <c r="EV91" s="139">
        <f t="shared" si="62"/>
        <v>0</v>
      </c>
      <c r="EW91" s="139">
        <f t="shared" si="63"/>
        <v>0</v>
      </c>
      <c r="EX91" s="139">
        <f t="shared" si="64"/>
        <v>0</v>
      </c>
      <c r="EY91" s="139">
        <f t="shared" si="65"/>
        <v>0</v>
      </c>
      <c r="EZ91" s="139">
        <f t="shared" si="66"/>
        <v>0</v>
      </c>
      <c r="FA91" s="139">
        <f t="shared" si="67"/>
        <v>0</v>
      </c>
      <c r="FB91" s="139">
        <f t="shared" si="68"/>
        <v>0</v>
      </c>
      <c r="FC91" s="139">
        <f t="shared" si="69"/>
        <v>0</v>
      </c>
      <c r="FD91" s="139">
        <f t="shared" si="70"/>
        <v>0</v>
      </c>
      <c r="FE91" s="139">
        <f t="shared" si="71"/>
        <v>0</v>
      </c>
      <c r="FF91" s="139">
        <f t="shared" si="72"/>
        <v>0</v>
      </c>
      <c r="FG91" s="139">
        <f t="shared" si="73"/>
        <v>0</v>
      </c>
      <c r="FH91" s="139">
        <f t="shared" si="74"/>
        <v>0</v>
      </c>
      <c r="FI91" s="139">
        <f t="shared" si="75"/>
        <v>0</v>
      </c>
      <c r="FJ91" s="139">
        <f t="shared" si="76"/>
        <v>0</v>
      </c>
      <c r="FK91" s="139">
        <f t="shared" si="77"/>
        <v>0</v>
      </c>
      <c r="FL91" s="139">
        <f t="shared" si="78"/>
        <v>0</v>
      </c>
      <c r="FM91" s="139">
        <f t="shared" si="79"/>
        <v>0</v>
      </c>
      <c r="FN91" s="139">
        <f t="shared" si="80"/>
        <v>0</v>
      </c>
      <c r="FO91" s="139">
        <f t="shared" si="81"/>
        <v>0</v>
      </c>
      <c r="FP91" s="139">
        <f t="shared" si="82"/>
        <v>0</v>
      </c>
      <c r="FQ91" s="139">
        <f t="shared" si="83"/>
        <v>0</v>
      </c>
      <c r="FR91" s="139">
        <f t="shared" si="84"/>
        <v>0</v>
      </c>
      <c r="FS91" s="139">
        <f t="shared" si="85"/>
        <v>0</v>
      </c>
      <c r="FT91" s="139">
        <f t="shared" si="86"/>
        <v>0</v>
      </c>
      <c r="FU91" s="148">
        <f t="shared" si="87"/>
        <v>0</v>
      </c>
      <c r="FV91" s="149"/>
      <c r="FY91" s="212">
        <v>86</v>
      </c>
      <c r="FZ91">
        <v>6.464034349060416</v>
      </c>
      <c r="GA91">
        <v>10.384586386328396</v>
      </c>
      <c r="GB91">
        <v>4.4866938103436329</v>
      </c>
      <c r="GC91">
        <v>1.7278724454102115</v>
      </c>
      <c r="GD91">
        <v>1.4038625154338351</v>
      </c>
      <c r="GE91">
        <v>6.7493060322184739</v>
      </c>
      <c r="GF91">
        <v>13.390549306824237</v>
      </c>
      <c r="GG91">
        <v>8.3969650502817821</v>
      </c>
      <c r="GH91">
        <v>2.8976466901305793</v>
      </c>
      <c r="GI91">
        <v>6.7408729105028069</v>
      </c>
      <c r="GJ91"/>
      <c r="GK91"/>
      <c r="GL91"/>
      <c r="GM91"/>
    </row>
    <row r="92" spans="1:195" s="7" customFormat="1">
      <c r="A92" s="77"/>
      <c r="B92" s="76">
        <f t="shared" ca="1" si="50"/>
        <v>0.92408217241598556</v>
      </c>
      <c r="C92">
        <v>1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13.709839357429718</v>
      </c>
      <c r="AO92">
        <v>8.497647586733148</v>
      </c>
      <c r="AP92">
        <v>45.388690628025905</v>
      </c>
      <c r="AQ92">
        <v>44.798661901188154</v>
      </c>
      <c r="AR92">
        <v>7.818638463636769</v>
      </c>
      <c r="AS92">
        <v>49.273406202549154</v>
      </c>
      <c r="AT92">
        <v>4.7721827564911239</v>
      </c>
      <c r="AU92">
        <v>3.9990214778645505</v>
      </c>
      <c r="AV92"/>
      <c r="AW92"/>
      <c r="AX92" s="151"/>
      <c r="AY92" s="76">
        <f t="shared" ca="1" si="88"/>
        <v>0.48893167473516463</v>
      </c>
      <c r="AZ92">
        <v>5</v>
      </c>
      <c r="BA92" s="129">
        <f t="shared" si="89"/>
        <v>39646</v>
      </c>
      <c r="BB92">
        <v>0</v>
      </c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90"/>
        <v>0.50269094233092826</v>
      </c>
      <c r="CL92" s="179">
        <f t="shared" si="91"/>
        <v>5</v>
      </c>
      <c r="CM92" s="180">
        <f t="shared" si="92"/>
        <v>39646</v>
      </c>
      <c r="CN92">
        <v>0</v>
      </c>
      <c r="CO92">
        <v>0</v>
      </c>
      <c r="CP92">
        <v>3</v>
      </c>
      <c r="CQ92"/>
      <c r="CR92"/>
      <c r="CS92"/>
      <c r="CT92"/>
      <c r="CU92"/>
      <c r="CW92">
        <v>1</v>
      </c>
      <c r="CX92">
        <v>1</v>
      </c>
      <c r="CY92" s="158"/>
      <c r="CZ92" s="177">
        <f t="shared" si="93"/>
        <v>9.6000000000000002E-2</v>
      </c>
      <c r="DB92" s="151"/>
      <c r="DC92" s="76">
        <f t="shared" ca="1" si="51"/>
        <v>0.37457291956520322</v>
      </c>
      <c r="DD92">
        <f t="shared" si="94"/>
        <v>5</v>
      </c>
      <c r="DE92" s="129">
        <f t="shared" si="52"/>
        <v>39646</v>
      </c>
      <c r="DF92" s="161">
        <f t="shared" si="95"/>
        <v>0</v>
      </c>
      <c r="DG92" s="161">
        <f t="shared" si="96"/>
        <v>0</v>
      </c>
      <c r="DH92" s="161">
        <f t="shared" si="97"/>
        <v>31.25</v>
      </c>
      <c r="DI92" s="161">
        <f t="shared" si="98"/>
        <v>0</v>
      </c>
      <c r="DJ92" s="161">
        <f t="shared" si="99"/>
        <v>0</v>
      </c>
      <c r="DK92" s="161">
        <f t="shared" si="100"/>
        <v>0</v>
      </c>
      <c r="DL92" s="161">
        <f t="shared" si="101"/>
        <v>0</v>
      </c>
      <c r="DM92" s="161">
        <f t="shared" si="102"/>
        <v>0</v>
      </c>
      <c r="DN92" s="161">
        <f t="shared" si="103"/>
        <v>0</v>
      </c>
      <c r="DO92" s="161">
        <f t="shared" si="104"/>
        <v>0</v>
      </c>
      <c r="DP92" s="161">
        <f t="shared" si="105"/>
        <v>0</v>
      </c>
      <c r="DQ92" s="161">
        <f t="shared" si="106"/>
        <v>0</v>
      </c>
      <c r="DR92" s="161">
        <f t="shared" si="107"/>
        <v>0</v>
      </c>
      <c r="DS92" s="161">
        <f t="shared" si="108"/>
        <v>0</v>
      </c>
      <c r="DT92" s="161">
        <f t="shared" si="109"/>
        <v>0</v>
      </c>
      <c r="DU92" s="161">
        <f t="shared" si="110"/>
        <v>0</v>
      </c>
      <c r="DV92" s="161">
        <f t="shared" si="111"/>
        <v>0</v>
      </c>
      <c r="DW92" s="161">
        <f t="shared" si="112"/>
        <v>0</v>
      </c>
      <c r="DX92" s="161">
        <f t="shared" si="113"/>
        <v>0</v>
      </c>
      <c r="DY92" s="161">
        <f t="shared" si="114"/>
        <v>0</v>
      </c>
      <c r="DZ92" s="161">
        <f t="shared" si="115"/>
        <v>0</v>
      </c>
      <c r="EA92" s="161">
        <f t="shared" si="116"/>
        <v>0</v>
      </c>
      <c r="EB92" s="161">
        <f t="shared" si="117"/>
        <v>0</v>
      </c>
      <c r="EC92" s="161">
        <f t="shared" si="118"/>
        <v>0</v>
      </c>
      <c r="ED92" s="161">
        <f t="shared" si="119"/>
        <v>0</v>
      </c>
      <c r="EE92" s="161">
        <f t="shared" si="120"/>
        <v>0</v>
      </c>
      <c r="EF92" s="161">
        <f t="shared" si="121"/>
        <v>0</v>
      </c>
      <c r="EG92" s="161">
        <f t="shared" si="122"/>
        <v>0</v>
      </c>
      <c r="EH92" s="161">
        <f t="shared" si="123"/>
        <v>0</v>
      </c>
      <c r="EI92" s="161">
        <f t="shared" si="124"/>
        <v>0</v>
      </c>
      <c r="EJ92" s="161">
        <f t="shared" si="125"/>
        <v>0</v>
      </c>
      <c r="EK92" s="147">
        <f t="shared" si="55"/>
        <v>31.25</v>
      </c>
      <c r="EL92" s="149"/>
      <c r="EN92" s="151"/>
      <c r="EO92" s="151"/>
      <c r="EP92" s="139">
        <f t="shared" si="56"/>
        <v>0</v>
      </c>
      <c r="EQ92" s="139">
        <f t="shared" si="57"/>
        <v>0</v>
      </c>
      <c r="ER92" s="139">
        <f t="shared" si="58"/>
        <v>0.60673086285416866</v>
      </c>
      <c r="ES92" s="139">
        <f t="shared" si="59"/>
        <v>0</v>
      </c>
      <c r="ET92" s="139">
        <f t="shared" si="60"/>
        <v>0</v>
      </c>
      <c r="EU92" s="139">
        <f t="shared" si="61"/>
        <v>0</v>
      </c>
      <c r="EV92" s="139">
        <f t="shared" si="62"/>
        <v>0</v>
      </c>
      <c r="EW92" s="139">
        <f t="shared" si="63"/>
        <v>0</v>
      </c>
      <c r="EX92" s="139">
        <f t="shared" si="64"/>
        <v>0</v>
      </c>
      <c r="EY92" s="139">
        <f t="shared" si="65"/>
        <v>0</v>
      </c>
      <c r="EZ92" s="139">
        <f t="shared" si="66"/>
        <v>0</v>
      </c>
      <c r="FA92" s="139">
        <f t="shared" si="67"/>
        <v>0</v>
      </c>
      <c r="FB92" s="139">
        <f t="shared" si="68"/>
        <v>0</v>
      </c>
      <c r="FC92" s="139">
        <f t="shared" si="69"/>
        <v>0</v>
      </c>
      <c r="FD92" s="139">
        <f t="shared" si="70"/>
        <v>0</v>
      </c>
      <c r="FE92" s="139">
        <f t="shared" si="71"/>
        <v>0</v>
      </c>
      <c r="FF92" s="139">
        <f t="shared" si="72"/>
        <v>0</v>
      </c>
      <c r="FG92" s="139">
        <f t="shared" si="73"/>
        <v>0</v>
      </c>
      <c r="FH92" s="139">
        <f t="shared" si="74"/>
        <v>0</v>
      </c>
      <c r="FI92" s="139">
        <f t="shared" si="75"/>
        <v>0</v>
      </c>
      <c r="FJ92" s="139">
        <f t="shared" si="76"/>
        <v>0</v>
      </c>
      <c r="FK92" s="139">
        <f t="shared" si="77"/>
        <v>0</v>
      </c>
      <c r="FL92" s="139">
        <f t="shared" si="78"/>
        <v>0</v>
      </c>
      <c r="FM92" s="139">
        <f t="shared" si="79"/>
        <v>0</v>
      </c>
      <c r="FN92" s="139">
        <f t="shared" si="80"/>
        <v>0</v>
      </c>
      <c r="FO92" s="139">
        <f t="shared" si="81"/>
        <v>0</v>
      </c>
      <c r="FP92" s="139">
        <f t="shared" si="82"/>
        <v>0</v>
      </c>
      <c r="FQ92" s="139">
        <f t="shared" si="83"/>
        <v>0</v>
      </c>
      <c r="FR92" s="139">
        <f t="shared" si="84"/>
        <v>0</v>
      </c>
      <c r="FS92" s="139">
        <f t="shared" si="85"/>
        <v>0</v>
      </c>
      <c r="FT92" s="139">
        <f t="shared" si="86"/>
        <v>0</v>
      </c>
      <c r="FU92" s="148">
        <f t="shared" si="87"/>
        <v>0.60673086285416866</v>
      </c>
      <c r="FV92" s="149"/>
      <c r="FY92" s="212">
        <v>87</v>
      </c>
      <c r="FZ92">
        <v>0.12274121609052754</v>
      </c>
      <c r="GA92">
        <v>3.2517681037373025</v>
      </c>
      <c r="GB92">
        <v>6.9273200323658299</v>
      </c>
      <c r="GC92">
        <v>3.1917542279348528</v>
      </c>
      <c r="GD92">
        <v>0.56255858281533011</v>
      </c>
      <c r="GE92">
        <v>2.7105120989218485</v>
      </c>
      <c r="GF92">
        <v>7.422814438896296</v>
      </c>
      <c r="GG92">
        <v>4.5121353020732782</v>
      </c>
      <c r="GH92">
        <v>1.7214004744926337</v>
      </c>
      <c r="GI92">
        <v>4.2131687521532717</v>
      </c>
      <c r="GJ92"/>
      <c r="GK92"/>
      <c r="GL92"/>
      <c r="GM92"/>
    </row>
    <row r="93" spans="1:195" s="7" customFormat="1">
      <c r="A93" s="77"/>
      <c r="B93" s="76">
        <f t="shared" ca="1" si="50"/>
        <v>0.70051785675720435</v>
      </c>
      <c r="C93">
        <v>4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11.833754134183792</v>
      </c>
      <c r="AO93">
        <v>3.2431625657778782</v>
      </c>
      <c r="AP93">
        <v>19.582105423679515</v>
      </c>
      <c r="AQ93">
        <v>20.368283550738003</v>
      </c>
      <c r="AR93">
        <v>3.1413550126527165</v>
      </c>
      <c r="AS93">
        <v>20.409355052358801</v>
      </c>
      <c r="AT93">
        <v>1.7898136303886769</v>
      </c>
      <c r="AU93">
        <v>8.6010142481631675</v>
      </c>
      <c r="AV93"/>
      <c r="AW93"/>
      <c r="AX93" s="151"/>
      <c r="AY93" s="76">
        <f t="shared" ca="1" si="88"/>
        <v>0.58064464470532684</v>
      </c>
      <c r="AZ93">
        <v>6</v>
      </c>
      <c r="BA93" s="129">
        <f t="shared" si="89"/>
        <v>39646</v>
      </c>
      <c r="BB93">
        <v>0</v>
      </c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90"/>
        <v>0.67037033604123408</v>
      </c>
      <c r="CL93" s="179">
        <f t="shared" si="91"/>
        <v>6</v>
      </c>
      <c r="CM93" s="180">
        <f t="shared" si="92"/>
        <v>39646</v>
      </c>
      <c r="CN93">
        <v>0</v>
      </c>
      <c r="CO93"/>
      <c r="CP93"/>
      <c r="CQ93"/>
      <c r="CR93"/>
      <c r="CS93"/>
      <c r="CT93"/>
      <c r="CU93"/>
      <c r="CW93">
        <v>1</v>
      </c>
      <c r="CX93">
        <v>2</v>
      </c>
      <c r="CY93" s="159"/>
      <c r="CZ93" s="177">
        <f t="shared" si="93"/>
        <v>9.6000000000000002E-2</v>
      </c>
      <c r="DB93" s="151"/>
      <c r="DC93" s="76">
        <f t="shared" ca="1" si="51"/>
        <v>0.79557371788478637</v>
      </c>
      <c r="DD93">
        <f t="shared" si="94"/>
        <v>6</v>
      </c>
      <c r="DE93" s="129">
        <f t="shared" si="52"/>
        <v>39646</v>
      </c>
      <c r="DF93" s="161">
        <f t="shared" si="95"/>
        <v>0</v>
      </c>
      <c r="DG93" s="161">
        <f t="shared" si="96"/>
        <v>0</v>
      </c>
      <c r="DH93" s="161">
        <f t="shared" si="97"/>
        <v>0</v>
      </c>
      <c r="DI93" s="161">
        <f t="shared" si="98"/>
        <v>0</v>
      </c>
      <c r="DJ93" s="161">
        <f t="shared" si="99"/>
        <v>0</v>
      </c>
      <c r="DK93" s="161">
        <f t="shared" si="100"/>
        <v>0</v>
      </c>
      <c r="DL93" s="161">
        <f t="shared" si="101"/>
        <v>0</v>
      </c>
      <c r="DM93" s="161">
        <f t="shared" si="102"/>
        <v>0</v>
      </c>
      <c r="DN93" s="161">
        <f t="shared" si="103"/>
        <v>0</v>
      </c>
      <c r="DO93" s="161">
        <f t="shared" si="104"/>
        <v>0</v>
      </c>
      <c r="DP93" s="161">
        <f t="shared" si="105"/>
        <v>0</v>
      </c>
      <c r="DQ93" s="161">
        <f t="shared" si="106"/>
        <v>0</v>
      </c>
      <c r="DR93" s="161">
        <f t="shared" si="107"/>
        <v>0</v>
      </c>
      <c r="DS93" s="161">
        <f t="shared" si="108"/>
        <v>0</v>
      </c>
      <c r="DT93" s="161">
        <f t="shared" si="109"/>
        <v>0</v>
      </c>
      <c r="DU93" s="161">
        <f t="shared" si="110"/>
        <v>0</v>
      </c>
      <c r="DV93" s="161">
        <f t="shared" si="111"/>
        <v>0</v>
      </c>
      <c r="DW93" s="161">
        <f t="shared" si="112"/>
        <v>0</v>
      </c>
      <c r="DX93" s="161">
        <f t="shared" si="113"/>
        <v>0</v>
      </c>
      <c r="DY93" s="161">
        <f t="shared" si="114"/>
        <v>0</v>
      </c>
      <c r="DZ93" s="161">
        <f t="shared" si="115"/>
        <v>0</v>
      </c>
      <c r="EA93" s="161">
        <f t="shared" si="116"/>
        <v>0</v>
      </c>
      <c r="EB93" s="161">
        <f t="shared" si="117"/>
        <v>0</v>
      </c>
      <c r="EC93" s="161">
        <f t="shared" si="118"/>
        <v>0</v>
      </c>
      <c r="ED93" s="161">
        <f t="shared" si="119"/>
        <v>0</v>
      </c>
      <c r="EE93" s="161">
        <f t="shared" si="120"/>
        <v>0</v>
      </c>
      <c r="EF93" s="161">
        <f t="shared" si="121"/>
        <v>0</v>
      </c>
      <c r="EG93" s="161">
        <f t="shared" si="122"/>
        <v>0</v>
      </c>
      <c r="EH93" s="161">
        <f t="shared" si="123"/>
        <v>0</v>
      </c>
      <c r="EI93" s="161">
        <f t="shared" si="124"/>
        <v>0</v>
      </c>
      <c r="EJ93" s="161">
        <f t="shared" si="125"/>
        <v>0</v>
      </c>
      <c r="EK93" s="147">
        <f t="shared" si="55"/>
        <v>0</v>
      </c>
      <c r="EL93" s="149"/>
      <c r="EN93" s="151"/>
      <c r="EO93" s="151"/>
      <c r="EP93" s="139">
        <f t="shared" si="56"/>
        <v>0</v>
      </c>
      <c r="EQ93" s="139">
        <f t="shared" si="57"/>
        <v>0</v>
      </c>
      <c r="ER93" s="139">
        <f t="shared" si="58"/>
        <v>0</v>
      </c>
      <c r="ES93" s="139">
        <f t="shared" si="59"/>
        <v>0</v>
      </c>
      <c r="ET93" s="139">
        <f t="shared" si="60"/>
        <v>0</v>
      </c>
      <c r="EU93" s="139">
        <f t="shared" si="61"/>
        <v>0</v>
      </c>
      <c r="EV93" s="139">
        <f t="shared" si="62"/>
        <v>0</v>
      </c>
      <c r="EW93" s="139">
        <f t="shared" si="63"/>
        <v>0</v>
      </c>
      <c r="EX93" s="139">
        <f t="shared" si="64"/>
        <v>0</v>
      </c>
      <c r="EY93" s="139">
        <f t="shared" si="65"/>
        <v>0</v>
      </c>
      <c r="EZ93" s="139">
        <f t="shared" si="66"/>
        <v>0</v>
      </c>
      <c r="FA93" s="139">
        <f t="shared" si="67"/>
        <v>0</v>
      </c>
      <c r="FB93" s="139">
        <f t="shared" si="68"/>
        <v>0</v>
      </c>
      <c r="FC93" s="139">
        <f t="shared" si="69"/>
        <v>0</v>
      </c>
      <c r="FD93" s="139">
        <f t="shared" si="70"/>
        <v>0</v>
      </c>
      <c r="FE93" s="139">
        <f t="shared" si="71"/>
        <v>0</v>
      </c>
      <c r="FF93" s="139">
        <f t="shared" si="72"/>
        <v>0</v>
      </c>
      <c r="FG93" s="139">
        <f t="shared" si="73"/>
        <v>0</v>
      </c>
      <c r="FH93" s="139">
        <f t="shared" si="74"/>
        <v>0</v>
      </c>
      <c r="FI93" s="139">
        <f t="shared" si="75"/>
        <v>0</v>
      </c>
      <c r="FJ93" s="139">
        <f t="shared" si="76"/>
        <v>0</v>
      </c>
      <c r="FK93" s="139">
        <f t="shared" si="77"/>
        <v>0</v>
      </c>
      <c r="FL93" s="139">
        <f t="shared" si="78"/>
        <v>0</v>
      </c>
      <c r="FM93" s="139">
        <f t="shared" si="79"/>
        <v>0</v>
      </c>
      <c r="FN93" s="139">
        <f t="shared" si="80"/>
        <v>0</v>
      </c>
      <c r="FO93" s="139">
        <f t="shared" si="81"/>
        <v>0</v>
      </c>
      <c r="FP93" s="139">
        <f t="shared" si="82"/>
        <v>0</v>
      </c>
      <c r="FQ93" s="139">
        <f t="shared" si="83"/>
        <v>0</v>
      </c>
      <c r="FR93" s="139">
        <f t="shared" si="84"/>
        <v>0</v>
      </c>
      <c r="FS93" s="139">
        <f t="shared" si="85"/>
        <v>0</v>
      </c>
      <c r="FT93" s="139">
        <f t="shared" si="86"/>
        <v>0</v>
      </c>
      <c r="FU93" s="148">
        <f t="shared" si="87"/>
        <v>0</v>
      </c>
      <c r="FV93" s="149"/>
      <c r="FY93" s="212">
        <v>88</v>
      </c>
      <c r="FZ93">
        <v>3.6211060807362383</v>
      </c>
      <c r="GA93">
        <v>6.8014551245419117</v>
      </c>
      <c r="GB93">
        <v>6.2297788529898375</v>
      </c>
      <c r="GC93">
        <v>2.784919729400479</v>
      </c>
      <c r="GD93">
        <v>1.326582438595975</v>
      </c>
      <c r="GE93">
        <v>4.4561349935716406</v>
      </c>
      <c r="GF93">
        <v>5.2891544734436682</v>
      </c>
      <c r="GG93">
        <v>2.8547902677768349</v>
      </c>
      <c r="GH93">
        <v>3.2879926103947374</v>
      </c>
      <c r="GI93">
        <v>4.6552679211408989</v>
      </c>
      <c r="GJ93"/>
      <c r="GK93"/>
      <c r="GL93"/>
      <c r="GM93"/>
    </row>
    <row r="94" spans="1:195" s="7" customFormat="1">
      <c r="A94" s="77"/>
      <c r="B94" s="76">
        <f t="shared" ca="1" si="50"/>
        <v>0.43845082373704636</v>
      </c>
      <c r="C94">
        <v>8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14.318231258366799</v>
      </c>
      <c r="AO94">
        <v>7.7109406719583706</v>
      </c>
      <c r="AP94">
        <v>31.416534104417611</v>
      </c>
      <c r="AQ94">
        <v>37.387640632847948</v>
      </c>
      <c r="AR94">
        <v>7.2085448292443992</v>
      </c>
      <c r="AS94">
        <v>39.745659373364923</v>
      </c>
      <c r="AT94">
        <v>4.4054516902799508</v>
      </c>
      <c r="AU94">
        <v>4.4085424410618801</v>
      </c>
      <c r="AV94"/>
      <c r="AW94"/>
      <c r="AX94" s="151"/>
      <c r="AY94" s="76">
        <f t="shared" ca="1" si="88"/>
        <v>0.50103848016214614</v>
      </c>
      <c r="AZ94">
        <v>7</v>
      </c>
      <c r="BA94" s="129">
        <f t="shared" si="89"/>
        <v>39646</v>
      </c>
      <c r="BB94">
        <v>0</v>
      </c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90"/>
        <v>0.84086279828508936</v>
      </c>
      <c r="CL94" s="179">
        <f t="shared" si="91"/>
        <v>7</v>
      </c>
      <c r="CM94" s="180">
        <f t="shared" si="92"/>
        <v>39646</v>
      </c>
      <c r="CN94">
        <v>0</v>
      </c>
      <c r="CO94"/>
      <c r="CP94"/>
      <c r="CQ94"/>
      <c r="CR94"/>
      <c r="CS94"/>
      <c r="CT94"/>
      <c r="CU94"/>
      <c r="CV94" s="160"/>
      <c r="CW94">
        <v>1</v>
      </c>
      <c r="CX94">
        <v>2</v>
      </c>
      <c r="CY94" s="164"/>
      <c r="CZ94" s="177">
        <f t="shared" si="93"/>
        <v>9.6000000000000002E-2</v>
      </c>
      <c r="DB94" s="151"/>
      <c r="DC94" s="76">
        <f t="shared" ca="1" si="51"/>
        <v>0.11052187895810395</v>
      </c>
      <c r="DD94">
        <f t="shared" si="94"/>
        <v>7</v>
      </c>
      <c r="DE94" s="129">
        <f t="shared" si="52"/>
        <v>39646</v>
      </c>
      <c r="DF94" s="161">
        <f t="shared" si="95"/>
        <v>0</v>
      </c>
      <c r="DG94" s="161">
        <f t="shared" si="96"/>
        <v>0</v>
      </c>
      <c r="DH94" s="161">
        <f t="shared" si="97"/>
        <v>0</v>
      </c>
      <c r="DI94" s="161">
        <f t="shared" si="98"/>
        <v>0</v>
      </c>
      <c r="DJ94" s="161">
        <f t="shared" si="99"/>
        <v>0</v>
      </c>
      <c r="DK94" s="161">
        <f t="shared" si="100"/>
        <v>0</v>
      </c>
      <c r="DL94" s="161">
        <f t="shared" si="101"/>
        <v>0</v>
      </c>
      <c r="DM94" s="161">
        <f t="shared" si="102"/>
        <v>0</v>
      </c>
      <c r="DN94" s="161">
        <f t="shared" si="103"/>
        <v>0</v>
      </c>
      <c r="DO94" s="161">
        <f t="shared" si="104"/>
        <v>0</v>
      </c>
      <c r="DP94" s="161">
        <f t="shared" si="105"/>
        <v>0</v>
      </c>
      <c r="DQ94" s="161">
        <f t="shared" si="106"/>
        <v>0</v>
      </c>
      <c r="DR94" s="161">
        <f t="shared" si="107"/>
        <v>0</v>
      </c>
      <c r="DS94" s="161">
        <f t="shared" si="108"/>
        <v>0</v>
      </c>
      <c r="DT94" s="161">
        <f t="shared" si="109"/>
        <v>0</v>
      </c>
      <c r="DU94" s="161">
        <f t="shared" si="110"/>
        <v>0</v>
      </c>
      <c r="DV94" s="161">
        <f t="shared" si="111"/>
        <v>0</v>
      </c>
      <c r="DW94" s="161">
        <f t="shared" si="112"/>
        <v>0</v>
      </c>
      <c r="DX94" s="161">
        <f t="shared" si="113"/>
        <v>0</v>
      </c>
      <c r="DY94" s="161">
        <f t="shared" si="114"/>
        <v>0</v>
      </c>
      <c r="DZ94" s="161">
        <f t="shared" si="115"/>
        <v>0</v>
      </c>
      <c r="EA94" s="161">
        <f t="shared" si="116"/>
        <v>0</v>
      </c>
      <c r="EB94" s="161">
        <f t="shared" si="117"/>
        <v>0</v>
      </c>
      <c r="EC94" s="161">
        <f t="shared" si="118"/>
        <v>0</v>
      </c>
      <c r="ED94" s="161">
        <f t="shared" si="119"/>
        <v>0</v>
      </c>
      <c r="EE94" s="161">
        <f t="shared" si="120"/>
        <v>0</v>
      </c>
      <c r="EF94" s="161">
        <f t="shared" si="121"/>
        <v>0</v>
      </c>
      <c r="EG94" s="161">
        <f t="shared" si="122"/>
        <v>0</v>
      </c>
      <c r="EH94" s="161">
        <f t="shared" si="123"/>
        <v>0</v>
      </c>
      <c r="EI94" s="161">
        <f t="shared" si="124"/>
        <v>0</v>
      </c>
      <c r="EJ94" s="161">
        <f t="shared" si="125"/>
        <v>0</v>
      </c>
      <c r="EK94" s="147">
        <f t="shared" si="55"/>
        <v>0</v>
      </c>
      <c r="EL94" s="149"/>
      <c r="EN94" s="151"/>
      <c r="EO94" s="151"/>
      <c r="EP94" s="139">
        <f t="shared" si="56"/>
        <v>0</v>
      </c>
      <c r="EQ94" s="139">
        <f t="shared" si="57"/>
        <v>0</v>
      </c>
      <c r="ER94" s="139">
        <f t="shared" si="58"/>
        <v>0</v>
      </c>
      <c r="ES94" s="139">
        <f t="shared" si="59"/>
        <v>0</v>
      </c>
      <c r="ET94" s="139">
        <f t="shared" si="60"/>
        <v>0</v>
      </c>
      <c r="EU94" s="139">
        <f t="shared" si="61"/>
        <v>0</v>
      </c>
      <c r="EV94" s="139">
        <f t="shared" si="62"/>
        <v>0</v>
      </c>
      <c r="EW94" s="139">
        <f t="shared" si="63"/>
        <v>0</v>
      </c>
      <c r="EX94" s="139">
        <f t="shared" si="64"/>
        <v>0</v>
      </c>
      <c r="EY94" s="139">
        <f t="shared" si="65"/>
        <v>0</v>
      </c>
      <c r="EZ94" s="139">
        <f t="shared" si="66"/>
        <v>0</v>
      </c>
      <c r="FA94" s="139">
        <f t="shared" si="67"/>
        <v>0</v>
      </c>
      <c r="FB94" s="139">
        <f t="shared" si="68"/>
        <v>0</v>
      </c>
      <c r="FC94" s="139">
        <f t="shared" si="69"/>
        <v>0</v>
      </c>
      <c r="FD94" s="139">
        <f t="shared" si="70"/>
        <v>0</v>
      </c>
      <c r="FE94" s="139">
        <f t="shared" si="71"/>
        <v>0</v>
      </c>
      <c r="FF94" s="139">
        <f t="shared" si="72"/>
        <v>0</v>
      </c>
      <c r="FG94" s="139">
        <f t="shared" si="73"/>
        <v>0</v>
      </c>
      <c r="FH94" s="139">
        <f t="shared" si="74"/>
        <v>0</v>
      </c>
      <c r="FI94" s="139">
        <f t="shared" si="75"/>
        <v>0</v>
      </c>
      <c r="FJ94" s="139">
        <f t="shared" si="76"/>
        <v>0</v>
      </c>
      <c r="FK94" s="139">
        <f t="shared" si="77"/>
        <v>0</v>
      </c>
      <c r="FL94" s="139">
        <f t="shared" si="78"/>
        <v>0</v>
      </c>
      <c r="FM94" s="139">
        <f t="shared" si="79"/>
        <v>0</v>
      </c>
      <c r="FN94" s="139">
        <f t="shared" si="80"/>
        <v>0</v>
      </c>
      <c r="FO94" s="139">
        <f t="shared" si="81"/>
        <v>0</v>
      </c>
      <c r="FP94" s="139">
        <f t="shared" si="82"/>
        <v>0</v>
      </c>
      <c r="FQ94" s="139">
        <f t="shared" si="83"/>
        <v>0</v>
      </c>
      <c r="FR94" s="139">
        <f t="shared" si="84"/>
        <v>0</v>
      </c>
      <c r="FS94" s="139">
        <f t="shared" si="85"/>
        <v>0</v>
      </c>
      <c r="FT94" s="139">
        <f t="shared" si="86"/>
        <v>0</v>
      </c>
      <c r="FU94" s="148">
        <f t="shared" si="87"/>
        <v>0</v>
      </c>
      <c r="FV94" s="149"/>
      <c r="FY94" s="212">
        <v>89</v>
      </c>
      <c r="FZ94">
        <v>0.26616026465963777</v>
      </c>
      <c r="GA94">
        <v>3.1461032855277988</v>
      </c>
      <c r="GB94">
        <v>6.9482325883181728</v>
      </c>
      <c r="GC94">
        <v>3.4229419247274473</v>
      </c>
      <c r="GD94">
        <v>2.9328997960484173</v>
      </c>
      <c r="GE94">
        <v>6.6833790778723792</v>
      </c>
      <c r="GF94">
        <v>7.52082376689164</v>
      </c>
      <c r="GG94">
        <v>7.7021807845143062</v>
      </c>
      <c r="GH94">
        <v>4.1633402224847966</v>
      </c>
      <c r="GI94">
        <v>6.3466128876818066</v>
      </c>
      <c r="GJ94"/>
      <c r="GK94"/>
      <c r="GL94"/>
      <c r="GM94"/>
    </row>
    <row r="95" spans="1:195" s="7" customFormat="1">
      <c r="A95" s="77"/>
      <c r="B95" s="76">
        <f t="shared" ca="1" si="50"/>
        <v>0.78556143346082763</v>
      </c>
      <c r="C95">
        <v>3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14.343417788802267</v>
      </c>
      <c r="AO95">
        <v>5.4175702320855272</v>
      </c>
      <c r="AP95">
        <v>32.405593638538214</v>
      </c>
      <c r="AQ95">
        <v>29.239740391952029</v>
      </c>
      <c r="AR95">
        <v>5.0237877123204759</v>
      </c>
      <c r="AS95">
        <v>37.548893584875472</v>
      </c>
      <c r="AT95">
        <v>3.1232964020627816</v>
      </c>
      <c r="AU95">
        <v>11.295507853439307</v>
      </c>
      <c r="AV95"/>
      <c r="AW95"/>
      <c r="AX95" s="151"/>
      <c r="AY95" s="76">
        <f t="shared" ca="1" si="88"/>
        <v>8.0908083211194359E-2</v>
      </c>
      <c r="AZ95">
        <v>8</v>
      </c>
      <c r="BA95" s="129">
        <f t="shared" si="89"/>
        <v>39646</v>
      </c>
      <c r="BB95">
        <v>0</v>
      </c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90"/>
        <v>3.1882316872160921E-2</v>
      </c>
      <c r="CL95" s="179">
        <f t="shared" si="91"/>
        <v>8</v>
      </c>
      <c r="CM95" s="180">
        <f t="shared" si="92"/>
        <v>39646</v>
      </c>
      <c r="CN95">
        <v>0</v>
      </c>
      <c r="CO95"/>
      <c r="CP95"/>
      <c r="CQ95"/>
      <c r="CR95"/>
      <c r="CS95"/>
      <c r="CT95"/>
      <c r="CU95"/>
      <c r="CV95" s="160"/>
      <c r="CW95">
        <v>1</v>
      </c>
      <c r="CX95">
        <v>2</v>
      </c>
      <c r="CY95" s="164"/>
      <c r="CZ95" s="177">
        <f t="shared" si="93"/>
        <v>9.6000000000000002E-2</v>
      </c>
      <c r="DB95" s="151"/>
      <c r="DC95" s="76">
        <f t="shared" ca="1" si="51"/>
        <v>0.10496077436550699</v>
      </c>
      <c r="DD95">
        <f t="shared" si="94"/>
        <v>8</v>
      </c>
      <c r="DE95" s="129">
        <f t="shared" si="52"/>
        <v>39646</v>
      </c>
      <c r="DF95" s="161">
        <f t="shared" si="95"/>
        <v>0</v>
      </c>
      <c r="DG95" s="161">
        <f t="shared" si="96"/>
        <v>0</v>
      </c>
      <c r="DH95" s="161">
        <f t="shared" si="97"/>
        <v>0</v>
      </c>
      <c r="DI95" s="161">
        <f t="shared" si="98"/>
        <v>0</v>
      </c>
      <c r="DJ95" s="161">
        <f t="shared" si="99"/>
        <v>0</v>
      </c>
      <c r="DK95" s="161">
        <f t="shared" si="100"/>
        <v>0</v>
      </c>
      <c r="DL95" s="161">
        <f t="shared" si="101"/>
        <v>0</v>
      </c>
      <c r="DM95" s="161">
        <f t="shared" si="102"/>
        <v>0</v>
      </c>
      <c r="DN95" s="161">
        <f t="shared" si="103"/>
        <v>0</v>
      </c>
      <c r="DO95" s="161">
        <f t="shared" si="104"/>
        <v>0</v>
      </c>
      <c r="DP95" s="161">
        <f t="shared" si="105"/>
        <v>0</v>
      </c>
      <c r="DQ95" s="161">
        <f t="shared" si="106"/>
        <v>0</v>
      </c>
      <c r="DR95" s="161">
        <f t="shared" si="107"/>
        <v>0</v>
      </c>
      <c r="DS95" s="161">
        <f t="shared" si="108"/>
        <v>0</v>
      </c>
      <c r="DT95" s="161">
        <f t="shared" si="109"/>
        <v>0</v>
      </c>
      <c r="DU95" s="161">
        <f t="shared" si="110"/>
        <v>0</v>
      </c>
      <c r="DV95" s="161">
        <f t="shared" si="111"/>
        <v>0</v>
      </c>
      <c r="DW95" s="161">
        <f t="shared" si="112"/>
        <v>0</v>
      </c>
      <c r="DX95" s="161">
        <f t="shared" si="113"/>
        <v>0</v>
      </c>
      <c r="DY95" s="161">
        <f t="shared" si="114"/>
        <v>0</v>
      </c>
      <c r="DZ95" s="161">
        <f t="shared" si="115"/>
        <v>0</v>
      </c>
      <c r="EA95" s="161">
        <f t="shared" si="116"/>
        <v>0</v>
      </c>
      <c r="EB95" s="161">
        <f t="shared" si="117"/>
        <v>0</v>
      </c>
      <c r="EC95" s="161">
        <f t="shared" si="118"/>
        <v>0</v>
      </c>
      <c r="ED95" s="161">
        <f t="shared" si="119"/>
        <v>0</v>
      </c>
      <c r="EE95" s="161">
        <f t="shared" si="120"/>
        <v>0</v>
      </c>
      <c r="EF95" s="161">
        <f t="shared" si="121"/>
        <v>0</v>
      </c>
      <c r="EG95" s="161">
        <f t="shared" si="122"/>
        <v>0</v>
      </c>
      <c r="EH95" s="161">
        <f t="shared" si="123"/>
        <v>0</v>
      </c>
      <c r="EI95" s="161">
        <f t="shared" si="124"/>
        <v>0</v>
      </c>
      <c r="EJ95" s="161">
        <f t="shared" si="125"/>
        <v>0</v>
      </c>
      <c r="EK95" s="147">
        <f t="shared" si="55"/>
        <v>0</v>
      </c>
      <c r="EL95" s="149"/>
      <c r="EN95" s="151"/>
      <c r="EO95" s="151"/>
      <c r="EP95" s="139">
        <f t="shared" si="56"/>
        <v>0</v>
      </c>
      <c r="EQ95" s="139">
        <f t="shared" si="57"/>
        <v>0</v>
      </c>
      <c r="ER95" s="139">
        <f t="shared" si="58"/>
        <v>0</v>
      </c>
      <c r="ES95" s="139">
        <f t="shared" si="59"/>
        <v>0</v>
      </c>
      <c r="ET95" s="139">
        <f t="shared" si="60"/>
        <v>0</v>
      </c>
      <c r="EU95" s="139">
        <f t="shared" si="61"/>
        <v>0</v>
      </c>
      <c r="EV95" s="139">
        <f t="shared" si="62"/>
        <v>0</v>
      </c>
      <c r="EW95" s="139">
        <f t="shared" si="63"/>
        <v>0</v>
      </c>
      <c r="EX95" s="139">
        <f t="shared" si="64"/>
        <v>0</v>
      </c>
      <c r="EY95" s="139">
        <f t="shared" si="65"/>
        <v>0</v>
      </c>
      <c r="EZ95" s="139">
        <f t="shared" si="66"/>
        <v>0</v>
      </c>
      <c r="FA95" s="139">
        <f t="shared" si="67"/>
        <v>0</v>
      </c>
      <c r="FB95" s="139">
        <f t="shared" si="68"/>
        <v>0</v>
      </c>
      <c r="FC95" s="139">
        <f t="shared" si="69"/>
        <v>0</v>
      </c>
      <c r="FD95" s="139">
        <f t="shared" si="70"/>
        <v>0</v>
      </c>
      <c r="FE95" s="139">
        <f t="shared" si="71"/>
        <v>0</v>
      </c>
      <c r="FF95" s="139">
        <f t="shared" si="72"/>
        <v>0</v>
      </c>
      <c r="FG95" s="139">
        <f t="shared" si="73"/>
        <v>0</v>
      </c>
      <c r="FH95" s="139">
        <f t="shared" si="74"/>
        <v>0</v>
      </c>
      <c r="FI95" s="139">
        <f t="shared" si="75"/>
        <v>0</v>
      </c>
      <c r="FJ95" s="139">
        <f t="shared" si="76"/>
        <v>0</v>
      </c>
      <c r="FK95" s="139">
        <f t="shared" si="77"/>
        <v>0</v>
      </c>
      <c r="FL95" s="139">
        <f t="shared" si="78"/>
        <v>0</v>
      </c>
      <c r="FM95" s="139">
        <f t="shared" si="79"/>
        <v>0</v>
      </c>
      <c r="FN95" s="139">
        <f t="shared" si="80"/>
        <v>0</v>
      </c>
      <c r="FO95" s="139">
        <f t="shared" si="81"/>
        <v>0</v>
      </c>
      <c r="FP95" s="139">
        <f t="shared" si="82"/>
        <v>0</v>
      </c>
      <c r="FQ95" s="139">
        <f t="shared" si="83"/>
        <v>0</v>
      </c>
      <c r="FR95" s="139">
        <f t="shared" si="84"/>
        <v>0</v>
      </c>
      <c r="FS95" s="139">
        <f t="shared" si="85"/>
        <v>0</v>
      </c>
      <c r="FT95" s="139">
        <f t="shared" si="86"/>
        <v>0</v>
      </c>
      <c r="FU95" s="148">
        <f t="shared" si="87"/>
        <v>0</v>
      </c>
      <c r="FV95" s="149"/>
      <c r="FY95" s="212">
        <v>90</v>
      </c>
      <c r="FZ95">
        <v>3.3667565347829846</v>
      </c>
      <c r="GA95">
        <v>7.0448896026571175</v>
      </c>
      <c r="GB95">
        <v>8.2489973536328467</v>
      </c>
      <c r="GC95">
        <v>3.6782408382858964</v>
      </c>
      <c r="GD95">
        <v>0.6235129524088423</v>
      </c>
      <c r="GE95">
        <v>4.8952527838713689</v>
      </c>
      <c r="GF95">
        <v>10.134213421470523</v>
      </c>
      <c r="GG95">
        <v>4.1716083706657088</v>
      </c>
      <c r="GH95">
        <v>2.5824010774239832</v>
      </c>
      <c r="GI95">
        <v>5.7592363631827066</v>
      </c>
      <c r="GJ95"/>
      <c r="GK95"/>
      <c r="GL95"/>
      <c r="GM95"/>
    </row>
    <row r="96" spans="1:195" s="7" customFormat="1">
      <c r="A96" s="77"/>
      <c r="B96" s="76">
        <f t="shared" ca="1" si="50"/>
        <v>1.3960985297567508E-2</v>
      </c>
      <c r="C96">
        <v>6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18.826184640522875</v>
      </c>
      <c r="AO96">
        <v>11.423859579708793</v>
      </c>
      <c r="AP96">
        <v>65.719358811785554</v>
      </c>
      <c r="AQ96">
        <v>56.739036909867977</v>
      </c>
      <c r="AR96">
        <v>10.454178172414244</v>
      </c>
      <c r="AS96">
        <v>51.864027126386276</v>
      </c>
      <c r="AT96">
        <v>6.3575322451597494</v>
      </c>
      <c r="AU96">
        <v>33.680845901275731</v>
      </c>
      <c r="AV96"/>
      <c r="AW96"/>
      <c r="AX96" s="151"/>
      <c r="AY96" s="76">
        <f t="shared" ca="1" si="88"/>
        <v>0.77652130473840231</v>
      </c>
      <c r="AZ96">
        <v>9</v>
      </c>
      <c r="BA96" s="129">
        <f t="shared" si="89"/>
        <v>39646</v>
      </c>
      <c r="BB96">
        <v>0</v>
      </c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90"/>
        <v>0.93268259499645656</v>
      </c>
      <c r="CL96" s="179">
        <f t="shared" si="91"/>
        <v>9</v>
      </c>
      <c r="CM96" s="180">
        <f t="shared" si="92"/>
        <v>39646</v>
      </c>
      <c r="CN96">
        <v>0</v>
      </c>
      <c r="CO96">
        <v>0</v>
      </c>
      <c r="CP96">
        <v>1</v>
      </c>
      <c r="CQ96"/>
      <c r="CR96"/>
      <c r="CS96"/>
      <c r="CT96"/>
      <c r="CU96"/>
      <c r="CV96" s="160"/>
      <c r="CW96">
        <v>1</v>
      </c>
      <c r="CX96">
        <v>1</v>
      </c>
      <c r="CY96" s="164"/>
      <c r="CZ96" s="177">
        <f t="shared" si="93"/>
        <v>9.6000000000000002E-2</v>
      </c>
      <c r="DB96" s="151"/>
      <c r="DC96" s="76">
        <f t="shared" ca="1" si="51"/>
        <v>0.84521038081887312</v>
      </c>
      <c r="DD96">
        <f t="shared" si="94"/>
        <v>9</v>
      </c>
      <c r="DE96" s="129">
        <f t="shared" si="52"/>
        <v>39646</v>
      </c>
      <c r="DF96" s="161">
        <f t="shared" si="95"/>
        <v>0</v>
      </c>
      <c r="DG96" s="161">
        <f t="shared" si="96"/>
        <v>0</v>
      </c>
      <c r="DH96" s="161">
        <f t="shared" si="97"/>
        <v>10.416666666666666</v>
      </c>
      <c r="DI96" s="161">
        <f t="shared" si="98"/>
        <v>0</v>
      </c>
      <c r="DJ96" s="161">
        <f t="shared" si="99"/>
        <v>0</v>
      </c>
      <c r="DK96" s="161">
        <f t="shared" si="100"/>
        <v>0</v>
      </c>
      <c r="DL96" s="161">
        <f t="shared" si="101"/>
        <v>0</v>
      </c>
      <c r="DM96" s="161">
        <f t="shared" si="102"/>
        <v>0</v>
      </c>
      <c r="DN96" s="161">
        <f t="shared" si="103"/>
        <v>0</v>
      </c>
      <c r="DO96" s="161">
        <f t="shared" si="104"/>
        <v>0</v>
      </c>
      <c r="DP96" s="161">
        <f t="shared" si="105"/>
        <v>0</v>
      </c>
      <c r="DQ96" s="161">
        <f t="shared" si="106"/>
        <v>0</v>
      </c>
      <c r="DR96" s="161">
        <f t="shared" si="107"/>
        <v>0</v>
      </c>
      <c r="DS96" s="161">
        <f t="shared" si="108"/>
        <v>0</v>
      </c>
      <c r="DT96" s="161">
        <f t="shared" si="109"/>
        <v>0</v>
      </c>
      <c r="DU96" s="161">
        <f t="shared" si="110"/>
        <v>0</v>
      </c>
      <c r="DV96" s="161">
        <f t="shared" si="111"/>
        <v>0</v>
      </c>
      <c r="DW96" s="161">
        <f t="shared" si="112"/>
        <v>0</v>
      </c>
      <c r="DX96" s="161">
        <f t="shared" si="113"/>
        <v>0</v>
      </c>
      <c r="DY96" s="161">
        <f t="shared" si="114"/>
        <v>0</v>
      </c>
      <c r="DZ96" s="161">
        <f t="shared" si="115"/>
        <v>0</v>
      </c>
      <c r="EA96" s="161">
        <f t="shared" si="116"/>
        <v>0</v>
      </c>
      <c r="EB96" s="161">
        <f t="shared" si="117"/>
        <v>0</v>
      </c>
      <c r="EC96" s="161">
        <f t="shared" si="118"/>
        <v>0</v>
      </c>
      <c r="ED96" s="161">
        <f t="shared" si="119"/>
        <v>0</v>
      </c>
      <c r="EE96" s="161">
        <f t="shared" si="120"/>
        <v>0</v>
      </c>
      <c r="EF96" s="161">
        <f t="shared" si="121"/>
        <v>0</v>
      </c>
      <c r="EG96" s="161">
        <f t="shared" si="122"/>
        <v>0</v>
      </c>
      <c r="EH96" s="161">
        <f t="shared" si="123"/>
        <v>0</v>
      </c>
      <c r="EI96" s="161">
        <f t="shared" si="124"/>
        <v>0</v>
      </c>
      <c r="EJ96" s="161">
        <f t="shared" si="125"/>
        <v>0</v>
      </c>
      <c r="EK96" s="147">
        <f t="shared" si="55"/>
        <v>10.416666666666666</v>
      </c>
      <c r="EL96" s="149"/>
      <c r="EN96" s="151"/>
      <c r="EO96" s="151"/>
      <c r="EP96" s="139">
        <f t="shared" si="56"/>
        <v>0</v>
      </c>
      <c r="EQ96" s="139">
        <f t="shared" si="57"/>
        <v>0</v>
      </c>
      <c r="ER96" s="139">
        <f t="shared" si="58"/>
        <v>0.20224362095138954</v>
      </c>
      <c r="ES96" s="139">
        <f t="shared" si="59"/>
        <v>0</v>
      </c>
      <c r="ET96" s="139">
        <f t="shared" si="60"/>
        <v>0</v>
      </c>
      <c r="EU96" s="139">
        <f t="shared" si="61"/>
        <v>0</v>
      </c>
      <c r="EV96" s="139">
        <f t="shared" si="62"/>
        <v>0</v>
      </c>
      <c r="EW96" s="139">
        <f t="shared" si="63"/>
        <v>0</v>
      </c>
      <c r="EX96" s="139">
        <f t="shared" si="64"/>
        <v>0</v>
      </c>
      <c r="EY96" s="139">
        <f t="shared" si="65"/>
        <v>0</v>
      </c>
      <c r="EZ96" s="139">
        <f t="shared" si="66"/>
        <v>0</v>
      </c>
      <c r="FA96" s="139">
        <f t="shared" si="67"/>
        <v>0</v>
      </c>
      <c r="FB96" s="139">
        <f t="shared" si="68"/>
        <v>0</v>
      </c>
      <c r="FC96" s="139">
        <f t="shared" si="69"/>
        <v>0</v>
      </c>
      <c r="FD96" s="139">
        <f t="shared" si="70"/>
        <v>0</v>
      </c>
      <c r="FE96" s="139">
        <f t="shared" si="71"/>
        <v>0</v>
      </c>
      <c r="FF96" s="139">
        <f t="shared" si="72"/>
        <v>0</v>
      </c>
      <c r="FG96" s="139">
        <f t="shared" si="73"/>
        <v>0</v>
      </c>
      <c r="FH96" s="139">
        <f t="shared" si="74"/>
        <v>0</v>
      </c>
      <c r="FI96" s="139">
        <f t="shared" si="75"/>
        <v>0</v>
      </c>
      <c r="FJ96" s="139">
        <f t="shared" si="76"/>
        <v>0</v>
      </c>
      <c r="FK96" s="139">
        <f t="shared" si="77"/>
        <v>0</v>
      </c>
      <c r="FL96" s="139">
        <f t="shared" si="78"/>
        <v>0</v>
      </c>
      <c r="FM96" s="139">
        <f t="shared" si="79"/>
        <v>0</v>
      </c>
      <c r="FN96" s="139">
        <f t="shared" si="80"/>
        <v>0</v>
      </c>
      <c r="FO96" s="139">
        <f t="shared" si="81"/>
        <v>0</v>
      </c>
      <c r="FP96" s="139">
        <f t="shared" si="82"/>
        <v>0</v>
      </c>
      <c r="FQ96" s="139">
        <f t="shared" si="83"/>
        <v>0</v>
      </c>
      <c r="FR96" s="139">
        <f t="shared" si="84"/>
        <v>0</v>
      </c>
      <c r="FS96" s="139">
        <f t="shared" si="85"/>
        <v>0</v>
      </c>
      <c r="FT96" s="139">
        <f t="shared" si="86"/>
        <v>0</v>
      </c>
      <c r="FU96" s="148">
        <f t="shared" si="87"/>
        <v>0.20224362095138954</v>
      </c>
      <c r="FV96" s="149"/>
      <c r="FY96" s="212">
        <v>91</v>
      </c>
      <c r="FZ96">
        <v>3.4057032699937322</v>
      </c>
      <c r="GA96">
        <v>8.0317374702795234</v>
      </c>
      <c r="GB96">
        <v>6.0150536074738863</v>
      </c>
      <c r="GC96">
        <v>2.7200648574703541</v>
      </c>
      <c r="GD96">
        <v>1.3956676368931886</v>
      </c>
      <c r="GE96">
        <v>3.8661122937928245</v>
      </c>
      <c r="GF96">
        <v>9.3626664405282121</v>
      </c>
      <c r="GG96">
        <v>8.0031178083986134</v>
      </c>
      <c r="GH96">
        <v>3.2005713047752415</v>
      </c>
      <c r="GI96">
        <v>5.8262095221396777</v>
      </c>
      <c r="GJ96"/>
      <c r="GK96"/>
      <c r="GL96"/>
      <c r="GM96"/>
    </row>
    <row r="97" spans="1:195" s="7" customFormat="1">
      <c r="A97" s="77"/>
      <c r="B97" s="76">
        <f t="shared" ca="1" si="50"/>
        <v>1.5978227786124233E-2</v>
      </c>
      <c r="C97">
        <v>10</v>
      </c>
      <c r="D97">
        <v>39646</v>
      </c>
      <c r="E97">
        <v>0</v>
      </c>
      <c r="F97">
        <v>0</v>
      </c>
      <c r="G97">
        <v>62.5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18.544053665642966</v>
      </c>
      <c r="AO97">
        <v>11.992867235283995</v>
      </c>
      <c r="AP97">
        <v>61.694908449084338</v>
      </c>
      <c r="AQ97">
        <v>62.335347693259621</v>
      </c>
      <c r="AR97">
        <v>10.957429978793172</v>
      </c>
      <c r="AS97">
        <v>55.011644460261898</v>
      </c>
      <c r="AT97">
        <v>6.3694495356548586</v>
      </c>
      <c r="AU97">
        <v>10.953921073521647</v>
      </c>
      <c r="AV97"/>
      <c r="AW97"/>
      <c r="AX97" s="151"/>
      <c r="AY97" s="76">
        <f t="shared" ca="1" si="88"/>
        <v>0.65887561913816817</v>
      </c>
      <c r="AZ97">
        <v>10</v>
      </c>
      <c r="BA97" s="129">
        <f t="shared" si="89"/>
        <v>39646</v>
      </c>
      <c r="BB97">
        <v>0</v>
      </c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90"/>
        <v>0.11921080825782315</v>
      </c>
      <c r="CL97" s="179">
        <f t="shared" si="91"/>
        <v>10</v>
      </c>
      <c r="CM97" s="180">
        <f t="shared" si="92"/>
        <v>39646</v>
      </c>
      <c r="CN97">
        <v>0</v>
      </c>
      <c r="CO97">
        <v>0</v>
      </c>
      <c r="CP97">
        <v>3</v>
      </c>
      <c r="CQ97"/>
      <c r="CR97"/>
      <c r="CS97"/>
      <c r="CT97"/>
      <c r="CU97"/>
      <c r="CV97" s="160"/>
      <c r="CW97">
        <v>1</v>
      </c>
      <c r="CX97">
        <v>2</v>
      </c>
      <c r="CY97" s="164"/>
      <c r="CZ97" s="177">
        <f t="shared" si="93"/>
        <v>9.6000000000000002E-2</v>
      </c>
      <c r="DB97" s="151"/>
      <c r="DC97" s="76">
        <f t="shared" ca="1" si="51"/>
        <v>0.56376808443744775</v>
      </c>
      <c r="DD97">
        <f t="shared" si="94"/>
        <v>10</v>
      </c>
      <c r="DE97" s="129">
        <f t="shared" si="52"/>
        <v>39646</v>
      </c>
      <c r="DF97" s="161">
        <f t="shared" si="95"/>
        <v>0</v>
      </c>
      <c r="DG97" s="161">
        <f t="shared" si="96"/>
        <v>0</v>
      </c>
      <c r="DH97" s="161">
        <f t="shared" si="97"/>
        <v>62.5</v>
      </c>
      <c r="DI97" s="161">
        <f t="shared" si="98"/>
        <v>0</v>
      </c>
      <c r="DJ97" s="161">
        <f t="shared" si="99"/>
        <v>0</v>
      </c>
      <c r="DK97" s="161">
        <f t="shared" si="100"/>
        <v>0</v>
      </c>
      <c r="DL97" s="161">
        <f t="shared" si="101"/>
        <v>0</v>
      </c>
      <c r="DM97" s="161">
        <f t="shared" si="102"/>
        <v>0</v>
      </c>
      <c r="DN97" s="161">
        <f t="shared" si="103"/>
        <v>0</v>
      </c>
      <c r="DO97" s="161">
        <f t="shared" si="104"/>
        <v>0</v>
      </c>
      <c r="DP97" s="161">
        <f t="shared" si="105"/>
        <v>0</v>
      </c>
      <c r="DQ97" s="161">
        <f t="shared" si="106"/>
        <v>0</v>
      </c>
      <c r="DR97" s="161">
        <f t="shared" si="107"/>
        <v>0</v>
      </c>
      <c r="DS97" s="161">
        <f t="shared" si="108"/>
        <v>0</v>
      </c>
      <c r="DT97" s="161">
        <f t="shared" si="109"/>
        <v>0</v>
      </c>
      <c r="DU97" s="161">
        <f t="shared" si="110"/>
        <v>0</v>
      </c>
      <c r="DV97" s="161">
        <f t="shared" si="111"/>
        <v>0</v>
      </c>
      <c r="DW97" s="161">
        <f t="shared" si="112"/>
        <v>0</v>
      </c>
      <c r="DX97" s="161">
        <f t="shared" si="113"/>
        <v>0</v>
      </c>
      <c r="DY97" s="161">
        <f t="shared" si="114"/>
        <v>0</v>
      </c>
      <c r="DZ97" s="161">
        <f t="shared" si="115"/>
        <v>0</v>
      </c>
      <c r="EA97" s="161">
        <f t="shared" si="116"/>
        <v>0</v>
      </c>
      <c r="EB97" s="161">
        <f t="shared" si="117"/>
        <v>0</v>
      </c>
      <c r="EC97" s="161">
        <f t="shared" si="118"/>
        <v>0</v>
      </c>
      <c r="ED97" s="161">
        <f t="shared" si="119"/>
        <v>0</v>
      </c>
      <c r="EE97" s="161">
        <f t="shared" si="120"/>
        <v>0</v>
      </c>
      <c r="EF97" s="161">
        <f t="shared" si="121"/>
        <v>0</v>
      </c>
      <c r="EG97" s="161">
        <f t="shared" si="122"/>
        <v>0</v>
      </c>
      <c r="EH97" s="161">
        <f t="shared" si="123"/>
        <v>0</v>
      </c>
      <c r="EI97" s="161">
        <f t="shared" si="124"/>
        <v>0</v>
      </c>
      <c r="EJ97" s="161">
        <f t="shared" si="125"/>
        <v>0</v>
      </c>
      <c r="EK97" s="147">
        <f t="shared" si="55"/>
        <v>62.5</v>
      </c>
      <c r="EL97" s="149"/>
      <c r="EN97" s="151"/>
      <c r="EO97" s="151"/>
      <c r="EP97" s="139">
        <f t="shared" si="56"/>
        <v>0</v>
      </c>
      <c r="EQ97" s="139">
        <f t="shared" si="57"/>
        <v>0</v>
      </c>
      <c r="ER97" s="139">
        <f t="shared" si="58"/>
        <v>1.2134617257083373</v>
      </c>
      <c r="ES97" s="139">
        <f t="shared" si="59"/>
        <v>0</v>
      </c>
      <c r="ET97" s="139">
        <f t="shared" si="60"/>
        <v>0</v>
      </c>
      <c r="EU97" s="139">
        <f t="shared" si="61"/>
        <v>0</v>
      </c>
      <c r="EV97" s="139">
        <f t="shared" si="62"/>
        <v>0</v>
      </c>
      <c r="EW97" s="139">
        <f t="shared" si="63"/>
        <v>0</v>
      </c>
      <c r="EX97" s="139">
        <f t="shared" si="64"/>
        <v>0</v>
      </c>
      <c r="EY97" s="139">
        <f t="shared" si="65"/>
        <v>0</v>
      </c>
      <c r="EZ97" s="139">
        <f t="shared" si="66"/>
        <v>0</v>
      </c>
      <c r="FA97" s="139">
        <f t="shared" si="67"/>
        <v>0</v>
      </c>
      <c r="FB97" s="139">
        <f t="shared" si="68"/>
        <v>0</v>
      </c>
      <c r="FC97" s="139">
        <f t="shared" si="69"/>
        <v>0</v>
      </c>
      <c r="FD97" s="139">
        <f t="shared" si="70"/>
        <v>0</v>
      </c>
      <c r="FE97" s="139">
        <f t="shared" si="71"/>
        <v>0</v>
      </c>
      <c r="FF97" s="139">
        <f t="shared" si="72"/>
        <v>0</v>
      </c>
      <c r="FG97" s="139">
        <f t="shared" si="73"/>
        <v>0</v>
      </c>
      <c r="FH97" s="139">
        <f t="shared" si="74"/>
        <v>0</v>
      </c>
      <c r="FI97" s="139">
        <f t="shared" si="75"/>
        <v>0</v>
      </c>
      <c r="FJ97" s="139">
        <f t="shared" si="76"/>
        <v>0</v>
      </c>
      <c r="FK97" s="139">
        <f t="shared" si="77"/>
        <v>0</v>
      </c>
      <c r="FL97" s="139">
        <f t="shared" si="78"/>
        <v>0</v>
      </c>
      <c r="FM97" s="139">
        <f t="shared" si="79"/>
        <v>0</v>
      </c>
      <c r="FN97" s="139">
        <f t="shared" si="80"/>
        <v>0</v>
      </c>
      <c r="FO97" s="139">
        <f t="shared" si="81"/>
        <v>0</v>
      </c>
      <c r="FP97" s="139">
        <f t="shared" si="82"/>
        <v>0</v>
      </c>
      <c r="FQ97" s="139">
        <f t="shared" si="83"/>
        <v>0</v>
      </c>
      <c r="FR97" s="139">
        <f t="shared" si="84"/>
        <v>0</v>
      </c>
      <c r="FS97" s="139">
        <f t="shared" si="85"/>
        <v>0</v>
      </c>
      <c r="FT97" s="139">
        <f t="shared" si="86"/>
        <v>0</v>
      </c>
      <c r="FU97" s="148">
        <f t="shared" si="87"/>
        <v>1.2134617257083373</v>
      </c>
      <c r="FV97" s="149"/>
      <c r="FY97" s="212">
        <v>92</v>
      </c>
      <c r="FZ97">
        <v>0.13492678570864131</v>
      </c>
      <c r="GA97">
        <v>2.5601344147583571</v>
      </c>
      <c r="GB97">
        <v>7.6073181324117467</v>
      </c>
      <c r="GC97">
        <v>3.6908877764003174</v>
      </c>
      <c r="GD97">
        <v>1.3954918504251874</v>
      </c>
      <c r="GE97">
        <v>4.7077742920982883</v>
      </c>
      <c r="GF97">
        <v>9.7394571942451478</v>
      </c>
      <c r="GG97">
        <v>7.0847821986227508</v>
      </c>
      <c r="GH97">
        <v>2.2850607944894956</v>
      </c>
      <c r="GI97">
        <v>5.663977279149627</v>
      </c>
      <c r="GJ97"/>
      <c r="GK97"/>
      <c r="GL97"/>
      <c r="GM97"/>
    </row>
    <row r="98" spans="1:195" s="7" customFormat="1">
      <c r="A98" s="128"/>
      <c r="B98" s="76">
        <f t="shared" ca="1" si="50"/>
        <v>0.64734426745630724</v>
      </c>
      <c r="C98">
        <v>1</v>
      </c>
      <c r="D98">
        <v>39673</v>
      </c>
      <c r="E98">
        <v>0</v>
      </c>
      <c r="F98">
        <v>10.416666666666666</v>
      </c>
      <c r="G98">
        <v>20.833333333333332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17.126633986928105</v>
      </c>
      <c r="AO98">
        <v>10.490163500482824</v>
      </c>
      <c r="AP98">
        <v>69.352150512806446</v>
      </c>
      <c r="AQ98">
        <v>51.985075402097024</v>
      </c>
      <c r="AR98">
        <v>9.6227735995490526</v>
      </c>
      <c r="AS98">
        <v>59.056998441134603</v>
      </c>
      <c r="AT98">
        <v>6.1328825002038156</v>
      </c>
      <c r="AU98">
        <v>21.464125530257729</v>
      </c>
      <c r="AV98"/>
      <c r="AW98"/>
      <c r="AX98" s="128"/>
      <c r="AY98" s="76">
        <f t="shared" ca="1" si="88"/>
        <v>6.5328242423819294E-2</v>
      </c>
      <c r="AZ98">
        <v>1</v>
      </c>
      <c r="BA98" s="129">
        <f>IF(AZ98="", "",$C$5)</f>
        <v>39673</v>
      </c>
      <c r="BB98">
        <v>0</v>
      </c>
      <c r="BC98">
        <v>1</v>
      </c>
      <c r="BD98">
        <v>2</v>
      </c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90"/>
        <v>0.35016466691150239</v>
      </c>
      <c r="CL98" s="179">
        <f t="shared" si="91"/>
        <v>1</v>
      </c>
      <c r="CM98" s="180">
        <f t="shared" si="92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3"/>
        <v>9.6000000000000002E-2</v>
      </c>
      <c r="DB98" s="128"/>
      <c r="DC98" s="76">
        <f t="shared" ca="1" si="51"/>
        <v>0.90402278708404782</v>
      </c>
      <c r="DD98">
        <f t="shared" si="94"/>
        <v>1</v>
      </c>
      <c r="DE98" s="129">
        <f t="shared" ref="DE98:DE107" si="126">IF((DD98)="", "", $C$5)</f>
        <v>39673</v>
      </c>
      <c r="DF98" s="161">
        <f t="shared" si="95"/>
        <v>0</v>
      </c>
      <c r="DG98" s="161">
        <f t="shared" si="96"/>
        <v>10.416666666666666</v>
      </c>
      <c r="DH98" s="161">
        <f t="shared" si="97"/>
        <v>20.833333333333332</v>
      </c>
      <c r="DI98" s="161">
        <f t="shared" si="98"/>
        <v>0</v>
      </c>
      <c r="DJ98" s="161">
        <f t="shared" si="99"/>
        <v>0</v>
      </c>
      <c r="DK98" s="161">
        <f t="shared" si="100"/>
        <v>0</v>
      </c>
      <c r="DL98" s="161">
        <f t="shared" si="101"/>
        <v>0</v>
      </c>
      <c r="DM98" s="161">
        <f t="shared" si="102"/>
        <v>0</v>
      </c>
      <c r="DN98" s="161">
        <f t="shared" si="103"/>
        <v>0</v>
      </c>
      <c r="DO98" s="161">
        <f t="shared" si="104"/>
        <v>0</v>
      </c>
      <c r="DP98" s="161">
        <f t="shared" si="105"/>
        <v>0</v>
      </c>
      <c r="DQ98" s="161">
        <f t="shared" si="106"/>
        <v>0</v>
      </c>
      <c r="DR98" s="161">
        <f t="shared" si="107"/>
        <v>0</v>
      </c>
      <c r="DS98" s="161">
        <f t="shared" si="108"/>
        <v>0</v>
      </c>
      <c r="DT98" s="161">
        <f t="shared" si="109"/>
        <v>0</v>
      </c>
      <c r="DU98" s="161">
        <f t="shared" si="110"/>
        <v>0</v>
      </c>
      <c r="DV98" s="161">
        <f t="shared" si="111"/>
        <v>0</v>
      </c>
      <c r="DW98" s="161">
        <f t="shared" si="112"/>
        <v>0</v>
      </c>
      <c r="DX98" s="161">
        <f t="shared" si="113"/>
        <v>0</v>
      </c>
      <c r="DY98" s="161">
        <f t="shared" si="114"/>
        <v>0</v>
      </c>
      <c r="DZ98" s="161">
        <f t="shared" si="115"/>
        <v>0</v>
      </c>
      <c r="EA98" s="161">
        <f t="shared" si="116"/>
        <v>0</v>
      </c>
      <c r="EB98" s="161">
        <f t="shared" si="117"/>
        <v>0</v>
      </c>
      <c r="EC98" s="161">
        <f t="shared" si="118"/>
        <v>0</v>
      </c>
      <c r="ED98" s="161">
        <f t="shared" si="119"/>
        <v>0</v>
      </c>
      <c r="EE98" s="161">
        <f t="shared" si="120"/>
        <v>0</v>
      </c>
      <c r="EF98" s="161">
        <f t="shared" si="121"/>
        <v>0</v>
      </c>
      <c r="EG98" s="161">
        <f t="shared" si="122"/>
        <v>0</v>
      </c>
      <c r="EH98" s="161">
        <f t="shared" si="123"/>
        <v>0</v>
      </c>
      <c r="EI98" s="161">
        <f t="shared" si="124"/>
        <v>0</v>
      </c>
      <c r="EJ98" s="161">
        <f t="shared" si="125"/>
        <v>0</v>
      </c>
      <c r="EK98" s="147">
        <f t="shared" si="55"/>
        <v>31.25</v>
      </c>
      <c r="EL98" s="149"/>
      <c r="EN98" s="146"/>
      <c r="EO98" s="146"/>
      <c r="EP98" s="139">
        <f t="shared" si="56"/>
        <v>0</v>
      </c>
      <c r="EQ98" s="139">
        <f t="shared" si="57"/>
        <v>1.8378541666666665E-2</v>
      </c>
      <c r="ER98" s="139">
        <f t="shared" si="58"/>
        <v>0.40448724190277907</v>
      </c>
      <c r="ES98" s="139">
        <f t="shared" si="59"/>
        <v>0</v>
      </c>
      <c r="ET98" s="139">
        <f t="shared" si="60"/>
        <v>0</v>
      </c>
      <c r="EU98" s="139">
        <f t="shared" si="61"/>
        <v>0</v>
      </c>
      <c r="EV98" s="139">
        <f t="shared" si="62"/>
        <v>0</v>
      </c>
      <c r="EW98" s="139">
        <f t="shared" si="63"/>
        <v>0</v>
      </c>
      <c r="EX98" s="139">
        <f t="shared" si="64"/>
        <v>0</v>
      </c>
      <c r="EY98" s="139">
        <f t="shared" si="65"/>
        <v>0</v>
      </c>
      <c r="EZ98" s="139">
        <f t="shared" si="66"/>
        <v>0</v>
      </c>
      <c r="FA98" s="139">
        <f t="shared" si="67"/>
        <v>0</v>
      </c>
      <c r="FB98" s="139">
        <f t="shared" si="68"/>
        <v>0</v>
      </c>
      <c r="FC98" s="139">
        <f t="shared" si="69"/>
        <v>0</v>
      </c>
      <c r="FD98" s="139">
        <f t="shared" si="70"/>
        <v>0</v>
      </c>
      <c r="FE98" s="139">
        <f t="shared" si="71"/>
        <v>0</v>
      </c>
      <c r="FF98" s="139">
        <f t="shared" si="72"/>
        <v>0</v>
      </c>
      <c r="FG98" s="139">
        <f t="shared" si="73"/>
        <v>0</v>
      </c>
      <c r="FH98" s="139">
        <f t="shared" si="74"/>
        <v>0</v>
      </c>
      <c r="FI98" s="139">
        <f t="shared" si="75"/>
        <v>0</v>
      </c>
      <c r="FJ98" s="139">
        <f t="shared" si="76"/>
        <v>0</v>
      </c>
      <c r="FK98" s="139">
        <f t="shared" si="77"/>
        <v>0</v>
      </c>
      <c r="FL98" s="139">
        <f t="shared" si="78"/>
        <v>0</v>
      </c>
      <c r="FM98" s="139">
        <f t="shared" si="79"/>
        <v>0</v>
      </c>
      <c r="FN98" s="139">
        <f t="shared" si="80"/>
        <v>0</v>
      </c>
      <c r="FO98" s="139">
        <f t="shared" si="81"/>
        <v>0</v>
      </c>
      <c r="FP98" s="139">
        <f t="shared" si="82"/>
        <v>0</v>
      </c>
      <c r="FQ98" s="139">
        <f t="shared" si="83"/>
        <v>0</v>
      </c>
      <c r="FR98" s="139">
        <f t="shared" si="84"/>
        <v>0</v>
      </c>
      <c r="FS98" s="139">
        <f t="shared" si="85"/>
        <v>0</v>
      </c>
      <c r="FT98" s="139">
        <f t="shared" si="86"/>
        <v>0</v>
      </c>
      <c r="FU98" s="148">
        <f t="shared" si="87"/>
        <v>0.42286578356944571</v>
      </c>
      <c r="FV98" s="149"/>
      <c r="FY98" s="212">
        <v>93</v>
      </c>
      <c r="FZ98">
        <v>3.4066265966831439</v>
      </c>
      <c r="GA98">
        <v>6.62163524226394</v>
      </c>
      <c r="GB98">
        <v>9.0399663878706242</v>
      </c>
      <c r="GC98">
        <v>4.4618474788752547</v>
      </c>
      <c r="GD98">
        <v>1.1781889957136455</v>
      </c>
      <c r="GE98">
        <v>3.4060356740552549</v>
      </c>
      <c r="GF98">
        <v>7.2503991561512038</v>
      </c>
      <c r="GG98">
        <v>4.5840028337974417</v>
      </c>
      <c r="GH98">
        <v>0.46308372029095457</v>
      </c>
      <c r="GI98">
        <v>5.5345199430133736</v>
      </c>
      <c r="GJ98"/>
      <c r="GK98"/>
      <c r="GL98"/>
      <c r="GM98"/>
    </row>
    <row r="99" spans="1:195" s="7" customFormat="1">
      <c r="A99" s="1"/>
      <c r="B99" s="76">
        <f t="shared" ca="1" si="50"/>
        <v>0.50154683794018973</v>
      </c>
      <c r="C99">
        <v>5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12.467536813922354</v>
      </c>
      <c r="AO99">
        <v>9.7731988751586023</v>
      </c>
      <c r="AP99">
        <v>49.925319263457325</v>
      </c>
      <c r="AQ99">
        <v>50.117186038507825</v>
      </c>
      <c r="AR99">
        <v>8.9418613305092407</v>
      </c>
      <c r="AS99">
        <v>44.904592202883087</v>
      </c>
      <c r="AT99">
        <v>6.099719706716054</v>
      </c>
      <c r="AU99">
        <v>-8.761367665392326</v>
      </c>
      <c r="AV99"/>
      <c r="AW99"/>
      <c r="AX99" s="146"/>
      <c r="AY99" s="76">
        <f t="shared" ca="1" si="88"/>
        <v>0.49068134802884433</v>
      </c>
      <c r="AZ99">
        <v>2</v>
      </c>
      <c r="BA99" s="129">
        <f t="shared" ref="BA99:BA107" si="127">IF(AZ99="", "",$C$5)</f>
        <v>39673</v>
      </c>
      <c r="BB99">
        <v>0</v>
      </c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90"/>
        <v>0.62115072288004258</v>
      </c>
      <c r="CL99" s="179">
        <f t="shared" si="91"/>
        <v>2</v>
      </c>
      <c r="CM99" s="180">
        <f t="shared" si="92"/>
        <v>39673</v>
      </c>
      <c r="CN99">
        <v>0</v>
      </c>
      <c r="CO99"/>
      <c r="CP99"/>
      <c r="CQ99"/>
      <c r="CR99"/>
      <c r="CS99"/>
      <c r="CT99"/>
      <c r="CU99"/>
      <c r="CW99">
        <v>1</v>
      </c>
      <c r="CX99">
        <v>6</v>
      </c>
      <c r="CY99" s="158"/>
      <c r="CZ99" s="177">
        <f t="shared" si="93"/>
        <v>9.6000000000000002E-2</v>
      </c>
      <c r="DB99" s="146"/>
      <c r="DC99" s="76">
        <f t="shared" ca="1" si="51"/>
        <v>0.71071648409479371</v>
      </c>
      <c r="DD99">
        <f t="shared" si="94"/>
        <v>2</v>
      </c>
      <c r="DE99" s="129">
        <f t="shared" si="126"/>
        <v>39673</v>
      </c>
      <c r="DF99" s="161">
        <f t="shared" si="95"/>
        <v>0</v>
      </c>
      <c r="DG99" s="161">
        <f t="shared" si="96"/>
        <v>0</v>
      </c>
      <c r="DH99" s="161">
        <f t="shared" si="97"/>
        <v>0</v>
      </c>
      <c r="DI99" s="161">
        <f t="shared" si="98"/>
        <v>0</v>
      </c>
      <c r="DJ99" s="161">
        <f t="shared" si="99"/>
        <v>0</v>
      </c>
      <c r="DK99" s="161">
        <f t="shared" si="100"/>
        <v>0</v>
      </c>
      <c r="DL99" s="161">
        <f t="shared" si="101"/>
        <v>0</v>
      </c>
      <c r="DM99" s="161">
        <f t="shared" si="102"/>
        <v>0</v>
      </c>
      <c r="DN99" s="161">
        <f t="shared" si="103"/>
        <v>0</v>
      </c>
      <c r="DO99" s="161">
        <f t="shared" si="104"/>
        <v>0</v>
      </c>
      <c r="DP99" s="161">
        <f t="shared" si="105"/>
        <v>0</v>
      </c>
      <c r="DQ99" s="161">
        <f t="shared" si="106"/>
        <v>0</v>
      </c>
      <c r="DR99" s="161">
        <f t="shared" si="107"/>
        <v>0</v>
      </c>
      <c r="DS99" s="161">
        <f t="shared" si="108"/>
        <v>0</v>
      </c>
      <c r="DT99" s="161">
        <f t="shared" si="109"/>
        <v>0</v>
      </c>
      <c r="DU99" s="161">
        <f t="shared" si="110"/>
        <v>0</v>
      </c>
      <c r="DV99" s="161">
        <f t="shared" si="111"/>
        <v>0</v>
      </c>
      <c r="DW99" s="161">
        <f t="shared" si="112"/>
        <v>0</v>
      </c>
      <c r="DX99" s="161">
        <f t="shared" si="113"/>
        <v>0</v>
      </c>
      <c r="DY99" s="161">
        <f t="shared" si="114"/>
        <v>0</v>
      </c>
      <c r="DZ99" s="161">
        <f t="shared" si="115"/>
        <v>0</v>
      </c>
      <c r="EA99" s="161">
        <f t="shared" si="116"/>
        <v>0</v>
      </c>
      <c r="EB99" s="161">
        <f t="shared" si="117"/>
        <v>0</v>
      </c>
      <c r="EC99" s="161">
        <f t="shared" si="118"/>
        <v>0</v>
      </c>
      <c r="ED99" s="161">
        <f t="shared" si="119"/>
        <v>0</v>
      </c>
      <c r="EE99" s="161">
        <f t="shared" si="120"/>
        <v>0</v>
      </c>
      <c r="EF99" s="161">
        <f t="shared" si="121"/>
        <v>0</v>
      </c>
      <c r="EG99" s="161">
        <f t="shared" si="122"/>
        <v>0</v>
      </c>
      <c r="EH99" s="161">
        <f t="shared" si="123"/>
        <v>0</v>
      </c>
      <c r="EI99" s="161">
        <f t="shared" si="124"/>
        <v>0</v>
      </c>
      <c r="EJ99" s="161">
        <f t="shared" si="125"/>
        <v>0</v>
      </c>
      <c r="EK99" s="147">
        <f t="shared" si="55"/>
        <v>0</v>
      </c>
      <c r="EL99" s="149"/>
      <c r="EN99" s="146"/>
      <c r="EO99" s="146"/>
      <c r="EP99" s="139">
        <f t="shared" si="56"/>
        <v>0</v>
      </c>
      <c r="EQ99" s="139">
        <f t="shared" si="57"/>
        <v>0</v>
      </c>
      <c r="ER99" s="139">
        <f t="shared" si="58"/>
        <v>0</v>
      </c>
      <c r="ES99" s="139">
        <f t="shared" si="59"/>
        <v>0</v>
      </c>
      <c r="ET99" s="139">
        <f t="shared" si="60"/>
        <v>0</v>
      </c>
      <c r="EU99" s="139">
        <f t="shared" si="61"/>
        <v>0</v>
      </c>
      <c r="EV99" s="139">
        <f t="shared" si="62"/>
        <v>0</v>
      </c>
      <c r="EW99" s="139">
        <f t="shared" si="63"/>
        <v>0</v>
      </c>
      <c r="EX99" s="139">
        <f t="shared" si="64"/>
        <v>0</v>
      </c>
      <c r="EY99" s="139">
        <f t="shared" si="65"/>
        <v>0</v>
      </c>
      <c r="EZ99" s="139">
        <f t="shared" si="66"/>
        <v>0</v>
      </c>
      <c r="FA99" s="139">
        <f t="shared" si="67"/>
        <v>0</v>
      </c>
      <c r="FB99" s="139">
        <f t="shared" si="68"/>
        <v>0</v>
      </c>
      <c r="FC99" s="139">
        <f t="shared" si="69"/>
        <v>0</v>
      </c>
      <c r="FD99" s="139">
        <f t="shared" si="70"/>
        <v>0</v>
      </c>
      <c r="FE99" s="139">
        <f t="shared" si="71"/>
        <v>0</v>
      </c>
      <c r="FF99" s="139">
        <f t="shared" si="72"/>
        <v>0</v>
      </c>
      <c r="FG99" s="139">
        <f t="shared" si="73"/>
        <v>0</v>
      </c>
      <c r="FH99" s="139">
        <f t="shared" si="74"/>
        <v>0</v>
      </c>
      <c r="FI99" s="139">
        <f t="shared" si="75"/>
        <v>0</v>
      </c>
      <c r="FJ99" s="139">
        <f t="shared" si="76"/>
        <v>0</v>
      </c>
      <c r="FK99" s="139">
        <f t="shared" si="77"/>
        <v>0</v>
      </c>
      <c r="FL99" s="139">
        <f t="shared" si="78"/>
        <v>0</v>
      </c>
      <c r="FM99" s="139">
        <f t="shared" si="79"/>
        <v>0</v>
      </c>
      <c r="FN99" s="139">
        <f t="shared" si="80"/>
        <v>0</v>
      </c>
      <c r="FO99" s="139">
        <f t="shared" si="81"/>
        <v>0</v>
      </c>
      <c r="FP99" s="139">
        <f t="shared" si="82"/>
        <v>0</v>
      </c>
      <c r="FQ99" s="139">
        <f t="shared" si="83"/>
        <v>0</v>
      </c>
      <c r="FR99" s="139">
        <f t="shared" si="84"/>
        <v>0</v>
      </c>
      <c r="FS99" s="139">
        <f t="shared" si="85"/>
        <v>0</v>
      </c>
      <c r="FT99" s="139">
        <f t="shared" si="86"/>
        <v>0</v>
      </c>
      <c r="FU99" s="148">
        <f t="shared" si="87"/>
        <v>0</v>
      </c>
      <c r="FV99" s="149"/>
      <c r="FY99" s="212">
        <v>94</v>
      </c>
      <c r="FZ99">
        <v>3.3752487976434535</v>
      </c>
      <c r="GA99">
        <v>7.2848686121828079</v>
      </c>
      <c r="GB99">
        <v>8.8817971695637326</v>
      </c>
      <c r="GC99">
        <v>4.3119841254043312</v>
      </c>
      <c r="GD99">
        <v>0.7559689632295663</v>
      </c>
      <c r="GE99">
        <v>2.3324195189438046</v>
      </c>
      <c r="GF99">
        <v>3.8821859959995981</v>
      </c>
      <c r="GG99">
        <v>1.7116476636919289</v>
      </c>
      <c r="GH99">
        <v>1.6011500782280157</v>
      </c>
      <c r="GI99">
        <v>4.3325559263130167</v>
      </c>
      <c r="GJ99"/>
      <c r="GK99"/>
      <c r="GL99"/>
      <c r="GM99"/>
    </row>
    <row r="100" spans="1:195" s="7" customFormat="1">
      <c r="A100" s="1"/>
      <c r="B100" s="76">
        <f t="shared" ca="1" si="50"/>
        <v>0.74538140805881659</v>
      </c>
      <c r="C100">
        <v>10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24.359821639499167</v>
      </c>
      <c r="AO100">
        <v>10.984124379420013</v>
      </c>
      <c r="AP100">
        <v>89.506324362198015</v>
      </c>
      <c r="AQ100">
        <v>58.862602169400631</v>
      </c>
      <c r="AR100">
        <v>10.098254943807515</v>
      </c>
      <c r="AS100">
        <v>60.696744361129284</v>
      </c>
      <c r="AT100">
        <v>6.0478719498100384</v>
      </c>
      <c r="AU100">
        <v>28.731324847327468</v>
      </c>
      <c r="AV100"/>
      <c r="AW100"/>
      <c r="AX100" s="146"/>
      <c r="AY100" s="76">
        <f t="shared" ca="1" si="88"/>
        <v>0.20371518781816977</v>
      </c>
      <c r="AZ100">
        <v>3</v>
      </c>
      <c r="BA100" s="129">
        <f t="shared" si="127"/>
        <v>39673</v>
      </c>
      <c r="BB100">
        <v>0</v>
      </c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90"/>
        <v>0.25479521296962049</v>
      </c>
      <c r="CL100" s="179">
        <f t="shared" si="91"/>
        <v>3</v>
      </c>
      <c r="CM100" s="180">
        <f t="shared" si="92"/>
        <v>39673</v>
      </c>
      <c r="CN100">
        <v>0</v>
      </c>
      <c r="CO100"/>
      <c r="CP100"/>
      <c r="CQ100"/>
      <c r="CR100"/>
      <c r="CS100"/>
      <c r="CT100"/>
      <c r="CU100"/>
      <c r="CW100">
        <v>1</v>
      </c>
      <c r="CX100">
        <f>350/51</f>
        <v>6.8627450980392153</v>
      </c>
      <c r="CY100" s="158"/>
      <c r="CZ100" s="177">
        <f t="shared" si="93"/>
        <v>9.6000000000000002E-2</v>
      </c>
      <c r="DB100" s="146"/>
      <c r="DC100" s="76">
        <f t="shared" ca="1" si="51"/>
        <v>0.57512222778615607</v>
      </c>
      <c r="DD100">
        <f t="shared" si="94"/>
        <v>3</v>
      </c>
      <c r="DE100" s="129">
        <f t="shared" si="126"/>
        <v>39673</v>
      </c>
      <c r="DF100" s="161">
        <f t="shared" si="95"/>
        <v>0</v>
      </c>
      <c r="DG100" s="161">
        <f t="shared" si="96"/>
        <v>0</v>
      </c>
      <c r="DH100" s="161">
        <f t="shared" si="97"/>
        <v>0</v>
      </c>
      <c r="DI100" s="161">
        <f t="shared" si="98"/>
        <v>0</v>
      </c>
      <c r="DJ100" s="161">
        <f t="shared" si="99"/>
        <v>0</v>
      </c>
      <c r="DK100" s="161">
        <f t="shared" si="100"/>
        <v>0</v>
      </c>
      <c r="DL100" s="161">
        <f t="shared" si="101"/>
        <v>0</v>
      </c>
      <c r="DM100" s="161">
        <f t="shared" si="102"/>
        <v>0</v>
      </c>
      <c r="DN100" s="161">
        <f t="shared" si="103"/>
        <v>0</v>
      </c>
      <c r="DO100" s="161">
        <f t="shared" si="104"/>
        <v>0</v>
      </c>
      <c r="DP100" s="161">
        <f t="shared" si="105"/>
        <v>0</v>
      </c>
      <c r="DQ100" s="161">
        <f t="shared" si="106"/>
        <v>0</v>
      </c>
      <c r="DR100" s="161">
        <f t="shared" si="107"/>
        <v>0</v>
      </c>
      <c r="DS100" s="161">
        <f t="shared" si="108"/>
        <v>0</v>
      </c>
      <c r="DT100" s="161">
        <f t="shared" si="109"/>
        <v>0</v>
      </c>
      <c r="DU100" s="161">
        <f t="shared" si="110"/>
        <v>0</v>
      </c>
      <c r="DV100" s="161">
        <f t="shared" si="111"/>
        <v>0</v>
      </c>
      <c r="DW100" s="161">
        <f t="shared" si="112"/>
        <v>0</v>
      </c>
      <c r="DX100" s="161">
        <f t="shared" si="113"/>
        <v>0</v>
      </c>
      <c r="DY100" s="161">
        <f t="shared" si="114"/>
        <v>0</v>
      </c>
      <c r="DZ100" s="161">
        <f t="shared" si="115"/>
        <v>0</v>
      </c>
      <c r="EA100" s="161">
        <f t="shared" si="116"/>
        <v>0</v>
      </c>
      <c r="EB100" s="161">
        <f t="shared" si="117"/>
        <v>0</v>
      </c>
      <c r="EC100" s="161">
        <f t="shared" si="118"/>
        <v>0</v>
      </c>
      <c r="ED100" s="161">
        <f t="shared" si="119"/>
        <v>0</v>
      </c>
      <c r="EE100" s="161">
        <f t="shared" si="120"/>
        <v>0</v>
      </c>
      <c r="EF100" s="161">
        <f t="shared" si="121"/>
        <v>0</v>
      </c>
      <c r="EG100" s="161">
        <f t="shared" si="122"/>
        <v>0</v>
      </c>
      <c r="EH100" s="161">
        <f t="shared" si="123"/>
        <v>0</v>
      </c>
      <c r="EI100" s="161">
        <f t="shared" si="124"/>
        <v>0</v>
      </c>
      <c r="EJ100" s="161">
        <f t="shared" si="125"/>
        <v>0</v>
      </c>
      <c r="EK100" s="147">
        <f t="shared" si="55"/>
        <v>0</v>
      </c>
      <c r="EL100" s="149"/>
      <c r="EN100" s="146"/>
      <c r="EO100" s="146"/>
      <c r="EP100" s="139">
        <f t="shared" si="56"/>
        <v>0</v>
      </c>
      <c r="EQ100" s="139">
        <f t="shared" si="57"/>
        <v>0</v>
      </c>
      <c r="ER100" s="139">
        <f t="shared" si="58"/>
        <v>0</v>
      </c>
      <c r="ES100" s="139">
        <f t="shared" si="59"/>
        <v>0</v>
      </c>
      <c r="ET100" s="139">
        <f t="shared" si="60"/>
        <v>0</v>
      </c>
      <c r="EU100" s="139">
        <f t="shared" si="61"/>
        <v>0</v>
      </c>
      <c r="EV100" s="139">
        <f t="shared" si="62"/>
        <v>0</v>
      </c>
      <c r="EW100" s="139">
        <f t="shared" si="63"/>
        <v>0</v>
      </c>
      <c r="EX100" s="139">
        <f t="shared" si="64"/>
        <v>0</v>
      </c>
      <c r="EY100" s="139">
        <f t="shared" si="65"/>
        <v>0</v>
      </c>
      <c r="EZ100" s="139">
        <f t="shared" si="66"/>
        <v>0</v>
      </c>
      <c r="FA100" s="139">
        <f t="shared" si="67"/>
        <v>0</v>
      </c>
      <c r="FB100" s="139">
        <f t="shared" si="68"/>
        <v>0</v>
      </c>
      <c r="FC100" s="139">
        <f t="shared" si="69"/>
        <v>0</v>
      </c>
      <c r="FD100" s="139">
        <f t="shared" si="70"/>
        <v>0</v>
      </c>
      <c r="FE100" s="139">
        <f t="shared" si="71"/>
        <v>0</v>
      </c>
      <c r="FF100" s="139">
        <f t="shared" si="72"/>
        <v>0</v>
      </c>
      <c r="FG100" s="139">
        <f t="shared" si="73"/>
        <v>0</v>
      </c>
      <c r="FH100" s="139">
        <f t="shared" si="74"/>
        <v>0</v>
      </c>
      <c r="FI100" s="139">
        <f t="shared" si="75"/>
        <v>0</v>
      </c>
      <c r="FJ100" s="139">
        <f t="shared" si="76"/>
        <v>0</v>
      </c>
      <c r="FK100" s="139">
        <f t="shared" si="77"/>
        <v>0</v>
      </c>
      <c r="FL100" s="139">
        <f t="shared" si="78"/>
        <v>0</v>
      </c>
      <c r="FM100" s="139">
        <f t="shared" si="79"/>
        <v>0</v>
      </c>
      <c r="FN100" s="139">
        <f t="shared" si="80"/>
        <v>0</v>
      </c>
      <c r="FO100" s="139">
        <f t="shared" si="81"/>
        <v>0</v>
      </c>
      <c r="FP100" s="139">
        <f t="shared" si="82"/>
        <v>0</v>
      </c>
      <c r="FQ100" s="139">
        <f t="shared" si="83"/>
        <v>0</v>
      </c>
      <c r="FR100" s="139">
        <f t="shared" si="84"/>
        <v>0</v>
      </c>
      <c r="FS100" s="139">
        <f t="shared" si="85"/>
        <v>0</v>
      </c>
      <c r="FT100" s="139">
        <f t="shared" si="86"/>
        <v>0</v>
      </c>
      <c r="FU100" s="148">
        <f t="shared" si="87"/>
        <v>0</v>
      </c>
      <c r="FV100" s="149"/>
      <c r="FY100" s="212">
        <v>95</v>
      </c>
      <c r="FZ100">
        <v>3.3854002884268795</v>
      </c>
      <c r="GA100">
        <v>5.7091238592131734</v>
      </c>
      <c r="GB100">
        <v>6.1991874230946795</v>
      </c>
      <c r="GC100">
        <v>3.0102870995292514</v>
      </c>
      <c r="GD100">
        <v>1.8900226293935027</v>
      </c>
      <c r="GE100">
        <v>4.6258587483896347</v>
      </c>
      <c r="GF100">
        <v>5.6331513770216386</v>
      </c>
      <c r="GG100">
        <v>4.0561079650031742</v>
      </c>
      <c r="GH100">
        <v>1.4211595064504841</v>
      </c>
      <c r="GI100">
        <v>4.9538824309923726</v>
      </c>
      <c r="GJ100"/>
      <c r="GK100"/>
      <c r="GL100"/>
      <c r="GM100"/>
    </row>
    <row r="101" spans="1:195" s="7" customFormat="1">
      <c r="A101" s="1"/>
      <c r="B101" s="76">
        <f t="shared" ca="1" si="50"/>
        <v>0.38625144009498258</v>
      </c>
      <c r="C101">
        <v>7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14.776564591700131</v>
      </c>
      <c r="AO101">
        <v>8.683755470441497</v>
      </c>
      <c r="AP101">
        <v>44.967713424315477</v>
      </c>
      <c r="AQ101">
        <v>45.244417914610359</v>
      </c>
      <c r="AR101">
        <v>8.0085664034020674</v>
      </c>
      <c r="AS101">
        <v>41.705808110928537</v>
      </c>
      <c r="AT101">
        <v>4.6171223648286004</v>
      </c>
      <c r="AU101">
        <v>-6.6139898751477508</v>
      </c>
      <c r="AV101"/>
      <c r="AW101"/>
      <c r="AX101" s="146"/>
      <c r="AY101" s="76">
        <f t="shared" ca="1" si="88"/>
        <v>0.82248152347651282</v>
      </c>
      <c r="AZ101">
        <v>4</v>
      </c>
      <c r="BA101" s="129">
        <f t="shared" si="127"/>
        <v>39673</v>
      </c>
      <c r="BB101">
        <v>0</v>
      </c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90"/>
        <v>0.22131894563377852</v>
      </c>
      <c r="CL101" s="179">
        <f t="shared" si="91"/>
        <v>4</v>
      </c>
      <c r="CM101" s="180">
        <f t="shared" si="92"/>
        <v>39673</v>
      </c>
      <c r="CN101">
        <v>0</v>
      </c>
      <c r="CO101"/>
      <c r="CP101"/>
      <c r="CQ101"/>
      <c r="CR101"/>
      <c r="CS101"/>
      <c r="CT101"/>
      <c r="CU101"/>
      <c r="CW101">
        <v>1</v>
      </c>
      <c r="CX101">
        <f>355/50</f>
        <v>7.1</v>
      </c>
      <c r="CY101" s="158"/>
      <c r="CZ101" s="177">
        <f t="shared" si="93"/>
        <v>9.6000000000000002E-2</v>
      </c>
      <c r="DB101" s="146"/>
      <c r="DC101" s="76">
        <f t="shared" ca="1" si="51"/>
        <v>0.49342532826913299</v>
      </c>
      <c r="DD101">
        <f t="shared" si="94"/>
        <v>4</v>
      </c>
      <c r="DE101" s="129">
        <f t="shared" si="126"/>
        <v>39673</v>
      </c>
      <c r="DF101" s="161">
        <f t="shared" si="95"/>
        <v>0</v>
      </c>
      <c r="DG101" s="161">
        <f t="shared" si="96"/>
        <v>0</v>
      </c>
      <c r="DH101" s="161">
        <f t="shared" si="97"/>
        <v>0</v>
      </c>
      <c r="DI101" s="161">
        <f t="shared" si="98"/>
        <v>0</v>
      </c>
      <c r="DJ101" s="161">
        <f t="shared" si="99"/>
        <v>0</v>
      </c>
      <c r="DK101" s="161">
        <f t="shared" si="100"/>
        <v>0</v>
      </c>
      <c r="DL101" s="161">
        <f t="shared" si="101"/>
        <v>0</v>
      </c>
      <c r="DM101" s="161">
        <f t="shared" si="102"/>
        <v>0</v>
      </c>
      <c r="DN101" s="161">
        <f t="shared" si="103"/>
        <v>0</v>
      </c>
      <c r="DO101" s="161">
        <f t="shared" si="104"/>
        <v>0</v>
      </c>
      <c r="DP101" s="161">
        <f t="shared" si="105"/>
        <v>0</v>
      </c>
      <c r="DQ101" s="161">
        <f t="shared" si="106"/>
        <v>0</v>
      </c>
      <c r="DR101" s="161">
        <f t="shared" si="107"/>
        <v>0</v>
      </c>
      <c r="DS101" s="161">
        <f t="shared" si="108"/>
        <v>0</v>
      </c>
      <c r="DT101" s="161">
        <f t="shared" si="109"/>
        <v>0</v>
      </c>
      <c r="DU101" s="161">
        <f t="shared" si="110"/>
        <v>0</v>
      </c>
      <c r="DV101" s="161">
        <f t="shared" si="111"/>
        <v>0</v>
      </c>
      <c r="DW101" s="161">
        <f t="shared" si="112"/>
        <v>0</v>
      </c>
      <c r="DX101" s="161">
        <f t="shared" si="113"/>
        <v>0</v>
      </c>
      <c r="DY101" s="161">
        <f t="shared" si="114"/>
        <v>0</v>
      </c>
      <c r="DZ101" s="161">
        <f t="shared" si="115"/>
        <v>0</v>
      </c>
      <c r="EA101" s="161">
        <f t="shared" si="116"/>
        <v>0</v>
      </c>
      <c r="EB101" s="161">
        <f t="shared" si="117"/>
        <v>0</v>
      </c>
      <c r="EC101" s="161">
        <f t="shared" si="118"/>
        <v>0</v>
      </c>
      <c r="ED101" s="161">
        <f t="shared" si="119"/>
        <v>0</v>
      </c>
      <c r="EE101" s="161">
        <f t="shared" si="120"/>
        <v>0</v>
      </c>
      <c r="EF101" s="161">
        <f t="shared" si="121"/>
        <v>0</v>
      </c>
      <c r="EG101" s="161">
        <f t="shared" si="122"/>
        <v>0</v>
      </c>
      <c r="EH101" s="161">
        <f t="shared" si="123"/>
        <v>0</v>
      </c>
      <c r="EI101" s="161">
        <f t="shared" si="124"/>
        <v>0</v>
      </c>
      <c r="EJ101" s="161">
        <f t="shared" si="125"/>
        <v>0</v>
      </c>
      <c r="EK101" s="147">
        <f t="shared" si="55"/>
        <v>0</v>
      </c>
      <c r="EL101" s="149"/>
      <c r="EN101" s="146"/>
      <c r="EO101" s="146"/>
      <c r="EP101" s="139">
        <f t="shared" si="56"/>
        <v>0</v>
      </c>
      <c r="EQ101" s="139">
        <f t="shared" si="57"/>
        <v>0</v>
      </c>
      <c r="ER101" s="139">
        <f t="shared" si="58"/>
        <v>0</v>
      </c>
      <c r="ES101" s="139">
        <f t="shared" si="59"/>
        <v>0</v>
      </c>
      <c r="ET101" s="139">
        <f t="shared" si="60"/>
        <v>0</v>
      </c>
      <c r="EU101" s="139">
        <f t="shared" si="61"/>
        <v>0</v>
      </c>
      <c r="EV101" s="139">
        <f t="shared" si="62"/>
        <v>0</v>
      </c>
      <c r="EW101" s="139">
        <f t="shared" si="63"/>
        <v>0</v>
      </c>
      <c r="EX101" s="139">
        <f t="shared" si="64"/>
        <v>0</v>
      </c>
      <c r="EY101" s="139">
        <f t="shared" si="65"/>
        <v>0</v>
      </c>
      <c r="EZ101" s="139">
        <f t="shared" si="66"/>
        <v>0</v>
      </c>
      <c r="FA101" s="139">
        <f t="shared" si="67"/>
        <v>0</v>
      </c>
      <c r="FB101" s="139">
        <f t="shared" si="68"/>
        <v>0</v>
      </c>
      <c r="FC101" s="139">
        <f t="shared" si="69"/>
        <v>0</v>
      </c>
      <c r="FD101" s="139">
        <f t="shared" si="70"/>
        <v>0</v>
      </c>
      <c r="FE101" s="139">
        <f t="shared" si="71"/>
        <v>0</v>
      </c>
      <c r="FF101" s="139">
        <f t="shared" si="72"/>
        <v>0</v>
      </c>
      <c r="FG101" s="139">
        <f t="shared" si="73"/>
        <v>0</v>
      </c>
      <c r="FH101" s="139">
        <f t="shared" si="74"/>
        <v>0</v>
      </c>
      <c r="FI101" s="139">
        <f t="shared" si="75"/>
        <v>0</v>
      </c>
      <c r="FJ101" s="139">
        <f t="shared" si="76"/>
        <v>0</v>
      </c>
      <c r="FK101" s="139">
        <f t="shared" si="77"/>
        <v>0</v>
      </c>
      <c r="FL101" s="139">
        <f t="shared" si="78"/>
        <v>0</v>
      </c>
      <c r="FM101" s="139">
        <f t="shared" si="79"/>
        <v>0</v>
      </c>
      <c r="FN101" s="139">
        <f t="shared" si="80"/>
        <v>0</v>
      </c>
      <c r="FO101" s="139">
        <f t="shared" si="81"/>
        <v>0</v>
      </c>
      <c r="FP101" s="139">
        <f t="shared" si="82"/>
        <v>0</v>
      </c>
      <c r="FQ101" s="139">
        <f t="shared" si="83"/>
        <v>0</v>
      </c>
      <c r="FR101" s="139">
        <f t="shared" si="84"/>
        <v>0</v>
      </c>
      <c r="FS101" s="139">
        <f t="shared" si="85"/>
        <v>0</v>
      </c>
      <c r="FT101" s="139">
        <f t="shared" si="86"/>
        <v>0</v>
      </c>
      <c r="FU101" s="148">
        <f t="shared" si="87"/>
        <v>0</v>
      </c>
      <c r="FV101" s="149"/>
      <c r="FY101" s="212">
        <v>96</v>
      </c>
      <c r="FZ101">
        <v>0.22647762821534353</v>
      </c>
      <c r="GA101">
        <v>2.8955488090478694</v>
      </c>
      <c r="GB101">
        <v>9.2786794993545705</v>
      </c>
      <c r="GC101">
        <v>4.5121095153797119</v>
      </c>
      <c r="GD101">
        <v>1.7502380182844139</v>
      </c>
      <c r="GE101">
        <v>5.8252056968913717</v>
      </c>
      <c r="GF101">
        <v>7.40894649209375</v>
      </c>
      <c r="GG101">
        <v>3.2100678854262359</v>
      </c>
      <c r="GH101">
        <v>0.87872517417438045</v>
      </c>
      <c r="GI101">
        <v>5.4230078510902686</v>
      </c>
      <c r="GJ101"/>
      <c r="GK101"/>
      <c r="GL101"/>
      <c r="GM101"/>
    </row>
    <row r="102" spans="1:195" s="7" customFormat="1">
      <c r="A102" s="1"/>
      <c r="B102" s="76">
        <f t="shared" ca="1" si="50"/>
        <v>0.92774515501219601</v>
      </c>
      <c r="C102">
        <v>9</v>
      </c>
      <c r="D102">
        <v>39673</v>
      </c>
      <c r="E102">
        <v>0</v>
      </c>
      <c r="F102">
        <v>0</v>
      </c>
      <c r="G102">
        <v>0</v>
      </c>
      <c r="H102">
        <v>20.833333333333332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16.018995098039213</v>
      </c>
      <c r="AO102">
        <v>11.488083839319607</v>
      </c>
      <c r="AP102">
        <v>89.278229131330804</v>
      </c>
      <c r="AQ102">
        <v>62.642389496534378</v>
      </c>
      <c r="AR102">
        <v>10.548064698666119</v>
      </c>
      <c r="AS102">
        <v>53.953814595581477</v>
      </c>
      <c r="AT102">
        <v>6.2106534655039454</v>
      </c>
      <c r="AU102">
        <v>39.027510599701614</v>
      </c>
      <c r="AV102"/>
      <c r="AW102"/>
      <c r="AX102" s="146"/>
      <c r="AY102" s="76">
        <f t="shared" ca="1" si="88"/>
        <v>0.62437830875516021</v>
      </c>
      <c r="AZ102">
        <v>5</v>
      </c>
      <c r="BA102" s="129">
        <f t="shared" si="127"/>
        <v>39673</v>
      </c>
      <c r="BB102">
        <v>0</v>
      </c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90"/>
        <v>1.4463080947020757E-2</v>
      </c>
      <c r="CL102" s="179">
        <f t="shared" si="91"/>
        <v>5</v>
      </c>
      <c r="CM102" s="180">
        <f t="shared" si="92"/>
        <v>39673</v>
      </c>
      <c r="CN102"/>
      <c r="CO102"/>
      <c r="CP102"/>
      <c r="CQ102"/>
      <c r="CR102"/>
      <c r="CS102"/>
      <c r="CT102"/>
      <c r="CU102"/>
      <c r="CW102">
        <v>1</v>
      </c>
      <c r="CX102">
        <v>1</v>
      </c>
      <c r="CY102" s="164"/>
      <c r="CZ102" s="177">
        <f t="shared" si="93"/>
        <v>9.6000000000000002E-2</v>
      </c>
      <c r="DB102" s="146"/>
      <c r="DC102" s="76">
        <f t="shared" ca="1" si="51"/>
        <v>5.2492963739931842E-2</v>
      </c>
      <c r="DD102">
        <f t="shared" si="94"/>
        <v>5</v>
      </c>
      <c r="DE102" s="129">
        <f t="shared" si="126"/>
        <v>39673</v>
      </c>
      <c r="DF102" s="161">
        <f t="shared" si="95"/>
        <v>0</v>
      </c>
      <c r="DG102" s="161">
        <f t="shared" si="96"/>
        <v>0</v>
      </c>
      <c r="DH102" s="161">
        <f t="shared" si="97"/>
        <v>0</v>
      </c>
      <c r="DI102" s="161">
        <f t="shared" si="98"/>
        <v>0</v>
      </c>
      <c r="DJ102" s="161">
        <f t="shared" si="99"/>
        <v>0</v>
      </c>
      <c r="DK102" s="161">
        <f t="shared" si="100"/>
        <v>0</v>
      </c>
      <c r="DL102" s="161">
        <f t="shared" si="101"/>
        <v>0</v>
      </c>
      <c r="DM102" s="161">
        <f t="shared" si="102"/>
        <v>0</v>
      </c>
      <c r="DN102" s="161">
        <f t="shared" si="103"/>
        <v>0</v>
      </c>
      <c r="DO102" s="161">
        <f t="shared" si="104"/>
        <v>0</v>
      </c>
      <c r="DP102" s="161">
        <f t="shared" si="105"/>
        <v>0</v>
      </c>
      <c r="DQ102" s="161">
        <f t="shared" si="106"/>
        <v>0</v>
      </c>
      <c r="DR102" s="161">
        <f t="shared" si="107"/>
        <v>0</v>
      </c>
      <c r="DS102" s="161">
        <f t="shared" si="108"/>
        <v>0</v>
      </c>
      <c r="DT102" s="161">
        <f t="shared" si="109"/>
        <v>0</v>
      </c>
      <c r="DU102" s="161">
        <f t="shared" si="110"/>
        <v>0</v>
      </c>
      <c r="DV102" s="161">
        <f t="shared" si="111"/>
        <v>0</v>
      </c>
      <c r="DW102" s="161">
        <f t="shared" si="112"/>
        <v>0</v>
      </c>
      <c r="DX102" s="161">
        <f t="shared" si="113"/>
        <v>0</v>
      </c>
      <c r="DY102" s="161">
        <f t="shared" si="114"/>
        <v>0</v>
      </c>
      <c r="DZ102" s="161">
        <f t="shared" si="115"/>
        <v>0</v>
      </c>
      <c r="EA102" s="161">
        <f t="shared" si="116"/>
        <v>0</v>
      </c>
      <c r="EB102" s="161">
        <f t="shared" si="117"/>
        <v>0</v>
      </c>
      <c r="EC102" s="161">
        <f t="shared" si="118"/>
        <v>0</v>
      </c>
      <c r="ED102" s="161">
        <f t="shared" si="119"/>
        <v>0</v>
      </c>
      <c r="EE102" s="161">
        <f t="shared" si="120"/>
        <v>0</v>
      </c>
      <c r="EF102" s="161">
        <f t="shared" si="121"/>
        <v>0</v>
      </c>
      <c r="EG102" s="161">
        <f t="shared" si="122"/>
        <v>0</v>
      </c>
      <c r="EH102" s="161">
        <f t="shared" si="123"/>
        <v>0</v>
      </c>
      <c r="EI102" s="161">
        <f t="shared" si="124"/>
        <v>0</v>
      </c>
      <c r="EJ102" s="161">
        <f t="shared" si="125"/>
        <v>0</v>
      </c>
      <c r="EK102" s="147">
        <f t="shared" si="55"/>
        <v>0</v>
      </c>
      <c r="EL102" s="149"/>
      <c r="EN102" s="146"/>
      <c r="EO102" s="146"/>
      <c r="EP102" s="139">
        <f t="shared" si="56"/>
        <v>0</v>
      </c>
      <c r="EQ102" s="139">
        <f t="shared" si="57"/>
        <v>0</v>
      </c>
      <c r="ER102" s="139">
        <f t="shared" si="58"/>
        <v>0</v>
      </c>
      <c r="ES102" s="139">
        <f t="shared" si="59"/>
        <v>0</v>
      </c>
      <c r="ET102" s="139">
        <f t="shared" si="60"/>
        <v>0</v>
      </c>
      <c r="EU102" s="139">
        <f t="shared" si="61"/>
        <v>0</v>
      </c>
      <c r="EV102" s="139">
        <f t="shared" si="62"/>
        <v>0</v>
      </c>
      <c r="EW102" s="139">
        <f t="shared" si="63"/>
        <v>0</v>
      </c>
      <c r="EX102" s="139">
        <f t="shared" si="64"/>
        <v>0</v>
      </c>
      <c r="EY102" s="139">
        <f t="shared" si="65"/>
        <v>0</v>
      </c>
      <c r="EZ102" s="139">
        <f t="shared" si="66"/>
        <v>0</v>
      </c>
      <c r="FA102" s="139">
        <f t="shared" si="67"/>
        <v>0</v>
      </c>
      <c r="FB102" s="139">
        <f t="shared" si="68"/>
        <v>0</v>
      </c>
      <c r="FC102" s="139">
        <f t="shared" si="69"/>
        <v>0</v>
      </c>
      <c r="FD102" s="139">
        <f t="shared" si="70"/>
        <v>0</v>
      </c>
      <c r="FE102" s="139">
        <f t="shared" si="71"/>
        <v>0</v>
      </c>
      <c r="FF102" s="139">
        <f t="shared" si="72"/>
        <v>0</v>
      </c>
      <c r="FG102" s="139">
        <f t="shared" si="73"/>
        <v>0</v>
      </c>
      <c r="FH102" s="139">
        <f t="shared" si="74"/>
        <v>0</v>
      </c>
      <c r="FI102" s="139">
        <f t="shared" si="75"/>
        <v>0</v>
      </c>
      <c r="FJ102" s="139">
        <f t="shared" si="76"/>
        <v>0</v>
      </c>
      <c r="FK102" s="139">
        <f t="shared" si="77"/>
        <v>0</v>
      </c>
      <c r="FL102" s="139">
        <f t="shared" si="78"/>
        <v>0</v>
      </c>
      <c r="FM102" s="139">
        <f t="shared" si="79"/>
        <v>0</v>
      </c>
      <c r="FN102" s="139">
        <f t="shared" si="80"/>
        <v>0</v>
      </c>
      <c r="FO102" s="139">
        <f t="shared" si="81"/>
        <v>0</v>
      </c>
      <c r="FP102" s="139">
        <f t="shared" si="82"/>
        <v>0</v>
      </c>
      <c r="FQ102" s="139">
        <f t="shared" si="83"/>
        <v>0</v>
      </c>
      <c r="FR102" s="139">
        <f t="shared" si="84"/>
        <v>0</v>
      </c>
      <c r="FS102" s="139">
        <f t="shared" si="85"/>
        <v>0</v>
      </c>
      <c r="FT102" s="139">
        <f t="shared" si="86"/>
        <v>0</v>
      </c>
      <c r="FU102" s="148">
        <f t="shared" si="87"/>
        <v>0</v>
      </c>
      <c r="FV102" s="149"/>
      <c r="FY102" s="212">
        <v>97</v>
      </c>
      <c r="FZ102">
        <v>6.6497185886861896</v>
      </c>
      <c r="GA102">
        <v>11.055076687861449</v>
      </c>
      <c r="GB102">
        <v>9.9591236521402209</v>
      </c>
      <c r="GC102">
        <v>4.7137504861487489</v>
      </c>
      <c r="GD102">
        <v>0.89517770254351903</v>
      </c>
      <c r="GE102">
        <v>3.3880748190110079</v>
      </c>
      <c r="GF102">
        <v>9.3480875590663466</v>
      </c>
      <c r="GG102">
        <v>6.8365732003993145</v>
      </c>
      <c r="GH102">
        <v>2.201017050954321</v>
      </c>
      <c r="GI102">
        <v>6.6576592341035061</v>
      </c>
      <c r="GJ102"/>
      <c r="GK102"/>
      <c r="GL102"/>
      <c r="GM102"/>
    </row>
    <row r="103" spans="1:195" s="7" customFormat="1">
      <c r="A103" s="1"/>
      <c r="B103" s="76">
        <f t="shared" ca="1" si="50"/>
        <v>0.41106990447221659</v>
      </c>
      <c r="C103">
        <v>2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11.911356209150325</v>
      </c>
      <c r="AO103">
        <v>6.8250225126491078</v>
      </c>
      <c r="AP103">
        <v>49.933131076594805</v>
      </c>
      <c r="AQ103">
        <v>34.636173229481173</v>
      </c>
      <c r="AR103">
        <v>6.3154214663846826</v>
      </c>
      <c r="AS103">
        <v>37.62214349603925</v>
      </c>
      <c r="AT103">
        <v>4.3189071526570073</v>
      </c>
      <c r="AU103">
        <v>20.290821978140379</v>
      </c>
      <c r="AV103"/>
      <c r="AW103"/>
      <c r="AX103" s="146"/>
      <c r="AY103" s="76">
        <f ca="1">IF(AZ103="", "", RAND())</f>
        <v>0.85331937615063458</v>
      </c>
      <c r="AZ103">
        <v>6</v>
      </c>
      <c r="BA103" s="129">
        <f t="shared" si="127"/>
        <v>39673</v>
      </c>
      <c r="BB103">
        <v>0</v>
      </c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90"/>
        <v>2.0366555191575486E-2</v>
      </c>
      <c r="CL103" s="179">
        <f t="shared" si="91"/>
        <v>6</v>
      </c>
      <c r="CM103" s="180">
        <f t="shared" si="92"/>
        <v>39673</v>
      </c>
      <c r="CN103">
        <v>0</v>
      </c>
      <c r="CO103">
        <v>0</v>
      </c>
      <c r="CP103">
        <v>1</v>
      </c>
      <c r="CQ103"/>
      <c r="CR103"/>
      <c r="CS103"/>
      <c r="CT103"/>
      <c r="CU103"/>
      <c r="CV103" s="160"/>
      <c r="CW103">
        <v>1</v>
      </c>
      <c r="CX103">
        <v>1</v>
      </c>
      <c r="CY103" s="164"/>
      <c r="CZ103" s="177">
        <f t="shared" si="93"/>
        <v>9.6000000000000002E-2</v>
      </c>
      <c r="DB103" s="146"/>
      <c r="DC103" s="76">
        <f t="shared" ca="1" si="51"/>
        <v>5.2934142623108915E-3</v>
      </c>
      <c r="DD103">
        <f>IF(AZ103="", "", AZ103)</f>
        <v>6</v>
      </c>
      <c r="DE103" s="129">
        <f t="shared" si="126"/>
        <v>39673</v>
      </c>
      <c r="DF103" s="161">
        <f t="shared" si="95"/>
        <v>0</v>
      </c>
      <c r="DG103" s="161">
        <f t="shared" si="96"/>
        <v>0</v>
      </c>
      <c r="DH103" s="161">
        <f t="shared" si="97"/>
        <v>10.416666666666666</v>
      </c>
      <c r="DI103" s="161">
        <f t="shared" si="98"/>
        <v>0</v>
      </c>
      <c r="DJ103" s="161">
        <f t="shared" si="99"/>
        <v>0</v>
      </c>
      <c r="DK103" s="161">
        <f t="shared" si="100"/>
        <v>0</v>
      </c>
      <c r="DL103" s="161">
        <f t="shared" si="101"/>
        <v>0</v>
      </c>
      <c r="DM103" s="161">
        <f t="shared" si="102"/>
        <v>0</v>
      </c>
      <c r="DN103" s="161">
        <f t="shared" si="103"/>
        <v>0</v>
      </c>
      <c r="DO103" s="161">
        <f t="shared" si="104"/>
        <v>0</v>
      </c>
      <c r="DP103" s="161">
        <f t="shared" si="105"/>
        <v>0</v>
      </c>
      <c r="DQ103" s="161">
        <f t="shared" si="106"/>
        <v>0</v>
      </c>
      <c r="DR103" s="161">
        <f t="shared" si="107"/>
        <v>0</v>
      </c>
      <c r="DS103" s="161">
        <f t="shared" si="108"/>
        <v>0</v>
      </c>
      <c r="DT103" s="161">
        <f t="shared" si="109"/>
        <v>0</v>
      </c>
      <c r="DU103" s="161">
        <f t="shared" si="110"/>
        <v>0</v>
      </c>
      <c r="DV103" s="161">
        <f t="shared" si="111"/>
        <v>0</v>
      </c>
      <c r="DW103" s="161">
        <f t="shared" si="112"/>
        <v>0</v>
      </c>
      <c r="DX103" s="161">
        <f t="shared" si="113"/>
        <v>0</v>
      </c>
      <c r="DY103" s="161">
        <f t="shared" si="114"/>
        <v>0</v>
      </c>
      <c r="DZ103" s="161">
        <f t="shared" si="115"/>
        <v>0</v>
      </c>
      <c r="EA103" s="161">
        <f t="shared" si="116"/>
        <v>0</v>
      </c>
      <c r="EB103" s="161">
        <f t="shared" si="117"/>
        <v>0</v>
      </c>
      <c r="EC103" s="161">
        <f t="shared" si="118"/>
        <v>0</v>
      </c>
      <c r="ED103" s="161">
        <f t="shared" si="119"/>
        <v>0</v>
      </c>
      <c r="EE103" s="161">
        <f t="shared" si="120"/>
        <v>0</v>
      </c>
      <c r="EF103" s="161">
        <f t="shared" si="121"/>
        <v>0</v>
      </c>
      <c r="EG103" s="161">
        <f t="shared" si="122"/>
        <v>0</v>
      </c>
      <c r="EH103" s="161">
        <f t="shared" si="123"/>
        <v>0</v>
      </c>
      <c r="EI103" s="161">
        <f t="shared" si="124"/>
        <v>0</v>
      </c>
      <c r="EJ103" s="161">
        <f t="shared" si="125"/>
        <v>0</v>
      </c>
      <c r="EK103" s="147">
        <f t="shared" si="55"/>
        <v>10.416666666666666</v>
      </c>
      <c r="EL103" s="149"/>
      <c r="EN103" s="146"/>
      <c r="EO103" s="146"/>
      <c r="EP103" s="139">
        <f t="shared" si="56"/>
        <v>0</v>
      </c>
      <c r="EQ103" s="139">
        <f t="shared" si="57"/>
        <v>0</v>
      </c>
      <c r="ER103" s="139">
        <f t="shared" si="58"/>
        <v>0.20224362095138954</v>
      </c>
      <c r="ES103" s="139">
        <f t="shared" si="59"/>
        <v>0</v>
      </c>
      <c r="ET103" s="139">
        <f t="shared" si="60"/>
        <v>0</v>
      </c>
      <c r="EU103" s="139">
        <f t="shared" si="61"/>
        <v>0</v>
      </c>
      <c r="EV103" s="139">
        <f t="shared" si="62"/>
        <v>0</v>
      </c>
      <c r="EW103" s="139">
        <f t="shared" si="63"/>
        <v>0</v>
      </c>
      <c r="EX103" s="139">
        <f t="shared" si="64"/>
        <v>0</v>
      </c>
      <c r="EY103" s="139">
        <f t="shared" si="65"/>
        <v>0</v>
      </c>
      <c r="EZ103" s="139">
        <f t="shared" si="66"/>
        <v>0</v>
      </c>
      <c r="FA103" s="139">
        <f t="shared" si="67"/>
        <v>0</v>
      </c>
      <c r="FB103" s="139">
        <f t="shared" si="68"/>
        <v>0</v>
      </c>
      <c r="FC103" s="139">
        <f t="shared" si="69"/>
        <v>0</v>
      </c>
      <c r="FD103" s="139">
        <f t="shared" si="70"/>
        <v>0</v>
      </c>
      <c r="FE103" s="139">
        <f t="shared" si="71"/>
        <v>0</v>
      </c>
      <c r="FF103" s="139">
        <f t="shared" si="72"/>
        <v>0</v>
      </c>
      <c r="FG103" s="139">
        <f t="shared" si="73"/>
        <v>0</v>
      </c>
      <c r="FH103" s="139">
        <f t="shared" si="74"/>
        <v>0</v>
      </c>
      <c r="FI103" s="139">
        <f t="shared" si="75"/>
        <v>0</v>
      </c>
      <c r="FJ103" s="139">
        <f t="shared" si="76"/>
        <v>0</v>
      </c>
      <c r="FK103" s="139">
        <f t="shared" si="77"/>
        <v>0</v>
      </c>
      <c r="FL103" s="139">
        <f t="shared" si="78"/>
        <v>0</v>
      </c>
      <c r="FM103" s="139">
        <f t="shared" si="79"/>
        <v>0</v>
      </c>
      <c r="FN103" s="139">
        <f t="shared" si="80"/>
        <v>0</v>
      </c>
      <c r="FO103" s="139">
        <f t="shared" si="81"/>
        <v>0</v>
      </c>
      <c r="FP103" s="139">
        <f t="shared" si="82"/>
        <v>0</v>
      </c>
      <c r="FQ103" s="139">
        <f t="shared" si="83"/>
        <v>0</v>
      </c>
      <c r="FR103" s="139">
        <f t="shared" si="84"/>
        <v>0</v>
      </c>
      <c r="FS103" s="139">
        <f t="shared" si="85"/>
        <v>0</v>
      </c>
      <c r="FT103" s="139">
        <f t="shared" si="86"/>
        <v>0</v>
      </c>
      <c r="FU103" s="148">
        <f t="shared" si="87"/>
        <v>0.20224362095138954</v>
      </c>
      <c r="FV103" s="149"/>
      <c r="FY103" s="212">
        <v>98</v>
      </c>
      <c r="FZ103">
        <v>0.23625426808703992</v>
      </c>
      <c r="GA103">
        <v>4.4521628984653585</v>
      </c>
      <c r="GB103">
        <v>7.2645710556768144</v>
      </c>
      <c r="GC103">
        <v>3.2418596137279634</v>
      </c>
      <c r="GD103">
        <v>1.6518010985887071</v>
      </c>
      <c r="GE103">
        <v>5.6937533317952509</v>
      </c>
      <c r="GF103">
        <v>10.780985626107752</v>
      </c>
      <c r="GG103">
        <v>6.7779811731803363</v>
      </c>
      <c r="GH103">
        <v>2.6772560653316875</v>
      </c>
      <c r="GI103">
        <v>5.9175462346752701</v>
      </c>
      <c r="GJ103"/>
      <c r="GK103"/>
      <c r="GL103"/>
      <c r="GM103"/>
    </row>
    <row r="104" spans="1:195" s="7" customFormat="1">
      <c r="A104" s="1"/>
      <c r="B104" s="76">
        <f t="shared" ca="1" si="50"/>
        <v>0.65834133750343327</v>
      </c>
      <c r="C104">
        <v>3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15.730800653594766</v>
      </c>
      <c r="AO104">
        <v>7.4522374687194644</v>
      </c>
      <c r="AP104">
        <v>38.221221582298092</v>
      </c>
      <c r="AQ104">
        <v>41.307182492592219</v>
      </c>
      <c r="AR104">
        <v>6.9166393266949191</v>
      </c>
      <c r="AS104">
        <v>39.718984261646384</v>
      </c>
      <c r="AT104">
        <v>3.5269793268435108</v>
      </c>
      <c r="AU104">
        <v>18.342067379082096</v>
      </c>
      <c r="AV104"/>
      <c r="AW104"/>
      <c r="AX104" s="146"/>
      <c r="AY104" s="76">
        <f ca="1">IF(AZ104="", "", RAND())</f>
        <v>0.50561801947214846</v>
      </c>
      <c r="AZ104">
        <v>7</v>
      </c>
      <c r="BA104" s="129">
        <f t="shared" si="127"/>
        <v>39673</v>
      </c>
      <c r="BB104">
        <v>0</v>
      </c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90"/>
        <v>0.95380870703323684</v>
      </c>
      <c r="CL104" s="179">
        <f t="shared" si="91"/>
        <v>7</v>
      </c>
      <c r="CM104" s="180">
        <f t="shared" si="92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3"/>
        <v>9.6000000000000002E-2</v>
      </c>
      <c r="DB104" s="146"/>
      <c r="DC104" s="76">
        <f t="shared" ca="1" si="51"/>
        <v>0.86891829468846749</v>
      </c>
      <c r="DD104">
        <f>IF(AZ104="", "", AZ104)</f>
        <v>7</v>
      </c>
      <c r="DE104" s="129">
        <f t="shared" si="126"/>
        <v>39673</v>
      </c>
      <c r="DF104" s="161">
        <f t="shared" si="95"/>
        <v>0</v>
      </c>
      <c r="DG104" s="161">
        <f t="shared" si="96"/>
        <v>0</v>
      </c>
      <c r="DH104" s="161">
        <f t="shared" si="97"/>
        <v>0</v>
      </c>
      <c r="DI104" s="161">
        <f t="shared" si="98"/>
        <v>0</v>
      </c>
      <c r="DJ104" s="161">
        <f t="shared" si="99"/>
        <v>0</v>
      </c>
      <c r="DK104" s="161">
        <f t="shared" si="100"/>
        <v>0</v>
      </c>
      <c r="DL104" s="161">
        <f t="shared" si="101"/>
        <v>0</v>
      </c>
      <c r="DM104" s="161">
        <f t="shared" si="102"/>
        <v>0</v>
      </c>
      <c r="DN104" s="161">
        <f t="shared" si="103"/>
        <v>0</v>
      </c>
      <c r="DO104" s="161">
        <f t="shared" si="104"/>
        <v>0</v>
      </c>
      <c r="DP104" s="161">
        <f t="shared" si="105"/>
        <v>0</v>
      </c>
      <c r="DQ104" s="161">
        <f t="shared" si="106"/>
        <v>0</v>
      </c>
      <c r="DR104" s="161">
        <f t="shared" si="107"/>
        <v>0</v>
      </c>
      <c r="DS104" s="161">
        <f t="shared" si="108"/>
        <v>0</v>
      </c>
      <c r="DT104" s="161">
        <f t="shared" si="109"/>
        <v>0</v>
      </c>
      <c r="DU104" s="161">
        <f t="shared" si="110"/>
        <v>0</v>
      </c>
      <c r="DV104" s="161">
        <f t="shared" si="111"/>
        <v>0</v>
      </c>
      <c r="DW104" s="161">
        <f t="shared" si="112"/>
        <v>0</v>
      </c>
      <c r="DX104" s="161">
        <f t="shared" si="113"/>
        <v>0</v>
      </c>
      <c r="DY104" s="161">
        <f t="shared" si="114"/>
        <v>0</v>
      </c>
      <c r="DZ104" s="161">
        <f t="shared" si="115"/>
        <v>0</v>
      </c>
      <c r="EA104" s="161">
        <f t="shared" si="116"/>
        <v>0</v>
      </c>
      <c r="EB104" s="161">
        <f t="shared" si="117"/>
        <v>0</v>
      </c>
      <c r="EC104" s="161">
        <f t="shared" si="118"/>
        <v>0</v>
      </c>
      <c r="ED104" s="161">
        <f t="shared" si="119"/>
        <v>0</v>
      </c>
      <c r="EE104" s="161">
        <f t="shared" si="120"/>
        <v>0</v>
      </c>
      <c r="EF104" s="161">
        <f t="shared" si="121"/>
        <v>0</v>
      </c>
      <c r="EG104" s="161">
        <f t="shared" si="122"/>
        <v>0</v>
      </c>
      <c r="EH104" s="161">
        <f t="shared" si="123"/>
        <v>0</v>
      </c>
      <c r="EI104" s="161">
        <f t="shared" si="124"/>
        <v>0</v>
      </c>
      <c r="EJ104" s="161">
        <f t="shared" si="125"/>
        <v>0</v>
      </c>
      <c r="EK104" s="147">
        <f t="shared" si="55"/>
        <v>0</v>
      </c>
      <c r="EL104" s="149"/>
      <c r="EN104" s="146"/>
      <c r="EO104" s="146"/>
      <c r="EP104" s="139">
        <f t="shared" si="56"/>
        <v>0</v>
      </c>
      <c r="EQ104" s="139">
        <f t="shared" si="57"/>
        <v>0</v>
      </c>
      <c r="ER104" s="139">
        <f t="shared" si="58"/>
        <v>0</v>
      </c>
      <c r="ES104" s="139">
        <f t="shared" si="59"/>
        <v>0</v>
      </c>
      <c r="ET104" s="139">
        <f t="shared" si="60"/>
        <v>0</v>
      </c>
      <c r="EU104" s="139">
        <f t="shared" si="61"/>
        <v>0</v>
      </c>
      <c r="EV104" s="139">
        <f t="shared" si="62"/>
        <v>0</v>
      </c>
      <c r="EW104" s="139">
        <f t="shared" si="63"/>
        <v>0</v>
      </c>
      <c r="EX104" s="139">
        <f t="shared" si="64"/>
        <v>0</v>
      </c>
      <c r="EY104" s="139">
        <f t="shared" si="65"/>
        <v>0</v>
      </c>
      <c r="EZ104" s="139">
        <f t="shared" si="66"/>
        <v>0</v>
      </c>
      <c r="FA104" s="139">
        <f t="shared" si="67"/>
        <v>0</v>
      </c>
      <c r="FB104" s="139">
        <f t="shared" si="68"/>
        <v>0</v>
      </c>
      <c r="FC104" s="139">
        <f t="shared" si="69"/>
        <v>0</v>
      </c>
      <c r="FD104" s="139">
        <f t="shared" si="70"/>
        <v>0</v>
      </c>
      <c r="FE104" s="139">
        <f t="shared" si="71"/>
        <v>0</v>
      </c>
      <c r="FF104" s="139">
        <f t="shared" si="72"/>
        <v>0</v>
      </c>
      <c r="FG104" s="139">
        <f t="shared" si="73"/>
        <v>0</v>
      </c>
      <c r="FH104" s="139">
        <f t="shared" si="74"/>
        <v>0</v>
      </c>
      <c r="FI104" s="139">
        <f t="shared" si="75"/>
        <v>0</v>
      </c>
      <c r="FJ104" s="139">
        <f t="shared" si="76"/>
        <v>0</v>
      </c>
      <c r="FK104" s="139">
        <f t="shared" si="77"/>
        <v>0</v>
      </c>
      <c r="FL104" s="139">
        <f t="shared" si="78"/>
        <v>0</v>
      </c>
      <c r="FM104" s="139">
        <f t="shared" si="79"/>
        <v>0</v>
      </c>
      <c r="FN104" s="139">
        <f t="shared" si="80"/>
        <v>0</v>
      </c>
      <c r="FO104" s="139">
        <f t="shared" si="81"/>
        <v>0</v>
      </c>
      <c r="FP104" s="139">
        <f t="shared" si="82"/>
        <v>0</v>
      </c>
      <c r="FQ104" s="139">
        <f t="shared" si="83"/>
        <v>0</v>
      </c>
      <c r="FR104" s="139">
        <f t="shared" si="84"/>
        <v>0</v>
      </c>
      <c r="FS104" s="139">
        <f t="shared" si="85"/>
        <v>0</v>
      </c>
      <c r="FT104" s="139">
        <f t="shared" si="86"/>
        <v>0</v>
      </c>
      <c r="FU104" s="148">
        <f t="shared" si="87"/>
        <v>0</v>
      </c>
      <c r="FV104" s="149"/>
      <c r="FY104" s="212">
        <v>99</v>
      </c>
      <c r="FZ104">
        <v>6.5472803541625142</v>
      </c>
      <c r="GA104">
        <v>9.6115354602653937</v>
      </c>
      <c r="GB104">
        <v>6.6507579270263033</v>
      </c>
      <c r="GC104">
        <v>3.262194983273242</v>
      </c>
      <c r="GD104">
        <v>1.021150968686916</v>
      </c>
      <c r="GE104">
        <v>3.9650736746804647</v>
      </c>
      <c r="GF104">
        <v>11.529753302587114</v>
      </c>
      <c r="GG104">
        <v>8.5385603275264064</v>
      </c>
      <c r="GH104">
        <v>1.822374999051386</v>
      </c>
      <c r="GI104">
        <v>6.4824841949538241</v>
      </c>
      <c r="GJ104"/>
      <c r="GK104"/>
      <c r="GL104"/>
      <c r="GM104"/>
    </row>
    <row r="105" spans="1:195" s="7" customFormat="1">
      <c r="A105" s="1"/>
      <c r="B105" s="76">
        <f t="shared" ca="1" si="50"/>
        <v>0.47398463465205731</v>
      </c>
      <c r="C105">
        <v>4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15.045891900937082</v>
      </c>
      <c r="AO105">
        <v>10.307815608584431</v>
      </c>
      <c r="AP105">
        <v>51.528316963755792</v>
      </c>
      <c r="AQ105">
        <v>49.132674598726403</v>
      </c>
      <c r="AR105">
        <v>9.4680998496776958</v>
      </c>
      <c r="AS105">
        <v>51.863473169450607</v>
      </c>
      <c r="AT105">
        <v>5.9984284798437875</v>
      </c>
      <c r="AU105">
        <v>3.9823162801040679</v>
      </c>
      <c r="AV105"/>
      <c r="AW105"/>
      <c r="AX105" s="146"/>
      <c r="AY105" s="76">
        <f ca="1">IF(AZ105="", "", RAND())</f>
        <v>0.76211696735000123</v>
      </c>
      <c r="AZ105">
        <v>8</v>
      </c>
      <c r="BA105" s="129">
        <f t="shared" si="127"/>
        <v>39673</v>
      </c>
      <c r="BB105">
        <v>0</v>
      </c>
      <c r="BC105">
        <v>0</v>
      </c>
      <c r="BD105">
        <v>6</v>
      </c>
      <c r="BE105">
        <v>1</v>
      </c>
      <c r="BF105">
        <v>0</v>
      </c>
      <c r="BG105">
        <v>0</v>
      </c>
      <c r="BH105">
        <v>0</v>
      </c>
      <c r="BI105">
        <v>0</v>
      </c>
      <c r="BJ105">
        <v>1</v>
      </c>
      <c r="BK105">
        <v>0</v>
      </c>
      <c r="BL105">
        <v>1</v>
      </c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90"/>
        <v>0.49532600275592475</v>
      </c>
      <c r="CL105" s="179">
        <f t="shared" si="91"/>
        <v>8</v>
      </c>
      <c r="CM105" s="180">
        <f t="shared" si="92"/>
        <v>39673</v>
      </c>
      <c r="CN105">
        <v>0</v>
      </c>
      <c r="CO105"/>
      <c r="CP105"/>
      <c r="CQ105"/>
      <c r="CR105"/>
      <c r="CS105"/>
      <c r="CT105"/>
      <c r="CU105"/>
      <c r="CV105" s="160"/>
      <c r="CW105">
        <v>1</v>
      </c>
      <c r="CX105">
        <v>2</v>
      </c>
      <c r="CY105" s="164"/>
      <c r="CZ105" s="177">
        <f t="shared" si="93"/>
        <v>9.6000000000000002E-2</v>
      </c>
      <c r="DB105" s="146"/>
      <c r="DC105" s="76">
        <f t="shared" ca="1" si="51"/>
        <v>4.6710625483722623E-2</v>
      </c>
      <c r="DD105">
        <f>IF(AZ105="", "", AZ105)</f>
        <v>8</v>
      </c>
      <c r="DE105" s="129">
        <f t="shared" si="126"/>
        <v>39673</v>
      </c>
      <c r="DF105" s="161">
        <f t="shared" si="95"/>
        <v>0</v>
      </c>
      <c r="DG105" s="161">
        <f t="shared" si="96"/>
        <v>0</v>
      </c>
      <c r="DH105" s="161">
        <f t="shared" si="97"/>
        <v>62.5</v>
      </c>
      <c r="DI105" s="161">
        <f t="shared" si="98"/>
        <v>10.416666666666666</v>
      </c>
      <c r="DJ105" s="161">
        <f t="shared" si="99"/>
        <v>0</v>
      </c>
      <c r="DK105" s="161">
        <f t="shared" si="100"/>
        <v>0</v>
      </c>
      <c r="DL105" s="161">
        <f t="shared" si="101"/>
        <v>0</v>
      </c>
      <c r="DM105" s="161">
        <f t="shared" si="102"/>
        <v>0</v>
      </c>
      <c r="DN105" s="161">
        <f t="shared" si="103"/>
        <v>10.416666666666666</v>
      </c>
      <c r="DO105" s="161">
        <f t="shared" si="104"/>
        <v>0</v>
      </c>
      <c r="DP105" s="161">
        <f t="shared" si="105"/>
        <v>10.416666666666666</v>
      </c>
      <c r="DQ105" s="161">
        <f t="shared" si="106"/>
        <v>0</v>
      </c>
      <c r="DR105" s="161">
        <f t="shared" si="107"/>
        <v>0</v>
      </c>
      <c r="DS105" s="161">
        <f t="shared" si="108"/>
        <v>0</v>
      </c>
      <c r="DT105" s="161">
        <f t="shared" si="109"/>
        <v>0</v>
      </c>
      <c r="DU105" s="161">
        <f t="shared" si="110"/>
        <v>0</v>
      </c>
      <c r="DV105" s="161">
        <f t="shared" si="111"/>
        <v>0</v>
      </c>
      <c r="DW105" s="161">
        <f t="shared" si="112"/>
        <v>0</v>
      </c>
      <c r="DX105" s="161">
        <f t="shared" si="113"/>
        <v>0</v>
      </c>
      <c r="DY105" s="161">
        <f t="shared" si="114"/>
        <v>0</v>
      </c>
      <c r="DZ105" s="161">
        <f t="shared" si="115"/>
        <v>0</v>
      </c>
      <c r="EA105" s="161">
        <f t="shared" si="116"/>
        <v>0</v>
      </c>
      <c r="EB105" s="161">
        <f t="shared" si="117"/>
        <v>0</v>
      </c>
      <c r="EC105" s="161">
        <f t="shared" si="118"/>
        <v>0</v>
      </c>
      <c r="ED105" s="161">
        <f t="shared" si="119"/>
        <v>0</v>
      </c>
      <c r="EE105" s="161">
        <f t="shared" si="120"/>
        <v>0</v>
      </c>
      <c r="EF105" s="161">
        <f t="shared" si="121"/>
        <v>0</v>
      </c>
      <c r="EG105" s="161">
        <f t="shared" si="122"/>
        <v>0</v>
      </c>
      <c r="EH105" s="161">
        <f t="shared" si="123"/>
        <v>0</v>
      </c>
      <c r="EI105" s="161">
        <f t="shared" si="124"/>
        <v>0</v>
      </c>
      <c r="EJ105" s="161">
        <f t="shared" si="125"/>
        <v>0</v>
      </c>
      <c r="EK105" s="147">
        <f t="shared" si="55"/>
        <v>93.750000000000014</v>
      </c>
      <c r="EL105" s="149"/>
      <c r="EN105" s="146"/>
      <c r="EO105" s="146"/>
      <c r="EP105" s="139">
        <f t="shared" si="56"/>
        <v>0</v>
      </c>
      <c r="EQ105" s="139">
        <f t="shared" si="57"/>
        <v>0</v>
      </c>
      <c r="ER105" s="139">
        <f t="shared" si="58"/>
        <v>1.2134617257083373</v>
      </c>
      <c r="ES105" s="139">
        <f t="shared" si="59"/>
        <v>0.82252780626897948</v>
      </c>
      <c r="ET105" s="139">
        <f t="shared" si="60"/>
        <v>0</v>
      </c>
      <c r="EU105" s="139">
        <f t="shared" si="61"/>
        <v>0</v>
      </c>
      <c r="EV105" s="139">
        <f t="shared" si="62"/>
        <v>0</v>
      </c>
      <c r="EW105" s="139">
        <f t="shared" si="63"/>
        <v>0</v>
      </c>
      <c r="EX105" s="139">
        <f t="shared" si="64"/>
        <v>24.490767885124477</v>
      </c>
      <c r="EY105" s="139">
        <f t="shared" si="65"/>
        <v>0</v>
      </c>
      <c r="EZ105" s="139">
        <f t="shared" si="66"/>
        <v>53.00429314819165</v>
      </c>
      <c r="FA105" s="139">
        <f t="shared" si="67"/>
        <v>0</v>
      </c>
      <c r="FB105" s="139">
        <f t="shared" si="68"/>
        <v>0</v>
      </c>
      <c r="FC105" s="139">
        <f t="shared" si="69"/>
        <v>0</v>
      </c>
      <c r="FD105" s="139">
        <f t="shared" si="70"/>
        <v>0</v>
      </c>
      <c r="FE105" s="139">
        <f t="shared" si="71"/>
        <v>0</v>
      </c>
      <c r="FF105" s="139">
        <f t="shared" si="72"/>
        <v>0</v>
      </c>
      <c r="FG105" s="139">
        <f t="shared" si="73"/>
        <v>0</v>
      </c>
      <c r="FH105" s="139">
        <f t="shared" si="74"/>
        <v>0</v>
      </c>
      <c r="FI105" s="139">
        <f t="shared" si="75"/>
        <v>0</v>
      </c>
      <c r="FJ105" s="139">
        <f t="shared" si="76"/>
        <v>0</v>
      </c>
      <c r="FK105" s="139">
        <f t="shared" si="77"/>
        <v>0</v>
      </c>
      <c r="FL105" s="139">
        <f t="shared" si="78"/>
        <v>0</v>
      </c>
      <c r="FM105" s="139">
        <f t="shared" si="79"/>
        <v>0</v>
      </c>
      <c r="FN105" s="139">
        <f t="shared" si="80"/>
        <v>0</v>
      </c>
      <c r="FO105" s="139">
        <f t="shared" si="81"/>
        <v>0</v>
      </c>
      <c r="FP105" s="139">
        <f t="shared" si="82"/>
        <v>0</v>
      </c>
      <c r="FQ105" s="139">
        <f t="shared" si="83"/>
        <v>0</v>
      </c>
      <c r="FR105" s="139">
        <f t="shared" si="84"/>
        <v>0</v>
      </c>
      <c r="FS105" s="139">
        <f t="shared" si="85"/>
        <v>0</v>
      </c>
      <c r="FT105" s="139">
        <f t="shared" si="86"/>
        <v>0</v>
      </c>
      <c r="FU105" s="148">
        <f t="shared" si="87"/>
        <v>79.531050565293441</v>
      </c>
      <c r="FV105" s="149"/>
      <c r="FY105" s="212">
        <v>100</v>
      </c>
      <c r="FZ105">
        <v>6.4345032033995482</v>
      </c>
      <c r="GA105">
        <v>9.2272069952715903</v>
      </c>
      <c r="GB105">
        <v>7.7641681234735103</v>
      </c>
      <c r="GC105">
        <v>3.8900130043889805</v>
      </c>
      <c r="GD105">
        <v>0.69244751776676883</v>
      </c>
      <c r="GE105">
        <v>2.777890675073122</v>
      </c>
      <c r="GF105">
        <v>12.016251952266238</v>
      </c>
      <c r="GG105">
        <v>11.046542728260022</v>
      </c>
      <c r="GH105">
        <v>2.5692457833375713</v>
      </c>
      <c r="GI105">
        <v>6.9213503485616013</v>
      </c>
      <c r="GJ105"/>
      <c r="GK105"/>
      <c r="GL105"/>
      <c r="GM105"/>
    </row>
    <row r="106" spans="1:195" s="7" customFormat="1">
      <c r="A106" s="1"/>
      <c r="B106" s="76">
        <f t="shared" ca="1" si="50"/>
        <v>0.8978448863437376</v>
      </c>
      <c r="C106">
        <v>8</v>
      </c>
      <c r="D106">
        <v>39673</v>
      </c>
      <c r="E106">
        <v>0</v>
      </c>
      <c r="F106">
        <v>0</v>
      </c>
      <c r="G106">
        <v>62.5</v>
      </c>
      <c r="H106">
        <v>10.416666666666666</v>
      </c>
      <c r="I106">
        <v>0</v>
      </c>
      <c r="J106">
        <v>0</v>
      </c>
      <c r="K106">
        <v>0</v>
      </c>
      <c r="L106">
        <v>0</v>
      </c>
      <c r="M106">
        <v>10.416666666666666</v>
      </c>
      <c r="N106">
        <v>0</v>
      </c>
      <c r="O106">
        <v>10.416666666666666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16.207248110087406</v>
      </c>
      <c r="AO106">
        <v>9.3583528332689738</v>
      </c>
      <c r="AP106">
        <v>78.56965147156167</v>
      </c>
      <c r="AQ106">
        <v>50.505109298381967</v>
      </c>
      <c r="AR106">
        <v>8.7144698359934143</v>
      </c>
      <c r="AS106">
        <v>50.893324729179888</v>
      </c>
      <c r="AT106">
        <v>5.7212082493380576</v>
      </c>
      <c r="AU106">
        <v>34.889345371747503</v>
      </c>
      <c r="AV106"/>
      <c r="AW106"/>
      <c r="AX106" s="146"/>
      <c r="AY106" s="76">
        <f t="shared" ca="1" si="88"/>
        <v>5.4379921683716859E-2</v>
      </c>
      <c r="AZ106">
        <v>9</v>
      </c>
      <c r="BA106" s="129">
        <f t="shared" si="127"/>
        <v>39673</v>
      </c>
      <c r="BB106">
        <v>0</v>
      </c>
      <c r="BC106">
        <v>0</v>
      </c>
      <c r="BD106">
        <v>0</v>
      </c>
      <c r="BE106">
        <v>1</v>
      </c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90"/>
        <v>0.48916765976253829</v>
      </c>
      <c r="CL106" s="179">
        <f t="shared" si="91"/>
        <v>9</v>
      </c>
      <c r="CM106" s="180">
        <f t="shared" si="92"/>
        <v>39673</v>
      </c>
      <c r="CN106">
        <v>0</v>
      </c>
      <c r="CO106">
        <v>0</v>
      </c>
      <c r="CP106">
        <v>0</v>
      </c>
      <c r="CQ106">
        <v>1</v>
      </c>
      <c r="CR106"/>
      <c r="CS106"/>
      <c r="CT106"/>
      <c r="CU106"/>
      <c r="CV106" s="160"/>
      <c r="CW106">
        <v>1</v>
      </c>
      <c r="CX106">
        <v>1</v>
      </c>
      <c r="CY106" s="164"/>
      <c r="CZ106" s="177">
        <f t="shared" si="93"/>
        <v>9.6000000000000002E-2</v>
      </c>
      <c r="DB106" s="146"/>
      <c r="DC106" s="76">
        <f t="shared" ca="1" si="51"/>
        <v>0.82991145992564874</v>
      </c>
      <c r="DD106">
        <f t="shared" si="94"/>
        <v>9</v>
      </c>
      <c r="DE106" s="129">
        <f t="shared" si="126"/>
        <v>39673</v>
      </c>
      <c r="DF106" s="161">
        <f t="shared" si="95"/>
        <v>0</v>
      </c>
      <c r="DG106" s="161">
        <f t="shared" si="96"/>
        <v>0</v>
      </c>
      <c r="DH106" s="161">
        <f t="shared" si="97"/>
        <v>0</v>
      </c>
      <c r="DI106" s="161">
        <f t="shared" si="98"/>
        <v>20.833333333333332</v>
      </c>
      <c r="DJ106" s="161">
        <f t="shared" si="99"/>
        <v>0</v>
      </c>
      <c r="DK106" s="161">
        <f t="shared" si="100"/>
        <v>0</v>
      </c>
      <c r="DL106" s="161">
        <f t="shared" si="101"/>
        <v>0</v>
      </c>
      <c r="DM106" s="161">
        <f t="shared" si="102"/>
        <v>0</v>
      </c>
      <c r="DN106" s="161">
        <f t="shared" si="103"/>
        <v>0</v>
      </c>
      <c r="DO106" s="161">
        <f t="shared" si="104"/>
        <v>0</v>
      </c>
      <c r="DP106" s="161">
        <f t="shared" si="105"/>
        <v>0</v>
      </c>
      <c r="DQ106" s="161">
        <f t="shared" si="106"/>
        <v>0</v>
      </c>
      <c r="DR106" s="161">
        <f t="shared" si="107"/>
        <v>0</v>
      </c>
      <c r="DS106" s="161">
        <f t="shared" si="108"/>
        <v>0</v>
      </c>
      <c r="DT106" s="161">
        <f t="shared" si="109"/>
        <v>0</v>
      </c>
      <c r="DU106" s="161">
        <f t="shared" si="110"/>
        <v>0</v>
      </c>
      <c r="DV106" s="161">
        <f t="shared" si="111"/>
        <v>0</v>
      </c>
      <c r="DW106" s="161">
        <f t="shared" si="112"/>
        <v>0</v>
      </c>
      <c r="DX106" s="161">
        <f t="shared" si="113"/>
        <v>0</v>
      </c>
      <c r="DY106" s="161">
        <f t="shared" si="114"/>
        <v>0</v>
      </c>
      <c r="DZ106" s="161">
        <f t="shared" si="115"/>
        <v>0</v>
      </c>
      <c r="EA106" s="161">
        <f t="shared" si="116"/>
        <v>0</v>
      </c>
      <c r="EB106" s="161">
        <f t="shared" si="117"/>
        <v>0</v>
      </c>
      <c r="EC106" s="161">
        <f t="shared" si="118"/>
        <v>0</v>
      </c>
      <c r="ED106" s="161">
        <f t="shared" si="119"/>
        <v>0</v>
      </c>
      <c r="EE106" s="161">
        <f t="shared" si="120"/>
        <v>0</v>
      </c>
      <c r="EF106" s="161">
        <f t="shared" si="121"/>
        <v>0</v>
      </c>
      <c r="EG106" s="161">
        <f t="shared" si="122"/>
        <v>0</v>
      </c>
      <c r="EH106" s="161">
        <f t="shared" si="123"/>
        <v>0</v>
      </c>
      <c r="EI106" s="161">
        <f t="shared" si="124"/>
        <v>0</v>
      </c>
      <c r="EJ106" s="161">
        <f t="shared" si="125"/>
        <v>0</v>
      </c>
      <c r="EK106" s="147">
        <f t="shared" si="55"/>
        <v>20.833333333333332</v>
      </c>
      <c r="EL106" s="149"/>
      <c r="EN106" s="146"/>
      <c r="EO106" s="146"/>
      <c r="EP106" s="139">
        <f t="shared" si="56"/>
        <v>0</v>
      </c>
      <c r="EQ106" s="139">
        <f t="shared" si="57"/>
        <v>0</v>
      </c>
      <c r="ER106" s="139">
        <f t="shared" si="58"/>
        <v>0</v>
      </c>
      <c r="ES106" s="139">
        <f t="shared" si="59"/>
        <v>1.645055612537959</v>
      </c>
      <c r="ET106" s="139">
        <f t="shared" si="60"/>
        <v>0</v>
      </c>
      <c r="EU106" s="139">
        <f t="shared" si="61"/>
        <v>0</v>
      </c>
      <c r="EV106" s="139">
        <f t="shared" si="62"/>
        <v>0</v>
      </c>
      <c r="EW106" s="139">
        <f t="shared" si="63"/>
        <v>0</v>
      </c>
      <c r="EX106" s="139">
        <f t="shared" si="64"/>
        <v>0</v>
      </c>
      <c r="EY106" s="139">
        <f t="shared" si="65"/>
        <v>0</v>
      </c>
      <c r="EZ106" s="139">
        <f t="shared" si="66"/>
        <v>0</v>
      </c>
      <c r="FA106" s="139">
        <f t="shared" si="67"/>
        <v>0</v>
      </c>
      <c r="FB106" s="139">
        <f t="shared" si="68"/>
        <v>0</v>
      </c>
      <c r="FC106" s="139">
        <f t="shared" si="69"/>
        <v>0</v>
      </c>
      <c r="FD106" s="139">
        <f t="shared" si="70"/>
        <v>0</v>
      </c>
      <c r="FE106" s="139">
        <f t="shared" si="71"/>
        <v>0</v>
      </c>
      <c r="FF106" s="139">
        <f t="shared" si="72"/>
        <v>0</v>
      </c>
      <c r="FG106" s="139">
        <f t="shared" si="73"/>
        <v>0</v>
      </c>
      <c r="FH106" s="139">
        <f t="shared" si="74"/>
        <v>0</v>
      </c>
      <c r="FI106" s="139">
        <f t="shared" si="75"/>
        <v>0</v>
      </c>
      <c r="FJ106" s="139">
        <f t="shared" si="76"/>
        <v>0</v>
      </c>
      <c r="FK106" s="139">
        <f t="shared" si="77"/>
        <v>0</v>
      </c>
      <c r="FL106" s="139">
        <f t="shared" si="78"/>
        <v>0</v>
      </c>
      <c r="FM106" s="139">
        <f t="shared" si="79"/>
        <v>0</v>
      </c>
      <c r="FN106" s="139">
        <f t="shared" si="80"/>
        <v>0</v>
      </c>
      <c r="FO106" s="139">
        <f t="shared" si="81"/>
        <v>0</v>
      </c>
      <c r="FP106" s="139">
        <f t="shared" si="82"/>
        <v>0</v>
      </c>
      <c r="FQ106" s="139">
        <f t="shared" si="83"/>
        <v>0</v>
      </c>
      <c r="FR106" s="139">
        <f t="shared" si="84"/>
        <v>0</v>
      </c>
      <c r="FS106" s="139">
        <f t="shared" si="85"/>
        <v>0</v>
      </c>
      <c r="FT106" s="139">
        <f t="shared" si="86"/>
        <v>0</v>
      </c>
      <c r="FU106" s="148">
        <f t="shared" si="87"/>
        <v>1.645055612537959</v>
      </c>
      <c r="FV106" s="149"/>
      <c r="FY106" s="212">
        <v>101</v>
      </c>
      <c r="FZ106">
        <v>9.6057988586850644</v>
      </c>
      <c r="GA106">
        <v>13.293529780151069</v>
      </c>
      <c r="GB106">
        <v>6.4571391971926744</v>
      </c>
      <c r="GC106">
        <v>3.0697633806348215</v>
      </c>
      <c r="GD106">
        <v>0.64074538311330254</v>
      </c>
      <c r="GE106">
        <v>3.1947373483782373</v>
      </c>
      <c r="GF106">
        <v>9.3433926773604163</v>
      </c>
      <c r="GG106">
        <v>6.5580178971399077</v>
      </c>
      <c r="GH106">
        <v>1.8476571069760324</v>
      </c>
      <c r="GI106">
        <v>5.9984136182375289</v>
      </c>
      <c r="GJ106"/>
      <c r="GK106"/>
      <c r="GL106"/>
      <c r="GM106"/>
    </row>
    <row r="107" spans="1:195" s="7" customFormat="1">
      <c r="A107" s="1"/>
      <c r="B107" s="76">
        <f t="shared" ca="1" si="50"/>
        <v>0.25412250488654031</v>
      </c>
      <c r="C107">
        <v>6</v>
      </c>
      <c r="D107">
        <v>39673</v>
      </c>
      <c r="E107">
        <v>0</v>
      </c>
      <c r="F107">
        <v>0</v>
      </c>
      <c r="G107">
        <v>10.416666666666666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13.638888888888886</v>
      </c>
      <c r="AO107">
        <v>9.8173232830515076</v>
      </c>
      <c r="AP107">
        <v>41.725889424033014</v>
      </c>
      <c r="AQ107">
        <v>51.826904211745259</v>
      </c>
      <c r="AR107">
        <v>8.982832111768646</v>
      </c>
      <c r="AS107">
        <v>48.767483419499463</v>
      </c>
      <c r="AT107">
        <v>5.3658158899502011</v>
      </c>
      <c r="AU107">
        <v>4.152019302948851</v>
      </c>
      <c r="AV107"/>
      <c r="AW107"/>
      <c r="AX107" s="146"/>
      <c r="AY107" s="76">
        <f t="shared" ca="1" si="88"/>
        <v>0.12655435490909905</v>
      </c>
      <c r="AZ107">
        <v>10</v>
      </c>
      <c r="BA107" s="129">
        <f t="shared" si="127"/>
        <v>39673</v>
      </c>
      <c r="BB107">
        <v>0</v>
      </c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90"/>
        <v>0.49063434458793109</v>
      </c>
      <c r="CL107" s="179">
        <f t="shared" si="91"/>
        <v>10</v>
      </c>
      <c r="CM107" s="180">
        <f t="shared" si="92"/>
        <v>39673</v>
      </c>
      <c r="CN107">
        <v>0</v>
      </c>
      <c r="CO107"/>
      <c r="CP107"/>
      <c r="CQ107"/>
      <c r="CR107"/>
      <c r="CS107"/>
      <c r="CT107"/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3"/>
        <v>9.6000000000000002E-2</v>
      </c>
      <c r="DB107" s="146"/>
      <c r="DC107" s="76">
        <f t="shared" ca="1" si="51"/>
        <v>0.26448952629364708</v>
      </c>
      <c r="DD107">
        <f t="shared" si="94"/>
        <v>10</v>
      </c>
      <c r="DE107" s="129">
        <f t="shared" si="126"/>
        <v>39673</v>
      </c>
      <c r="DF107" s="161">
        <f t="shared" si="95"/>
        <v>0</v>
      </c>
      <c r="DG107" s="161">
        <f t="shared" si="96"/>
        <v>0</v>
      </c>
      <c r="DH107" s="161">
        <f t="shared" si="97"/>
        <v>0</v>
      </c>
      <c r="DI107" s="161">
        <f t="shared" si="98"/>
        <v>0</v>
      </c>
      <c r="DJ107" s="161">
        <f t="shared" si="99"/>
        <v>0</v>
      </c>
      <c r="DK107" s="161">
        <f t="shared" si="100"/>
        <v>0</v>
      </c>
      <c r="DL107" s="161">
        <f t="shared" si="101"/>
        <v>0</v>
      </c>
      <c r="DM107" s="161">
        <f t="shared" si="102"/>
        <v>0</v>
      </c>
      <c r="DN107" s="161">
        <f t="shared" si="103"/>
        <v>0</v>
      </c>
      <c r="DO107" s="161">
        <f t="shared" si="104"/>
        <v>0</v>
      </c>
      <c r="DP107" s="161">
        <f t="shared" si="105"/>
        <v>0</v>
      </c>
      <c r="DQ107" s="161">
        <f t="shared" si="106"/>
        <v>0</v>
      </c>
      <c r="DR107" s="161">
        <f t="shared" si="107"/>
        <v>0</v>
      </c>
      <c r="DS107" s="161">
        <f t="shared" si="108"/>
        <v>0</v>
      </c>
      <c r="DT107" s="161">
        <f t="shared" si="109"/>
        <v>0</v>
      </c>
      <c r="DU107" s="161">
        <f t="shared" si="110"/>
        <v>0</v>
      </c>
      <c r="DV107" s="161">
        <f t="shared" si="111"/>
        <v>0</v>
      </c>
      <c r="DW107" s="161">
        <f t="shared" si="112"/>
        <v>0</v>
      </c>
      <c r="DX107" s="161">
        <f t="shared" si="113"/>
        <v>0</v>
      </c>
      <c r="DY107" s="161">
        <f t="shared" si="114"/>
        <v>0</v>
      </c>
      <c r="DZ107" s="161">
        <f t="shared" si="115"/>
        <v>0</v>
      </c>
      <c r="EA107" s="161">
        <f t="shared" si="116"/>
        <v>0</v>
      </c>
      <c r="EB107" s="161">
        <f t="shared" si="117"/>
        <v>0</v>
      </c>
      <c r="EC107" s="161">
        <f t="shared" si="118"/>
        <v>0</v>
      </c>
      <c r="ED107" s="161">
        <f t="shared" si="119"/>
        <v>0</v>
      </c>
      <c r="EE107" s="161">
        <f t="shared" si="120"/>
        <v>0</v>
      </c>
      <c r="EF107" s="161">
        <f t="shared" si="121"/>
        <v>0</v>
      </c>
      <c r="EG107" s="161">
        <f t="shared" si="122"/>
        <v>0</v>
      </c>
      <c r="EH107" s="161">
        <f t="shared" si="123"/>
        <v>0</v>
      </c>
      <c r="EI107" s="161">
        <f t="shared" si="124"/>
        <v>0</v>
      </c>
      <c r="EJ107" s="161">
        <f t="shared" si="125"/>
        <v>0</v>
      </c>
      <c r="EK107" s="147">
        <f t="shared" si="55"/>
        <v>0</v>
      </c>
      <c r="EL107" s="149"/>
      <c r="EN107" s="146"/>
      <c r="EO107" s="146"/>
      <c r="EP107" s="139">
        <f t="shared" si="56"/>
        <v>0</v>
      </c>
      <c r="EQ107" s="139">
        <f t="shared" si="57"/>
        <v>0</v>
      </c>
      <c r="ER107" s="139">
        <f t="shared" si="58"/>
        <v>0</v>
      </c>
      <c r="ES107" s="139">
        <f t="shared" si="59"/>
        <v>0</v>
      </c>
      <c r="ET107" s="139">
        <f t="shared" si="60"/>
        <v>0</v>
      </c>
      <c r="EU107" s="139">
        <f t="shared" si="61"/>
        <v>0</v>
      </c>
      <c r="EV107" s="139">
        <f t="shared" si="62"/>
        <v>0</v>
      </c>
      <c r="EW107" s="139">
        <f t="shared" si="63"/>
        <v>0</v>
      </c>
      <c r="EX107" s="139">
        <f t="shared" si="64"/>
        <v>0</v>
      </c>
      <c r="EY107" s="139">
        <f t="shared" si="65"/>
        <v>0</v>
      </c>
      <c r="EZ107" s="139">
        <f t="shared" si="66"/>
        <v>0</v>
      </c>
      <c r="FA107" s="139">
        <f t="shared" si="67"/>
        <v>0</v>
      </c>
      <c r="FB107" s="139">
        <f t="shared" si="68"/>
        <v>0</v>
      </c>
      <c r="FC107" s="139">
        <f t="shared" si="69"/>
        <v>0</v>
      </c>
      <c r="FD107" s="139">
        <f t="shared" si="70"/>
        <v>0</v>
      </c>
      <c r="FE107" s="139">
        <f t="shared" si="71"/>
        <v>0</v>
      </c>
      <c r="FF107" s="139">
        <f t="shared" si="72"/>
        <v>0</v>
      </c>
      <c r="FG107" s="139">
        <f t="shared" si="73"/>
        <v>0</v>
      </c>
      <c r="FH107" s="139">
        <f t="shared" si="74"/>
        <v>0</v>
      </c>
      <c r="FI107" s="139">
        <f t="shared" si="75"/>
        <v>0</v>
      </c>
      <c r="FJ107" s="139">
        <f t="shared" si="76"/>
        <v>0</v>
      </c>
      <c r="FK107" s="139">
        <f t="shared" si="77"/>
        <v>0</v>
      </c>
      <c r="FL107" s="139">
        <f t="shared" si="78"/>
        <v>0</v>
      </c>
      <c r="FM107" s="139">
        <f t="shared" si="79"/>
        <v>0</v>
      </c>
      <c r="FN107" s="139">
        <f t="shared" si="80"/>
        <v>0</v>
      </c>
      <c r="FO107" s="139">
        <f t="shared" si="81"/>
        <v>0</v>
      </c>
      <c r="FP107" s="139">
        <f t="shared" si="82"/>
        <v>0</v>
      </c>
      <c r="FQ107" s="139">
        <f t="shared" si="83"/>
        <v>0</v>
      </c>
      <c r="FR107" s="139">
        <f t="shared" si="84"/>
        <v>0</v>
      </c>
      <c r="FS107" s="139">
        <f t="shared" si="85"/>
        <v>0</v>
      </c>
      <c r="FT107" s="139">
        <f t="shared" si="86"/>
        <v>0</v>
      </c>
      <c r="FU107" s="148">
        <f t="shared" si="87"/>
        <v>0</v>
      </c>
      <c r="FV107" s="149"/>
      <c r="FY107" s="212">
        <v>102</v>
      </c>
      <c r="FZ107">
        <v>3.2218656837467816</v>
      </c>
      <c r="GA107">
        <v>6.8876819403592</v>
      </c>
      <c r="GB107">
        <v>7.0404846492333677</v>
      </c>
      <c r="GC107">
        <v>3.651187297285706</v>
      </c>
      <c r="GD107">
        <v>0.98521360185245876</v>
      </c>
      <c r="GE107">
        <v>4.4858054780739245</v>
      </c>
      <c r="GF107">
        <v>9.7631054065516256</v>
      </c>
      <c r="GG107">
        <v>4.2162504634963591</v>
      </c>
      <c r="GH107">
        <v>1.7686005539522283</v>
      </c>
      <c r="GI107">
        <v>5.3000205820795578</v>
      </c>
      <c r="GJ107"/>
      <c r="GK107"/>
      <c r="GL107"/>
      <c r="GM107"/>
    </row>
    <row r="108" spans="1:195" s="7" customFormat="1">
      <c r="A108" s="128"/>
      <c r="B108" s="76">
        <f t="shared" ca="1" si="50"/>
        <v>0.203946115688731</v>
      </c>
      <c r="C108">
        <v>10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10.416666666666666</v>
      </c>
      <c r="J108">
        <v>10.416666666666666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12.809780789825968</v>
      </c>
      <c r="AO108">
        <v>9.2907889502865935</v>
      </c>
      <c r="AP108">
        <v>55.547970928070228</v>
      </c>
      <c r="AQ108">
        <v>44.869810718309559</v>
      </c>
      <c r="AR108">
        <v>8.5486892967824577</v>
      </c>
      <c r="AS108">
        <v>51.762213138775472</v>
      </c>
      <c r="AT108" t="e">
        <v>#DIV/0!</v>
      </c>
      <c r="AU108" t="e">
        <v>#DIV/0!</v>
      </c>
      <c r="AV108"/>
      <c r="AW108"/>
      <c r="AX108" s="128"/>
      <c r="AY108" s="76">
        <f t="shared" ca="1" si="88"/>
        <v>0.55876444222015587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0</v>
      </c>
      <c r="BE108">
        <v>0</v>
      </c>
      <c r="BF108">
        <v>1</v>
      </c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90"/>
        <v>0.40268762552069859</v>
      </c>
      <c r="CL108" s="179">
        <f t="shared" si="91"/>
        <v>1</v>
      </c>
      <c r="CM108" s="180">
        <f t="shared" si="92"/>
        <v>39714</v>
      </c>
      <c r="CN108">
        <v>0</v>
      </c>
      <c r="CO108"/>
      <c r="CP108"/>
      <c r="CQ108"/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3"/>
        <v>9.6000000000000002E-2</v>
      </c>
      <c r="DB108" s="128"/>
      <c r="DC108" s="76">
        <f t="shared" ca="1" si="51"/>
        <v>0.15209289731886333</v>
      </c>
      <c r="DD108">
        <f t="shared" si="94"/>
        <v>1</v>
      </c>
      <c r="DE108" s="129">
        <f t="shared" ref="DE108:DE117" si="128">IF((DD108)="", "", $C$6)</f>
        <v>39714</v>
      </c>
      <c r="DF108" s="161">
        <f t="shared" si="95"/>
        <v>0</v>
      </c>
      <c r="DG108" s="161">
        <f t="shared" si="96"/>
        <v>0</v>
      </c>
      <c r="DH108" s="161">
        <f t="shared" si="97"/>
        <v>0</v>
      </c>
      <c r="DI108" s="161">
        <f t="shared" si="98"/>
        <v>0</v>
      </c>
      <c r="DJ108" s="161">
        <f t="shared" si="99"/>
        <v>10.416666666666666</v>
      </c>
      <c r="DK108" s="161">
        <f t="shared" si="100"/>
        <v>0</v>
      </c>
      <c r="DL108" s="161">
        <f t="shared" si="101"/>
        <v>0</v>
      </c>
      <c r="DM108" s="161">
        <f t="shared" si="102"/>
        <v>0</v>
      </c>
      <c r="DN108" s="161">
        <f t="shared" si="103"/>
        <v>0</v>
      </c>
      <c r="DO108" s="161">
        <f t="shared" si="104"/>
        <v>0</v>
      </c>
      <c r="DP108" s="161">
        <f t="shared" si="105"/>
        <v>0</v>
      </c>
      <c r="DQ108" s="161">
        <f t="shared" si="106"/>
        <v>0</v>
      </c>
      <c r="DR108" s="161">
        <f t="shared" si="107"/>
        <v>0</v>
      </c>
      <c r="DS108" s="161">
        <f t="shared" si="108"/>
        <v>0</v>
      </c>
      <c r="DT108" s="161">
        <f t="shared" si="109"/>
        <v>0</v>
      </c>
      <c r="DU108" s="161">
        <f t="shared" si="110"/>
        <v>0</v>
      </c>
      <c r="DV108" s="161">
        <f t="shared" si="111"/>
        <v>0</v>
      </c>
      <c r="DW108" s="161">
        <f t="shared" si="112"/>
        <v>0</v>
      </c>
      <c r="DX108" s="161">
        <f t="shared" si="113"/>
        <v>0</v>
      </c>
      <c r="DY108" s="161">
        <f t="shared" si="114"/>
        <v>0</v>
      </c>
      <c r="DZ108" s="161">
        <f t="shared" si="115"/>
        <v>0</v>
      </c>
      <c r="EA108" s="161">
        <f t="shared" si="116"/>
        <v>0</v>
      </c>
      <c r="EB108" s="161">
        <f t="shared" si="117"/>
        <v>0</v>
      </c>
      <c r="EC108" s="161">
        <f t="shared" si="118"/>
        <v>0</v>
      </c>
      <c r="ED108" s="161">
        <f t="shared" si="119"/>
        <v>0</v>
      </c>
      <c r="EE108" s="161">
        <f t="shared" si="120"/>
        <v>0</v>
      </c>
      <c r="EF108" s="161">
        <f t="shared" si="121"/>
        <v>0</v>
      </c>
      <c r="EG108" s="161">
        <f t="shared" si="122"/>
        <v>0</v>
      </c>
      <c r="EH108" s="161">
        <f t="shared" si="123"/>
        <v>0</v>
      </c>
      <c r="EI108" s="161">
        <f t="shared" si="124"/>
        <v>0</v>
      </c>
      <c r="EJ108" s="161">
        <f t="shared" si="125"/>
        <v>0</v>
      </c>
      <c r="EK108" s="147">
        <f t="shared" si="55"/>
        <v>10.416666666666666</v>
      </c>
      <c r="EL108" s="149"/>
      <c r="EN108" s="146"/>
      <c r="EO108" s="146"/>
      <c r="EP108" s="139">
        <f t="shared" si="56"/>
        <v>0</v>
      </c>
      <c r="EQ108" s="139">
        <f t="shared" si="57"/>
        <v>0</v>
      </c>
      <c r="ER108" s="139">
        <f t="shared" si="58"/>
        <v>0</v>
      </c>
      <c r="ES108" s="139">
        <f t="shared" si="59"/>
        <v>0</v>
      </c>
      <c r="ET108" s="139">
        <f t="shared" si="60"/>
        <v>2.2255564645651158</v>
      </c>
      <c r="EU108" s="139">
        <f t="shared" si="61"/>
        <v>0</v>
      </c>
      <c r="EV108" s="139">
        <f t="shared" si="62"/>
        <v>0</v>
      </c>
      <c r="EW108" s="139">
        <f t="shared" si="63"/>
        <v>0</v>
      </c>
      <c r="EX108" s="139">
        <f t="shared" si="64"/>
        <v>0</v>
      </c>
      <c r="EY108" s="139">
        <f t="shared" si="65"/>
        <v>0</v>
      </c>
      <c r="EZ108" s="139">
        <f t="shared" si="66"/>
        <v>0</v>
      </c>
      <c r="FA108" s="139">
        <f t="shared" si="67"/>
        <v>0</v>
      </c>
      <c r="FB108" s="139">
        <f t="shared" si="68"/>
        <v>0</v>
      </c>
      <c r="FC108" s="139">
        <f t="shared" si="69"/>
        <v>0</v>
      </c>
      <c r="FD108" s="139">
        <f t="shared" si="70"/>
        <v>0</v>
      </c>
      <c r="FE108" s="139">
        <f t="shared" si="71"/>
        <v>0</v>
      </c>
      <c r="FF108" s="139">
        <f t="shared" si="72"/>
        <v>0</v>
      </c>
      <c r="FG108" s="139">
        <f t="shared" si="73"/>
        <v>0</v>
      </c>
      <c r="FH108" s="139">
        <f t="shared" si="74"/>
        <v>0</v>
      </c>
      <c r="FI108" s="139">
        <f t="shared" si="75"/>
        <v>0</v>
      </c>
      <c r="FJ108" s="139">
        <f t="shared" si="76"/>
        <v>0</v>
      </c>
      <c r="FK108" s="139">
        <f t="shared" si="77"/>
        <v>0</v>
      </c>
      <c r="FL108" s="139">
        <f t="shared" si="78"/>
        <v>0</v>
      </c>
      <c r="FM108" s="139">
        <f t="shared" si="79"/>
        <v>0</v>
      </c>
      <c r="FN108" s="139">
        <f t="shared" si="80"/>
        <v>0</v>
      </c>
      <c r="FO108" s="139">
        <f t="shared" si="81"/>
        <v>0</v>
      </c>
      <c r="FP108" s="139">
        <f t="shared" si="82"/>
        <v>0</v>
      </c>
      <c r="FQ108" s="139">
        <f t="shared" si="83"/>
        <v>0</v>
      </c>
      <c r="FR108" s="139">
        <f t="shared" si="84"/>
        <v>0</v>
      </c>
      <c r="FS108" s="139">
        <f t="shared" si="85"/>
        <v>0</v>
      </c>
      <c r="FT108" s="139">
        <f t="shared" si="86"/>
        <v>0</v>
      </c>
      <c r="FU108" s="148">
        <f t="shared" si="87"/>
        <v>2.2255564645651158</v>
      </c>
      <c r="FV108" s="149"/>
      <c r="FY108" s="212">
        <v>103</v>
      </c>
      <c r="FZ108">
        <v>3.3772828764781408</v>
      </c>
      <c r="GA108">
        <v>7.206116881083906</v>
      </c>
      <c r="GB108">
        <v>10.579298490552258</v>
      </c>
      <c r="GC108">
        <v>5.6460187584639954</v>
      </c>
      <c r="GD108">
        <v>2.204340964967884</v>
      </c>
      <c r="GE108">
        <v>5.9252131016313383</v>
      </c>
      <c r="GF108">
        <v>9.4453859524023684</v>
      </c>
      <c r="GG108">
        <v>5.3145425077118436</v>
      </c>
      <c r="GH108">
        <v>0.87745450697826854</v>
      </c>
      <c r="GI108">
        <v>7.1194268702058405</v>
      </c>
      <c r="GJ108"/>
      <c r="GK108"/>
      <c r="GL108"/>
      <c r="GM108"/>
    </row>
    <row r="109" spans="1:195" s="7" customFormat="1">
      <c r="A109" s="1"/>
      <c r="B109" s="76">
        <f t="shared" ca="1" si="50"/>
        <v>0.2582277557568966</v>
      </c>
      <c r="C109">
        <v>5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16.072584455468931</v>
      </c>
      <c r="AO109">
        <v>9.2813215972557934</v>
      </c>
      <c r="AP109">
        <v>65.155955056030265</v>
      </c>
      <c r="AQ109">
        <v>45.946306028714837</v>
      </c>
      <c r="AR109">
        <v>8.4882611597759627</v>
      </c>
      <c r="AS109">
        <v>48.234096330711338</v>
      </c>
      <c r="AT109">
        <v>5.1895291805748487</v>
      </c>
      <c r="AU109">
        <v>18.21497377806902</v>
      </c>
      <c r="AV109"/>
      <c r="AW109"/>
      <c r="AX109" s="146"/>
      <c r="AY109" s="76">
        <f t="shared" ca="1" si="88"/>
        <v>0.17508782299369319</v>
      </c>
      <c r="AZ109">
        <v>2</v>
      </c>
      <c r="BA109" s="129">
        <f t="shared" ref="BA109:BA117" si="129">IF(AZ109="", "",$C$6)</f>
        <v>39714</v>
      </c>
      <c r="BB109">
        <v>0</v>
      </c>
      <c r="BC109">
        <v>0</v>
      </c>
      <c r="BD109">
        <v>0</v>
      </c>
      <c r="BE109">
        <v>0</v>
      </c>
      <c r="BF109">
        <v>2</v>
      </c>
      <c r="BG109">
        <v>2</v>
      </c>
      <c r="BH109">
        <v>1</v>
      </c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90"/>
        <v>0.76172846781813153</v>
      </c>
      <c r="CL109" s="179">
        <f t="shared" si="91"/>
        <v>2</v>
      </c>
      <c r="CM109" s="180">
        <f t="shared" si="92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3"/>
        <v>9.6000000000000002E-2</v>
      </c>
      <c r="DB109" s="146"/>
      <c r="DC109" s="76">
        <f t="shared" ca="1" si="51"/>
        <v>0.75952464894101901</v>
      </c>
      <c r="DD109">
        <f t="shared" si="94"/>
        <v>2</v>
      </c>
      <c r="DE109" s="129">
        <f t="shared" si="128"/>
        <v>39714</v>
      </c>
      <c r="DF109" s="161">
        <f t="shared" si="95"/>
        <v>0</v>
      </c>
      <c r="DG109" s="161">
        <f t="shared" si="96"/>
        <v>0</v>
      </c>
      <c r="DH109" s="161">
        <f t="shared" si="97"/>
        <v>0</v>
      </c>
      <c r="DI109" s="161">
        <f t="shared" si="98"/>
        <v>0</v>
      </c>
      <c r="DJ109" s="161">
        <f t="shared" si="99"/>
        <v>20.833333333333332</v>
      </c>
      <c r="DK109" s="161">
        <f t="shared" si="100"/>
        <v>20.833333333333332</v>
      </c>
      <c r="DL109" s="161">
        <f t="shared" si="101"/>
        <v>10.416666666666666</v>
      </c>
      <c r="DM109" s="161">
        <f t="shared" si="102"/>
        <v>0</v>
      </c>
      <c r="DN109" s="161">
        <f t="shared" si="103"/>
        <v>0</v>
      </c>
      <c r="DO109" s="161">
        <f t="shared" si="104"/>
        <v>0</v>
      </c>
      <c r="DP109" s="161">
        <f t="shared" si="105"/>
        <v>0</v>
      </c>
      <c r="DQ109" s="161">
        <f t="shared" si="106"/>
        <v>0</v>
      </c>
      <c r="DR109" s="161">
        <f t="shared" si="107"/>
        <v>0</v>
      </c>
      <c r="DS109" s="161">
        <f t="shared" si="108"/>
        <v>0</v>
      </c>
      <c r="DT109" s="161">
        <f t="shared" si="109"/>
        <v>0</v>
      </c>
      <c r="DU109" s="161">
        <f t="shared" si="110"/>
        <v>0</v>
      </c>
      <c r="DV109" s="161">
        <f t="shared" si="111"/>
        <v>0</v>
      </c>
      <c r="DW109" s="161">
        <f t="shared" si="112"/>
        <v>0</v>
      </c>
      <c r="DX109" s="161">
        <f t="shared" si="113"/>
        <v>0</v>
      </c>
      <c r="DY109" s="161">
        <f t="shared" si="114"/>
        <v>0</v>
      </c>
      <c r="DZ109" s="161">
        <f t="shared" si="115"/>
        <v>0</v>
      </c>
      <c r="EA109" s="161">
        <f t="shared" si="116"/>
        <v>0</v>
      </c>
      <c r="EB109" s="161">
        <f t="shared" si="117"/>
        <v>0</v>
      </c>
      <c r="EC109" s="161">
        <f t="shared" si="118"/>
        <v>0</v>
      </c>
      <c r="ED109" s="161">
        <f t="shared" si="119"/>
        <v>0</v>
      </c>
      <c r="EE109" s="161">
        <f t="shared" si="120"/>
        <v>0</v>
      </c>
      <c r="EF109" s="161">
        <f t="shared" si="121"/>
        <v>0</v>
      </c>
      <c r="EG109" s="161">
        <f t="shared" si="122"/>
        <v>0</v>
      </c>
      <c r="EH109" s="161">
        <f t="shared" si="123"/>
        <v>0</v>
      </c>
      <c r="EI109" s="161">
        <f t="shared" si="124"/>
        <v>0</v>
      </c>
      <c r="EJ109" s="161">
        <f t="shared" si="125"/>
        <v>0</v>
      </c>
      <c r="EK109" s="147">
        <f t="shared" si="55"/>
        <v>52.083333333333329</v>
      </c>
      <c r="EL109" s="149"/>
      <c r="EN109" s="146"/>
      <c r="EO109" s="146"/>
      <c r="EP109" s="139">
        <f t="shared" si="56"/>
        <v>0</v>
      </c>
      <c r="EQ109" s="139">
        <f t="shared" si="57"/>
        <v>0</v>
      </c>
      <c r="ER109" s="139">
        <f t="shared" si="58"/>
        <v>0</v>
      </c>
      <c r="ES109" s="139">
        <f t="shared" si="59"/>
        <v>0</v>
      </c>
      <c r="ET109" s="139">
        <f t="shared" si="60"/>
        <v>4.4511129291302316</v>
      </c>
      <c r="EU109" s="139">
        <f t="shared" si="61"/>
        <v>9.6333481921824795</v>
      </c>
      <c r="EV109" s="139">
        <f t="shared" si="62"/>
        <v>9.0513711528458085</v>
      </c>
      <c r="EW109" s="139">
        <f t="shared" si="63"/>
        <v>0</v>
      </c>
      <c r="EX109" s="139">
        <f t="shared" si="64"/>
        <v>0</v>
      </c>
      <c r="EY109" s="139">
        <f t="shared" si="65"/>
        <v>0</v>
      </c>
      <c r="EZ109" s="139">
        <f t="shared" si="66"/>
        <v>0</v>
      </c>
      <c r="FA109" s="139">
        <f t="shared" si="67"/>
        <v>0</v>
      </c>
      <c r="FB109" s="139">
        <f t="shared" si="68"/>
        <v>0</v>
      </c>
      <c r="FC109" s="139">
        <f t="shared" si="69"/>
        <v>0</v>
      </c>
      <c r="FD109" s="139">
        <f t="shared" si="70"/>
        <v>0</v>
      </c>
      <c r="FE109" s="139">
        <f t="shared" si="71"/>
        <v>0</v>
      </c>
      <c r="FF109" s="139">
        <f t="shared" si="72"/>
        <v>0</v>
      </c>
      <c r="FG109" s="139">
        <f t="shared" si="73"/>
        <v>0</v>
      </c>
      <c r="FH109" s="139">
        <f t="shared" si="74"/>
        <v>0</v>
      </c>
      <c r="FI109" s="139">
        <f t="shared" si="75"/>
        <v>0</v>
      </c>
      <c r="FJ109" s="139">
        <f t="shared" si="76"/>
        <v>0</v>
      </c>
      <c r="FK109" s="139">
        <f t="shared" si="77"/>
        <v>0</v>
      </c>
      <c r="FL109" s="139">
        <f t="shared" si="78"/>
        <v>0</v>
      </c>
      <c r="FM109" s="139">
        <f t="shared" si="79"/>
        <v>0</v>
      </c>
      <c r="FN109" s="139">
        <f t="shared" si="80"/>
        <v>0</v>
      </c>
      <c r="FO109" s="139">
        <f t="shared" si="81"/>
        <v>0</v>
      </c>
      <c r="FP109" s="139">
        <f t="shared" si="82"/>
        <v>0</v>
      </c>
      <c r="FQ109" s="139">
        <f t="shared" si="83"/>
        <v>0</v>
      </c>
      <c r="FR109" s="139">
        <f t="shared" si="84"/>
        <v>0</v>
      </c>
      <c r="FS109" s="139">
        <f t="shared" si="85"/>
        <v>0</v>
      </c>
      <c r="FT109" s="139">
        <f t="shared" si="86"/>
        <v>0</v>
      </c>
      <c r="FU109" s="148">
        <f t="shared" si="87"/>
        <v>23.135832274158517</v>
      </c>
      <c r="FV109" s="149"/>
      <c r="FY109" s="212">
        <v>104</v>
      </c>
      <c r="FZ109">
        <v>6.638643771213351</v>
      </c>
      <c r="GA109">
        <v>9.7368340420784012</v>
      </c>
      <c r="GB109">
        <v>4.8064819030794288</v>
      </c>
      <c r="GC109">
        <v>1.8653031594512901</v>
      </c>
      <c r="GD109">
        <v>0.31313766037964741</v>
      </c>
      <c r="GE109">
        <v>3.8284442918516213</v>
      </c>
      <c r="GF109">
        <v>11.653770108371805</v>
      </c>
      <c r="GG109">
        <v>7.0797189489181473</v>
      </c>
      <c r="GH109">
        <v>1.3420664387755092</v>
      </c>
      <c r="GI109">
        <v>5.3391868444952797</v>
      </c>
      <c r="GJ109"/>
      <c r="GK109"/>
      <c r="GL109"/>
      <c r="GM109"/>
    </row>
    <row r="110" spans="1:195" s="7" customFormat="1">
      <c r="A110" s="1"/>
      <c r="B110" s="76">
        <f t="shared" ca="1" si="50"/>
        <v>6.4838500603006111E-3</v>
      </c>
      <c r="C110">
        <v>7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12.146586345381527</v>
      </c>
      <c r="AO110">
        <v>7.0074681292750842</v>
      </c>
      <c r="AP110">
        <v>32.574940227640163</v>
      </c>
      <c r="AQ110">
        <v>38.469826851200253</v>
      </c>
      <c r="AR110">
        <v>6.4143864704001867</v>
      </c>
      <c r="AS110">
        <v>36.915419843215567</v>
      </c>
      <c r="AT110">
        <v>3.6048256737523388</v>
      </c>
      <c r="AU110">
        <v>8.9309663834487587</v>
      </c>
      <c r="AV110"/>
      <c r="AW110"/>
      <c r="AX110" s="146"/>
      <c r="AY110" s="76">
        <f t="shared" ca="1" si="88"/>
        <v>0.20931995685518778</v>
      </c>
      <c r="AZ110">
        <v>3</v>
      </c>
      <c r="BA110" s="129">
        <f t="shared" si="129"/>
        <v>39714</v>
      </c>
      <c r="BB110">
        <v>0</v>
      </c>
      <c r="BC110">
        <v>0</v>
      </c>
      <c r="BD110">
        <v>0</v>
      </c>
      <c r="BE110">
        <v>1</v>
      </c>
      <c r="BF110">
        <v>0</v>
      </c>
      <c r="BG110">
        <v>2</v>
      </c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90"/>
        <v>0.28026335687594428</v>
      </c>
      <c r="CL110" s="179">
        <f t="shared" si="91"/>
        <v>3</v>
      </c>
      <c r="CM110" s="180">
        <f t="shared" si="92"/>
        <v>39714</v>
      </c>
      <c r="CN110">
        <v>0</v>
      </c>
      <c r="CO110"/>
      <c r="CP110"/>
      <c r="CQ110"/>
      <c r="CR110"/>
      <c r="CS110"/>
      <c r="CT110"/>
      <c r="CU110"/>
      <c r="CW110">
        <v>1</v>
      </c>
      <c r="CX110">
        <f>300/32</f>
        <v>9.375</v>
      </c>
      <c r="CY110" s="158"/>
      <c r="CZ110" s="177">
        <f t="shared" si="93"/>
        <v>9.6000000000000002E-2</v>
      </c>
      <c r="DB110" s="146"/>
      <c r="DC110" s="76">
        <f t="shared" ca="1" si="51"/>
        <v>0.8080876231975076</v>
      </c>
      <c r="DD110">
        <f t="shared" si="94"/>
        <v>3</v>
      </c>
      <c r="DE110" s="129">
        <f t="shared" si="128"/>
        <v>39714</v>
      </c>
      <c r="DF110" s="161">
        <f t="shared" si="95"/>
        <v>0</v>
      </c>
      <c r="DG110" s="161">
        <f t="shared" si="96"/>
        <v>0</v>
      </c>
      <c r="DH110" s="161">
        <f t="shared" si="97"/>
        <v>0</v>
      </c>
      <c r="DI110" s="161">
        <f t="shared" si="98"/>
        <v>10.416666666666666</v>
      </c>
      <c r="DJ110" s="161">
        <f t="shared" si="99"/>
        <v>0</v>
      </c>
      <c r="DK110" s="161">
        <f t="shared" si="100"/>
        <v>20.833333333333332</v>
      </c>
      <c r="DL110" s="161">
        <f t="shared" si="101"/>
        <v>0</v>
      </c>
      <c r="DM110" s="161">
        <f t="shared" si="102"/>
        <v>0</v>
      </c>
      <c r="DN110" s="161">
        <f t="shared" si="103"/>
        <v>0</v>
      </c>
      <c r="DO110" s="161">
        <f t="shared" si="104"/>
        <v>0</v>
      </c>
      <c r="DP110" s="161">
        <f t="shared" si="105"/>
        <v>0</v>
      </c>
      <c r="DQ110" s="161">
        <f t="shared" si="106"/>
        <v>0</v>
      </c>
      <c r="DR110" s="161">
        <f t="shared" si="107"/>
        <v>0</v>
      </c>
      <c r="DS110" s="161">
        <f t="shared" si="108"/>
        <v>0</v>
      </c>
      <c r="DT110" s="161">
        <f t="shared" si="109"/>
        <v>0</v>
      </c>
      <c r="DU110" s="161">
        <f t="shared" si="110"/>
        <v>0</v>
      </c>
      <c r="DV110" s="161">
        <f t="shared" si="111"/>
        <v>0</v>
      </c>
      <c r="DW110" s="161">
        <f t="shared" si="112"/>
        <v>0</v>
      </c>
      <c r="DX110" s="161">
        <f t="shared" si="113"/>
        <v>0</v>
      </c>
      <c r="DY110" s="161">
        <f t="shared" si="114"/>
        <v>0</v>
      </c>
      <c r="DZ110" s="161">
        <f t="shared" si="115"/>
        <v>0</v>
      </c>
      <c r="EA110" s="161">
        <f t="shared" si="116"/>
        <v>0</v>
      </c>
      <c r="EB110" s="161">
        <f t="shared" si="117"/>
        <v>0</v>
      </c>
      <c r="EC110" s="161">
        <f t="shared" si="118"/>
        <v>0</v>
      </c>
      <c r="ED110" s="161">
        <f t="shared" si="119"/>
        <v>0</v>
      </c>
      <c r="EE110" s="161">
        <f t="shared" si="120"/>
        <v>0</v>
      </c>
      <c r="EF110" s="161">
        <f t="shared" si="121"/>
        <v>0</v>
      </c>
      <c r="EG110" s="161">
        <f t="shared" si="122"/>
        <v>0</v>
      </c>
      <c r="EH110" s="161">
        <f t="shared" si="123"/>
        <v>0</v>
      </c>
      <c r="EI110" s="161">
        <f t="shared" si="124"/>
        <v>0</v>
      </c>
      <c r="EJ110" s="161">
        <f t="shared" si="125"/>
        <v>0</v>
      </c>
      <c r="EK110" s="147">
        <f t="shared" si="55"/>
        <v>31.25</v>
      </c>
      <c r="EL110" s="149"/>
      <c r="EN110" s="146"/>
      <c r="EO110" s="146"/>
      <c r="EP110" s="139">
        <f t="shared" si="56"/>
        <v>0</v>
      </c>
      <c r="EQ110" s="139">
        <f t="shared" si="57"/>
        <v>0</v>
      </c>
      <c r="ER110" s="139">
        <f t="shared" si="58"/>
        <v>0</v>
      </c>
      <c r="ES110" s="139">
        <f t="shared" si="59"/>
        <v>0.82252780626897948</v>
      </c>
      <c r="ET110" s="139">
        <f t="shared" si="60"/>
        <v>0</v>
      </c>
      <c r="EU110" s="139">
        <f t="shared" si="61"/>
        <v>9.6333481921824795</v>
      </c>
      <c r="EV110" s="139">
        <f t="shared" si="62"/>
        <v>0</v>
      </c>
      <c r="EW110" s="139">
        <f t="shared" si="63"/>
        <v>0</v>
      </c>
      <c r="EX110" s="139">
        <f t="shared" si="64"/>
        <v>0</v>
      </c>
      <c r="EY110" s="139">
        <f t="shared" si="65"/>
        <v>0</v>
      </c>
      <c r="EZ110" s="139">
        <f t="shared" si="66"/>
        <v>0</v>
      </c>
      <c r="FA110" s="139">
        <f t="shared" si="67"/>
        <v>0</v>
      </c>
      <c r="FB110" s="139">
        <f t="shared" si="68"/>
        <v>0</v>
      </c>
      <c r="FC110" s="139">
        <f t="shared" si="69"/>
        <v>0</v>
      </c>
      <c r="FD110" s="139">
        <f t="shared" si="70"/>
        <v>0</v>
      </c>
      <c r="FE110" s="139">
        <f t="shared" si="71"/>
        <v>0</v>
      </c>
      <c r="FF110" s="139">
        <f t="shared" si="72"/>
        <v>0</v>
      </c>
      <c r="FG110" s="139">
        <f t="shared" si="73"/>
        <v>0</v>
      </c>
      <c r="FH110" s="139">
        <f t="shared" si="74"/>
        <v>0</v>
      </c>
      <c r="FI110" s="139">
        <f t="shared" si="75"/>
        <v>0</v>
      </c>
      <c r="FJ110" s="139">
        <f t="shared" si="76"/>
        <v>0</v>
      </c>
      <c r="FK110" s="139">
        <f t="shared" si="77"/>
        <v>0</v>
      </c>
      <c r="FL110" s="139">
        <f t="shared" si="78"/>
        <v>0</v>
      </c>
      <c r="FM110" s="139">
        <f t="shared" si="79"/>
        <v>0</v>
      </c>
      <c r="FN110" s="139">
        <f t="shared" si="80"/>
        <v>0</v>
      </c>
      <c r="FO110" s="139">
        <f t="shared" si="81"/>
        <v>0</v>
      </c>
      <c r="FP110" s="139">
        <f t="shared" si="82"/>
        <v>0</v>
      </c>
      <c r="FQ110" s="139">
        <f t="shared" si="83"/>
        <v>0</v>
      </c>
      <c r="FR110" s="139">
        <f t="shared" si="84"/>
        <v>0</v>
      </c>
      <c r="FS110" s="139">
        <f t="shared" si="85"/>
        <v>0</v>
      </c>
      <c r="FT110" s="139">
        <f t="shared" si="86"/>
        <v>0</v>
      </c>
      <c r="FU110" s="148">
        <f t="shared" si="87"/>
        <v>10.455875998451459</v>
      </c>
      <c r="FV110" s="149"/>
      <c r="FY110" s="212">
        <v>105</v>
      </c>
      <c r="FZ110">
        <v>3.2735464643533247</v>
      </c>
      <c r="GA110">
        <v>4.9081554188882821</v>
      </c>
      <c r="GB110">
        <v>6.1489884376333857</v>
      </c>
      <c r="GC110">
        <v>3.7450493548553361</v>
      </c>
      <c r="GD110">
        <v>1.0265402118381113</v>
      </c>
      <c r="GE110">
        <v>2.113249199449343</v>
      </c>
      <c r="GF110">
        <v>6.655962339659915</v>
      </c>
      <c r="GG110">
        <v>4.7369422963823222</v>
      </c>
      <c r="GH110">
        <v>1.2282711848967147</v>
      </c>
      <c r="GI110">
        <v>4.6602819699026945</v>
      </c>
      <c r="GJ110"/>
      <c r="GK110"/>
      <c r="GL110"/>
      <c r="GM110"/>
    </row>
    <row r="111" spans="1:195" s="7" customFormat="1">
      <c r="A111" s="1"/>
      <c r="B111" s="76">
        <f t="shared" ca="1" si="50"/>
        <v>0.84089471822264539</v>
      </c>
      <c r="C111">
        <v>4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20.833333333333332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16.10580065359477</v>
      </c>
      <c r="AO111">
        <v>8.1652073638356129</v>
      </c>
      <c r="AP111">
        <v>49.326568374624394</v>
      </c>
      <c r="AQ111">
        <v>40.884181327514789</v>
      </c>
      <c r="AR111">
        <v>7.5154968052978672</v>
      </c>
      <c r="AS111">
        <v>41.00188947064521</v>
      </c>
      <c r="AT111">
        <v>3.5394622029394021</v>
      </c>
      <c r="AU111">
        <v>16.575141104950408</v>
      </c>
      <c r="AV111"/>
      <c r="AW111"/>
      <c r="AX111" s="146"/>
      <c r="AY111" s="76">
        <f t="shared" ca="1" si="88"/>
        <v>0.76705064316219551</v>
      </c>
      <c r="AZ111">
        <v>4</v>
      </c>
      <c r="BA111" s="129">
        <f t="shared" si="129"/>
        <v>39714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2</v>
      </c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90"/>
        <v>0.43604379111956049</v>
      </c>
      <c r="CL111" s="179">
        <f t="shared" si="91"/>
        <v>4</v>
      </c>
      <c r="CM111" s="180">
        <f t="shared" si="92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3"/>
        <v>9.6000000000000002E-2</v>
      </c>
      <c r="DB111" s="146"/>
      <c r="DC111" s="76">
        <f t="shared" ca="1" si="51"/>
        <v>0.79190311372861322</v>
      </c>
      <c r="DD111">
        <f t="shared" si="94"/>
        <v>4</v>
      </c>
      <c r="DE111" s="129">
        <f t="shared" si="128"/>
        <v>39714</v>
      </c>
      <c r="DF111" s="161">
        <f t="shared" si="95"/>
        <v>0</v>
      </c>
      <c r="DG111" s="161">
        <f t="shared" si="96"/>
        <v>0</v>
      </c>
      <c r="DH111" s="161">
        <f t="shared" si="97"/>
        <v>0</v>
      </c>
      <c r="DI111" s="161">
        <f t="shared" si="98"/>
        <v>0</v>
      </c>
      <c r="DJ111" s="161">
        <f t="shared" si="99"/>
        <v>0</v>
      </c>
      <c r="DK111" s="161">
        <f t="shared" si="100"/>
        <v>20.833333333333332</v>
      </c>
      <c r="DL111" s="161">
        <f t="shared" si="101"/>
        <v>0</v>
      </c>
      <c r="DM111" s="161">
        <f t="shared" si="102"/>
        <v>0</v>
      </c>
      <c r="DN111" s="161">
        <f t="shared" si="103"/>
        <v>0</v>
      </c>
      <c r="DO111" s="161">
        <f t="shared" si="104"/>
        <v>0</v>
      </c>
      <c r="DP111" s="161">
        <f t="shared" si="105"/>
        <v>0</v>
      </c>
      <c r="DQ111" s="161">
        <f t="shared" si="106"/>
        <v>0</v>
      </c>
      <c r="DR111" s="161">
        <f t="shared" si="107"/>
        <v>0</v>
      </c>
      <c r="DS111" s="161">
        <f t="shared" si="108"/>
        <v>0</v>
      </c>
      <c r="DT111" s="161">
        <f t="shared" si="109"/>
        <v>0</v>
      </c>
      <c r="DU111" s="161">
        <f t="shared" si="110"/>
        <v>0</v>
      </c>
      <c r="DV111" s="161">
        <f t="shared" si="111"/>
        <v>0</v>
      </c>
      <c r="DW111" s="161">
        <f t="shared" si="112"/>
        <v>0</v>
      </c>
      <c r="DX111" s="161">
        <f t="shared" si="113"/>
        <v>0</v>
      </c>
      <c r="DY111" s="161">
        <f t="shared" si="114"/>
        <v>0</v>
      </c>
      <c r="DZ111" s="161">
        <f t="shared" si="115"/>
        <v>0</v>
      </c>
      <c r="EA111" s="161">
        <f t="shared" si="116"/>
        <v>0</v>
      </c>
      <c r="EB111" s="161">
        <f t="shared" si="117"/>
        <v>0</v>
      </c>
      <c r="EC111" s="161">
        <f t="shared" si="118"/>
        <v>0</v>
      </c>
      <c r="ED111" s="161">
        <f t="shared" si="119"/>
        <v>0</v>
      </c>
      <c r="EE111" s="161">
        <f t="shared" si="120"/>
        <v>0</v>
      </c>
      <c r="EF111" s="161">
        <f t="shared" si="121"/>
        <v>0</v>
      </c>
      <c r="EG111" s="161">
        <f t="shared" si="122"/>
        <v>0</v>
      </c>
      <c r="EH111" s="161">
        <f t="shared" si="123"/>
        <v>0</v>
      </c>
      <c r="EI111" s="161">
        <f t="shared" si="124"/>
        <v>0</v>
      </c>
      <c r="EJ111" s="161">
        <f t="shared" si="125"/>
        <v>0</v>
      </c>
      <c r="EK111" s="147">
        <f t="shared" si="55"/>
        <v>20.833333333333332</v>
      </c>
      <c r="EL111" s="149"/>
      <c r="EN111" s="146"/>
      <c r="EO111" s="146"/>
      <c r="EP111" s="139">
        <f t="shared" si="56"/>
        <v>0</v>
      </c>
      <c r="EQ111" s="139">
        <f t="shared" si="57"/>
        <v>0</v>
      </c>
      <c r="ER111" s="139">
        <f t="shared" si="58"/>
        <v>0</v>
      </c>
      <c r="ES111" s="139">
        <f t="shared" si="59"/>
        <v>0</v>
      </c>
      <c r="ET111" s="139">
        <f t="shared" si="60"/>
        <v>0</v>
      </c>
      <c r="EU111" s="139">
        <f t="shared" si="61"/>
        <v>9.6333481921824795</v>
      </c>
      <c r="EV111" s="139">
        <f t="shared" si="62"/>
        <v>0</v>
      </c>
      <c r="EW111" s="139">
        <f t="shared" si="63"/>
        <v>0</v>
      </c>
      <c r="EX111" s="139">
        <f t="shared" si="64"/>
        <v>0</v>
      </c>
      <c r="EY111" s="139">
        <f t="shared" si="65"/>
        <v>0</v>
      </c>
      <c r="EZ111" s="139">
        <f t="shared" si="66"/>
        <v>0</v>
      </c>
      <c r="FA111" s="139">
        <f t="shared" si="67"/>
        <v>0</v>
      </c>
      <c r="FB111" s="139">
        <f t="shared" si="68"/>
        <v>0</v>
      </c>
      <c r="FC111" s="139">
        <f t="shared" si="69"/>
        <v>0</v>
      </c>
      <c r="FD111" s="139">
        <f t="shared" si="70"/>
        <v>0</v>
      </c>
      <c r="FE111" s="139">
        <f t="shared" si="71"/>
        <v>0</v>
      </c>
      <c r="FF111" s="139">
        <f t="shared" si="72"/>
        <v>0</v>
      </c>
      <c r="FG111" s="139">
        <f t="shared" si="73"/>
        <v>0</v>
      </c>
      <c r="FH111" s="139">
        <f t="shared" si="74"/>
        <v>0</v>
      </c>
      <c r="FI111" s="139">
        <f t="shared" si="75"/>
        <v>0</v>
      </c>
      <c r="FJ111" s="139">
        <f t="shared" si="76"/>
        <v>0</v>
      </c>
      <c r="FK111" s="139">
        <f t="shared" si="77"/>
        <v>0</v>
      </c>
      <c r="FL111" s="139">
        <f t="shared" si="78"/>
        <v>0</v>
      </c>
      <c r="FM111" s="139">
        <f t="shared" si="79"/>
        <v>0</v>
      </c>
      <c r="FN111" s="139">
        <f t="shared" si="80"/>
        <v>0</v>
      </c>
      <c r="FO111" s="139">
        <f t="shared" si="81"/>
        <v>0</v>
      </c>
      <c r="FP111" s="139">
        <f t="shared" si="82"/>
        <v>0</v>
      </c>
      <c r="FQ111" s="139">
        <f t="shared" si="83"/>
        <v>0</v>
      </c>
      <c r="FR111" s="139">
        <f t="shared" si="84"/>
        <v>0</v>
      </c>
      <c r="FS111" s="139">
        <f t="shared" si="85"/>
        <v>0</v>
      </c>
      <c r="FT111" s="139">
        <f t="shared" si="86"/>
        <v>0</v>
      </c>
      <c r="FU111" s="148">
        <f t="shared" si="87"/>
        <v>9.6333481921824795</v>
      </c>
      <c r="FV111" s="149"/>
      <c r="FY111" s="212">
        <v>106</v>
      </c>
      <c r="FZ111">
        <v>3.6231401595709256</v>
      </c>
      <c r="GA111">
        <v>7.7065840006353206</v>
      </c>
      <c r="GB111">
        <v>7.4148322454995759</v>
      </c>
      <c r="GC111">
        <v>3.640417134301936</v>
      </c>
      <c r="GD111">
        <v>1.4352228665995259</v>
      </c>
      <c r="GE111">
        <v>3.5026993707239269</v>
      </c>
      <c r="GF111">
        <v>5.0047840277086753</v>
      </c>
      <c r="GG111">
        <v>4.33533893712685</v>
      </c>
      <c r="GH111">
        <v>3.593982270345494</v>
      </c>
      <c r="GI111">
        <v>5.0807791276661014</v>
      </c>
      <c r="GJ111"/>
      <c r="GK111"/>
      <c r="GL111"/>
      <c r="GM111"/>
    </row>
    <row r="112" spans="1:195" s="7" customFormat="1">
      <c r="A112" s="1"/>
      <c r="B112" s="76">
        <f t="shared" ca="1" si="50"/>
        <v>0.34854097224214708</v>
      </c>
      <c r="C112">
        <v>1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10.416666666666666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18.867851307189543</v>
      </c>
      <c r="AO112">
        <v>8.7681460561473337</v>
      </c>
      <c r="AP112">
        <v>46.062444181028653</v>
      </c>
      <c r="AQ112">
        <v>41.409006569957917</v>
      </c>
      <c r="AR112">
        <v>7.9994324727030968</v>
      </c>
      <c r="AS112">
        <v>46.168841868939737</v>
      </c>
      <c r="AT112">
        <v>4.4595768563293703</v>
      </c>
      <c r="AU112">
        <v>47.082691116620317</v>
      </c>
      <c r="AV112"/>
      <c r="AW112"/>
      <c r="AX112" s="146"/>
      <c r="AY112" s="76">
        <f t="shared" ca="1" si="88"/>
        <v>8.2831700358856342E-2</v>
      </c>
      <c r="AZ112">
        <v>5</v>
      </c>
      <c r="BA112" s="129">
        <f t="shared" si="129"/>
        <v>39714</v>
      </c>
      <c r="BB112">
        <v>0</v>
      </c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90"/>
        <v>0.4112730081907483</v>
      </c>
      <c r="CL112" s="179">
        <f t="shared" si="91"/>
        <v>5</v>
      </c>
      <c r="CM112" s="180">
        <f t="shared" si="92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3"/>
        <v>9.6000000000000002E-2</v>
      </c>
      <c r="DB112" s="146"/>
      <c r="DC112" s="76">
        <f t="shared" ca="1" si="51"/>
        <v>0.21461254992086332</v>
      </c>
      <c r="DD112">
        <f t="shared" si="94"/>
        <v>5</v>
      </c>
      <c r="DE112" s="129">
        <f t="shared" si="128"/>
        <v>39714</v>
      </c>
      <c r="DF112" s="161">
        <f t="shared" si="95"/>
        <v>0</v>
      </c>
      <c r="DG112" s="161">
        <f t="shared" si="96"/>
        <v>0</v>
      </c>
      <c r="DH112" s="161">
        <f t="shared" si="97"/>
        <v>0</v>
      </c>
      <c r="DI112" s="161">
        <f t="shared" si="98"/>
        <v>0</v>
      </c>
      <c r="DJ112" s="161">
        <f t="shared" si="99"/>
        <v>0</v>
      </c>
      <c r="DK112" s="161">
        <f t="shared" si="100"/>
        <v>0</v>
      </c>
      <c r="DL112" s="161">
        <f t="shared" si="101"/>
        <v>0</v>
      </c>
      <c r="DM112" s="161">
        <f t="shared" si="102"/>
        <v>0</v>
      </c>
      <c r="DN112" s="161">
        <f t="shared" si="103"/>
        <v>0</v>
      </c>
      <c r="DO112" s="161">
        <f t="shared" si="104"/>
        <v>0</v>
      </c>
      <c r="DP112" s="161">
        <f t="shared" si="105"/>
        <v>0</v>
      </c>
      <c r="DQ112" s="161">
        <f t="shared" si="106"/>
        <v>0</v>
      </c>
      <c r="DR112" s="161">
        <f t="shared" si="107"/>
        <v>0</v>
      </c>
      <c r="DS112" s="161">
        <f t="shared" si="108"/>
        <v>0</v>
      </c>
      <c r="DT112" s="161">
        <f t="shared" si="109"/>
        <v>0</v>
      </c>
      <c r="DU112" s="161">
        <f t="shared" si="110"/>
        <v>0</v>
      </c>
      <c r="DV112" s="161">
        <f t="shared" si="111"/>
        <v>0</v>
      </c>
      <c r="DW112" s="161">
        <f t="shared" si="112"/>
        <v>0</v>
      </c>
      <c r="DX112" s="161">
        <f t="shared" si="113"/>
        <v>0</v>
      </c>
      <c r="DY112" s="161">
        <f t="shared" si="114"/>
        <v>0</v>
      </c>
      <c r="DZ112" s="161">
        <f t="shared" si="115"/>
        <v>0</v>
      </c>
      <c r="EA112" s="161">
        <f t="shared" si="116"/>
        <v>0</v>
      </c>
      <c r="EB112" s="161">
        <f t="shared" si="117"/>
        <v>0</v>
      </c>
      <c r="EC112" s="161">
        <f t="shared" si="118"/>
        <v>0</v>
      </c>
      <c r="ED112" s="161">
        <f t="shared" si="119"/>
        <v>0</v>
      </c>
      <c r="EE112" s="161">
        <f t="shared" si="120"/>
        <v>0</v>
      </c>
      <c r="EF112" s="161">
        <f t="shared" si="121"/>
        <v>0</v>
      </c>
      <c r="EG112" s="161">
        <f t="shared" si="122"/>
        <v>0</v>
      </c>
      <c r="EH112" s="161">
        <f t="shared" si="123"/>
        <v>0</v>
      </c>
      <c r="EI112" s="161">
        <f t="shared" si="124"/>
        <v>0</v>
      </c>
      <c r="EJ112" s="161">
        <f t="shared" si="125"/>
        <v>0</v>
      </c>
      <c r="EK112" s="147">
        <f t="shared" si="55"/>
        <v>0</v>
      </c>
      <c r="EL112" s="149"/>
      <c r="EN112" s="146"/>
      <c r="EO112" s="146"/>
      <c r="EP112" s="139">
        <f t="shared" si="56"/>
        <v>0</v>
      </c>
      <c r="EQ112" s="139">
        <f t="shared" si="57"/>
        <v>0</v>
      </c>
      <c r="ER112" s="139">
        <f t="shared" si="58"/>
        <v>0</v>
      </c>
      <c r="ES112" s="139">
        <f t="shared" si="59"/>
        <v>0</v>
      </c>
      <c r="ET112" s="139">
        <f t="shared" si="60"/>
        <v>0</v>
      </c>
      <c r="EU112" s="139">
        <f t="shared" si="61"/>
        <v>0</v>
      </c>
      <c r="EV112" s="139">
        <f t="shared" si="62"/>
        <v>0</v>
      </c>
      <c r="EW112" s="139">
        <f t="shared" si="63"/>
        <v>0</v>
      </c>
      <c r="EX112" s="139">
        <f t="shared" si="64"/>
        <v>0</v>
      </c>
      <c r="EY112" s="139">
        <f t="shared" si="65"/>
        <v>0</v>
      </c>
      <c r="EZ112" s="139">
        <f t="shared" si="66"/>
        <v>0</v>
      </c>
      <c r="FA112" s="139">
        <f t="shared" si="67"/>
        <v>0</v>
      </c>
      <c r="FB112" s="139">
        <f t="shared" si="68"/>
        <v>0</v>
      </c>
      <c r="FC112" s="139">
        <f t="shared" si="69"/>
        <v>0</v>
      </c>
      <c r="FD112" s="139">
        <f t="shared" si="70"/>
        <v>0</v>
      </c>
      <c r="FE112" s="139">
        <f t="shared" si="71"/>
        <v>0</v>
      </c>
      <c r="FF112" s="139">
        <f t="shared" si="72"/>
        <v>0</v>
      </c>
      <c r="FG112" s="139">
        <f t="shared" si="73"/>
        <v>0</v>
      </c>
      <c r="FH112" s="139">
        <f t="shared" si="74"/>
        <v>0</v>
      </c>
      <c r="FI112" s="139">
        <f t="shared" si="75"/>
        <v>0</v>
      </c>
      <c r="FJ112" s="139">
        <f t="shared" si="76"/>
        <v>0</v>
      </c>
      <c r="FK112" s="139">
        <f t="shared" si="77"/>
        <v>0</v>
      </c>
      <c r="FL112" s="139">
        <f t="shared" si="78"/>
        <v>0</v>
      </c>
      <c r="FM112" s="139">
        <f t="shared" si="79"/>
        <v>0</v>
      </c>
      <c r="FN112" s="139">
        <f t="shared" si="80"/>
        <v>0</v>
      </c>
      <c r="FO112" s="139">
        <f t="shared" si="81"/>
        <v>0</v>
      </c>
      <c r="FP112" s="139">
        <f t="shared" si="82"/>
        <v>0</v>
      </c>
      <c r="FQ112" s="139">
        <f t="shared" si="83"/>
        <v>0</v>
      </c>
      <c r="FR112" s="139">
        <f t="shared" si="84"/>
        <v>0</v>
      </c>
      <c r="FS112" s="139">
        <f t="shared" si="85"/>
        <v>0</v>
      </c>
      <c r="FT112" s="139">
        <f t="shared" si="86"/>
        <v>0</v>
      </c>
      <c r="FU112" s="148">
        <f t="shared" si="87"/>
        <v>0</v>
      </c>
      <c r="FV112" s="149"/>
      <c r="FY112" s="212">
        <v>107</v>
      </c>
      <c r="FZ112">
        <v>6.5585425970912166</v>
      </c>
      <c r="GA112">
        <v>9.7540669513907368</v>
      </c>
      <c r="GB112">
        <v>4.7554085745071344</v>
      </c>
      <c r="GC112">
        <v>2.3971752797207584</v>
      </c>
      <c r="GD112">
        <v>0.6804559285391234</v>
      </c>
      <c r="GE112">
        <v>2.2610654405974819</v>
      </c>
      <c r="GF112">
        <v>8.0372359532147026</v>
      </c>
      <c r="GG112">
        <v>5.9056377549825374</v>
      </c>
      <c r="GH112">
        <v>1.6264321861526625</v>
      </c>
      <c r="GI112">
        <v>4.826554500496778</v>
      </c>
      <c r="GJ112"/>
      <c r="GK112"/>
      <c r="GL112"/>
      <c r="GM112"/>
    </row>
    <row r="113" spans="1:195" s="7" customFormat="1">
      <c r="A113" s="1"/>
      <c r="B113" s="76">
        <f t="shared" ca="1" si="50"/>
        <v>0.66279420498504571</v>
      </c>
      <c r="C113">
        <v>6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23.36785130718954</v>
      </c>
      <c r="AO113">
        <v>11.121055746892397</v>
      </c>
      <c r="AP113">
        <v>73.202797331826105</v>
      </c>
      <c r="AQ113">
        <v>61.704258980914631</v>
      </c>
      <c r="AR113">
        <v>10.210786074339197</v>
      </c>
      <c r="AS113">
        <v>52.576140452172375</v>
      </c>
      <c r="AT113">
        <v>5.6321008026543318</v>
      </c>
      <c r="AU113">
        <v>36.865903955062358</v>
      </c>
      <c r="AV113"/>
      <c r="AW113"/>
      <c r="AX113" s="146"/>
      <c r="AY113" s="76">
        <f t="shared" ca="1" si="88"/>
        <v>8.4946154740521251E-2</v>
      </c>
      <c r="AZ113">
        <v>6</v>
      </c>
      <c r="BA113" s="129">
        <f t="shared" si="129"/>
        <v>39714</v>
      </c>
      <c r="BB113">
        <v>0</v>
      </c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90"/>
        <v>0.16071128759415121</v>
      </c>
      <c r="CL113" s="179">
        <f t="shared" si="91"/>
        <v>6</v>
      </c>
      <c r="CM113" s="180">
        <f t="shared" si="92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3"/>
        <v>9.6000000000000002E-2</v>
      </c>
      <c r="DB113" s="146"/>
      <c r="DC113" s="76">
        <f t="shared" ca="1" si="51"/>
        <v>0.74503250876884186</v>
      </c>
      <c r="DD113">
        <f t="shared" si="94"/>
        <v>6</v>
      </c>
      <c r="DE113" s="129">
        <f t="shared" si="128"/>
        <v>39714</v>
      </c>
      <c r="DF113" s="161">
        <f t="shared" si="95"/>
        <v>0</v>
      </c>
      <c r="DG113" s="161">
        <f t="shared" si="96"/>
        <v>0</v>
      </c>
      <c r="DH113" s="161">
        <f t="shared" si="97"/>
        <v>0</v>
      </c>
      <c r="DI113" s="161">
        <f t="shared" si="98"/>
        <v>0</v>
      </c>
      <c r="DJ113" s="161">
        <f t="shared" si="99"/>
        <v>0</v>
      </c>
      <c r="DK113" s="161">
        <f t="shared" si="100"/>
        <v>0</v>
      </c>
      <c r="DL113" s="161">
        <f t="shared" si="101"/>
        <v>0</v>
      </c>
      <c r="DM113" s="161">
        <f t="shared" si="102"/>
        <v>0</v>
      </c>
      <c r="DN113" s="161">
        <f t="shared" si="103"/>
        <v>0</v>
      </c>
      <c r="DO113" s="161">
        <f t="shared" si="104"/>
        <v>0</v>
      </c>
      <c r="DP113" s="161">
        <f t="shared" si="105"/>
        <v>0</v>
      </c>
      <c r="DQ113" s="161">
        <f t="shared" si="106"/>
        <v>0</v>
      </c>
      <c r="DR113" s="161">
        <f t="shared" si="107"/>
        <v>0</v>
      </c>
      <c r="DS113" s="161">
        <f t="shared" si="108"/>
        <v>0</v>
      </c>
      <c r="DT113" s="161">
        <f t="shared" si="109"/>
        <v>0</v>
      </c>
      <c r="DU113" s="161">
        <f t="shared" si="110"/>
        <v>0</v>
      </c>
      <c r="DV113" s="161">
        <f t="shared" si="111"/>
        <v>0</v>
      </c>
      <c r="DW113" s="161">
        <f t="shared" si="112"/>
        <v>0</v>
      </c>
      <c r="DX113" s="161">
        <f t="shared" si="113"/>
        <v>0</v>
      </c>
      <c r="DY113" s="161">
        <f t="shared" si="114"/>
        <v>0</v>
      </c>
      <c r="DZ113" s="161">
        <f t="shared" si="115"/>
        <v>0</v>
      </c>
      <c r="EA113" s="161">
        <f t="shared" si="116"/>
        <v>0</v>
      </c>
      <c r="EB113" s="161">
        <f t="shared" si="117"/>
        <v>0</v>
      </c>
      <c r="EC113" s="161">
        <f t="shared" si="118"/>
        <v>0</v>
      </c>
      <c r="ED113" s="161">
        <f t="shared" si="119"/>
        <v>0</v>
      </c>
      <c r="EE113" s="161">
        <f t="shared" si="120"/>
        <v>0</v>
      </c>
      <c r="EF113" s="161">
        <f t="shared" si="121"/>
        <v>0</v>
      </c>
      <c r="EG113" s="161">
        <f t="shared" si="122"/>
        <v>0</v>
      </c>
      <c r="EH113" s="161">
        <f t="shared" si="123"/>
        <v>0</v>
      </c>
      <c r="EI113" s="161">
        <f t="shared" si="124"/>
        <v>0</v>
      </c>
      <c r="EJ113" s="161">
        <f t="shared" si="125"/>
        <v>0</v>
      </c>
      <c r="EK113" s="147">
        <f t="shared" si="55"/>
        <v>0</v>
      </c>
      <c r="EL113" s="149"/>
      <c r="EN113" s="146"/>
      <c r="EO113" s="146"/>
      <c r="EP113" s="139">
        <f t="shared" si="56"/>
        <v>0</v>
      </c>
      <c r="EQ113" s="139">
        <f t="shared" si="57"/>
        <v>0</v>
      </c>
      <c r="ER113" s="139">
        <f t="shared" si="58"/>
        <v>0</v>
      </c>
      <c r="ES113" s="139">
        <f t="shared" si="59"/>
        <v>0</v>
      </c>
      <c r="ET113" s="139">
        <f t="shared" si="60"/>
        <v>0</v>
      </c>
      <c r="EU113" s="139">
        <f t="shared" si="61"/>
        <v>0</v>
      </c>
      <c r="EV113" s="139">
        <f t="shared" si="62"/>
        <v>0</v>
      </c>
      <c r="EW113" s="139">
        <f t="shared" si="63"/>
        <v>0</v>
      </c>
      <c r="EX113" s="139">
        <f t="shared" si="64"/>
        <v>0</v>
      </c>
      <c r="EY113" s="139">
        <f t="shared" si="65"/>
        <v>0</v>
      </c>
      <c r="EZ113" s="139">
        <f t="shared" si="66"/>
        <v>0</v>
      </c>
      <c r="FA113" s="139">
        <f t="shared" si="67"/>
        <v>0</v>
      </c>
      <c r="FB113" s="139">
        <f t="shared" si="68"/>
        <v>0</v>
      </c>
      <c r="FC113" s="139">
        <f t="shared" si="69"/>
        <v>0</v>
      </c>
      <c r="FD113" s="139">
        <f t="shared" si="70"/>
        <v>0</v>
      </c>
      <c r="FE113" s="139">
        <f t="shared" si="71"/>
        <v>0</v>
      </c>
      <c r="FF113" s="139">
        <f t="shared" si="72"/>
        <v>0</v>
      </c>
      <c r="FG113" s="139">
        <f t="shared" si="73"/>
        <v>0</v>
      </c>
      <c r="FH113" s="139">
        <f t="shared" si="74"/>
        <v>0</v>
      </c>
      <c r="FI113" s="139">
        <f t="shared" si="75"/>
        <v>0</v>
      </c>
      <c r="FJ113" s="139">
        <f t="shared" si="76"/>
        <v>0</v>
      </c>
      <c r="FK113" s="139">
        <f t="shared" si="77"/>
        <v>0</v>
      </c>
      <c r="FL113" s="139">
        <f t="shared" si="78"/>
        <v>0</v>
      </c>
      <c r="FM113" s="139">
        <f t="shared" si="79"/>
        <v>0</v>
      </c>
      <c r="FN113" s="139">
        <f t="shared" si="80"/>
        <v>0</v>
      </c>
      <c r="FO113" s="139">
        <f t="shared" si="81"/>
        <v>0</v>
      </c>
      <c r="FP113" s="139">
        <f t="shared" si="82"/>
        <v>0</v>
      </c>
      <c r="FQ113" s="139">
        <f t="shared" si="83"/>
        <v>0</v>
      </c>
      <c r="FR113" s="139">
        <f t="shared" si="84"/>
        <v>0</v>
      </c>
      <c r="FS113" s="139">
        <f t="shared" si="85"/>
        <v>0</v>
      </c>
      <c r="FT113" s="139">
        <f t="shared" si="86"/>
        <v>0</v>
      </c>
      <c r="FU113" s="148">
        <f t="shared" si="87"/>
        <v>0</v>
      </c>
      <c r="FV113" s="149"/>
      <c r="FY113" s="212">
        <v>108</v>
      </c>
      <c r="FZ113">
        <v>0.42027927978985558</v>
      </c>
      <c r="GA113">
        <v>4.6394039823691751</v>
      </c>
      <c r="GB113">
        <v>8.020014831857722</v>
      </c>
      <c r="GC113">
        <v>3.6398551483797381</v>
      </c>
      <c r="GD113">
        <v>0.75994404174970098</v>
      </c>
      <c r="GE113">
        <v>5.1801463039436735</v>
      </c>
      <c r="GF113">
        <v>8.768299693561751</v>
      </c>
      <c r="GG113">
        <v>1.688245659777537</v>
      </c>
      <c r="GH113">
        <v>1.4365215701627503</v>
      </c>
      <c r="GI113">
        <v>4.5779673389237221</v>
      </c>
      <c r="GJ113"/>
      <c r="GK113"/>
      <c r="GL113"/>
      <c r="GM113"/>
    </row>
    <row r="114" spans="1:195" s="7" customFormat="1">
      <c r="A114" s="1"/>
      <c r="B114" s="76">
        <f t="shared" ca="1" si="50"/>
        <v>0.5378566371267528</v>
      </c>
      <c r="C114">
        <v>2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20.833333333333332</v>
      </c>
      <c r="J114">
        <v>20.833333333333332</v>
      </c>
      <c r="K114">
        <v>10.416666666666666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16.502386998976295</v>
      </c>
      <c r="AO114">
        <v>9.5413041329373591</v>
      </c>
      <c r="AP114">
        <v>54.367409310291045</v>
      </c>
      <c r="AQ114">
        <v>48.69417136563618</v>
      </c>
      <c r="AR114">
        <v>8.8167717348176176</v>
      </c>
      <c r="AS114">
        <v>51.424605915722061</v>
      </c>
      <c r="AT114">
        <v>5.4555108147099949</v>
      </c>
      <c r="AU114">
        <v>19.700240752825842</v>
      </c>
      <c r="AV114"/>
      <c r="AW114"/>
      <c r="AX114" s="146"/>
      <c r="AY114" s="76">
        <f t="shared" ca="1" si="88"/>
        <v>0.11605485240699154</v>
      </c>
      <c r="AZ114">
        <v>7</v>
      </c>
      <c r="BA114" s="129">
        <f t="shared" si="129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90"/>
        <v>0.35887318077332919</v>
      </c>
      <c r="CL114" s="179">
        <f t="shared" si="91"/>
        <v>7</v>
      </c>
      <c r="CM114" s="180">
        <f t="shared" si="92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3"/>
        <v>9.6000000000000002E-2</v>
      </c>
      <c r="DB114" s="146"/>
      <c r="DC114" s="76">
        <f t="shared" ca="1" si="51"/>
        <v>0.94848941282435706</v>
      </c>
      <c r="DD114">
        <f t="shared" si="94"/>
        <v>7</v>
      </c>
      <c r="DE114" s="129">
        <f t="shared" si="128"/>
        <v>39714</v>
      </c>
      <c r="DF114" s="161">
        <f t="shared" si="95"/>
        <v>0</v>
      </c>
      <c r="DG114" s="161">
        <f t="shared" si="96"/>
        <v>0</v>
      </c>
      <c r="DH114" s="161">
        <f t="shared" si="97"/>
        <v>0</v>
      </c>
      <c r="DI114" s="161">
        <f t="shared" si="98"/>
        <v>0</v>
      </c>
      <c r="DJ114" s="161">
        <f t="shared" si="99"/>
        <v>0</v>
      </c>
      <c r="DK114" s="161">
        <f t="shared" si="100"/>
        <v>0</v>
      </c>
      <c r="DL114" s="161">
        <f t="shared" si="101"/>
        <v>0</v>
      </c>
      <c r="DM114" s="161">
        <f t="shared" si="102"/>
        <v>0</v>
      </c>
      <c r="DN114" s="161">
        <f t="shared" si="103"/>
        <v>0</v>
      </c>
      <c r="DO114" s="161">
        <f t="shared" si="104"/>
        <v>0</v>
      </c>
      <c r="DP114" s="161">
        <f t="shared" si="105"/>
        <v>0</v>
      </c>
      <c r="DQ114" s="161">
        <f t="shared" si="106"/>
        <v>0</v>
      </c>
      <c r="DR114" s="161">
        <f t="shared" si="107"/>
        <v>0</v>
      </c>
      <c r="DS114" s="161">
        <f t="shared" si="108"/>
        <v>0</v>
      </c>
      <c r="DT114" s="161">
        <f t="shared" si="109"/>
        <v>0</v>
      </c>
      <c r="DU114" s="161">
        <f t="shared" si="110"/>
        <v>0</v>
      </c>
      <c r="DV114" s="161">
        <f t="shared" si="111"/>
        <v>0</v>
      </c>
      <c r="DW114" s="161">
        <f t="shared" si="112"/>
        <v>0</v>
      </c>
      <c r="DX114" s="161">
        <f t="shared" si="113"/>
        <v>0</v>
      </c>
      <c r="DY114" s="161">
        <f t="shared" si="114"/>
        <v>0</v>
      </c>
      <c r="DZ114" s="161">
        <f t="shared" si="115"/>
        <v>0</v>
      </c>
      <c r="EA114" s="161">
        <f t="shared" si="116"/>
        <v>0</v>
      </c>
      <c r="EB114" s="161">
        <f t="shared" si="117"/>
        <v>0</v>
      </c>
      <c r="EC114" s="161">
        <f t="shared" si="118"/>
        <v>0</v>
      </c>
      <c r="ED114" s="161">
        <f t="shared" si="119"/>
        <v>0</v>
      </c>
      <c r="EE114" s="161">
        <f t="shared" si="120"/>
        <v>0</v>
      </c>
      <c r="EF114" s="161">
        <f t="shared" si="121"/>
        <v>0</v>
      </c>
      <c r="EG114" s="161">
        <f t="shared" si="122"/>
        <v>0</v>
      </c>
      <c r="EH114" s="161">
        <f t="shared" si="123"/>
        <v>0</v>
      </c>
      <c r="EI114" s="161">
        <f t="shared" si="124"/>
        <v>0</v>
      </c>
      <c r="EJ114" s="161">
        <f t="shared" si="125"/>
        <v>0</v>
      </c>
      <c r="EK114" s="147">
        <f t="shared" si="55"/>
        <v>0</v>
      </c>
      <c r="EL114" s="149"/>
      <c r="EN114" s="146"/>
      <c r="EO114" s="146"/>
      <c r="EP114" s="139">
        <f t="shared" si="56"/>
        <v>0</v>
      </c>
      <c r="EQ114" s="139">
        <f t="shared" si="57"/>
        <v>0</v>
      </c>
      <c r="ER114" s="139">
        <f t="shared" si="58"/>
        <v>0</v>
      </c>
      <c r="ES114" s="139">
        <f t="shared" si="59"/>
        <v>0</v>
      </c>
      <c r="ET114" s="139">
        <f t="shared" si="60"/>
        <v>0</v>
      </c>
      <c r="EU114" s="139">
        <f t="shared" si="61"/>
        <v>0</v>
      </c>
      <c r="EV114" s="139">
        <f t="shared" si="62"/>
        <v>0</v>
      </c>
      <c r="EW114" s="139">
        <f t="shared" si="63"/>
        <v>0</v>
      </c>
      <c r="EX114" s="139">
        <f t="shared" si="64"/>
        <v>0</v>
      </c>
      <c r="EY114" s="139">
        <f t="shared" si="65"/>
        <v>0</v>
      </c>
      <c r="EZ114" s="139">
        <f t="shared" si="66"/>
        <v>0</v>
      </c>
      <c r="FA114" s="139">
        <f t="shared" si="67"/>
        <v>0</v>
      </c>
      <c r="FB114" s="139">
        <f t="shared" si="68"/>
        <v>0</v>
      </c>
      <c r="FC114" s="139">
        <f t="shared" si="69"/>
        <v>0</v>
      </c>
      <c r="FD114" s="139">
        <f t="shared" si="70"/>
        <v>0</v>
      </c>
      <c r="FE114" s="139">
        <f t="shared" si="71"/>
        <v>0</v>
      </c>
      <c r="FF114" s="139">
        <f t="shared" si="72"/>
        <v>0</v>
      </c>
      <c r="FG114" s="139">
        <f t="shared" si="73"/>
        <v>0</v>
      </c>
      <c r="FH114" s="139">
        <f t="shared" si="74"/>
        <v>0</v>
      </c>
      <c r="FI114" s="139">
        <f t="shared" si="75"/>
        <v>0</v>
      </c>
      <c r="FJ114" s="139">
        <f t="shared" si="76"/>
        <v>0</v>
      </c>
      <c r="FK114" s="139">
        <f t="shared" si="77"/>
        <v>0</v>
      </c>
      <c r="FL114" s="139">
        <f t="shared" si="78"/>
        <v>0</v>
      </c>
      <c r="FM114" s="139">
        <f t="shared" si="79"/>
        <v>0</v>
      </c>
      <c r="FN114" s="139">
        <f t="shared" si="80"/>
        <v>0</v>
      </c>
      <c r="FO114" s="139">
        <f t="shared" si="81"/>
        <v>0</v>
      </c>
      <c r="FP114" s="139">
        <f t="shared" si="82"/>
        <v>0</v>
      </c>
      <c r="FQ114" s="139">
        <f t="shared" si="83"/>
        <v>0</v>
      </c>
      <c r="FR114" s="139">
        <f t="shared" si="84"/>
        <v>0</v>
      </c>
      <c r="FS114" s="139">
        <f t="shared" si="85"/>
        <v>0</v>
      </c>
      <c r="FT114" s="139">
        <f t="shared" si="86"/>
        <v>0</v>
      </c>
      <c r="FU114" s="148">
        <f t="shared" si="87"/>
        <v>0</v>
      </c>
      <c r="FV114" s="149"/>
      <c r="FY114" s="212">
        <v>109</v>
      </c>
      <c r="FZ114">
        <v>8.21352529568221E-2</v>
      </c>
      <c r="GA114">
        <v>2.0642549093922726</v>
      </c>
      <c r="GB114">
        <v>3.1394646078116737</v>
      </c>
      <c r="GC114">
        <v>1.2464275738760298</v>
      </c>
      <c r="GD114">
        <v>0.63932486155714652</v>
      </c>
      <c r="GE114">
        <v>3.5970069644181848</v>
      </c>
      <c r="GF114">
        <v>9.3434705655524297</v>
      </c>
      <c r="GG114">
        <v>5.4797482559096329</v>
      </c>
      <c r="GH114">
        <v>0.60692261180709539</v>
      </c>
      <c r="GI114">
        <v>3.5412349230451552</v>
      </c>
      <c r="GJ114"/>
      <c r="GK114"/>
      <c r="GL114"/>
      <c r="GM114"/>
    </row>
    <row r="115" spans="1:195" s="7" customFormat="1">
      <c r="A115" s="1"/>
      <c r="B115" s="76">
        <f t="shared" ca="1" si="50"/>
        <v>0.76885790254197772</v>
      </c>
      <c r="C115">
        <v>8</v>
      </c>
      <c r="D115">
        <v>39714</v>
      </c>
      <c r="E115">
        <v>0</v>
      </c>
      <c r="F115">
        <v>0</v>
      </c>
      <c r="G115">
        <v>0</v>
      </c>
      <c r="H115">
        <v>10.416666666666666</v>
      </c>
      <c r="I115">
        <v>20.833333333333332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12.979166666666666</v>
      </c>
      <c r="AO115">
        <v>11.018020207179443</v>
      </c>
      <c r="AP115">
        <v>68.501610355233424</v>
      </c>
      <c r="AQ115">
        <v>59.43116619221356</v>
      </c>
      <c r="AR115">
        <v>10.148092920905722</v>
      </c>
      <c r="AS115">
        <v>48.65382210823099</v>
      </c>
      <c r="AT115">
        <v>6.1790111802088354</v>
      </c>
      <c r="AU115">
        <v>16.067498441798421</v>
      </c>
      <c r="AV115"/>
      <c r="AW115"/>
      <c r="AX115" s="146"/>
      <c r="AY115" s="76">
        <f t="shared" ca="1" si="88"/>
        <v>0.32982913327262642</v>
      </c>
      <c r="AZ115">
        <v>8</v>
      </c>
      <c r="BA115" s="129">
        <f t="shared" si="129"/>
        <v>39714</v>
      </c>
      <c r="BB115">
        <v>0</v>
      </c>
      <c r="BC115">
        <v>0</v>
      </c>
      <c r="BD115">
        <v>0</v>
      </c>
      <c r="BE115">
        <v>1</v>
      </c>
      <c r="BF115">
        <v>2</v>
      </c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90"/>
        <v>0.75176131042088756</v>
      </c>
      <c r="CL115" s="179">
        <f t="shared" si="91"/>
        <v>8</v>
      </c>
      <c r="CM115" s="180">
        <f t="shared" si="92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3"/>
        <v>9.6000000000000002E-2</v>
      </c>
      <c r="DB115" s="146"/>
      <c r="DC115" s="76">
        <f t="shared" ca="1" si="51"/>
        <v>0.63196742900990488</v>
      </c>
      <c r="DD115">
        <f t="shared" si="94"/>
        <v>8</v>
      </c>
      <c r="DE115" s="129">
        <f t="shared" si="128"/>
        <v>39714</v>
      </c>
      <c r="DF115" s="161">
        <f t="shared" si="95"/>
        <v>0</v>
      </c>
      <c r="DG115" s="161">
        <f t="shared" si="96"/>
        <v>0</v>
      </c>
      <c r="DH115" s="161">
        <f t="shared" si="97"/>
        <v>0</v>
      </c>
      <c r="DI115" s="161">
        <f t="shared" si="98"/>
        <v>10.416666666666666</v>
      </c>
      <c r="DJ115" s="161">
        <f t="shared" si="99"/>
        <v>20.833333333333332</v>
      </c>
      <c r="DK115" s="161">
        <f t="shared" si="100"/>
        <v>0</v>
      </c>
      <c r="DL115" s="161">
        <f t="shared" si="101"/>
        <v>0</v>
      </c>
      <c r="DM115" s="161">
        <f t="shared" si="102"/>
        <v>0</v>
      </c>
      <c r="DN115" s="161">
        <f t="shared" si="103"/>
        <v>0</v>
      </c>
      <c r="DO115" s="161">
        <f t="shared" si="104"/>
        <v>0</v>
      </c>
      <c r="DP115" s="161">
        <f t="shared" si="105"/>
        <v>0</v>
      </c>
      <c r="DQ115" s="161">
        <f t="shared" si="106"/>
        <v>0</v>
      </c>
      <c r="DR115" s="161">
        <f t="shared" si="107"/>
        <v>0</v>
      </c>
      <c r="DS115" s="161">
        <f t="shared" si="108"/>
        <v>0</v>
      </c>
      <c r="DT115" s="161">
        <f t="shared" si="109"/>
        <v>0</v>
      </c>
      <c r="DU115" s="161">
        <f t="shared" si="110"/>
        <v>0</v>
      </c>
      <c r="DV115" s="161">
        <f t="shared" si="111"/>
        <v>0</v>
      </c>
      <c r="DW115" s="161">
        <f t="shared" si="112"/>
        <v>0</v>
      </c>
      <c r="DX115" s="161">
        <f t="shared" si="113"/>
        <v>0</v>
      </c>
      <c r="DY115" s="161">
        <f t="shared" si="114"/>
        <v>0</v>
      </c>
      <c r="DZ115" s="161">
        <f t="shared" si="115"/>
        <v>0</v>
      </c>
      <c r="EA115" s="161">
        <f t="shared" si="116"/>
        <v>0</v>
      </c>
      <c r="EB115" s="161">
        <f t="shared" si="117"/>
        <v>0</v>
      </c>
      <c r="EC115" s="161">
        <f t="shared" si="118"/>
        <v>0</v>
      </c>
      <c r="ED115" s="161">
        <f t="shared" si="119"/>
        <v>0</v>
      </c>
      <c r="EE115" s="161">
        <f t="shared" si="120"/>
        <v>0</v>
      </c>
      <c r="EF115" s="161">
        <f t="shared" si="121"/>
        <v>0</v>
      </c>
      <c r="EG115" s="161">
        <f t="shared" si="122"/>
        <v>0</v>
      </c>
      <c r="EH115" s="161">
        <f t="shared" si="123"/>
        <v>0</v>
      </c>
      <c r="EI115" s="161">
        <f t="shared" si="124"/>
        <v>0</v>
      </c>
      <c r="EJ115" s="161">
        <f t="shared" si="125"/>
        <v>0</v>
      </c>
      <c r="EK115" s="147">
        <f t="shared" si="55"/>
        <v>31.25</v>
      </c>
      <c r="EL115" s="149"/>
      <c r="EN115" s="146"/>
      <c r="EO115" s="146"/>
      <c r="EP115" s="139">
        <f t="shared" si="56"/>
        <v>0</v>
      </c>
      <c r="EQ115" s="139">
        <f t="shared" si="57"/>
        <v>0</v>
      </c>
      <c r="ER115" s="139">
        <f t="shared" si="58"/>
        <v>0</v>
      </c>
      <c r="ES115" s="139">
        <f t="shared" si="59"/>
        <v>0.82252780626897948</v>
      </c>
      <c r="ET115" s="139">
        <f t="shared" si="60"/>
        <v>4.4511129291302316</v>
      </c>
      <c r="EU115" s="139">
        <f t="shared" si="61"/>
        <v>0</v>
      </c>
      <c r="EV115" s="139">
        <f t="shared" si="62"/>
        <v>0</v>
      </c>
      <c r="EW115" s="139">
        <f t="shared" si="63"/>
        <v>0</v>
      </c>
      <c r="EX115" s="139">
        <f t="shared" si="64"/>
        <v>0</v>
      </c>
      <c r="EY115" s="139">
        <f t="shared" si="65"/>
        <v>0</v>
      </c>
      <c r="EZ115" s="139">
        <f t="shared" si="66"/>
        <v>0</v>
      </c>
      <c r="FA115" s="139">
        <f t="shared" si="67"/>
        <v>0</v>
      </c>
      <c r="FB115" s="139">
        <f t="shared" si="68"/>
        <v>0</v>
      </c>
      <c r="FC115" s="139">
        <f t="shared" si="69"/>
        <v>0</v>
      </c>
      <c r="FD115" s="139">
        <f t="shared" si="70"/>
        <v>0</v>
      </c>
      <c r="FE115" s="139">
        <f t="shared" si="71"/>
        <v>0</v>
      </c>
      <c r="FF115" s="139">
        <f t="shared" si="72"/>
        <v>0</v>
      </c>
      <c r="FG115" s="139">
        <f t="shared" si="73"/>
        <v>0</v>
      </c>
      <c r="FH115" s="139">
        <f t="shared" si="74"/>
        <v>0</v>
      </c>
      <c r="FI115" s="139">
        <f t="shared" si="75"/>
        <v>0</v>
      </c>
      <c r="FJ115" s="139">
        <f t="shared" si="76"/>
        <v>0</v>
      </c>
      <c r="FK115" s="139">
        <f t="shared" si="77"/>
        <v>0</v>
      </c>
      <c r="FL115" s="139">
        <f t="shared" si="78"/>
        <v>0</v>
      </c>
      <c r="FM115" s="139">
        <f t="shared" si="79"/>
        <v>0</v>
      </c>
      <c r="FN115" s="139">
        <f t="shared" si="80"/>
        <v>0</v>
      </c>
      <c r="FO115" s="139">
        <f t="shared" si="81"/>
        <v>0</v>
      </c>
      <c r="FP115" s="139">
        <f t="shared" si="82"/>
        <v>0</v>
      </c>
      <c r="FQ115" s="139">
        <f t="shared" si="83"/>
        <v>0</v>
      </c>
      <c r="FR115" s="139">
        <f t="shared" si="84"/>
        <v>0</v>
      </c>
      <c r="FS115" s="139">
        <f t="shared" si="85"/>
        <v>0</v>
      </c>
      <c r="FT115" s="139">
        <f t="shared" si="86"/>
        <v>0</v>
      </c>
      <c r="FU115" s="148">
        <f t="shared" si="87"/>
        <v>5.2736407353992112</v>
      </c>
      <c r="FV115" s="149"/>
      <c r="FY115" s="212">
        <v>110</v>
      </c>
      <c r="FZ115">
        <v>3.4361577423440117</v>
      </c>
      <c r="GA115">
        <v>5.759107436107751</v>
      </c>
      <c r="GB115">
        <v>4.9747107535927331</v>
      </c>
      <c r="GC115">
        <v>2.4647757656514857</v>
      </c>
      <c r="GD115">
        <v>1.1210382081968906</v>
      </c>
      <c r="GE115">
        <v>2.1077958185425052</v>
      </c>
      <c r="GF115">
        <v>4.9036596605102591</v>
      </c>
      <c r="GG115">
        <v>4.9245297652050102</v>
      </c>
      <c r="GH115">
        <v>1.8102347595185297</v>
      </c>
      <c r="GI115">
        <v>4.1491142508672318</v>
      </c>
      <c r="GJ115"/>
      <c r="GK115"/>
      <c r="GL115"/>
      <c r="GM115"/>
    </row>
    <row r="116" spans="1:195" s="7" customFormat="1">
      <c r="A116" s="1"/>
      <c r="B116" s="76">
        <f t="shared" ca="1" si="50"/>
        <v>6.8151268484744509E-2</v>
      </c>
      <c r="C116">
        <v>9</v>
      </c>
      <c r="D116">
        <v>39714</v>
      </c>
      <c r="E116">
        <v>0</v>
      </c>
      <c r="F116">
        <v>0</v>
      </c>
      <c r="G116">
        <v>0</v>
      </c>
      <c r="H116">
        <v>10.416666666666666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20.673278899913377</v>
      </c>
      <c r="AO116">
        <v>11.947464299339664</v>
      </c>
      <c r="AP116">
        <v>83.720850014678788</v>
      </c>
      <c r="AQ116">
        <v>63.339620331798955</v>
      </c>
      <c r="AR116">
        <v>10.929563322528297</v>
      </c>
      <c r="AS116">
        <v>55.049776382679049</v>
      </c>
      <c r="AT116">
        <v>6.1820183050680759</v>
      </c>
      <c r="AU116">
        <v>-1.5580267242238355</v>
      </c>
      <c r="AV116"/>
      <c r="AW116"/>
      <c r="AX116" s="146"/>
      <c r="AY116" s="76">
        <f t="shared" ca="1" si="88"/>
        <v>2.4395746289353593E-2</v>
      </c>
      <c r="AZ116">
        <v>9</v>
      </c>
      <c r="BA116" s="129">
        <f t="shared" si="129"/>
        <v>39714</v>
      </c>
      <c r="BB116">
        <v>0</v>
      </c>
      <c r="BC116">
        <v>0</v>
      </c>
      <c r="BD116">
        <v>0</v>
      </c>
      <c r="BE116">
        <v>1</v>
      </c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90"/>
        <v>0.90158869257130392</v>
      </c>
      <c r="CL116" s="179">
        <f t="shared" si="91"/>
        <v>9</v>
      </c>
      <c r="CM116" s="180">
        <f t="shared" si="92"/>
        <v>39714</v>
      </c>
      <c r="CN116">
        <v>0</v>
      </c>
      <c r="CO116"/>
      <c r="CP116"/>
      <c r="CQ116"/>
      <c r="CR116"/>
      <c r="CS116"/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3"/>
        <v>9.6000000000000002E-2</v>
      </c>
      <c r="DB116" s="146"/>
      <c r="DC116" s="76">
        <f t="shared" ca="1" si="51"/>
        <v>0.81022034540813248</v>
      </c>
      <c r="DD116">
        <f t="shared" si="94"/>
        <v>9</v>
      </c>
      <c r="DE116" s="129">
        <f t="shared" si="128"/>
        <v>39714</v>
      </c>
      <c r="DF116" s="161">
        <f t="shared" si="95"/>
        <v>0</v>
      </c>
      <c r="DG116" s="161">
        <f t="shared" si="96"/>
        <v>0</v>
      </c>
      <c r="DH116" s="161">
        <f t="shared" si="97"/>
        <v>0</v>
      </c>
      <c r="DI116" s="161">
        <f t="shared" si="98"/>
        <v>10.416666666666666</v>
      </c>
      <c r="DJ116" s="161">
        <f t="shared" si="99"/>
        <v>0</v>
      </c>
      <c r="DK116" s="161">
        <f t="shared" si="100"/>
        <v>0</v>
      </c>
      <c r="DL116" s="161">
        <f t="shared" si="101"/>
        <v>0</v>
      </c>
      <c r="DM116" s="161">
        <f t="shared" si="102"/>
        <v>0</v>
      </c>
      <c r="DN116" s="161">
        <f t="shared" si="103"/>
        <v>0</v>
      </c>
      <c r="DO116" s="161">
        <f t="shared" si="104"/>
        <v>0</v>
      </c>
      <c r="DP116" s="161">
        <f t="shared" si="105"/>
        <v>0</v>
      </c>
      <c r="DQ116" s="161">
        <f t="shared" si="106"/>
        <v>0</v>
      </c>
      <c r="DR116" s="161">
        <f t="shared" si="107"/>
        <v>0</v>
      </c>
      <c r="DS116" s="161">
        <f t="shared" si="108"/>
        <v>0</v>
      </c>
      <c r="DT116" s="161">
        <f t="shared" si="109"/>
        <v>0</v>
      </c>
      <c r="DU116" s="161">
        <f t="shared" si="110"/>
        <v>0</v>
      </c>
      <c r="DV116" s="161">
        <f t="shared" si="111"/>
        <v>0</v>
      </c>
      <c r="DW116" s="161">
        <f t="shared" si="112"/>
        <v>0</v>
      </c>
      <c r="DX116" s="161">
        <f t="shared" si="113"/>
        <v>0</v>
      </c>
      <c r="DY116" s="161">
        <f t="shared" si="114"/>
        <v>0</v>
      </c>
      <c r="DZ116" s="161">
        <f t="shared" si="115"/>
        <v>0</v>
      </c>
      <c r="EA116" s="161">
        <f t="shared" si="116"/>
        <v>0</v>
      </c>
      <c r="EB116" s="161">
        <f t="shared" si="117"/>
        <v>0</v>
      </c>
      <c r="EC116" s="161">
        <f t="shared" si="118"/>
        <v>0</v>
      </c>
      <c r="ED116" s="161">
        <f t="shared" si="119"/>
        <v>0</v>
      </c>
      <c r="EE116" s="161">
        <f t="shared" si="120"/>
        <v>0</v>
      </c>
      <c r="EF116" s="161">
        <f t="shared" si="121"/>
        <v>0</v>
      </c>
      <c r="EG116" s="161">
        <f t="shared" si="122"/>
        <v>0</v>
      </c>
      <c r="EH116" s="161">
        <f t="shared" si="123"/>
        <v>0</v>
      </c>
      <c r="EI116" s="161">
        <f t="shared" si="124"/>
        <v>0</v>
      </c>
      <c r="EJ116" s="161">
        <f t="shared" si="125"/>
        <v>0</v>
      </c>
      <c r="EK116" s="147">
        <f t="shared" si="55"/>
        <v>10.416666666666666</v>
      </c>
      <c r="EL116" s="149"/>
      <c r="EN116" s="146"/>
      <c r="EO116" s="146"/>
      <c r="EP116" s="139">
        <f t="shared" si="56"/>
        <v>0</v>
      </c>
      <c r="EQ116" s="139">
        <f t="shared" si="57"/>
        <v>0</v>
      </c>
      <c r="ER116" s="139">
        <f t="shared" si="58"/>
        <v>0</v>
      </c>
      <c r="ES116" s="139">
        <f t="shared" si="59"/>
        <v>0.82252780626897948</v>
      </c>
      <c r="ET116" s="139">
        <f t="shared" si="60"/>
        <v>0</v>
      </c>
      <c r="EU116" s="139">
        <f t="shared" si="61"/>
        <v>0</v>
      </c>
      <c r="EV116" s="139">
        <f t="shared" si="62"/>
        <v>0</v>
      </c>
      <c r="EW116" s="139">
        <f t="shared" si="63"/>
        <v>0</v>
      </c>
      <c r="EX116" s="139">
        <f t="shared" si="64"/>
        <v>0</v>
      </c>
      <c r="EY116" s="139">
        <f t="shared" si="65"/>
        <v>0</v>
      </c>
      <c r="EZ116" s="139">
        <f t="shared" si="66"/>
        <v>0</v>
      </c>
      <c r="FA116" s="139">
        <f t="shared" si="67"/>
        <v>0</v>
      </c>
      <c r="FB116" s="139">
        <f t="shared" si="68"/>
        <v>0</v>
      </c>
      <c r="FC116" s="139">
        <f t="shared" si="69"/>
        <v>0</v>
      </c>
      <c r="FD116" s="139">
        <f t="shared" si="70"/>
        <v>0</v>
      </c>
      <c r="FE116" s="139">
        <f t="shared" si="71"/>
        <v>0</v>
      </c>
      <c r="FF116" s="139">
        <f t="shared" si="72"/>
        <v>0</v>
      </c>
      <c r="FG116" s="139">
        <f t="shared" si="73"/>
        <v>0</v>
      </c>
      <c r="FH116" s="139">
        <f t="shared" si="74"/>
        <v>0</v>
      </c>
      <c r="FI116" s="139">
        <f t="shared" si="75"/>
        <v>0</v>
      </c>
      <c r="FJ116" s="139">
        <f t="shared" si="76"/>
        <v>0</v>
      </c>
      <c r="FK116" s="139">
        <f t="shared" si="77"/>
        <v>0</v>
      </c>
      <c r="FL116" s="139">
        <f t="shared" si="78"/>
        <v>0</v>
      </c>
      <c r="FM116" s="139">
        <f t="shared" si="79"/>
        <v>0</v>
      </c>
      <c r="FN116" s="139">
        <f t="shared" si="80"/>
        <v>0</v>
      </c>
      <c r="FO116" s="139">
        <f t="shared" si="81"/>
        <v>0</v>
      </c>
      <c r="FP116" s="139">
        <f t="shared" si="82"/>
        <v>0</v>
      </c>
      <c r="FQ116" s="139">
        <f t="shared" si="83"/>
        <v>0</v>
      </c>
      <c r="FR116" s="139">
        <f t="shared" si="84"/>
        <v>0</v>
      </c>
      <c r="FS116" s="139">
        <f t="shared" si="85"/>
        <v>0</v>
      </c>
      <c r="FT116" s="139">
        <f t="shared" si="86"/>
        <v>0</v>
      </c>
      <c r="FU116" s="148">
        <f t="shared" si="87"/>
        <v>0.82252780626897948</v>
      </c>
      <c r="FV116" s="149"/>
      <c r="FY116" s="212">
        <v>111</v>
      </c>
      <c r="FZ116">
        <v>3.2929261192307662</v>
      </c>
      <c r="GA116">
        <v>5.6844829062889035</v>
      </c>
      <c r="GB116">
        <v>5.0868554717987013</v>
      </c>
      <c r="GC116">
        <v>2.8867698759403755</v>
      </c>
      <c r="GD116">
        <v>1.001528880070726</v>
      </c>
      <c r="GE116">
        <v>3.5251296555325222</v>
      </c>
      <c r="GF116">
        <v>9.3850552428990852</v>
      </c>
      <c r="GG116">
        <v>5.7867577483908192</v>
      </c>
      <c r="GH116">
        <v>1.010423826157665</v>
      </c>
      <c r="GI116">
        <v>4.7446256828778886</v>
      </c>
      <c r="GJ116"/>
      <c r="GK116"/>
      <c r="GL116"/>
      <c r="GM116"/>
    </row>
    <row r="117" spans="1:195" s="7" customFormat="1">
      <c r="A117" s="1"/>
      <c r="B117" s="76">
        <f t="shared" ca="1" si="50"/>
        <v>0.84869106477055967</v>
      </c>
      <c r="C117">
        <v>3</v>
      </c>
      <c r="D117">
        <v>39714</v>
      </c>
      <c r="E117">
        <v>0</v>
      </c>
      <c r="F117">
        <v>0</v>
      </c>
      <c r="G117">
        <v>0</v>
      </c>
      <c r="H117">
        <v>10.416666666666666</v>
      </c>
      <c r="I117">
        <v>0</v>
      </c>
      <c r="J117">
        <v>20.833333333333332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16.048278899913377</v>
      </c>
      <c r="AO117">
        <v>10.354120672767603</v>
      </c>
      <c r="AP117">
        <v>93.925537900222324</v>
      </c>
      <c r="AQ117">
        <v>60.009195247869052</v>
      </c>
      <c r="AR117">
        <v>9.4623791994037152</v>
      </c>
      <c r="AS117">
        <v>53.190052457752287</v>
      </c>
      <c r="AT117">
        <v>5.256092482601006</v>
      </c>
      <c r="AU117">
        <v>13.293876854666438</v>
      </c>
      <c r="AV117"/>
      <c r="AW117"/>
      <c r="AX117" s="146"/>
      <c r="AY117" s="76">
        <f t="shared" ca="1" si="88"/>
        <v>0.15234221720483632</v>
      </c>
      <c r="AZ117">
        <v>10</v>
      </c>
      <c r="BA117" s="129">
        <f t="shared" si="129"/>
        <v>39714</v>
      </c>
      <c r="BB117">
        <v>0</v>
      </c>
      <c r="BC117">
        <v>0</v>
      </c>
      <c r="BD117">
        <v>0</v>
      </c>
      <c r="BE117">
        <v>0</v>
      </c>
      <c r="BF117">
        <v>1</v>
      </c>
      <c r="BG117">
        <v>1</v>
      </c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90"/>
        <v>0.4125493785480665</v>
      </c>
      <c r="CL117" s="179">
        <f t="shared" si="91"/>
        <v>10</v>
      </c>
      <c r="CM117" s="180">
        <f t="shared" si="92"/>
        <v>39714</v>
      </c>
      <c r="CN117">
        <v>0</v>
      </c>
      <c r="CO117"/>
      <c r="CP117"/>
      <c r="CQ117"/>
      <c r="CR117"/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3"/>
        <v>9.6000000000000002E-2</v>
      </c>
      <c r="DB117" s="146"/>
      <c r="DC117" s="76">
        <f t="shared" ca="1" si="51"/>
        <v>0.27353766814885261</v>
      </c>
      <c r="DD117">
        <f t="shared" si="94"/>
        <v>10</v>
      </c>
      <c r="DE117" s="129">
        <f t="shared" si="128"/>
        <v>39714</v>
      </c>
      <c r="DF117" s="161">
        <f t="shared" si="95"/>
        <v>0</v>
      </c>
      <c r="DG117" s="161">
        <f t="shared" si="96"/>
        <v>0</v>
      </c>
      <c r="DH117" s="161">
        <f t="shared" si="97"/>
        <v>0</v>
      </c>
      <c r="DI117" s="161">
        <f t="shared" si="98"/>
        <v>0</v>
      </c>
      <c r="DJ117" s="161">
        <f t="shared" si="99"/>
        <v>10.416666666666666</v>
      </c>
      <c r="DK117" s="161">
        <f t="shared" si="100"/>
        <v>10.416666666666666</v>
      </c>
      <c r="DL117" s="161">
        <f t="shared" si="101"/>
        <v>0</v>
      </c>
      <c r="DM117" s="161">
        <f t="shared" si="102"/>
        <v>0</v>
      </c>
      <c r="DN117" s="161">
        <f t="shared" si="103"/>
        <v>0</v>
      </c>
      <c r="DO117" s="161">
        <f t="shared" si="104"/>
        <v>0</v>
      </c>
      <c r="DP117" s="161">
        <f t="shared" si="105"/>
        <v>0</v>
      </c>
      <c r="DQ117" s="161">
        <f t="shared" si="106"/>
        <v>0</v>
      </c>
      <c r="DR117" s="161">
        <f t="shared" si="107"/>
        <v>0</v>
      </c>
      <c r="DS117" s="161">
        <f t="shared" si="108"/>
        <v>0</v>
      </c>
      <c r="DT117" s="161">
        <f t="shared" si="109"/>
        <v>0</v>
      </c>
      <c r="DU117" s="161">
        <f t="shared" si="110"/>
        <v>0</v>
      </c>
      <c r="DV117" s="161">
        <f t="shared" si="111"/>
        <v>0</v>
      </c>
      <c r="DW117" s="161">
        <f t="shared" si="112"/>
        <v>0</v>
      </c>
      <c r="DX117" s="161">
        <f t="shared" si="113"/>
        <v>0</v>
      </c>
      <c r="DY117" s="161">
        <f t="shared" si="114"/>
        <v>0</v>
      </c>
      <c r="DZ117" s="161">
        <f t="shared" si="115"/>
        <v>0</v>
      </c>
      <c r="EA117" s="161">
        <f t="shared" si="116"/>
        <v>0</v>
      </c>
      <c r="EB117" s="161">
        <f t="shared" si="117"/>
        <v>0</v>
      </c>
      <c r="EC117" s="161">
        <f t="shared" si="118"/>
        <v>0</v>
      </c>
      <c r="ED117" s="161">
        <f t="shared" si="119"/>
        <v>0</v>
      </c>
      <c r="EE117" s="161">
        <f t="shared" si="120"/>
        <v>0</v>
      </c>
      <c r="EF117" s="161">
        <f t="shared" si="121"/>
        <v>0</v>
      </c>
      <c r="EG117" s="161">
        <f t="shared" si="122"/>
        <v>0</v>
      </c>
      <c r="EH117" s="161">
        <f t="shared" si="123"/>
        <v>0</v>
      </c>
      <c r="EI117" s="161">
        <f t="shared" si="124"/>
        <v>0</v>
      </c>
      <c r="EJ117" s="161">
        <f t="shared" si="125"/>
        <v>0</v>
      </c>
      <c r="EK117" s="147">
        <f t="shared" si="55"/>
        <v>20.833333333333332</v>
      </c>
      <c r="EL117" s="149"/>
      <c r="EN117" s="146"/>
      <c r="EO117" s="146"/>
      <c r="EP117" s="139">
        <f t="shared" si="56"/>
        <v>0</v>
      </c>
      <c r="EQ117" s="139">
        <f t="shared" si="57"/>
        <v>0</v>
      </c>
      <c r="ER117" s="139">
        <f t="shared" si="58"/>
        <v>0</v>
      </c>
      <c r="ES117" s="139">
        <f t="shared" si="59"/>
        <v>0</v>
      </c>
      <c r="ET117" s="139">
        <f t="shared" si="60"/>
        <v>2.2255564645651158</v>
      </c>
      <c r="EU117" s="139">
        <f t="shared" si="61"/>
        <v>4.8166740960912398</v>
      </c>
      <c r="EV117" s="139">
        <f t="shared" si="62"/>
        <v>0</v>
      </c>
      <c r="EW117" s="139">
        <f t="shared" si="63"/>
        <v>0</v>
      </c>
      <c r="EX117" s="139">
        <f t="shared" si="64"/>
        <v>0</v>
      </c>
      <c r="EY117" s="139">
        <f t="shared" si="65"/>
        <v>0</v>
      </c>
      <c r="EZ117" s="139">
        <f t="shared" si="66"/>
        <v>0</v>
      </c>
      <c r="FA117" s="139">
        <f t="shared" si="67"/>
        <v>0</v>
      </c>
      <c r="FB117" s="139">
        <f t="shared" si="68"/>
        <v>0</v>
      </c>
      <c r="FC117" s="139">
        <f t="shared" si="69"/>
        <v>0</v>
      </c>
      <c r="FD117" s="139">
        <f t="shared" si="70"/>
        <v>0</v>
      </c>
      <c r="FE117" s="139">
        <f t="shared" si="71"/>
        <v>0</v>
      </c>
      <c r="FF117" s="139">
        <f t="shared" si="72"/>
        <v>0</v>
      </c>
      <c r="FG117" s="139">
        <f t="shared" si="73"/>
        <v>0</v>
      </c>
      <c r="FH117" s="139">
        <f t="shared" si="74"/>
        <v>0</v>
      </c>
      <c r="FI117" s="139">
        <f t="shared" si="75"/>
        <v>0</v>
      </c>
      <c r="FJ117" s="139">
        <f t="shared" si="76"/>
        <v>0</v>
      </c>
      <c r="FK117" s="139">
        <f t="shared" si="77"/>
        <v>0</v>
      </c>
      <c r="FL117" s="139">
        <f t="shared" si="78"/>
        <v>0</v>
      </c>
      <c r="FM117" s="139">
        <f t="shared" si="79"/>
        <v>0</v>
      </c>
      <c r="FN117" s="139">
        <f t="shared" si="80"/>
        <v>0</v>
      </c>
      <c r="FO117" s="139">
        <f t="shared" si="81"/>
        <v>0</v>
      </c>
      <c r="FP117" s="139">
        <f t="shared" si="82"/>
        <v>0</v>
      </c>
      <c r="FQ117" s="139">
        <f t="shared" si="83"/>
        <v>0</v>
      </c>
      <c r="FR117" s="139">
        <f t="shared" si="84"/>
        <v>0</v>
      </c>
      <c r="FS117" s="139">
        <f t="shared" si="85"/>
        <v>0</v>
      </c>
      <c r="FT117" s="139">
        <f t="shared" si="86"/>
        <v>0</v>
      </c>
      <c r="FU117" s="148">
        <f t="shared" si="87"/>
        <v>7.0422305606563551</v>
      </c>
      <c r="FV117" s="149"/>
      <c r="FY117" s="212">
        <v>112</v>
      </c>
      <c r="FZ117">
        <v>3.4271170037058614</v>
      </c>
      <c r="GA117">
        <v>6.0076603846403893</v>
      </c>
      <c r="GB117">
        <v>4.739846297861753</v>
      </c>
      <c r="GC117">
        <v>2.5639717076723603</v>
      </c>
      <c r="GD117">
        <v>1.1426451920694087</v>
      </c>
      <c r="GE117">
        <v>4.1549588736575274</v>
      </c>
      <c r="GF117">
        <v>11.705709372558672</v>
      </c>
      <c r="GG117">
        <v>8.742335699957966</v>
      </c>
      <c r="GH117">
        <v>2.3163385846717834</v>
      </c>
      <c r="GI117">
        <v>5.7579468009269252</v>
      </c>
      <c r="GJ117"/>
      <c r="GK117"/>
      <c r="GL117"/>
      <c r="GM117"/>
    </row>
    <row r="118" spans="1:195" s="7" customFormat="1">
      <c r="A118" s="128"/>
      <c r="B118" s="76">
        <f t="shared" ca="1" si="50"/>
        <v>0.53620033442085591</v>
      </c>
      <c r="C118">
        <v>8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20.833333333333332</v>
      </c>
      <c r="K118">
        <v>20.833333333333332</v>
      </c>
      <c r="L118">
        <v>20.833333333333332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22.984821639499167</v>
      </c>
      <c r="AO118">
        <v>8.5764155054426219</v>
      </c>
      <c r="AP118">
        <v>73.959118936109874</v>
      </c>
      <c r="AQ118">
        <v>47.320215656631206</v>
      </c>
      <c r="AR118">
        <v>7.9139715040575824</v>
      </c>
      <c r="AS118">
        <v>45.840977948079875</v>
      </c>
      <c r="AT118">
        <v>4.5932973019450145</v>
      </c>
      <c r="AU118">
        <v>39.172788850294083</v>
      </c>
      <c r="AV118"/>
      <c r="AW118"/>
      <c r="AX118" s="128"/>
      <c r="AY118" s="76">
        <f t="shared" ca="1" si="88"/>
        <v>0.55916049101367582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2</v>
      </c>
      <c r="BI118">
        <v>2</v>
      </c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90"/>
        <v>0.37737508182644586</v>
      </c>
      <c r="CL118" s="179">
        <f t="shared" si="91"/>
        <v>1</v>
      </c>
      <c r="CM118" s="180">
        <f t="shared" si="92"/>
        <v>39747</v>
      </c>
      <c r="CN118">
        <v>0</v>
      </c>
      <c r="CO118">
        <v>0</v>
      </c>
      <c r="CP118">
        <v>0</v>
      </c>
      <c r="CQ118">
        <v>1</v>
      </c>
      <c r="CR118"/>
      <c r="CS118"/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3"/>
        <v>9.6000000000000002E-2</v>
      </c>
      <c r="DB118" s="128"/>
      <c r="DC118" s="76">
        <f t="shared" ca="1" si="51"/>
        <v>0.48182783331583279</v>
      </c>
      <c r="DD118">
        <f t="shared" si="94"/>
        <v>1</v>
      </c>
      <c r="DE118" s="129">
        <f t="shared" ref="DE118:DE127" si="130">IF((DD118)="", "", $C$7)</f>
        <v>39747</v>
      </c>
      <c r="DF118" s="161">
        <f t="shared" si="95"/>
        <v>0</v>
      </c>
      <c r="DG118" s="161">
        <f t="shared" si="96"/>
        <v>0</v>
      </c>
      <c r="DH118" s="161">
        <f t="shared" si="97"/>
        <v>0</v>
      </c>
      <c r="DI118" s="161">
        <f t="shared" si="98"/>
        <v>86.805555555555557</v>
      </c>
      <c r="DJ118" s="161">
        <f t="shared" si="99"/>
        <v>0</v>
      </c>
      <c r="DK118" s="161">
        <f t="shared" si="100"/>
        <v>0</v>
      </c>
      <c r="DL118" s="161">
        <f t="shared" si="101"/>
        <v>20.833333333333332</v>
      </c>
      <c r="DM118" s="161">
        <f t="shared" si="102"/>
        <v>20.833333333333332</v>
      </c>
      <c r="DN118" s="161">
        <f t="shared" si="103"/>
        <v>0</v>
      </c>
      <c r="DO118" s="161">
        <f t="shared" si="104"/>
        <v>0</v>
      </c>
      <c r="DP118" s="161">
        <f t="shared" si="105"/>
        <v>0</v>
      </c>
      <c r="DQ118" s="161">
        <f t="shared" si="106"/>
        <v>0</v>
      </c>
      <c r="DR118" s="161">
        <f t="shared" si="107"/>
        <v>0</v>
      </c>
      <c r="DS118" s="161">
        <f t="shared" si="108"/>
        <v>0</v>
      </c>
      <c r="DT118" s="161">
        <f t="shared" si="109"/>
        <v>0</v>
      </c>
      <c r="DU118" s="161">
        <f t="shared" si="110"/>
        <v>0</v>
      </c>
      <c r="DV118" s="161">
        <f t="shared" si="111"/>
        <v>0</v>
      </c>
      <c r="DW118" s="161">
        <f t="shared" si="112"/>
        <v>0</v>
      </c>
      <c r="DX118" s="161">
        <f t="shared" si="113"/>
        <v>0</v>
      </c>
      <c r="DY118" s="161">
        <f t="shared" si="114"/>
        <v>0</v>
      </c>
      <c r="DZ118" s="161">
        <f t="shared" si="115"/>
        <v>0</v>
      </c>
      <c r="EA118" s="161">
        <f t="shared" si="116"/>
        <v>0</v>
      </c>
      <c r="EB118" s="161">
        <f t="shared" si="117"/>
        <v>0</v>
      </c>
      <c r="EC118" s="161">
        <f t="shared" si="118"/>
        <v>0</v>
      </c>
      <c r="ED118" s="161">
        <f t="shared" si="119"/>
        <v>0</v>
      </c>
      <c r="EE118" s="161">
        <f t="shared" si="120"/>
        <v>0</v>
      </c>
      <c r="EF118" s="161">
        <f t="shared" si="121"/>
        <v>0</v>
      </c>
      <c r="EG118" s="161">
        <f t="shared" si="122"/>
        <v>0</v>
      </c>
      <c r="EH118" s="161">
        <f t="shared" si="123"/>
        <v>0</v>
      </c>
      <c r="EI118" s="161">
        <f t="shared" si="124"/>
        <v>0</v>
      </c>
      <c r="EJ118" s="161">
        <f t="shared" si="125"/>
        <v>0</v>
      </c>
      <c r="EK118" s="147">
        <f t="shared" si="55"/>
        <v>128.47222222222223</v>
      </c>
      <c r="EL118" s="149"/>
      <c r="EN118" s="146"/>
      <c r="EO118" s="146"/>
      <c r="EP118" s="139">
        <f t="shared" si="56"/>
        <v>0</v>
      </c>
      <c r="EQ118" s="139">
        <f t="shared" si="57"/>
        <v>0</v>
      </c>
      <c r="ER118" s="139">
        <f t="shared" si="58"/>
        <v>0</v>
      </c>
      <c r="ES118" s="139">
        <f t="shared" si="59"/>
        <v>6.8543983855748296</v>
      </c>
      <c r="ET118" s="139">
        <f t="shared" si="60"/>
        <v>0</v>
      </c>
      <c r="EU118" s="139">
        <f t="shared" si="61"/>
        <v>0</v>
      </c>
      <c r="EV118" s="139">
        <f t="shared" si="62"/>
        <v>18.102742305691617</v>
      </c>
      <c r="EW118" s="139">
        <f t="shared" si="63"/>
        <v>30.858887228971231</v>
      </c>
      <c r="EX118" s="139">
        <f t="shared" si="64"/>
        <v>0</v>
      </c>
      <c r="EY118" s="139">
        <f t="shared" si="65"/>
        <v>0</v>
      </c>
      <c r="EZ118" s="139">
        <f t="shared" si="66"/>
        <v>0</v>
      </c>
      <c r="FA118" s="139">
        <f t="shared" si="67"/>
        <v>0</v>
      </c>
      <c r="FB118" s="139">
        <f t="shared" si="68"/>
        <v>0</v>
      </c>
      <c r="FC118" s="139">
        <f t="shared" si="69"/>
        <v>0</v>
      </c>
      <c r="FD118" s="139">
        <f t="shared" si="70"/>
        <v>0</v>
      </c>
      <c r="FE118" s="139">
        <f t="shared" si="71"/>
        <v>0</v>
      </c>
      <c r="FF118" s="139">
        <f t="shared" si="72"/>
        <v>0</v>
      </c>
      <c r="FG118" s="139">
        <f t="shared" si="73"/>
        <v>0</v>
      </c>
      <c r="FH118" s="139">
        <f t="shared" si="74"/>
        <v>0</v>
      </c>
      <c r="FI118" s="139">
        <f t="shared" si="75"/>
        <v>0</v>
      </c>
      <c r="FJ118" s="139">
        <f t="shared" si="76"/>
        <v>0</v>
      </c>
      <c r="FK118" s="139">
        <f t="shared" si="77"/>
        <v>0</v>
      </c>
      <c r="FL118" s="139">
        <f t="shared" si="78"/>
        <v>0</v>
      </c>
      <c r="FM118" s="139">
        <f t="shared" si="79"/>
        <v>0</v>
      </c>
      <c r="FN118" s="139">
        <f t="shared" si="80"/>
        <v>0</v>
      </c>
      <c r="FO118" s="139">
        <f t="shared" si="81"/>
        <v>0</v>
      </c>
      <c r="FP118" s="139">
        <f t="shared" si="82"/>
        <v>0</v>
      </c>
      <c r="FQ118" s="139">
        <f t="shared" si="83"/>
        <v>0</v>
      </c>
      <c r="FR118" s="139">
        <f t="shared" si="84"/>
        <v>0</v>
      </c>
      <c r="FS118" s="139">
        <f t="shared" si="85"/>
        <v>0</v>
      </c>
      <c r="FT118" s="139">
        <f t="shared" si="86"/>
        <v>0</v>
      </c>
      <c r="FU118" s="148">
        <f t="shared" si="87"/>
        <v>55.816027920237673</v>
      </c>
      <c r="FV118" s="149"/>
      <c r="FY118" s="212">
        <v>113</v>
      </c>
      <c r="FZ118">
        <v>6.4548061849664009</v>
      </c>
      <c r="GA118">
        <v>10.582787922822208</v>
      </c>
      <c r="GB118">
        <v>5.7134120569569156</v>
      </c>
      <c r="GC118">
        <v>2.6434675987978977</v>
      </c>
      <c r="GD118">
        <v>1.5035840047463158</v>
      </c>
      <c r="GE118">
        <v>4.1420312280253562</v>
      </c>
      <c r="GF118">
        <v>10.287310101986936</v>
      </c>
      <c r="GG118">
        <v>8.6970191772441723</v>
      </c>
      <c r="GH118">
        <v>1.4934628669732659</v>
      </c>
      <c r="GI118">
        <v>6.1613593060870899</v>
      </c>
      <c r="GJ118"/>
      <c r="GK118"/>
      <c r="GL118"/>
      <c r="GM118"/>
    </row>
    <row r="119" spans="1:195" s="7" customFormat="1">
      <c r="A119" s="1"/>
      <c r="B119" s="76">
        <f t="shared" ca="1" si="50"/>
        <v>0.42122994028941152</v>
      </c>
      <c r="C119">
        <v>1</v>
      </c>
      <c r="D119">
        <v>39747</v>
      </c>
      <c r="E119">
        <v>0</v>
      </c>
      <c r="F119">
        <v>0</v>
      </c>
      <c r="G119">
        <v>0</v>
      </c>
      <c r="H119">
        <v>86.805555555555557</v>
      </c>
      <c r="I119">
        <v>0</v>
      </c>
      <c r="J119">
        <v>0</v>
      </c>
      <c r="K119">
        <v>20.833333333333332</v>
      </c>
      <c r="L119">
        <v>20.833333333333332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20.582248110087406</v>
      </c>
      <c r="AO119">
        <v>11.824816104870315</v>
      </c>
      <c r="AP119">
        <v>56.468454930247695</v>
      </c>
      <c r="AQ119">
        <v>57.695080910475838</v>
      </c>
      <c r="AR119">
        <v>10.773565374145713</v>
      </c>
      <c r="AS119">
        <v>68.505548677014446</v>
      </c>
      <c r="AT119">
        <v>5.6479254194838253</v>
      </c>
      <c r="AU119">
        <v>26.619661245335006</v>
      </c>
      <c r="AV119"/>
      <c r="AW119"/>
      <c r="AX119" s="146"/>
      <c r="AY119" s="76">
        <f t="shared" ca="1" si="88"/>
        <v>0.6349496025441006</v>
      </c>
      <c r="AZ119">
        <v>2</v>
      </c>
      <c r="BA119" s="129">
        <f t="shared" ref="BA119:BA127" si="131">IF(AZ119="", "",$C$7)</f>
        <v>39747</v>
      </c>
      <c r="BB119">
        <v>0</v>
      </c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90"/>
        <v>0.16832907622645221</v>
      </c>
      <c r="CL119" s="179">
        <f t="shared" si="91"/>
        <v>2</v>
      </c>
      <c r="CM119" s="180">
        <f t="shared" si="92"/>
        <v>39747</v>
      </c>
      <c r="CN119">
        <v>0</v>
      </c>
      <c r="CO119"/>
      <c r="CP119"/>
      <c r="CQ119"/>
      <c r="CR119"/>
      <c r="CS119"/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3"/>
        <v>9.6000000000000002E-2</v>
      </c>
      <c r="DB119" s="146"/>
      <c r="DC119" s="76">
        <f t="shared" ca="1" si="51"/>
        <v>0.65580798004599017</v>
      </c>
      <c r="DD119">
        <f t="shared" si="94"/>
        <v>2</v>
      </c>
      <c r="DE119" s="129">
        <f t="shared" si="130"/>
        <v>39747</v>
      </c>
      <c r="DF119" s="161">
        <f t="shared" si="95"/>
        <v>0</v>
      </c>
      <c r="DG119" s="161">
        <f t="shared" si="96"/>
        <v>0</v>
      </c>
      <c r="DH119" s="161">
        <f t="shared" si="97"/>
        <v>0</v>
      </c>
      <c r="DI119" s="161">
        <f t="shared" si="98"/>
        <v>0</v>
      </c>
      <c r="DJ119" s="161">
        <f t="shared" si="99"/>
        <v>0</v>
      </c>
      <c r="DK119" s="161">
        <f t="shared" si="100"/>
        <v>0</v>
      </c>
      <c r="DL119" s="161">
        <f t="shared" si="101"/>
        <v>0</v>
      </c>
      <c r="DM119" s="161">
        <f t="shared" si="102"/>
        <v>0</v>
      </c>
      <c r="DN119" s="161">
        <f t="shared" si="103"/>
        <v>0</v>
      </c>
      <c r="DO119" s="161">
        <f t="shared" si="104"/>
        <v>0</v>
      </c>
      <c r="DP119" s="161">
        <f t="shared" si="105"/>
        <v>0</v>
      </c>
      <c r="DQ119" s="161">
        <f t="shared" si="106"/>
        <v>0</v>
      </c>
      <c r="DR119" s="161">
        <f t="shared" si="107"/>
        <v>0</v>
      </c>
      <c r="DS119" s="161">
        <f t="shared" si="108"/>
        <v>0</v>
      </c>
      <c r="DT119" s="161">
        <f t="shared" si="109"/>
        <v>0</v>
      </c>
      <c r="DU119" s="161">
        <f t="shared" si="110"/>
        <v>0</v>
      </c>
      <c r="DV119" s="161">
        <f t="shared" si="111"/>
        <v>0</v>
      </c>
      <c r="DW119" s="161">
        <f t="shared" si="112"/>
        <v>0</v>
      </c>
      <c r="DX119" s="161">
        <f t="shared" si="113"/>
        <v>0</v>
      </c>
      <c r="DY119" s="161">
        <f t="shared" si="114"/>
        <v>0</v>
      </c>
      <c r="DZ119" s="161">
        <f t="shared" si="115"/>
        <v>0</v>
      </c>
      <c r="EA119" s="161">
        <f t="shared" si="116"/>
        <v>0</v>
      </c>
      <c r="EB119" s="161">
        <f t="shared" si="117"/>
        <v>0</v>
      </c>
      <c r="EC119" s="161">
        <f t="shared" si="118"/>
        <v>0</v>
      </c>
      <c r="ED119" s="161">
        <f t="shared" si="119"/>
        <v>0</v>
      </c>
      <c r="EE119" s="161">
        <f t="shared" si="120"/>
        <v>0</v>
      </c>
      <c r="EF119" s="161">
        <f t="shared" si="121"/>
        <v>0</v>
      </c>
      <c r="EG119" s="161">
        <f t="shared" si="122"/>
        <v>0</v>
      </c>
      <c r="EH119" s="161">
        <f t="shared" si="123"/>
        <v>0</v>
      </c>
      <c r="EI119" s="161">
        <f t="shared" si="124"/>
        <v>0</v>
      </c>
      <c r="EJ119" s="161">
        <f t="shared" si="125"/>
        <v>0</v>
      </c>
      <c r="EK119" s="147">
        <f t="shared" si="55"/>
        <v>0</v>
      </c>
      <c r="EL119" s="149"/>
      <c r="EN119" s="146"/>
      <c r="EO119" s="146"/>
      <c r="EP119" s="139">
        <f t="shared" si="56"/>
        <v>0</v>
      </c>
      <c r="EQ119" s="139">
        <f t="shared" si="57"/>
        <v>0</v>
      </c>
      <c r="ER119" s="139">
        <f t="shared" si="58"/>
        <v>0</v>
      </c>
      <c r="ES119" s="139">
        <f t="shared" si="59"/>
        <v>0</v>
      </c>
      <c r="ET119" s="139">
        <f t="shared" si="60"/>
        <v>0</v>
      </c>
      <c r="EU119" s="139">
        <f t="shared" si="61"/>
        <v>0</v>
      </c>
      <c r="EV119" s="139">
        <f t="shared" si="62"/>
        <v>0</v>
      </c>
      <c r="EW119" s="139">
        <f t="shared" si="63"/>
        <v>0</v>
      </c>
      <c r="EX119" s="139">
        <f t="shared" si="64"/>
        <v>0</v>
      </c>
      <c r="EY119" s="139">
        <f t="shared" si="65"/>
        <v>0</v>
      </c>
      <c r="EZ119" s="139">
        <f t="shared" si="66"/>
        <v>0</v>
      </c>
      <c r="FA119" s="139">
        <f t="shared" si="67"/>
        <v>0</v>
      </c>
      <c r="FB119" s="139">
        <f t="shared" si="68"/>
        <v>0</v>
      </c>
      <c r="FC119" s="139">
        <f t="shared" si="69"/>
        <v>0</v>
      </c>
      <c r="FD119" s="139">
        <f t="shared" si="70"/>
        <v>0</v>
      </c>
      <c r="FE119" s="139">
        <f t="shared" si="71"/>
        <v>0</v>
      </c>
      <c r="FF119" s="139">
        <f t="shared" si="72"/>
        <v>0</v>
      </c>
      <c r="FG119" s="139">
        <f t="shared" si="73"/>
        <v>0</v>
      </c>
      <c r="FH119" s="139">
        <f t="shared" si="74"/>
        <v>0</v>
      </c>
      <c r="FI119" s="139">
        <f t="shared" si="75"/>
        <v>0</v>
      </c>
      <c r="FJ119" s="139">
        <f t="shared" si="76"/>
        <v>0</v>
      </c>
      <c r="FK119" s="139">
        <f t="shared" si="77"/>
        <v>0</v>
      </c>
      <c r="FL119" s="139">
        <f t="shared" si="78"/>
        <v>0</v>
      </c>
      <c r="FM119" s="139">
        <f t="shared" si="79"/>
        <v>0</v>
      </c>
      <c r="FN119" s="139">
        <f t="shared" si="80"/>
        <v>0</v>
      </c>
      <c r="FO119" s="139">
        <f t="shared" si="81"/>
        <v>0</v>
      </c>
      <c r="FP119" s="139">
        <f t="shared" si="82"/>
        <v>0</v>
      </c>
      <c r="FQ119" s="139">
        <f t="shared" si="83"/>
        <v>0</v>
      </c>
      <c r="FR119" s="139">
        <f t="shared" si="84"/>
        <v>0</v>
      </c>
      <c r="FS119" s="139">
        <f t="shared" si="85"/>
        <v>0</v>
      </c>
      <c r="FT119" s="139">
        <f t="shared" si="86"/>
        <v>0</v>
      </c>
      <c r="FU119" s="148">
        <f t="shared" si="87"/>
        <v>0</v>
      </c>
      <c r="FV119" s="149"/>
      <c r="FY119" s="212">
        <v>114</v>
      </c>
      <c r="FZ119">
        <v>0.19491240371978827</v>
      </c>
      <c r="GA119">
        <v>5.3478357044097571</v>
      </c>
      <c r="GB119">
        <v>13.88328935841859</v>
      </c>
      <c r="GC119">
        <v>6.3999151313452778</v>
      </c>
      <c r="GD119">
        <v>1.2900804420869076</v>
      </c>
      <c r="GE119">
        <v>3.3667583501888423</v>
      </c>
      <c r="GF119">
        <v>4.0274122792117524</v>
      </c>
      <c r="GG119">
        <v>1.7837347268520807</v>
      </c>
      <c r="GH119">
        <v>1.3703262522640132</v>
      </c>
      <c r="GI119">
        <v>5.4986706017341316</v>
      </c>
      <c r="GJ119"/>
      <c r="GK119"/>
      <c r="GL119"/>
      <c r="GM119"/>
    </row>
    <row r="120" spans="1:195" s="7" customFormat="1">
      <c r="A120" s="1"/>
      <c r="B120" s="76">
        <f t="shared" ref="B120:B151" ca="1" si="132">IF(C120="", "", RAND())</f>
        <v>0.79404683193600167</v>
      </c>
      <c r="C120">
        <v>5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18.928385109063704</v>
      </c>
      <c r="AO120">
        <v>9.107820358895415</v>
      </c>
      <c r="AP120">
        <v>88.566737323769232</v>
      </c>
      <c r="AQ120">
        <v>52.603587168614489</v>
      </c>
      <c r="AR120">
        <v>8.3622427514519249</v>
      </c>
      <c r="AS120">
        <v>43.01605427864758</v>
      </c>
      <c r="AT120">
        <v>5.0177451800167043</v>
      </c>
      <c r="AU120">
        <v>35.331121423253833</v>
      </c>
      <c r="AV120"/>
      <c r="AW120"/>
      <c r="AX120" s="146"/>
      <c r="AY120" s="76">
        <f t="shared" ca="1" si="88"/>
        <v>0.27072455731777945</v>
      </c>
      <c r="AZ120">
        <v>3</v>
      </c>
      <c r="BA120" s="129">
        <f t="shared" si="131"/>
        <v>39747</v>
      </c>
      <c r="BB120">
        <v>0</v>
      </c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90"/>
        <v>0.62521227174268867</v>
      </c>
      <c r="CL120" s="179">
        <f t="shared" si="91"/>
        <v>3</v>
      </c>
      <c r="CM120" s="180">
        <f t="shared" si="92"/>
        <v>39747</v>
      </c>
      <c r="CN120"/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3"/>
        <v>9.6000000000000002E-2</v>
      </c>
      <c r="DB120" s="146"/>
      <c r="DC120" s="76">
        <f t="shared" ca="1" si="51"/>
        <v>1.2548848117853506E-2</v>
      </c>
      <c r="DD120">
        <f t="shared" si="94"/>
        <v>3</v>
      </c>
      <c r="DE120" s="129">
        <f t="shared" si="130"/>
        <v>39747</v>
      </c>
      <c r="DF120" s="161">
        <f t="shared" si="95"/>
        <v>0</v>
      </c>
      <c r="DG120" s="161">
        <f t="shared" si="96"/>
        <v>0</v>
      </c>
      <c r="DH120" s="161">
        <f t="shared" si="97"/>
        <v>0</v>
      </c>
      <c r="DI120" s="161">
        <f t="shared" si="98"/>
        <v>0</v>
      </c>
      <c r="DJ120" s="161">
        <f t="shared" si="99"/>
        <v>0</v>
      </c>
      <c r="DK120" s="161">
        <f t="shared" si="100"/>
        <v>0</v>
      </c>
      <c r="DL120" s="161">
        <f t="shared" si="101"/>
        <v>0</v>
      </c>
      <c r="DM120" s="161">
        <f t="shared" si="102"/>
        <v>0</v>
      </c>
      <c r="DN120" s="161">
        <f t="shared" si="103"/>
        <v>0</v>
      </c>
      <c r="DO120" s="161">
        <f t="shared" si="104"/>
        <v>0</v>
      </c>
      <c r="DP120" s="161">
        <f t="shared" si="105"/>
        <v>0</v>
      </c>
      <c r="DQ120" s="161">
        <f t="shared" si="106"/>
        <v>0</v>
      </c>
      <c r="DR120" s="161">
        <f t="shared" si="107"/>
        <v>0</v>
      </c>
      <c r="DS120" s="161">
        <f t="shared" si="108"/>
        <v>0</v>
      </c>
      <c r="DT120" s="161">
        <f t="shared" si="109"/>
        <v>0</v>
      </c>
      <c r="DU120" s="161">
        <f t="shared" si="110"/>
        <v>0</v>
      </c>
      <c r="DV120" s="161">
        <f t="shared" si="111"/>
        <v>0</v>
      </c>
      <c r="DW120" s="161">
        <f t="shared" si="112"/>
        <v>0</v>
      </c>
      <c r="DX120" s="161">
        <f t="shared" si="113"/>
        <v>0</v>
      </c>
      <c r="DY120" s="161">
        <f t="shared" si="114"/>
        <v>0</v>
      </c>
      <c r="DZ120" s="161">
        <f t="shared" si="115"/>
        <v>0</v>
      </c>
      <c r="EA120" s="161">
        <f t="shared" si="116"/>
        <v>0</v>
      </c>
      <c r="EB120" s="161">
        <f t="shared" si="117"/>
        <v>0</v>
      </c>
      <c r="EC120" s="161">
        <f t="shared" si="118"/>
        <v>0</v>
      </c>
      <c r="ED120" s="161">
        <f t="shared" si="119"/>
        <v>0</v>
      </c>
      <c r="EE120" s="161">
        <f t="shared" si="120"/>
        <v>0</v>
      </c>
      <c r="EF120" s="161">
        <f t="shared" si="121"/>
        <v>0</v>
      </c>
      <c r="EG120" s="161">
        <f t="shared" si="122"/>
        <v>0</v>
      </c>
      <c r="EH120" s="161">
        <f t="shared" si="123"/>
        <v>0</v>
      </c>
      <c r="EI120" s="161">
        <f t="shared" si="124"/>
        <v>0</v>
      </c>
      <c r="EJ120" s="161">
        <f t="shared" si="125"/>
        <v>0</v>
      </c>
      <c r="EK120" s="147">
        <f t="shared" ref="EK120:EK151" si="133">IF(DF120="", "", SUM(DF120:EJ120))</f>
        <v>0</v>
      </c>
      <c r="EL120" s="149"/>
      <c r="EN120" s="146"/>
      <c r="EO120" s="146"/>
      <c r="EP120" s="139">
        <f t="shared" ref="EP120:EP151" si="134">IF(DF120="", "", DF120*G$36)</f>
        <v>0</v>
      </c>
      <c r="EQ120" s="139">
        <f t="shared" ref="EQ120:EQ151" si="135">IF(DG120="", "", DG120*H$36)</f>
        <v>0</v>
      </c>
      <c r="ER120" s="139">
        <f t="shared" ref="ER120:ER151" si="136">IF(DH120="", "", DH120*I$36)</f>
        <v>0</v>
      </c>
      <c r="ES120" s="139">
        <f t="shared" ref="ES120:ES151" si="137">IF(DI120="", "", DI120*J$36)</f>
        <v>0</v>
      </c>
      <c r="ET120" s="139">
        <f t="shared" ref="ET120:ET151" si="138">IF(DJ120="", "", DJ120*K$36)</f>
        <v>0</v>
      </c>
      <c r="EU120" s="139">
        <f t="shared" ref="EU120:EU151" si="139">IF(DK120="", "", DK120*L$36)</f>
        <v>0</v>
      </c>
      <c r="EV120" s="139">
        <f t="shared" ref="EV120:EV151" si="140">IF(DL120="", "", DL120*M$36)</f>
        <v>0</v>
      </c>
      <c r="EW120" s="139">
        <f t="shared" ref="EW120:EW151" si="141">IF(DM120="", "", DM120*N$36)</f>
        <v>0</v>
      </c>
      <c r="EX120" s="139">
        <f t="shared" ref="EX120:EX151" si="142">IF(DN120="", "", DN120*O$36)</f>
        <v>0</v>
      </c>
      <c r="EY120" s="139">
        <f t="shared" ref="EY120:EY151" si="143">IF(DO120="", "", DO120*P$36)</f>
        <v>0</v>
      </c>
      <c r="EZ120" s="139">
        <f t="shared" ref="EZ120:EZ151" si="144">IF(DP120="", "", DP120*Q$36)</f>
        <v>0</v>
      </c>
      <c r="FA120" s="139">
        <f t="shared" ref="FA120:FA151" si="145">IF(DQ120="", "", DQ120*R$36)</f>
        <v>0</v>
      </c>
      <c r="FB120" s="139">
        <f t="shared" ref="FB120:FB151" si="146">IF(DR120="", "", DR120*S$36)</f>
        <v>0</v>
      </c>
      <c r="FC120" s="139">
        <f t="shared" ref="FC120:FC151" si="147">IF(DS120="", "", DS120*T$36)</f>
        <v>0</v>
      </c>
      <c r="FD120" s="139">
        <f t="shared" ref="FD120:FD151" si="148">IF(DT120="", "", DT120*U$36)</f>
        <v>0</v>
      </c>
      <c r="FE120" s="139">
        <f t="shared" ref="FE120:FE151" si="149">IF(DU120="", "", DU120*V$36)</f>
        <v>0</v>
      </c>
      <c r="FF120" s="139">
        <f t="shared" ref="FF120:FF151" si="150">IF(DV120="", "", DV120*W$36)</f>
        <v>0</v>
      </c>
      <c r="FG120" s="139">
        <f t="shared" ref="FG120:FG151" si="151">IF(DW120="", "", DW120*X$36)</f>
        <v>0</v>
      </c>
      <c r="FH120" s="139">
        <f t="shared" ref="FH120:FH151" si="152">IF(DX120="", "", DX120*Y$36)</f>
        <v>0</v>
      </c>
      <c r="FI120" s="139">
        <f t="shared" ref="FI120:FI151" si="153">IF(DY120="", "", DY120*Z$36)</f>
        <v>0</v>
      </c>
      <c r="FJ120" s="139">
        <f t="shared" ref="FJ120:FJ151" si="154">IF(DZ120="", "", DZ120*AA$36)</f>
        <v>0</v>
      </c>
      <c r="FK120" s="139">
        <f t="shared" ref="FK120:FK151" si="155">IF(EA120="", "", EA120*AB$36)</f>
        <v>0</v>
      </c>
      <c r="FL120" s="139">
        <f t="shared" ref="FL120:FL151" si="156">IF(EB120="", "", EB120*AC$36)</f>
        <v>0</v>
      </c>
      <c r="FM120" s="139">
        <f t="shared" ref="FM120:FM151" si="157">IF(EC120="", "", EC120*AD$36)</f>
        <v>0</v>
      </c>
      <c r="FN120" s="139">
        <f t="shared" ref="FN120:FN151" si="158">IF(ED120="", "", ED120*AE$36)</f>
        <v>0</v>
      </c>
      <c r="FO120" s="139">
        <f t="shared" ref="FO120:FO151" si="159">IF(EE120="", "", EE120*AF$36)</f>
        <v>0</v>
      </c>
      <c r="FP120" s="139">
        <f t="shared" ref="FP120:FP151" si="160">IF(EF120="", "", EF120*AG$36)</f>
        <v>0</v>
      </c>
      <c r="FQ120" s="139">
        <f t="shared" ref="FQ120:FQ151" si="161">IF(EG120="", "", EG120*AH$36)</f>
        <v>0</v>
      </c>
      <c r="FR120" s="139">
        <f t="shared" ref="FR120:FR151" si="162">IF(EH120="", "", EH120*AI$36)</f>
        <v>0</v>
      </c>
      <c r="FS120" s="139">
        <f t="shared" ref="FS120:FS151" si="163">IF(EI120="", "", EI120*AJ$36)</f>
        <v>0</v>
      </c>
      <c r="FT120" s="139">
        <f t="shared" ref="FT120:FT151" si="164">IF(EJ120="", "", EJ120*AK$36)</f>
        <v>0</v>
      </c>
      <c r="FU120" s="148">
        <f t="shared" ref="FU120:FU151" si="165">IF(EP120="","",SUM(EP120:FT120))</f>
        <v>0</v>
      </c>
      <c r="FV120" s="149"/>
      <c r="FY120" s="212">
        <v>115</v>
      </c>
      <c r="FZ120">
        <v>3.3750613721875879</v>
      </c>
      <c r="GA120">
        <v>6.9795820666364676</v>
      </c>
      <c r="GB120">
        <v>8.4318421001611963</v>
      </c>
      <c r="GC120">
        <v>4.1827630744732769</v>
      </c>
      <c r="GD120">
        <v>2.0315900279629844</v>
      </c>
      <c r="GE120">
        <v>4.0140813015881545</v>
      </c>
      <c r="GF120">
        <v>8.9053255537728262</v>
      </c>
      <c r="GG120">
        <v>9.8218340915165072</v>
      </c>
      <c r="GH120">
        <v>3.6502575440318505</v>
      </c>
      <c r="GI120">
        <v>6.9129979784613216</v>
      </c>
      <c r="GJ120"/>
      <c r="GK120"/>
      <c r="GL120"/>
      <c r="GM120"/>
    </row>
    <row r="121" spans="1:195" s="7" customFormat="1">
      <c r="A121" s="1"/>
      <c r="B121" s="76">
        <f t="shared" ca="1" si="132"/>
        <v>0.64012887682396724</v>
      </c>
      <c r="C121">
        <v>9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10.416666666666666</v>
      </c>
      <c r="K121">
        <v>10.416666666666666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12.279411764705882</v>
      </c>
      <c r="AO121">
        <v>7.8827443789475158</v>
      </c>
      <c r="AP121">
        <v>50.256684323274428</v>
      </c>
      <c r="AQ121">
        <v>38.496986877859428</v>
      </c>
      <c r="AR121">
        <v>7.2341248521835917</v>
      </c>
      <c r="AS121">
        <v>39.931575624627691</v>
      </c>
      <c r="AT121">
        <v>4.4005978643033901</v>
      </c>
      <c r="AU121">
        <v>21.016786190017999</v>
      </c>
      <c r="AV121"/>
      <c r="AW121"/>
      <c r="AX121" s="146"/>
      <c r="AY121" s="76">
        <f t="shared" ca="1" si="88"/>
        <v>7.9571377416574052E-2</v>
      </c>
      <c r="AZ121">
        <v>4</v>
      </c>
      <c r="BA121" s="129">
        <f t="shared" si="131"/>
        <v>39747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0</v>
      </c>
      <c r="BI121">
        <v>1</v>
      </c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90"/>
        <v>0.97498140670889644</v>
      </c>
      <c r="CL121" s="179">
        <f t="shared" si="91"/>
        <v>4</v>
      </c>
      <c r="CM121" s="180">
        <f t="shared" si="92"/>
        <v>39747</v>
      </c>
      <c r="CN121">
        <v>0</v>
      </c>
      <c r="CO121"/>
      <c r="CP121"/>
      <c r="CQ121"/>
      <c r="CR121"/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3"/>
        <v>9.6000000000000002E-2</v>
      </c>
      <c r="DB121" s="146"/>
      <c r="DC121" s="76">
        <f t="shared" ca="1" si="51"/>
        <v>0.73293906289185995</v>
      </c>
      <c r="DD121">
        <f t="shared" si="94"/>
        <v>4</v>
      </c>
      <c r="DE121" s="129">
        <f t="shared" si="130"/>
        <v>39747</v>
      </c>
      <c r="DF121" s="161">
        <f t="shared" si="95"/>
        <v>0</v>
      </c>
      <c r="DG121" s="161">
        <f t="shared" si="96"/>
        <v>0</v>
      </c>
      <c r="DH121" s="161">
        <f t="shared" si="97"/>
        <v>0</v>
      </c>
      <c r="DI121" s="161">
        <f t="shared" si="98"/>
        <v>0</v>
      </c>
      <c r="DJ121" s="161">
        <f t="shared" si="99"/>
        <v>0</v>
      </c>
      <c r="DK121" s="161">
        <f t="shared" si="100"/>
        <v>28.409090909090907</v>
      </c>
      <c r="DL121" s="161">
        <f t="shared" si="101"/>
        <v>0</v>
      </c>
      <c r="DM121" s="161">
        <f t="shared" si="102"/>
        <v>28.409090909090907</v>
      </c>
      <c r="DN121" s="161">
        <f t="shared" si="103"/>
        <v>0</v>
      </c>
      <c r="DO121" s="161">
        <f t="shared" si="104"/>
        <v>0</v>
      </c>
      <c r="DP121" s="161">
        <f t="shared" si="105"/>
        <v>0</v>
      </c>
      <c r="DQ121" s="161">
        <f t="shared" si="106"/>
        <v>0</v>
      </c>
      <c r="DR121" s="161">
        <f t="shared" si="107"/>
        <v>0</v>
      </c>
      <c r="DS121" s="161">
        <f t="shared" si="108"/>
        <v>0</v>
      </c>
      <c r="DT121" s="161">
        <f t="shared" si="109"/>
        <v>0</v>
      </c>
      <c r="DU121" s="161">
        <f t="shared" si="110"/>
        <v>0</v>
      </c>
      <c r="DV121" s="161">
        <f t="shared" si="111"/>
        <v>0</v>
      </c>
      <c r="DW121" s="161">
        <f t="shared" si="112"/>
        <v>0</v>
      </c>
      <c r="DX121" s="161">
        <f t="shared" si="113"/>
        <v>0</v>
      </c>
      <c r="DY121" s="161">
        <f t="shared" si="114"/>
        <v>0</v>
      </c>
      <c r="DZ121" s="161">
        <f t="shared" si="115"/>
        <v>0</v>
      </c>
      <c r="EA121" s="161">
        <f t="shared" si="116"/>
        <v>0</v>
      </c>
      <c r="EB121" s="161">
        <f t="shared" si="117"/>
        <v>0</v>
      </c>
      <c r="EC121" s="161">
        <f t="shared" si="118"/>
        <v>0</v>
      </c>
      <c r="ED121" s="161">
        <f t="shared" si="119"/>
        <v>0</v>
      </c>
      <c r="EE121" s="161">
        <f t="shared" si="120"/>
        <v>0</v>
      </c>
      <c r="EF121" s="161">
        <f t="shared" si="121"/>
        <v>0</v>
      </c>
      <c r="EG121" s="161">
        <f t="shared" si="122"/>
        <v>0</v>
      </c>
      <c r="EH121" s="161">
        <f t="shared" si="123"/>
        <v>0</v>
      </c>
      <c r="EI121" s="161">
        <f t="shared" si="124"/>
        <v>0</v>
      </c>
      <c r="EJ121" s="161">
        <f t="shared" si="125"/>
        <v>0</v>
      </c>
      <c r="EK121" s="147">
        <f t="shared" si="133"/>
        <v>56.818181818181813</v>
      </c>
      <c r="EL121" s="149"/>
      <c r="EN121" s="146"/>
      <c r="EO121" s="146"/>
      <c r="EP121" s="139">
        <f t="shared" si="134"/>
        <v>0</v>
      </c>
      <c r="EQ121" s="139">
        <f t="shared" si="135"/>
        <v>0</v>
      </c>
      <c r="ER121" s="139">
        <f t="shared" si="136"/>
        <v>0</v>
      </c>
      <c r="ES121" s="139">
        <f t="shared" si="137"/>
        <v>0</v>
      </c>
      <c r="ET121" s="139">
        <f t="shared" si="138"/>
        <v>0</v>
      </c>
      <c r="EU121" s="139">
        <f t="shared" si="139"/>
        <v>13.136383898430655</v>
      </c>
      <c r="EV121" s="139">
        <f t="shared" si="140"/>
        <v>0</v>
      </c>
      <c r="EW121" s="139">
        <f t="shared" si="141"/>
        <v>42.080300766778947</v>
      </c>
      <c r="EX121" s="139">
        <f t="shared" si="142"/>
        <v>0</v>
      </c>
      <c r="EY121" s="139">
        <f t="shared" si="143"/>
        <v>0</v>
      </c>
      <c r="EZ121" s="139">
        <f t="shared" si="144"/>
        <v>0</v>
      </c>
      <c r="FA121" s="139">
        <f t="shared" si="145"/>
        <v>0</v>
      </c>
      <c r="FB121" s="139">
        <f t="shared" si="146"/>
        <v>0</v>
      </c>
      <c r="FC121" s="139">
        <f t="shared" si="147"/>
        <v>0</v>
      </c>
      <c r="FD121" s="139">
        <f t="shared" si="148"/>
        <v>0</v>
      </c>
      <c r="FE121" s="139">
        <f t="shared" si="149"/>
        <v>0</v>
      </c>
      <c r="FF121" s="139">
        <f t="shared" si="150"/>
        <v>0</v>
      </c>
      <c r="FG121" s="139">
        <f t="shared" si="151"/>
        <v>0</v>
      </c>
      <c r="FH121" s="139">
        <f t="shared" si="152"/>
        <v>0</v>
      </c>
      <c r="FI121" s="139">
        <f t="shared" si="153"/>
        <v>0</v>
      </c>
      <c r="FJ121" s="139">
        <f t="shared" si="154"/>
        <v>0</v>
      </c>
      <c r="FK121" s="139">
        <f t="shared" si="155"/>
        <v>0</v>
      </c>
      <c r="FL121" s="139">
        <f t="shared" si="156"/>
        <v>0</v>
      </c>
      <c r="FM121" s="139">
        <f t="shared" si="157"/>
        <v>0</v>
      </c>
      <c r="FN121" s="139">
        <f t="shared" si="158"/>
        <v>0</v>
      </c>
      <c r="FO121" s="139">
        <f t="shared" si="159"/>
        <v>0</v>
      </c>
      <c r="FP121" s="139">
        <f t="shared" si="160"/>
        <v>0</v>
      </c>
      <c r="FQ121" s="139">
        <f t="shared" si="161"/>
        <v>0</v>
      </c>
      <c r="FR121" s="139">
        <f t="shared" si="162"/>
        <v>0</v>
      </c>
      <c r="FS121" s="139">
        <f t="shared" si="163"/>
        <v>0</v>
      </c>
      <c r="FT121" s="139">
        <f t="shared" si="164"/>
        <v>0</v>
      </c>
      <c r="FU121" s="148">
        <f t="shared" si="165"/>
        <v>55.216684665209598</v>
      </c>
      <c r="FV121" s="149"/>
      <c r="FY121" s="212">
        <v>116</v>
      </c>
      <c r="FZ121">
        <v>3.4789852097682692</v>
      </c>
      <c r="GA121">
        <v>6.6266333787396023</v>
      </c>
      <c r="GB121">
        <v>3.8486799818514283</v>
      </c>
      <c r="GC121">
        <v>2.0203232842897778</v>
      </c>
      <c r="GD121">
        <v>2.5766980203674446</v>
      </c>
      <c r="GE121">
        <v>6.3460753668392886</v>
      </c>
      <c r="GF121">
        <v>7.9365020881083588</v>
      </c>
      <c r="GG121">
        <v>6.4912025507231323</v>
      </c>
      <c r="GH121">
        <v>3.2239022557165908</v>
      </c>
      <c r="GI121">
        <v>5.7246776472453984</v>
      </c>
      <c r="GJ121"/>
      <c r="GK121"/>
      <c r="GL121"/>
      <c r="GM121"/>
    </row>
    <row r="122" spans="1:195" s="7" customFormat="1">
      <c r="A122" s="1"/>
      <c r="B122" s="76">
        <f t="shared" ca="1" si="132"/>
        <v>0.71538468926159204</v>
      </c>
      <c r="C122">
        <v>10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14.609897925033469</v>
      </c>
      <c r="AO122">
        <v>8.2301283149794848</v>
      </c>
      <c r="AP122">
        <v>34.454388112859505</v>
      </c>
      <c r="AQ122">
        <v>45.337780140178324</v>
      </c>
      <c r="AR122">
        <v>7.5708386950477262</v>
      </c>
      <c r="AS122">
        <v>43.564850763062886</v>
      </c>
      <c r="AT122">
        <v>4.2305135823461004</v>
      </c>
      <c r="AU122">
        <v>-2.4781121415908069</v>
      </c>
      <c r="AV122"/>
      <c r="AW122"/>
      <c r="AX122" s="146"/>
      <c r="AY122" s="76">
        <f t="shared" ca="1" si="88"/>
        <v>1.5660829796694253E-2</v>
      </c>
      <c r="AZ122">
        <v>5</v>
      </c>
      <c r="BA122" s="129">
        <f t="shared" si="131"/>
        <v>39747</v>
      </c>
      <c r="BB122">
        <v>0</v>
      </c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90"/>
        <v>0.8175070680651717</v>
      </c>
      <c r="CL122" s="179">
        <f t="shared" si="91"/>
        <v>5</v>
      </c>
      <c r="CM122" s="180">
        <f t="shared" si="92"/>
        <v>39747</v>
      </c>
      <c r="CN122">
        <v>0</v>
      </c>
      <c r="CO122"/>
      <c r="CP122"/>
      <c r="CQ122"/>
      <c r="CR122"/>
      <c r="CS122"/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3"/>
        <v>9.6000000000000002E-2</v>
      </c>
      <c r="DB122" s="146"/>
      <c r="DC122" s="76">
        <f t="shared" ca="1" si="51"/>
        <v>0.33790583941405039</v>
      </c>
      <c r="DD122">
        <f t="shared" si="94"/>
        <v>5</v>
      </c>
      <c r="DE122" s="129">
        <f t="shared" si="130"/>
        <v>39747</v>
      </c>
      <c r="DF122" s="161">
        <f t="shared" si="95"/>
        <v>0</v>
      </c>
      <c r="DG122" s="161">
        <f t="shared" si="96"/>
        <v>0</v>
      </c>
      <c r="DH122" s="161">
        <f t="shared" si="97"/>
        <v>0</v>
      </c>
      <c r="DI122" s="161">
        <f t="shared" si="98"/>
        <v>0</v>
      </c>
      <c r="DJ122" s="161">
        <f t="shared" si="99"/>
        <v>0</v>
      </c>
      <c r="DK122" s="161">
        <f t="shared" si="100"/>
        <v>0</v>
      </c>
      <c r="DL122" s="161">
        <f t="shared" si="101"/>
        <v>0</v>
      </c>
      <c r="DM122" s="161">
        <f t="shared" si="102"/>
        <v>0</v>
      </c>
      <c r="DN122" s="161">
        <f t="shared" si="103"/>
        <v>0</v>
      </c>
      <c r="DO122" s="161">
        <f t="shared" si="104"/>
        <v>0</v>
      </c>
      <c r="DP122" s="161">
        <f t="shared" si="105"/>
        <v>0</v>
      </c>
      <c r="DQ122" s="161">
        <f t="shared" si="106"/>
        <v>0</v>
      </c>
      <c r="DR122" s="161">
        <f t="shared" si="107"/>
        <v>0</v>
      </c>
      <c r="DS122" s="161">
        <f t="shared" si="108"/>
        <v>0</v>
      </c>
      <c r="DT122" s="161">
        <f t="shared" si="109"/>
        <v>0</v>
      </c>
      <c r="DU122" s="161">
        <f t="shared" si="110"/>
        <v>0</v>
      </c>
      <c r="DV122" s="161">
        <f t="shared" si="111"/>
        <v>0</v>
      </c>
      <c r="DW122" s="161">
        <f t="shared" si="112"/>
        <v>0</v>
      </c>
      <c r="DX122" s="161">
        <f t="shared" si="113"/>
        <v>0</v>
      </c>
      <c r="DY122" s="161">
        <f t="shared" si="114"/>
        <v>0</v>
      </c>
      <c r="DZ122" s="161">
        <f t="shared" si="115"/>
        <v>0</v>
      </c>
      <c r="EA122" s="161">
        <f t="shared" si="116"/>
        <v>0</v>
      </c>
      <c r="EB122" s="161">
        <f t="shared" si="117"/>
        <v>0</v>
      </c>
      <c r="EC122" s="161">
        <f t="shared" si="118"/>
        <v>0</v>
      </c>
      <c r="ED122" s="161">
        <f t="shared" si="119"/>
        <v>0</v>
      </c>
      <c r="EE122" s="161">
        <f t="shared" si="120"/>
        <v>0</v>
      </c>
      <c r="EF122" s="161">
        <f t="shared" si="121"/>
        <v>0</v>
      </c>
      <c r="EG122" s="161">
        <f t="shared" si="122"/>
        <v>0</v>
      </c>
      <c r="EH122" s="161">
        <f t="shared" si="123"/>
        <v>0</v>
      </c>
      <c r="EI122" s="161">
        <f t="shared" si="124"/>
        <v>0</v>
      </c>
      <c r="EJ122" s="161">
        <f t="shared" si="125"/>
        <v>0</v>
      </c>
      <c r="EK122" s="147">
        <f t="shared" si="133"/>
        <v>0</v>
      </c>
      <c r="EL122" s="149"/>
      <c r="EN122" s="146"/>
      <c r="EO122" s="146"/>
      <c r="EP122" s="139">
        <f t="shared" si="134"/>
        <v>0</v>
      </c>
      <c r="EQ122" s="139">
        <f t="shared" si="135"/>
        <v>0</v>
      </c>
      <c r="ER122" s="139">
        <f t="shared" si="136"/>
        <v>0</v>
      </c>
      <c r="ES122" s="139">
        <f t="shared" si="137"/>
        <v>0</v>
      </c>
      <c r="ET122" s="139">
        <f t="shared" si="138"/>
        <v>0</v>
      </c>
      <c r="EU122" s="139">
        <f t="shared" si="139"/>
        <v>0</v>
      </c>
      <c r="EV122" s="139">
        <f t="shared" si="140"/>
        <v>0</v>
      </c>
      <c r="EW122" s="139">
        <f t="shared" si="141"/>
        <v>0</v>
      </c>
      <c r="EX122" s="139">
        <f t="shared" si="142"/>
        <v>0</v>
      </c>
      <c r="EY122" s="139">
        <f t="shared" si="143"/>
        <v>0</v>
      </c>
      <c r="EZ122" s="139">
        <f t="shared" si="144"/>
        <v>0</v>
      </c>
      <c r="FA122" s="139">
        <f t="shared" si="145"/>
        <v>0</v>
      </c>
      <c r="FB122" s="139">
        <f t="shared" si="146"/>
        <v>0</v>
      </c>
      <c r="FC122" s="139">
        <f t="shared" si="147"/>
        <v>0</v>
      </c>
      <c r="FD122" s="139">
        <f t="shared" si="148"/>
        <v>0</v>
      </c>
      <c r="FE122" s="139">
        <f t="shared" si="149"/>
        <v>0</v>
      </c>
      <c r="FF122" s="139">
        <f t="shared" si="150"/>
        <v>0</v>
      </c>
      <c r="FG122" s="139">
        <f t="shared" si="151"/>
        <v>0</v>
      </c>
      <c r="FH122" s="139">
        <f t="shared" si="152"/>
        <v>0</v>
      </c>
      <c r="FI122" s="139">
        <f t="shared" si="153"/>
        <v>0</v>
      </c>
      <c r="FJ122" s="139">
        <f t="shared" si="154"/>
        <v>0</v>
      </c>
      <c r="FK122" s="139">
        <f t="shared" si="155"/>
        <v>0</v>
      </c>
      <c r="FL122" s="139">
        <f t="shared" si="156"/>
        <v>0</v>
      </c>
      <c r="FM122" s="139">
        <f t="shared" si="157"/>
        <v>0</v>
      </c>
      <c r="FN122" s="139">
        <f t="shared" si="158"/>
        <v>0</v>
      </c>
      <c r="FO122" s="139">
        <f t="shared" si="159"/>
        <v>0</v>
      </c>
      <c r="FP122" s="139">
        <f t="shared" si="160"/>
        <v>0</v>
      </c>
      <c r="FQ122" s="139">
        <f t="shared" si="161"/>
        <v>0</v>
      </c>
      <c r="FR122" s="139">
        <f t="shared" si="162"/>
        <v>0</v>
      </c>
      <c r="FS122" s="139">
        <f t="shared" si="163"/>
        <v>0</v>
      </c>
      <c r="FT122" s="139">
        <f t="shared" si="164"/>
        <v>0</v>
      </c>
      <c r="FU122" s="148">
        <f t="shared" si="165"/>
        <v>0</v>
      </c>
      <c r="FV122" s="149"/>
      <c r="FY122" s="212">
        <v>117</v>
      </c>
      <c r="FZ122">
        <v>0.19491240371978827</v>
      </c>
      <c r="GA122">
        <v>4.0284980157818504</v>
      </c>
      <c r="GB122">
        <v>9.7979009260829066</v>
      </c>
      <c r="GC122">
        <v>4.8868770261757515</v>
      </c>
      <c r="GD122">
        <v>2.0841841615739294</v>
      </c>
      <c r="GE122">
        <v>5.3275300084898252</v>
      </c>
      <c r="GF122">
        <v>8.4557945879264462</v>
      </c>
      <c r="GG122">
        <v>7.0748752306495319</v>
      </c>
      <c r="GH122">
        <v>3.6985494638260965</v>
      </c>
      <c r="GI122">
        <v>6.5187556274095853</v>
      </c>
      <c r="GJ122"/>
      <c r="GK122"/>
      <c r="GL122"/>
      <c r="GM122"/>
    </row>
    <row r="123" spans="1:195" s="7" customFormat="1">
      <c r="A123" s="1"/>
      <c r="B123" s="76">
        <f t="shared" ca="1" si="132"/>
        <v>0.87533069339413183</v>
      </c>
      <c r="C123">
        <v>2</v>
      </c>
      <c r="D123">
        <v>39747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11.44670348058902</v>
      </c>
      <c r="AO123">
        <v>8.2429941973090326</v>
      </c>
      <c r="AP123">
        <v>49.692400578927462</v>
      </c>
      <c r="AQ123">
        <v>46.802575166693131</v>
      </c>
      <c r="AR123">
        <v>7.5805771460167248</v>
      </c>
      <c r="AS123">
        <v>39.141816414283632</v>
      </c>
      <c r="AT123">
        <v>4.15491976842707</v>
      </c>
      <c r="AU123">
        <v>-3.6744126668414432</v>
      </c>
      <c r="AV123"/>
      <c r="AW123"/>
      <c r="AX123" s="146"/>
      <c r="AY123" s="76">
        <f t="shared" ca="1" si="88"/>
        <v>0.73740899173137842</v>
      </c>
      <c r="AZ123">
        <v>6</v>
      </c>
      <c r="BA123" s="129">
        <f t="shared" si="131"/>
        <v>39747</v>
      </c>
      <c r="BB123">
        <v>0</v>
      </c>
      <c r="BC123">
        <v>0</v>
      </c>
      <c r="BD123">
        <v>0</v>
      </c>
      <c r="BE123">
        <v>0</v>
      </c>
      <c r="BF123">
        <v>2</v>
      </c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90"/>
        <v>0.40447062329168171</v>
      </c>
      <c r="CL123" s="179">
        <f t="shared" si="91"/>
        <v>6</v>
      </c>
      <c r="CM123" s="180">
        <f t="shared" si="92"/>
        <v>39747</v>
      </c>
      <c r="CN123">
        <v>0</v>
      </c>
      <c r="CO123"/>
      <c r="CP123"/>
      <c r="CQ123"/>
      <c r="CR123"/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3"/>
        <v>9.6000000000000002E-2</v>
      </c>
      <c r="DB123" s="146"/>
      <c r="DC123" s="76">
        <f t="shared" ca="1" si="51"/>
        <v>0.48891860987944513</v>
      </c>
      <c r="DD123">
        <f t="shared" si="94"/>
        <v>6</v>
      </c>
      <c r="DE123" s="129">
        <f t="shared" si="130"/>
        <v>39747</v>
      </c>
      <c r="DF123" s="161">
        <f t="shared" si="95"/>
        <v>0</v>
      </c>
      <c r="DG123" s="161">
        <f t="shared" si="96"/>
        <v>0</v>
      </c>
      <c r="DH123" s="161">
        <f t="shared" si="97"/>
        <v>0</v>
      </c>
      <c r="DI123" s="161">
        <f t="shared" si="98"/>
        <v>0</v>
      </c>
      <c r="DJ123" s="161">
        <f t="shared" si="99"/>
        <v>20.833333333333332</v>
      </c>
      <c r="DK123" s="161">
        <f t="shared" si="100"/>
        <v>0</v>
      </c>
      <c r="DL123" s="161">
        <f t="shared" si="101"/>
        <v>0</v>
      </c>
      <c r="DM123" s="161">
        <f t="shared" si="102"/>
        <v>0</v>
      </c>
      <c r="DN123" s="161">
        <f t="shared" si="103"/>
        <v>0</v>
      </c>
      <c r="DO123" s="161">
        <f t="shared" si="104"/>
        <v>0</v>
      </c>
      <c r="DP123" s="161">
        <f t="shared" si="105"/>
        <v>0</v>
      </c>
      <c r="DQ123" s="161">
        <f t="shared" si="106"/>
        <v>0</v>
      </c>
      <c r="DR123" s="161">
        <f t="shared" si="107"/>
        <v>0</v>
      </c>
      <c r="DS123" s="161">
        <f t="shared" si="108"/>
        <v>0</v>
      </c>
      <c r="DT123" s="161">
        <f t="shared" si="109"/>
        <v>0</v>
      </c>
      <c r="DU123" s="161">
        <f t="shared" si="110"/>
        <v>0</v>
      </c>
      <c r="DV123" s="161">
        <f t="shared" si="111"/>
        <v>0</v>
      </c>
      <c r="DW123" s="161">
        <f t="shared" si="112"/>
        <v>0</v>
      </c>
      <c r="DX123" s="161">
        <f t="shared" si="113"/>
        <v>0</v>
      </c>
      <c r="DY123" s="161">
        <f t="shared" si="114"/>
        <v>0</v>
      </c>
      <c r="DZ123" s="161">
        <f t="shared" si="115"/>
        <v>0</v>
      </c>
      <c r="EA123" s="161">
        <f t="shared" si="116"/>
        <v>0</v>
      </c>
      <c r="EB123" s="161">
        <f t="shared" si="117"/>
        <v>0</v>
      </c>
      <c r="EC123" s="161">
        <f t="shared" si="118"/>
        <v>0</v>
      </c>
      <c r="ED123" s="161">
        <f t="shared" si="119"/>
        <v>0</v>
      </c>
      <c r="EE123" s="161">
        <f t="shared" si="120"/>
        <v>0</v>
      </c>
      <c r="EF123" s="161">
        <f t="shared" si="121"/>
        <v>0</v>
      </c>
      <c r="EG123" s="161">
        <f t="shared" si="122"/>
        <v>0</v>
      </c>
      <c r="EH123" s="161">
        <f t="shared" si="123"/>
        <v>0</v>
      </c>
      <c r="EI123" s="161">
        <f t="shared" si="124"/>
        <v>0</v>
      </c>
      <c r="EJ123" s="161">
        <f t="shared" si="125"/>
        <v>0</v>
      </c>
      <c r="EK123" s="147">
        <f t="shared" si="133"/>
        <v>20.833333333333332</v>
      </c>
      <c r="EL123" s="149"/>
      <c r="EN123" s="146"/>
      <c r="EO123" s="146"/>
      <c r="EP123" s="139">
        <f t="shared" si="134"/>
        <v>0</v>
      </c>
      <c r="EQ123" s="139">
        <f t="shared" si="135"/>
        <v>0</v>
      </c>
      <c r="ER123" s="139">
        <f t="shared" si="136"/>
        <v>0</v>
      </c>
      <c r="ES123" s="139">
        <f t="shared" si="137"/>
        <v>0</v>
      </c>
      <c r="ET123" s="139">
        <f t="shared" si="138"/>
        <v>4.4511129291302316</v>
      </c>
      <c r="EU123" s="139">
        <f t="shared" si="139"/>
        <v>0</v>
      </c>
      <c r="EV123" s="139">
        <f t="shared" si="140"/>
        <v>0</v>
      </c>
      <c r="EW123" s="139">
        <f t="shared" si="141"/>
        <v>0</v>
      </c>
      <c r="EX123" s="139">
        <f t="shared" si="142"/>
        <v>0</v>
      </c>
      <c r="EY123" s="139">
        <f t="shared" si="143"/>
        <v>0</v>
      </c>
      <c r="EZ123" s="139">
        <f t="shared" si="144"/>
        <v>0</v>
      </c>
      <c r="FA123" s="139">
        <f t="shared" si="145"/>
        <v>0</v>
      </c>
      <c r="FB123" s="139">
        <f t="shared" si="146"/>
        <v>0</v>
      </c>
      <c r="FC123" s="139">
        <f t="shared" si="147"/>
        <v>0</v>
      </c>
      <c r="FD123" s="139">
        <f t="shared" si="148"/>
        <v>0</v>
      </c>
      <c r="FE123" s="139">
        <f t="shared" si="149"/>
        <v>0</v>
      </c>
      <c r="FF123" s="139">
        <f t="shared" si="150"/>
        <v>0</v>
      </c>
      <c r="FG123" s="139">
        <f t="shared" si="151"/>
        <v>0</v>
      </c>
      <c r="FH123" s="139">
        <f t="shared" si="152"/>
        <v>0</v>
      </c>
      <c r="FI123" s="139">
        <f t="shared" si="153"/>
        <v>0</v>
      </c>
      <c r="FJ123" s="139">
        <f t="shared" si="154"/>
        <v>0</v>
      </c>
      <c r="FK123" s="139">
        <f t="shared" si="155"/>
        <v>0</v>
      </c>
      <c r="FL123" s="139">
        <f t="shared" si="156"/>
        <v>0</v>
      </c>
      <c r="FM123" s="139">
        <f t="shared" si="157"/>
        <v>0</v>
      </c>
      <c r="FN123" s="139">
        <f t="shared" si="158"/>
        <v>0</v>
      </c>
      <c r="FO123" s="139">
        <f t="shared" si="159"/>
        <v>0</v>
      </c>
      <c r="FP123" s="139">
        <f t="shared" si="160"/>
        <v>0</v>
      </c>
      <c r="FQ123" s="139">
        <f t="shared" si="161"/>
        <v>0</v>
      </c>
      <c r="FR123" s="139">
        <f t="shared" si="162"/>
        <v>0</v>
      </c>
      <c r="FS123" s="139">
        <f t="shared" si="163"/>
        <v>0</v>
      </c>
      <c r="FT123" s="139">
        <f t="shared" si="164"/>
        <v>0</v>
      </c>
      <c r="FU123" s="148">
        <f t="shared" si="165"/>
        <v>4.4511129291302316</v>
      </c>
      <c r="FV123" s="149"/>
      <c r="FY123" s="212">
        <v>118</v>
      </c>
      <c r="FZ123">
        <v>0.14415494980265645</v>
      </c>
      <c r="GA123">
        <v>4.7701467728550009</v>
      </c>
      <c r="GB123">
        <v>6.7218813337514511</v>
      </c>
      <c r="GC123">
        <v>3.35272748083454</v>
      </c>
      <c r="GD123">
        <v>2.1326946549709085</v>
      </c>
      <c r="GE123">
        <v>4.1399215551898116</v>
      </c>
      <c r="GF123">
        <v>4.952239144318626</v>
      </c>
      <c r="GG123">
        <v>4.2398609344495233</v>
      </c>
      <c r="GH123">
        <v>2.742180716034313</v>
      </c>
      <c r="GI123">
        <v>4.7135456090232504</v>
      </c>
      <c r="GJ123"/>
      <c r="GK123"/>
      <c r="GL123"/>
      <c r="GM123"/>
    </row>
    <row r="124" spans="1:195" s="7" customFormat="1">
      <c r="A124" s="1"/>
      <c r="B124" s="76">
        <f t="shared" ca="1" si="132"/>
        <v>2.2950779894542084E-2</v>
      </c>
      <c r="C124">
        <v>7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10.416666666666666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15.664828431372547</v>
      </c>
      <c r="AO124">
        <v>7.108368322988369</v>
      </c>
      <c r="AP124">
        <v>57.331210429414178</v>
      </c>
      <c r="AQ124">
        <v>39.130677850515625</v>
      </c>
      <c r="AR124">
        <v>6.5566879499566513</v>
      </c>
      <c r="AS124">
        <v>40.404226736251296</v>
      </c>
      <c r="AT124">
        <v>4.7536062788992259</v>
      </c>
      <c r="AU124">
        <v>26.36687683297944</v>
      </c>
      <c r="AV124"/>
      <c r="AW124"/>
      <c r="AX124" s="146"/>
      <c r="AY124" s="76">
        <f t="shared" ca="1" si="88"/>
        <v>0.62406256857720854</v>
      </c>
      <c r="AZ124">
        <v>7</v>
      </c>
      <c r="BA124" s="129">
        <f t="shared" si="131"/>
        <v>39747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1</v>
      </c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90"/>
        <v>0.77907856545346998</v>
      </c>
      <c r="CL124" s="179">
        <f t="shared" si="91"/>
        <v>7</v>
      </c>
      <c r="CM124" s="180">
        <f t="shared" si="92"/>
        <v>39747</v>
      </c>
      <c r="CN124">
        <v>0</v>
      </c>
      <c r="CO124"/>
      <c r="CP124"/>
      <c r="CQ124"/>
      <c r="CR124"/>
      <c r="CS124"/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3"/>
        <v>9.6000000000000002E-2</v>
      </c>
      <c r="DB124" s="146"/>
      <c r="DC124" s="76">
        <f t="shared" ca="1" si="51"/>
        <v>0.91636249828582117</v>
      </c>
      <c r="DD124">
        <f t="shared" si="94"/>
        <v>7</v>
      </c>
      <c r="DE124" s="129">
        <f t="shared" si="130"/>
        <v>39747</v>
      </c>
      <c r="DF124" s="161">
        <f t="shared" si="95"/>
        <v>0</v>
      </c>
      <c r="DG124" s="161">
        <f t="shared" si="96"/>
        <v>0</v>
      </c>
      <c r="DH124" s="161">
        <f t="shared" si="97"/>
        <v>0</v>
      </c>
      <c r="DI124" s="161">
        <f t="shared" si="98"/>
        <v>0</v>
      </c>
      <c r="DJ124" s="161">
        <f t="shared" si="99"/>
        <v>0</v>
      </c>
      <c r="DK124" s="161">
        <f t="shared" si="100"/>
        <v>0</v>
      </c>
      <c r="DL124" s="161">
        <f t="shared" si="101"/>
        <v>10.416666666666666</v>
      </c>
      <c r="DM124" s="161">
        <f t="shared" si="102"/>
        <v>0</v>
      </c>
      <c r="DN124" s="161">
        <f t="shared" si="103"/>
        <v>0</v>
      </c>
      <c r="DO124" s="161">
        <f t="shared" si="104"/>
        <v>0</v>
      </c>
      <c r="DP124" s="161">
        <f t="shared" si="105"/>
        <v>0</v>
      </c>
      <c r="DQ124" s="161">
        <f t="shared" si="106"/>
        <v>0</v>
      </c>
      <c r="DR124" s="161">
        <f t="shared" si="107"/>
        <v>0</v>
      </c>
      <c r="DS124" s="161">
        <f t="shared" si="108"/>
        <v>0</v>
      </c>
      <c r="DT124" s="161">
        <f t="shared" si="109"/>
        <v>0</v>
      </c>
      <c r="DU124" s="161">
        <f t="shared" si="110"/>
        <v>0</v>
      </c>
      <c r="DV124" s="161">
        <f t="shared" si="111"/>
        <v>0</v>
      </c>
      <c r="DW124" s="161">
        <f t="shared" si="112"/>
        <v>0</v>
      </c>
      <c r="DX124" s="161">
        <f t="shared" si="113"/>
        <v>0</v>
      </c>
      <c r="DY124" s="161">
        <f t="shared" si="114"/>
        <v>0</v>
      </c>
      <c r="DZ124" s="161">
        <f t="shared" si="115"/>
        <v>0</v>
      </c>
      <c r="EA124" s="161">
        <f t="shared" si="116"/>
        <v>0</v>
      </c>
      <c r="EB124" s="161">
        <f t="shared" si="117"/>
        <v>0</v>
      </c>
      <c r="EC124" s="161">
        <f t="shared" si="118"/>
        <v>0</v>
      </c>
      <c r="ED124" s="161">
        <f t="shared" si="119"/>
        <v>0</v>
      </c>
      <c r="EE124" s="161">
        <f t="shared" si="120"/>
        <v>0</v>
      </c>
      <c r="EF124" s="161">
        <f t="shared" si="121"/>
        <v>0</v>
      </c>
      <c r="EG124" s="161">
        <f t="shared" si="122"/>
        <v>0</v>
      </c>
      <c r="EH124" s="161">
        <f t="shared" si="123"/>
        <v>0</v>
      </c>
      <c r="EI124" s="161">
        <f t="shared" si="124"/>
        <v>0</v>
      </c>
      <c r="EJ124" s="161">
        <f t="shared" si="125"/>
        <v>0</v>
      </c>
      <c r="EK124" s="147">
        <f t="shared" si="133"/>
        <v>10.416666666666666</v>
      </c>
      <c r="EL124" s="149"/>
      <c r="EN124" s="146"/>
      <c r="EO124" s="146"/>
      <c r="EP124" s="139">
        <f t="shared" si="134"/>
        <v>0</v>
      </c>
      <c r="EQ124" s="139">
        <f t="shared" si="135"/>
        <v>0</v>
      </c>
      <c r="ER124" s="139">
        <f t="shared" si="136"/>
        <v>0</v>
      </c>
      <c r="ES124" s="139">
        <f t="shared" si="137"/>
        <v>0</v>
      </c>
      <c r="ET124" s="139">
        <f t="shared" si="138"/>
        <v>0</v>
      </c>
      <c r="EU124" s="139">
        <f t="shared" si="139"/>
        <v>0</v>
      </c>
      <c r="EV124" s="139">
        <f t="shared" si="140"/>
        <v>9.0513711528458085</v>
      </c>
      <c r="EW124" s="139">
        <f t="shared" si="141"/>
        <v>0</v>
      </c>
      <c r="EX124" s="139">
        <f t="shared" si="142"/>
        <v>0</v>
      </c>
      <c r="EY124" s="139">
        <f t="shared" si="143"/>
        <v>0</v>
      </c>
      <c r="EZ124" s="139">
        <f t="shared" si="144"/>
        <v>0</v>
      </c>
      <c r="FA124" s="139">
        <f t="shared" si="145"/>
        <v>0</v>
      </c>
      <c r="FB124" s="139">
        <f t="shared" si="146"/>
        <v>0</v>
      </c>
      <c r="FC124" s="139">
        <f t="shared" si="147"/>
        <v>0</v>
      </c>
      <c r="FD124" s="139">
        <f t="shared" si="148"/>
        <v>0</v>
      </c>
      <c r="FE124" s="139">
        <f t="shared" si="149"/>
        <v>0</v>
      </c>
      <c r="FF124" s="139">
        <f t="shared" si="150"/>
        <v>0</v>
      </c>
      <c r="FG124" s="139">
        <f t="shared" si="151"/>
        <v>0</v>
      </c>
      <c r="FH124" s="139">
        <f t="shared" si="152"/>
        <v>0</v>
      </c>
      <c r="FI124" s="139">
        <f t="shared" si="153"/>
        <v>0</v>
      </c>
      <c r="FJ124" s="139">
        <f t="shared" si="154"/>
        <v>0</v>
      </c>
      <c r="FK124" s="139">
        <f t="shared" si="155"/>
        <v>0</v>
      </c>
      <c r="FL124" s="139">
        <f t="shared" si="156"/>
        <v>0</v>
      </c>
      <c r="FM124" s="139">
        <f t="shared" si="157"/>
        <v>0</v>
      </c>
      <c r="FN124" s="139">
        <f t="shared" si="158"/>
        <v>0</v>
      </c>
      <c r="FO124" s="139">
        <f t="shared" si="159"/>
        <v>0</v>
      </c>
      <c r="FP124" s="139">
        <f t="shared" si="160"/>
        <v>0</v>
      </c>
      <c r="FQ124" s="139">
        <f t="shared" si="161"/>
        <v>0</v>
      </c>
      <c r="FR124" s="139">
        <f t="shared" si="162"/>
        <v>0</v>
      </c>
      <c r="FS124" s="139">
        <f t="shared" si="163"/>
        <v>0</v>
      </c>
      <c r="FT124" s="139">
        <f t="shared" si="164"/>
        <v>0</v>
      </c>
      <c r="FU124" s="148">
        <f t="shared" si="165"/>
        <v>9.0513711528458085</v>
      </c>
      <c r="FV124" s="149"/>
      <c r="FY124" s="212">
        <v>119</v>
      </c>
      <c r="FZ124">
        <v>3.3233805915810453</v>
      </c>
      <c r="GA124">
        <v>5.7759054691693876</v>
      </c>
      <c r="GB124">
        <v>8.812223572005573</v>
      </c>
      <c r="GC124">
        <v>4.4905565386676933</v>
      </c>
      <c r="GD124">
        <v>0.43509262907118579</v>
      </c>
      <c r="GE124">
        <v>1.0763800644733998</v>
      </c>
      <c r="GF124">
        <v>6.846887793185414</v>
      </c>
      <c r="GG124">
        <v>6.579269050453382</v>
      </c>
      <c r="GH124">
        <v>2.0187407574271212</v>
      </c>
      <c r="GI124">
        <v>4.9851678016798857</v>
      </c>
      <c r="GJ124"/>
      <c r="GK124"/>
      <c r="GL124"/>
      <c r="GM124"/>
    </row>
    <row r="125" spans="1:195" s="7" customFormat="1">
      <c r="A125" s="1"/>
      <c r="B125" s="76">
        <f t="shared" ca="1" si="132"/>
        <v>0.19666920040648739</v>
      </c>
      <c r="C125">
        <v>3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16.201937652571068</v>
      </c>
      <c r="AO125">
        <v>5.8681428369404687</v>
      </c>
      <c r="AP125">
        <v>50.154209889793485</v>
      </c>
      <c r="AQ125">
        <v>29.739990526326444</v>
      </c>
      <c r="AR125">
        <v>5.3961722745902607</v>
      </c>
      <c r="AS125">
        <v>30.598593799275147</v>
      </c>
      <c r="AT125">
        <v>3.5739951515376536</v>
      </c>
      <c r="AU125">
        <v>32.968558179879302</v>
      </c>
      <c r="AV125"/>
      <c r="AW125"/>
      <c r="AX125" s="146"/>
      <c r="AY125" s="76">
        <f t="shared" ca="1" si="88"/>
        <v>0.87628754009406107</v>
      </c>
      <c r="AZ125">
        <v>8</v>
      </c>
      <c r="BA125" s="129">
        <f t="shared" si="131"/>
        <v>39747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2</v>
      </c>
      <c r="BH125">
        <v>2</v>
      </c>
      <c r="BI125">
        <v>2</v>
      </c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90"/>
        <v>0.26508953862351281</v>
      </c>
      <c r="CL125" s="179">
        <f t="shared" si="91"/>
        <v>8</v>
      </c>
      <c r="CM125" s="180">
        <f t="shared" si="92"/>
        <v>39747</v>
      </c>
      <c r="CN125">
        <v>0</v>
      </c>
      <c r="CO125"/>
      <c r="CP125"/>
      <c r="CQ125"/>
      <c r="CR125"/>
      <c r="CS125"/>
      <c r="CT125"/>
      <c r="CU125"/>
      <c r="CV125" s="160"/>
      <c r="CW125" s="178">
        <v>1</v>
      </c>
      <c r="CX125">
        <f>350/52</f>
        <v>6.7307692307692308</v>
      </c>
      <c r="CY125" s="164"/>
      <c r="CZ125" s="177">
        <f t="shared" si="93"/>
        <v>9.6000000000000002E-2</v>
      </c>
      <c r="DB125" s="146"/>
      <c r="DC125" s="76">
        <f t="shared" ca="1" si="51"/>
        <v>0.77929890737651064</v>
      </c>
      <c r="DD125">
        <f t="shared" si="94"/>
        <v>8</v>
      </c>
      <c r="DE125" s="129">
        <f t="shared" si="130"/>
        <v>39747</v>
      </c>
      <c r="DF125" s="161">
        <f t="shared" si="95"/>
        <v>0</v>
      </c>
      <c r="DG125" s="161">
        <f t="shared" si="96"/>
        <v>0</v>
      </c>
      <c r="DH125" s="161">
        <f t="shared" si="97"/>
        <v>0</v>
      </c>
      <c r="DI125" s="161">
        <f t="shared" si="98"/>
        <v>0</v>
      </c>
      <c r="DJ125" s="161">
        <f t="shared" si="99"/>
        <v>0</v>
      </c>
      <c r="DK125" s="161">
        <f t="shared" si="100"/>
        <v>20.833333333333332</v>
      </c>
      <c r="DL125" s="161">
        <f t="shared" si="101"/>
        <v>20.833333333333332</v>
      </c>
      <c r="DM125" s="161">
        <f t="shared" si="102"/>
        <v>20.833333333333332</v>
      </c>
      <c r="DN125" s="161">
        <f t="shared" si="103"/>
        <v>0</v>
      </c>
      <c r="DO125" s="161">
        <f t="shared" si="104"/>
        <v>0</v>
      </c>
      <c r="DP125" s="161">
        <f t="shared" si="105"/>
        <v>0</v>
      </c>
      <c r="DQ125" s="161">
        <f t="shared" si="106"/>
        <v>0</v>
      </c>
      <c r="DR125" s="161">
        <f t="shared" si="107"/>
        <v>0</v>
      </c>
      <c r="DS125" s="161">
        <f t="shared" si="108"/>
        <v>0</v>
      </c>
      <c r="DT125" s="161">
        <f t="shared" si="109"/>
        <v>0</v>
      </c>
      <c r="DU125" s="161">
        <f t="shared" si="110"/>
        <v>0</v>
      </c>
      <c r="DV125" s="161">
        <f t="shared" si="111"/>
        <v>0</v>
      </c>
      <c r="DW125" s="161">
        <f t="shared" si="112"/>
        <v>0</v>
      </c>
      <c r="DX125" s="161">
        <f t="shared" si="113"/>
        <v>0</v>
      </c>
      <c r="DY125" s="161">
        <f t="shared" si="114"/>
        <v>0</v>
      </c>
      <c r="DZ125" s="161">
        <f t="shared" si="115"/>
        <v>0</v>
      </c>
      <c r="EA125" s="161">
        <f t="shared" si="116"/>
        <v>0</v>
      </c>
      <c r="EB125" s="161">
        <f t="shared" si="117"/>
        <v>0</v>
      </c>
      <c r="EC125" s="161">
        <f t="shared" si="118"/>
        <v>0</v>
      </c>
      <c r="ED125" s="161">
        <f t="shared" si="119"/>
        <v>0</v>
      </c>
      <c r="EE125" s="161">
        <f t="shared" si="120"/>
        <v>0</v>
      </c>
      <c r="EF125" s="161">
        <f t="shared" si="121"/>
        <v>0</v>
      </c>
      <c r="EG125" s="161">
        <f t="shared" si="122"/>
        <v>0</v>
      </c>
      <c r="EH125" s="161">
        <f t="shared" si="123"/>
        <v>0</v>
      </c>
      <c r="EI125" s="161">
        <f t="shared" si="124"/>
        <v>0</v>
      </c>
      <c r="EJ125" s="161">
        <f t="shared" si="125"/>
        <v>0</v>
      </c>
      <c r="EK125" s="147">
        <f t="shared" si="133"/>
        <v>62.5</v>
      </c>
      <c r="EL125" s="149"/>
      <c r="EN125" s="146"/>
      <c r="EO125" s="146"/>
      <c r="EP125" s="139">
        <f t="shared" si="134"/>
        <v>0</v>
      </c>
      <c r="EQ125" s="139">
        <f t="shared" si="135"/>
        <v>0</v>
      </c>
      <c r="ER125" s="139">
        <f t="shared" si="136"/>
        <v>0</v>
      </c>
      <c r="ES125" s="139">
        <f t="shared" si="137"/>
        <v>0</v>
      </c>
      <c r="ET125" s="139">
        <f t="shared" si="138"/>
        <v>0</v>
      </c>
      <c r="EU125" s="139">
        <f t="shared" si="139"/>
        <v>9.6333481921824795</v>
      </c>
      <c r="EV125" s="139">
        <f t="shared" si="140"/>
        <v>18.102742305691617</v>
      </c>
      <c r="EW125" s="139">
        <f t="shared" si="141"/>
        <v>30.858887228971231</v>
      </c>
      <c r="EX125" s="139">
        <f t="shared" si="142"/>
        <v>0</v>
      </c>
      <c r="EY125" s="139">
        <f t="shared" si="143"/>
        <v>0</v>
      </c>
      <c r="EZ125" s="139">
        <f t="shared" si="144"/>
        <v>0</v>
      </c>
      <c r="FA125" s="139">
        <f t="shared" si="145"/>
        <v>0</v>
      </c>
      <c r="FB125" s="139">
        <f t="shared" si="146"/>
        <v>0</v>
      </c>
      <c r="FC125" s="139">
        <f t="shared" si="147"/>
        <v>0</v>
      </c>
      <c r="FD125" s="139">
        <f t="shared" si="148"/>
        <v>0</v>
      </c>
      <c r="FE125" s="139">
        <f t="shared" si="149"/>
        <v>0</v>
      </c>
      <c r="FF125" s="139">
        <f t="shared" si="150"/>
        <v>0</v>
      </c>
      <c r="FG125" s="139">
        <f t="shared" si="151"/>
        <v>0</v>
      </c>
      <c r="FH125" s="139">
        <f t="shared" si="152"/>
        <v>0</v>
      </c>
      <c r="FI125" s="139">
        <f t="shared" si="153"/>
        <v>0</v>
      </c>
      <c r="FJ125" s="139">
        <f t="shared" si="154"/>
        <v>0</v>
      </c>
      <c r="FK125" s="139">
        <f t="shared" si="155"/>
        <v>0</v>
      </c>
      <c r="FL125" s="139">
        <f t="shared" si="156"/>
        <v>0</v>
      </c>
      <c r="FM125" s="139">
        <f t="shared" si="157"/>
        <v>0</v>
      </c>
      <c r="FN125" s="139">
        <f t="shared" si="158"/>
        <v>0</v>
      </c>
      <c r="FO125" s="139">
        <f t="shared" si="159"/>
        <v>0</v>
      </c>
      <c r="FP125" s="139">
        <f t="shared" si="160"/>
        <v>0</v>
      </c>
      <c r="FQ125" s="139">
        <f t="shared" si="161"/>
        <v>0</v>
      </c>
      <c r="FR125" s="139">
        <f t="shared" si="162"/>
        <v>0</v>
      </c>
      <c r="FS125" s="139">
        <f t="shared" si="163"/>
        <v>0</v>
      </c>
      <c r="FT125" s="139">
        <f t="shared" si="164"/>
        <v>0</v>
      </c>
      <c r="FU125" s="148">
        <f t="shared" si="165"/>
        <v>58.594977726845329</v>
      </c>
      <c r="FV125" s="149"/>
      <c r="FY125" s="212">
        <v>120</v>
      </c>
      <c r="FZ125">
        <v>6.6072659721736606</v>
      </c>
      <c r="GA125">
        <v>11.637142465000087</v>
      </c>
      <c r="GB125">
        <v>6.7253646267053462</v>
      </c>
      <c r="GC125">
        <v>3.0309096150342349</v>
      </c>
      <c r="GD125">
        <v>1.2254400349717653</v>
      </c>
      <c r="GE125">
        <v>4.7706364882100365</v>
      </c>
      <c r="GF125">
        <v>6.9184638953680206</v>
      </c>
      <c r="GG125">
        <v>3.0359754525447222</v>
      </c>
      <c r="GH125">
        <v>3.501347477758264</v>
      </c>
      <c r="GI125">
        <v>5.4636614857037573</v>
      </c>
      <c r="GJ125"/>
      <c r="GK125"/>
      <c r="GL125"/>
      <c r="GM125"/>
    </row>
    <row r="126" spans="1:195" s="7" customFormat="1">
      <c r="A126" s="1"/>
      <c r="B126" s="76">
        <f t="shared" ca="1" si="132"/>
        <v>0.47187556180039469</v>
      </c>
      <c r="C126">
        <v>6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20.833333333333332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13.63433144342074</v>
      </c>
      <c r="AO126">
        <v>6.9590524265735194</v>
      </c>
      <c r="AP126">
        <v>46.051243988384421</v>
      </c>
      <c r="AQ126">
        <v>35.651124160536412</v>
      </c>
      <c r="AR126">
        <v>6.4518601389648014</v>
      </c>
      <c r="AS126">
        <v>36.980223820080042</v>
      </c>
      <c r="AT126">
        <v>3.534855021910873</v>
      </c>
      <c r="AU126">
        <v>6.7810457216554569</v>
      </c>
      <c r="AV126"/>
      <c r="AW126"/>
      <c r="AX126" s="146"/>
      <c r="AY126" s="76">
        <f t="shared" ca="1" si="88"/>
        <v>0.36366208442151304</v>
      </c>
      <c r="AZ126">
        <v>9</v>
      </c>
      <c r="BA126" s="129">
        <f t="shared" si="131"/>
        <v>39747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1</v>
      </c>
      <c r="BH126">
        <v>1</v>
      </c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90"/>
        <v>0.60700509989506313</v>
      </c>
      <c r="CL126" s="179">
        <f t="shared" si="91"/>
        <v>9</v>
      </c>
      <c r="CM126" s="180">
        <f t="shared" si="92"/>
        <v>39747</v>
      </c>
      <c r="CN126">
        <v>0</v>
      </c>
      <c r="CO126"/>
      <c r="CP126"/>
      <c r="CQ126"/>
      <c r="CR126"/>
      <c r="CS126"/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3"/>
        <v>9.6000000000000002E-2</v>
      </c>
      <c r="DB126" s="146"/>
      <c r="DC126" s="76">
        <f t="shared" ca="1" si="51"/>
        <v>0.38785700784478117</v>
      </c>
      <c r="DD126">
        <f t="shared" si="94"/>
        <v>9</v>
      </c>
      <c r="DE126" s="129">
        <f t="shared" si="130"/>
        <v>39747</v>
      </c>
      <c r="DF126" s="161">
        <f t="shared" si="95"/>
        <v>0</v>
      </c>
      <c r="DG126" s="161">
        <f t="shared" si="96"/>
        <v>0</v>
      </c>
      <c r="DH126" s="161">
        <f t="shared" si="97"/>
        <v>0</v>
      </c>
      <c r="DI126" s="161">
        <f t="shared" si="98"/>
        <v>0</v>
      </c>
      <c r="DJ126" s="161">
        <f t="shared" si="99"/>
        <v>0</v>
      </c>
      <c r="DK126" s="161">
        <f t="shared" si="100"/>
        <v>10.416666666666666</v>
      </c>
      <c r="DL126" s="161">
        <f t="shared" si="101"/>
        <v>10.416666666666666</v>
      </c>
      <c r="DM126" s="161">
        <f t="shared" si="102"/>
        <v>0</v>
      </c>
      <c r="DN126" s="161">
        <f t="shared" si="103"/>
        <v>0</v>
      </c>
      <c r="DO126" s="161">
        <f t="shared" si="104"/>
        <v>0</v>
      </c>
      <c r="DP126" s="161">
        <f t="shared" si="105"/>
        <v>0</v>
      </c>
      <c r="DQ126" s="161">
        <f t="shared" si="106"/>
        <v>0</v>
      </c>
      <c r="DR126" s="161">
        <f t="shared" si="107"/>
        <v>0</v>
      </c>
      <c r="DS126" s="161">
        <f t="shared" si="108"/>
        <v>0</v>
      </c>
      <c r="DT126" s="161">
        <f t="shared" si="109"/>
        <v>0</v>
      </c>
      <c r="DU126" s="161">
        <f t="shared" si="110"/>
        <v>0</v>
      </c>
      <c r="DV126" s="161">
        <f t="shared" si="111"/>
        <v>0</v>
      </c>
      <c r="DW126" s="161">
        <f t="shared" si="112"/>
        <v>0</v>
      </c>
      <c r="DX126" s="161">
        <f t="shared" si="113"/>
        <v>0</v>
      </c>
      <c r="DY126" s="161">
        <f t="shared" si="114"/>
        <v>0</v>
      </c>
      <c r="DZ126" s="161">
        <f t="shared" si="115"/>
        <v>0</v>
      </c>
      <c r="EA126" s="161">
        <f t="shared" si="116"/>
        <v>0</v>
      </c>
      <c r="EB126" s="161">
        <f t="shared" si="117"/>
        <v>0</v>
      </c>
      <c r="EC126" s="161">
        <f t="shared" si="118"/>
        <v>0</v>
      </c>
      <c r="ED126" s="161">
        <f t="shared" si="119"/>
        <v>0</v>
      </c>
      <c r="EE126" s="161">
        <f t="shared" si="120"/>
        <v>0</v>
      </c>
      <c r="EF126" s="161">
        <f t="shared" si="121"/>
        <v>0</v>
      </c>
      <c r="EG126" s="161">
        <f t="shared" si="122"/>
        <v>0</v>
      </c>
      <c r="EH126" s="161">
        <f t="shared" si="123"/>
        <v>0</v>
      </c>
      <c r="EI126" s="161">
        <f t="shared" si="124"/>
        <v>0</v>
      </c>
      <c r="EJ126" s="161">
        <f t="shared" si="125"/>
        <v>0</v>
      </c>
      <c r="EK126" s="147">
        <f t="shared" si="133"/>
        <v>20.833333333333332</v>
      </c>
      <c r="EL126" s="149"/>
      <c r="EN126" s="146"/>
      <c r="EO126" s="146"/>
      <c r="EP126" s="139">
        <f t="shared" si="134"/>
        <v>0</v>
      </c>
      <c r="EQ126" s="139">
        <f t="shared" si="135"/>
        <v>0</v>
      </c>
      <c r="ER126" s="139">
        <f t="shared" si="136"/>
        <v>0</v>
      </c>
      <c r="ES126" s="139">
        <f t="shared" si="137"/>
        <v>0</v>
      </c>
      <c r="ET126" s="139">
        <f t="shared" si="138"/>
        <v>0</v>
      </c>
      <c r="EU126" s="139">
        <f t="shared" si="139"/>
        <v>4.8166740960912398</v>
      </c>
      <c r="EV126" s="139">
        <f t="shared" si="140"/>
        <v>9.0513711528458085</v>
      </c>
      <c r="EW126" s="139">
        <f t="shared" si="141"/>
        <v>0</v>
      </c>
      <c r="EX126" s="139">
        <f t="shared" si="142"/>
        <v>0</v>
      </c>
      <c r="EY126" s="139">
        <f t="shared" si="143"/>
        <v>0</v>
      </c>
      <c r="EZ126" s="139">
        <f t="shared" si="144"/>
        <v>0</v>
      </c>
      <c r="FA126" s="139">
        <f t="shared" si="145"/>
        <v>0</v>
      </c>
      <c r="FB126" s="139">
        <f t="shared" si="146"/>
        <v>0</v>
      </c>
      <c r="FC126" s="139">
        <f t="shared" si="147"/>
        <v>0</v>
      </c>
      <c r="FD126" s="139">
        <f t="shared" si="148"/>
        <v>0</v>
      </c>
      <c r="FE126" s="139">
        <f t="shared" si="149"/>
        <v>0</v>
      </c>
      <c r="FF126" s="139">
        <f t="shared" si="150"/>
        <v>0</v>
      </c>
      <c r="FG126" s="139">
        <f t="shared" si="151"/>
        <v>0</v>
      </c>
      <c r="FH126" s="139">
        <f t="shared" si="152"/>
        <v>0</v>
      </c>
      <c r="FI126" s="139">
        <f t="shared" si="153"/>
        <v>0</v>
      </c>
      <c r="FJ126" s="139">
        <f t="shared" si="154"/>
        <v>0</v>
      </c>
      <c r="FK126" s="139">
        <f t="shared" si="155"/>
        <v>0</v>
      </c>
      <c r="FL126" s="139">
        <f t="shared" si="156"/>
        <v>0</v>
      </c>
      <c r="FM126" s="139">
        <f t="shared" si="157"/>
        <v>0</v>
      </c>
      <c r="FN126" s="139">
        <f t="shared" si="158"/>
        <v>0</v>
      </c>
      <c r="FO126" s="139">
        <f t="shared" si="159"/>
        <v>0</v>
      </c>
      <c r="FP126" s="139">
        <f t="shared" si="160"/>
        <v>0</v>
      </c>
      <c r="FQ126" s="139">
        <f t="shared" si="161"/>
        <v>0</v>
      </c>
      <c r="FR126" s="139">
        <f t="shared" si="162"/>
        <v>0</v>
      </c>
      <c r="FS126" s="139">
        <f t="shared" si="163"/>
        <v>0</v>
      </c>
      <c r="FT126" s="139">
        <f t="shared" si="164"/>
        <v>0</v>
      </c>
      <c r="FU126" s="148">
        <f t="shared" si="165"/>
        <v>13.868045248937047</v>
      </c>
      <c r="FV126" s="149"/>
      <c r="FY126" s="212">
        <v>121</v>
      </c>
      <c r="FZ126">
        <v>6.3625194412261523</v>
      </c>
      <c r="GA126">
        <v>11.352079482749401</v>
      </c>
      <c r="GB126">
        <v>6.6038305385059513</v>
      </c>
      <c r="GC126">
        <v>3.3646140067085124</v>
      </c>
      <c r="GD126">
        <v>1.4801783411115512</v>
      </c>
      <c r="GE126">
        <v>3.4729198632366285</v>
      </c>
      <c r="GF126">
        <v>9.2544078411487991</v>
      </c>
      <c r="GG126">
        <v>7.0847821986227508</v>
      </c>
      <c r="GH126">
        <v>2.7376882246587906</v>
      </c>
      <c r="GI126">
        <v>6.2944839543718887</v>
      </c>
      <c r="GJ126"/>
      <c r="GK126"/>
      <c r="GL126"/>
      <c r="GM126"/>
    </row>
    <row r="127" spans="1:195" s="7" customFormat="1">
      <c r="A127" s="1"/>
      <c r="B127" s="76">
        <f t="shared" ca="1" si="132"/>
        <v>0.86941752209298118</v>
      </c>
      <c r="C127">
        <v>4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28.409090909090907</v>
      </c>
      <c r="K127">
        <v>0</v>
      </c>
      <c r="L127">
        <v>28.409090909090907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19.925040849673202</v>
      </c>
      <c r="AO127">
        <v>7.9183939377331116</v>
      </c>
      <c r="AP127">
        <v>67.330785786579412</v>
      </c>
      <c r="AQ127">
        <v>42.404555409187452</v>
      </c>
      <c r="AR127">
        <v>7.2397429741672399</v>
      </c>
      <c r="AS127">
        <v>42.906983507270745</v>
      </c>
      <c r="AT127">
        <v>4.4444401956986033</v>
      </c>
      <c r="AU127">
        <v>43.510408492252985</v>
      </c>
      <c r="AV127"/>
      <c r="AW127"/>
      <c r="AX127" s="146"/>
      <c r="AY127" s="76">
        <f t="shared" ca="1" si="88"/>
        <v>4.4595150037674003E-3</v>
      </c>
      <c r="AZ127">
        <v>10</v>
      </c>
      <c r="BA127" s="129">
        <f t="shared" si="131"/>
        <v>39747</v>
      </c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90"/>
        <v>0.52698812435183662</v>
      </c>
      <c r="CL127" s="179">
        <f t="shared" si="91"/>
        <v>10</v>
      </c>
      <c r="CM127" s="180">
        <f t="shared" si="92"/>
        <v>39747</v>
      </c>
      <c r="CN127">
        <v>0</v>
      </c>
      <c r="CO127"/>
      <c r="CP127"/>
      <c r="CQ127"/>
      <c r="CR127"/>
      <c r="CS127"/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3"/>
        <v>9.6000000000000002E-2</v>
      </c>
      <c r="DB127" s="146"/>
      <c r="DC127" s="76">
        <f t="shared" ca="1" si="51"/>
        <v>0.74549733767942961</v>
      </c>
      <c r="DD127">
        <f t="shared" si="94"/>
        <v>10</v>
      </c>
      <c r="DE127" s="129">
        <f t="shared" si="130"/>
        <v>39747</v>
      </c>
      <c r="DF127" s="161">
        <f t="shared" si="95"/>
        <v>0</v>
      </c>
      <c r="DG127" s="161">
        <f t="shared" si="96"/>
        <v>0</v>
      </c>
      <c r="DH127" s="161">
        <f t="shared" si="97"/>
        <v>0</v>
      </c>
      <c r="DI127" s="161">
        <f t="shared" si="98"/>
        <v>0</v>
      </c>
      <c r="DJ127" s="161">
        <f t="shared" si="99"/>
        <v>0</v>
      </c>
      <c r="DK127" s="161">
        <f t="shared" si="100"/>
        <v>0</v>
      </c>
      <c r="DL127" s="161">
        <f t="shared" si="101"/>
        <v>0</v>
      </c>
      <c r="DM127" s="161">
        <f t="shared" si="102"/>
        <v>0</v>
      </c>
      <c r="DN127" s="161">
        <f t="shared" si="103"/>
        <v>0</v>
      </c>
      <c r="DO127" s="161">
        <f t="shared" si="104"/>
        <v>0</v>
      </c>
      <c r="DP127" s="161">
        <f t="shared" si="105"/>
        <v>0</v>
      </c>
      <c r="DQ127" s="161">
        <f t="shared" si="106"/>
        <v>0</v>
      </c>
      <c r="DR127" s="161">
        <f t="shared" si="107"/>
        <v>0</v>
      </c>
      <c r="DS127" s="161">
        <f t="shared" si="108"/>
        <v>0</v>
      </c>
      <c r="DT127" s="161">
        <f t="shared" si="109"/>
        <v>0</v>
      </c>
      <c r="DU127" s="161">
        <f t="shared" si="110"/>
        <v>0</v>
      </c>
      <c r="DV127" s="161">
        <f t="shared" si="111"/>
        <v>0</v>
      </c>
      <c r="DW127" s="161">
        <f t="shared" si="112"/>
        <v>0</v>
      </c>
      <c r="DX127" s="161">
        <f t="shared" si="113"/>
        <v>0</v>
      </c>
      <c r="DY127" s="161">
        <f t="shared" si="114"/>
        <v>0</v>
      </c>
      <c r="DZ127" s="161">
        <f t="shared" si="115"/>
        <v>0</v>
      </c>
      <c r="EA127" s="161">
        <f t="shared" si="116"/>
        <v>0</v>
      </c>
      <c r="EB127" s="161">
        <f t="shared" si="117"/>
        <v>0</v>
      </c>
      <c r="EC127" s="161">
        <f t="shared" si="118"/>
        <v>0</v>
      </c>
      <c r="ED127" s="161">
        <f t="shared" si="119"/>
        <v>0</v>
      </c>
      <c r="EE127" s="161">
        <f t="shared" si="120"/>
        <v>0</v>
      </c>
      <c r="EF127" s="161">
        <f t="shared" si="121"/>
        <v>0</v>
      </c>
      <c r="EG127" s="161">
        <f t="shared" si="122"/>
        <v>0</v>
      </c>
      <c r="EH127" s="161">
        <f t="shared" si="123"/>
        <v>0</v>
      </c>
      <c r="EI127" s="161">
        <f t="shared" si="124"/>
        <v>0</v>
      </c>
      <c r="EJ127" s="161">
        <f t="shared" si="125"/>
        <v>0</v>
      </c>
      <c r="EK127" s="147">
        <f t="shared" si="133"/>
        <v>0</v>
      </c>
      <c r="EL127" s="149"/>
      <c r="EN127" s="146"/>
      <c r="EO127" s="146"/>
      <c r="EP127" s="139">
        <f t="shared" si="134"/>
        <v>0</v>
      </c>
      <c r="EQ127" s="139">
        <f t="shared" si="135"/>
        <v>0</v>
      </c>
      <c r="ER127" s="139">
        <f t="shared" si="136"/>
        <v>0</v>
      </c>
      <c r="ES127" s="139">
        <f t="shared" si="137"/>
        <v>0</v>
      </c>
      <c r="ET127" s="139">
        <f t="shared" si="138"/>
        <v>0</v>
      </c>
      <c r="EU127" s="139">
        <f t="shared" si="139"/>
        <v>0</v>
      </c>
      <c r="EV127" s="139">
        <f t="shared" si="140"/>
        <v>0</v>
      </c>
      <c r="EW127" s="139">
        <f t="shared" si="141"/>
        <v>0</v>
      </c>
      <c r="EX127" s="139">
        <f t="shared" si="142"/>
        <v>0</v>
      </c>
      <c r="EY127" s="139">
        <f t="shared" si="143"/>
        <v>0</v>
      </c>
      <c r="EZ127" s="139">
        <f t="shared" si="144"/>
        <v>0</v>
      </c>
      <c r="FA127" s="139">
        <f t="shared" si="145"/>
        <v>0</v>
      </c>
      <c r="FB127" s="139">
        <f t="shared" si="146"/>
        <v>0</v>
      </c>
      <c r="FC127" s="139">
        <f t="shared" si="147"/>
        <v>0</v>
      </c>
      <c r="FD127" s="139">
        <f t="shared" si="148"/>
        <v>0</v>
      </c>
      <c r="FE127" s="139">
        <f t="shared" si="149"/>
        <v>0</v>
      </c>
      <c r="FF127" s="139">
        <f t="shared" si="150"/>
        <v>0</v>
      </c>
      <c r="FG127" s="139">
        <f t="shared" si="151"/>
        <v>0</v>
      </c>
      <c r="FH127" s="139">
        <f t="shared" si="152"/>
        <v>0</v>
      </c>
      <c r="FI127" s="139">
        <f t="shared" si="153"/>
        <v>0</v>
      </c>
      <c r="FJ127" s="139">
        <f t="shared" si="154"/>
        <v>0</v>
      </c>
      <c r="FK127" s="139">
        <f t="shared" si="155"/>
        <v>0</v>
      </c>
      <c r="FL127" s="139">
        <f t="shared" si="156"/>
        <v>0</v>
      </c>
      <c r="FM127" s="139">
        <f t="shared" si="157"/>
        <v>0</v>
      </c>
      <c r="FN127" s="139">
        <f t="shared" si="158"/>
        <v>0</v>
      </c>
      <c r="FO127" s="139">
        <f t="shared" si="159"/>
        <v>0</v>
      </c>
      <c r="FP127" s="139">
        <f t="shared" si="160"/>
        <v>0</v>
      </c>
      <c r="FQ127" s="139">
        <f t="shared" si="161"/>
        <v>0</v>
      </c>
      <c r="FR127" s="139">
        <f t="shared" si="162"/>
        <v>0</v>
      </c>
      <c r="FS127" s="139">
        <f t="shared" si="163"/>
        <v>0</v>
      </c>
      <c r="FT127" s="139">
        <f t="shared" si="164"/>
        <v>0</v>
      </c>
      <c r="FU127" s="148">
        <f t="shared" si="165"/>
        <v>0</v>
      </c>
      <c r="FV127" s="149"/>
      <c r="FY127" s="212">
        <v>122</v>
      </c>
      <c r="FZ127">
        <v>4.1529289823116655E-2</v>
      </c>
      <c r="GA127">
        <v>2.818543007047376</v>
      </c>
      <c r="GB127">
        <v>9.783369759905284</v>
      </c>
      <c r="GC127">
        <v>5.228118256057483</v>
      </c>
      <c r="GD127">
        <v>1.458944913371071</v>
      </c>
      <c r="GE127">
        <v>4.6992824098637147</v>
      </c>
      <c r="GF127">
        <v>9.6323022284173181</v>
      </c>
      <c r="GG127">
        <v>6.0775793372631348</v>
      </c>
      <c r="GH127">
        <v>2.3046347163105612</v>
      </c>
      <c r="GI127">
        <v>6.2265659600914471</v>
      </c>
      <c r="GJ127"/>
      <c r="GK127"/>
      <c r="GL127"/>
      <c r="GM127"/>
    </row>
    <row r="128" spans="1:195" s="7" customFormat="1">
      <c r="A128" s="128"/>
      <c r="B128" s="76">
        <f t="shared" ca="1" si="132"/>
        <v>0.64083250564350114</v>
      </c>
      <c r="C128">
        <v>1</v>
      </c>
      <c r="D128">
        <v>39775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12.559027777777777</v>
      </c>
      <c r="AO128">
        <v>9.7322779511049564</v>
      </c>
      <c r="AP128">
        <v>52.627298591938299</v>
      </c>
      <c r="AQ128">
        <v>50.558529917722645</v>
      </c>
      <c r="AR128">
        <v>8.9564874814488356</v>
      </c>
      <c r="AS128">
        <v>46.323214890354755</v>
      </c>
      <c r="AT128">
        <v>5.7392902117705882</v>
      </c>
      <c r="AU128">
        <v>14.626554831232241</v>
      </c>
      <c r="AV128"/>
      <c r="AW128"/>
      <c r="AX128" s="128"/>
      <c r="AY128" s="76">
        <f t="shared" ca="1" si="88"/>
        <v>0.37142525730363918</v>
      </c>
      <c r="AZ128">
        <v>1</v>
      </c>
      <c r="BA128" s="129">
        <f>IF(AZ128="", "",$C$8)</f>
        <v>39775</v>
      </c>
      <c r="BB128">
        <v>0</v>
      </c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90"/>
        <v>0.84450469736826794</v>
      </c>
      <c r="CL128" s="179">
        <f t="shared" si="91"/>
        <v>1</v>
      </c>
      <c r="CM128" s="180">
        <f t="shared" si="92"/>
        <v>39775</v>
      </c>
      <c r="CN128">
        <v>0</v>
      </c>
      <c r="CO128"/>
      <c r="CP128"/>
      <c r="CQ128"/>
      <c r="CR128"/>
      <c r="CS128"/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3"/>
        <v>9.6000000000000002E-2</v>
      </c>
      <c r="DB128" s="128"/>
      <c r="DC128" s="76">
        <f t="shared" ca="1" si="51"/>
        <v>0.71325261155008057</v>
      </c>
      <c r="DD128">
        <f t="shared" si="94"/>
        <v>1</v>
      </c>
      <c r="DE128" s="129">
        <f t="shared" ref="DE128:DE137" si="166">IF((DD128)="", "", $C$8)</f>
        <v>39775</v>
      </c>
      <c r="DF128" s="161">
        <f t="shared" si="95"/>
        <v>0</v>
      </c>
      <c r="DG128" s="161">
        <f t="shared" si="96"/>
        <v>0</v>
      </c>
      <c r="DH128" s="161">
        <f t="shared" si="97"/>
        <v>0</v>
      </c>
      <c r="DI128" s="161">
        <f t="shared" si="98"/>
        <v>0</v>
      </c>
      <c r="DJ128" s="161">
        <f t="shared" si="99"/>
        <v>0</v>
      </c>
      <c r="DK128" s="161">
        <f t="shared" si="100"/>
        <v>0</v>
      </c>
      <c r="DL128" s="161">
        <f t="shared" si="101"/>
        <v>0</v>
      </c>
      <c r="DM128" s="161">
        <f t="shared" si="102"/>
        <v>0</v>
      </c>
      <c r="DN128" s="161">
        <f t="shared" si="103"/>
        <v>0</v>
      </c>
      <c r="DO128" s="161">
        <f t="shared" si="104"/>
        <v>0</v>
      </c>
      <c r="DP128" s="161">
        <f t="shared" si="105"/>
        <v>0</v>
      </c>
      <c r="DQ128" s="161">
        <f t="shared" si="106"/>
        <v>0</v>
      </c>
      <c r="DR128" s="161">
        <f t="shared" si="107"/>
        <v>0</v>
      </c>
      <c r="DS128" s="161">
        <f t="shared" si="108"/>
        <v>0</v>
      </c>
      <c r="DT128" s="161">
        <f t="shared" si="109"/>
        <v>0</v>
      </c>
      <c r="DU128" s="161">
        <f t="shared" si="110"/>
        <v>0</v>
      </c>
      <c r="DV128" s="161">
        <f t="shared" si="111"/>
        <v>0</v>
      </c>
      <c r="DW128" s="161">
        <f t="shared" si="112"/>
        <v>0</v>
      </c>
      <c r="DX128" s="161">
        <f t="shared" si="113"/>
        <v>0</v>
      </c>
      <c r="DY128" s="161">
        <f t="shared" si="114"/>
        <v>0</v>
      </c>
      <c r="DZ128" s="161">
        <f t="shared" si="115"/>
        <v>0</v>
      </c>
      <c r="EA128" s="161">
        <f t="shared" si="116"/>
        <v>0</v>
      </c>
      <c r="EB128" s="161">
        <f t="shared" si="117"/>
        <v>0</v>
      </c>
      <c r="EC128" s="161">
        <f t="shared" si="118"/>
        <v>0</v>
      </c>
      <c r="ED128" s="161">
        <f t="shared" si="119"/>
        <v>0</v>
      </c>
      <c r="EE128" s="161">
        <f t="shared" si="120"/>
        <v>0</v>
      </c>
      <c r="EF128" s="161">
        <f t="shared" si="121"/>
        <v>0</v>
      </c>
      <c r="EG128" s="161">
        <f t="shared" si="122"/>
        <v>0</v>
      </c>
      <c r="EH128" s="161">
        <f t="shared" si="123"/>
        <v>0</v>
      </c>
      <c r="EI128" s="161">
        <f t="shared" si="124"/>
        <v>0</v>
      </c>
      <c r="EJ128" s="161">
        <f t="shared" si="125"/>
        <v>0</v>
      </c>
      <c r="EK128" s="147">
        <f t="shared" si="133"/>
        <v>0</v>
      </c>
      <c r="EL128" s="149"/>
      <c r="EN128" s="146"/>
      <c r="EO128" s="146"/>
      <c r="EP128" s="139">
        <f t="shared" si="134"/>
        <v>0</v>
      </c>
      <c r="EQ128" s="139">
        <f t="shared" si="135"/>
        <v>0</v>
      </c>
      <c r="ER128" s="139">
        <f t="shared" si="136"/>
        <v>0</v>
      </c>
      <c r="ES128" s="139">
        <f t="shared" si="137"/>
        <v>0</v>
      </c>
      <c r="ET128" s="139">
        <f t="shared" si="138"/>
        <v>0</v>
      </c>
      <c r="EU128" s="139">
        <f t="shared" si="139"/>
        <v>0</v>
      </c>
      <c r="EV128" s="139">
        <f t="shared" si="140"/>
        <v>0</v>
      </c>
      <c r="EW128" s="139">
        <f t="shared" si="141"/>
        <v>0</v>
      </c>
      <c r="EX128" s="139">
        <f t="shared" si="142"/>
        <v>0</v>
      </c>
      <c r="EY128" s="139">
        <f t="shared" si="143"/>
        <v>0</v>
      </c>
      <c r="EZ128" s="139">
        <f t="shared" si="144"/>
        <v>0</v>
      </c>
      <c r="FA128" s="139">
        <f t="shared" si="145"/>
        <v>0</v>
      </c>
      <c r="FB128" s="139">
        <f t="shared" si="146"/>
        <v>0</v>
      </c>
      <c r="FC128" s="139">
        <f t="shared" si="147"/>
        <v>0</v>
      </c>
      <c r="FD128" s="139">
        <f t="shared" si="148"/>
        <v>0</v>
      </c>
      <c r="FE128" s="139">
        <f t="shared" si="149"/>
        <v>0</v>
      </c>
      <c r="FF128" s="139">
        <f t="shared" si="150"/>
        <v>0</v>
      </c>
      <c r="FG128" s="139">
        <f t="shared" si="151"/>
        <v>0</v>
      </c>
      <c r="FH128" s="139">
        <f t="shared" si="152"/>
        <v>0</v>
      </c>
      <c r="FI128" s="139">
        <f t="shared" si="153"/>
        <v>0</v>
      </c>
      <c r="FJ128" s="139">
        <f t="shared" si="154"/>
        <v>0</v>
      </c>
      <c r="FK128" s="139">
        <f t="shared" si="155"/>
        <v>0</v>
      </c>
      <c r="FL128" s="139">
        <f t="shared" si="156"/>
        <v>0</v>
      </c>
      <c r="FM128" s="139">
        <f t="shared" si="157"/>
        <v>0</v>
      </c>
      <c r="FN128" s="139">
        <f t="shared" si="158"/>
        <v>0</v>
      </c>
      <c r="FO128" s="139">
        <f t="shared" si="159"/>
        <v>0</v>
      </c>
      <c r="FP128" s="139">
        <f t="shared" si="160"/>
        <v>0</v>
      </c>
      <c r="FQ128" s="139">
        <f t="shared" si="161"/>
        <v>0</v>
      </c>
      <c r="FR128" s="139">
        <f t="shared" si="162"/>
        <v>0</v>
      </c>
      <c r="FS128" s="139">
        <f t="shared" si="163"/>
        <v>0</v>
      </c>
      <c r="FT128" s="139">
        <f t="shared" si="164"/>
        <v>0</v>
      </c>
      <c r="FU128" s="148">
        <f t="shared" si="165"/>
        <v>0</v>
      </c>
      <c r="FV128" s="149"/>
      <c r="FY128" s="212">
        <v>123</v>
      </c>
      <c r="FZ128">
        <v>3.3966625313555823</v>
      </c>
      <c r="GA128">
        <v>7.3649688418741013</v>
      </c>
      <c r="GB128">
        <v>5.6371030309506978</v>
      </c>
      <c r="GC128">
        <v>2.398185481818377</v>
      </c>
      <c r="GD128">
        <v>1.5938838295758455</v>
      </c>
      <c r="GE128">
        <v>4.7695503968241679</v>
      </c>
      <c r="GF128">
        <v>9.7448904378745276</v>
      </c>
      <c r="GG128">
        <v>7.4402682833109255</v>
      </c>
      <c r="GH128">
        <v>1.6024207454241277</v>
      </c>
      <c r="GI128">
        <v>5.7919213344406835</v>
      </c>
      <c r="GJ128"/>
      <c r="GK128"/>
      <c r="GL128"/>
      <c r="GM128"/>
    </row>
    <row r="129" spans="1:195" s="7" customFormat="1">
      <c r="A129" s="1"/>
      <c r="B129" s="76">
        <f t="shared" ca="1" si="132"/>
        <v>0.27435009497642682</v>
      </c>
      <c r="C129">
        <v>9</v>
      </c>
      <c r="D129">
        <v>39775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10.416666666666666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18.660896035120874</v>
      </c>
      <c r="AO129">
        <v>10.548661806603921</v>
      </c>
      <c r="AP129">
        <v>69.79144204651017</v>
      </c>
      <c r="AQ129">
        <v>57.679240448606556</v>
      </c>
      <c r="AR129">
        <v>9.6080823198814187</v>
      </c>
      <c r="AS129">
        <v>49.580647509100103</v>
      </c>
      <c r="AT129">
        <v>5.10778315610695</v>
      </c>
      <c r="AU129">
        <v>0.16123824135456241</v>
      </c>
      <c r="AV129"/>
      <c r="AW129"/>
      <c r="AX129" s="146"/>
      <c r="AY129" s="76">
        <f t="shared" ca="1" si="88"/>
        <v>0.55007049260049889</v>
      </c>
      <c r="AZ129">
        <v>2</v>
      </c>
      <c r="BA129" s="129">
        <f t="shared" ref="BA129:BA137" si="167">IF(AZ129="", "",$C$8)</f>
        <v>39775</v>
      </c>
      <c r="BB129">
        <v>0</v>
      </c>
      <c r="BC129">
        <v>0</v>
      </c>
      <c r="BD129">
        <v>0</v>
      </c>
      <c r="BE129">
        <v>0</v>
      </c>
      <c r="BF129">
        <v>1</v>
      </c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90"/>
        <v>0.9546634929781419</v>
      </c>
      <c r="CL129" s="179">
        <f t="shared" si="91"/>
        <v>2</v>
      </c>
      <c r="CM129" s="180">
        <f t="shared" si="92"/>
        <v>39775</v>
      </c>
      <c r="CN129">
        <v>0</v>
      </c>
      <c r="CO129"/>
      <c r="CP129"/>
      <c r="CQ129"/>
      <c r="CR129"/>
      <c r="CS129"/>
      <c r="CT129"/>
      <c r="CU129"/>
      <c r="CV129" s="160"/>
      <c r="CW129">
        <v>1</v>
      </c>
      <c r="CX129">
        <f>20/11</f>
        <v>1.8181818181818181</v>
      </c>
      <c r="CY129" s="160"/>
      <c r="CZ129" s="177">
        <f t="shared" si="93"/>
        <v>9.6000000000000002E-2</v>
      </c>
      <c r="DB129" s="146"/>
      <c r="DC129" s="76">
        <f t="shared" ca="1" si="51"/>
        <v>0.18119237921194387</v>
      </c>
      <c r="DD129">
        <f t="shared" si="94"/>
        <v>2</v>
      </c>
      <c r="DE129" s="129">
        <f t="shared" si="166"/>
        <v>39775</v>
      </c>
      <c r="DF129" s="161">
        <f t="shared" si="95"/>
        <v>0</v>
      </c>
      <c r="DG129" s="161">
        <f t="shared" si="96"/>
        <v>0</v>
      </c>
      <c r="DH129" s="161">
        <f t="shared" si="97"/>
        <v>0</v>
      </c>
      <c r="DI129" s="161">
        <f t="shared" si="98"/>
        <v>0</v>
      </c>
      <c r="DJ129" s="161">
        <f t="shared" si="99"/>
        <v>10.416666666666666</v>
      </c>
      <c r="DK129" s="161">
        <f t="shared" si="100"/>
        <v>0</v>
      </c>
      <c r="DL129" s="161">
        <f t="shared" si="101"/>
        <v>0</v>
      </c>
      <c r="DM129" s="161">
        <f t="shared" si="102"/>
        <v>0</v>
      </c>
      <c r="DN129" s="161">
        <f t="shared" si="103"/>
        <v>0</v>
      </c>
      <c r="DO129" s="161">
        <f t="shared" si="104"/>
        <v>0</v>
      </c>
      <c r="DP129" s="161">
        <f t="shared" si="105"/>
        <v>0</v>
      </c>
      <c r="DQ129" s="161">
        <f t="shared" si="106"/>
        <v>0</v>
      </c>
      <c r="DR129" s="161">
        <f t="shared" si="107"/>
        <v>0</v>
      </c>
      <c r="DS129" s="161">
        <f t="shared" si="108"/>
        <v>0</v>
      </c>
      <c r="DT129" s="161">
        <f t="shared" si="109"/>
        <v>0</v>
      </c>
      <c r="DU129" s="161">
        <f t="shared" si="110"/>
        <v>0</v>
      </c>
      <c r="DV129" s="161">
        <f t="shared" si="111"/>
        <v>0</v>
      </c>
      <c r="DW129" s="161">
        <f t="shared" si="112"/>
        <v>0</v>
      </c>
      <c r="DX129" s="161">
        <f t="shared" si="113"/>
        <v>0</v>
      </c>
      <c r="DY129" s="161">
        <f t="shared" si="114"/>
        <v>0</v>
      </c>
      <c r="DZ129" s="161">
        <f t="shared" si="115"/>
        <v>0</v>
      </c>
      <c r="EA129" s="161">
        <f t="shared" si="116"/>
        <v>0</v>
      </c>
      <c r="EB129" s="161">
        <f t="shared" si="117"/>
        <v>0</v>
      </c>
      <c r="EC129" s="161">
        <f t="shared" si="118"/>
        <v>0</v>
      </c>
      <c r="ED129" s="161">
        <f t="shared" si="119"/>
        <v>0</v>
      </c>
      <c r="EE129" s="161">
        <f t="shared" si="120"/>
        <v>0</v>
      </c>
      <c r="EF129" s="161">
        <f t="shared" si="121"/>
        <v>0</v>
      </c>
      <c r="EG129" s="161">
        <f t="shared" si="122"/>
        <v>0</v>
      </c>
      <c r="EH129" s="161">
        <f t="shared" si="123"/>
        <v>0</v>
      </c>
      <c r="EI129" s="161">
        <f t="shared" si="124"/>
        <v>0</v>
      </c>
      <c r="EJ129" s="161">
        <f t="shared" si="125"/>
        <v>0</v>
      </c>
      <c r="EK129" s="147">
        <f t="shared" si="133"/>
        <v>10.416666666666666</v>
      </c>
      <c r="EL129" s="149"/>
      <c r="EN129" s="146"/>
      <c r="EO129" s="146"/>
      <c r="EP129" s="139">
        <f t="shared" si="134"/>
        <v>0</v>
      </c>
      <c r="EQ129" s="139">
        <f t="shared" si="135"/>
        <v>0</v>
      </c>
      <c r="ER129" s="139">
        <f t="shared" si="136"/>
        <v>0</v>
      </c>
      <c r="ES129" s="139">
        <f t="shared" si="137"/>
        <v>0</v>
      </c>
      <c r="ET129" s="139">
        <f t="shared" si="138"/>
        <v>2.2255564645651158</v>
      </c>
      <c r="EU129" s="139">
        <f t="shared" si="139"/>
        <v>0</v>
      </c>
      <c r="EV129" s="139">
        <f t="shared" si="140"/>
        <v>0</v>
      </c>
      <c r="EW129" s="139">
        <f t="shared" si="141"/>
        <v>0</v>
      </c>
      <c r="EX129" s="139">
        <f t="shared" si="142"/>
        <v>0</v>
      </c>
      <c r="EY129" s="139">
        <f t="shared" si="143"/>
        <v>0</v>
      </c>
      <c r="EZ129" s="139">
        <f t="shared" si="144"/>
        <v>0</v>
      </c>
      <c r="FA129" s="139">
        <f t="shared" si="145"/>
        <v>0</v>
      </c>
      <c r="FB129" s="139">
        <f t="shared" si="146"/>
        <v>0</v>
      </c>
      <c r="FC129" s="139">
        <f t="shared" si="147"/>
        <v>0</v>
      </c>
      <c r="FD129" s="139">
        <f t="shared" si="148"/>
        <v>0</v>
      </c>
      <c r="FE129" s="139">
        <f t="shared" si="149"/>
        <v>0</v>
      </c>
      <c r="FF129" s="139">
        <f t="shared" si="150"/>
        <v>0</v>
      </c>
      <c r="FG129" s="139">
        <f t="shared" si="151"/>
        <v>0</v>
      </c>
      <c r="FH129" s="139">
        <f t="shared" si="152"/>
        <v>0</v>
      </c>
      <c r="FI129" s="139">
        <f t="shared" si="153"/>
        <v>0</v>
      </c>
      <c r="FJ129" s="139">
        <f t="shared" si="154"/>
        <v>0</v>
      </c>
      <c r="FK129" s="139">
        <f t="shared" si="155"/>
        <v>0</v>
      </c>
      <c r="FL129" s="139">
        <f t="shared" si="156"/>
        <v>0</v>
      </c>
      <c r="FM129" s="139">
        <f t="shared" si="157"/>
        <v>0</v>
      </c>
      <c r="FN129" s="139">
        <f t="shared" si="158"/>
        <v>0</v>
      </c>
      <c r="FO129" s="139">
        <f t="shared" si="159"/>
        <v>0</v>
      </c>
      <c r="FP129" s="139">
        <f t="shared" si="160"/>
        <v>0</v>
      </c>
      <c r="FQ129" s="139">
        <f t="shared" si="161"/>
        <v>0</v>
      </c>
      <c r="FR129" s="139">
        <f t="shared" si="162"/>
        <v>0</v>
      </c>
      <c r="FS129" s="139">
        <f t="shared" si="163"/>
        <v>0</v>
      </c>
      <c r="FT129" s="139">
        <f t="shared" si="164"/>
        <v>0</v>
      </c>
      <c r="FU129" s="148">
        <f t="shared" si="165"/>
        <v>2.2255564645651158</v>
      </c>
      <c r="FV129" s="149"/>
      <c r="FY129" s="212">
        <v>124</v>
      </c>
      <c r="FZ129">
        <v>3.1923345380859138</v>
      </c>
      <c r="GA129">
        <v>6.7336152043418682</v>
      </c>
      <c r="GB129">
        <v>6.6050981623046221</v>
      </c>
      <c r="GC129">
        <v>3.0365526609631162</v>
      </c>
      <c r="GD129">
        <v>1.8441179774768117</v>
      </c>
      <c r="GE129">
        <v>3.6191208185191233</v>
      </c>
      <c r="GF129">
        <v>3.0090888998354828</v>
      </c>
      <c r="GG129">
        <v>3.8447849422380864</v>
      </c>
      <c r="GH129">
        <v>3.2592196399535034</v>
      </c>
      <c r="GI129">
        <v>4.6353783360823275</v>
      </c>
      <c r="GJ129"/>
      <c r="GK129"/>
      <c r="GL129"/>
      <c r="GM129"/>
    </row>
    <row r="130" spans="1:195" s="7" customFormat="1">
      <c r="A130" s="1"/>
      <c r="B130" s="76">
        <f t="shared" ca="1" si="132"/>
        <v>0.46823820730966759</v>
      </c>
      <c r="C130">
        <v>4</v>
      </c>
      <c r="D130">
        <v>39775</v>
      </c>
      <c r="E130">
        <v>0</v>
      </c>
      <c r="F130">
        <v>0</v>
      </c>
      <c r="G130">
        <v>10.416666666666666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24.01607163949917</v>
      </c>
      <c r="AO130">
        <v>8.6443315458172201</v>
      </c>
      <c r="AP130">
        <v>51.29218858922988</v>
      </c>
      <c r="AQ130">
        <v>43.162935250231143</v>
      </c>
      <c r="AR130">
        <v>7.930951227360457</v>
      </c>
      <c r="AS130">
        <v>47.402083333251404</v>
      </c>
      <c r="AT130">
        <v>4.6412182537451931</v>
      </c>
      <c r="AU130">
        <v>38.358575163020646</v>
      </c>
      <c r="AV130"/>
      <c r="AW130"/>
      <c r="AX130" s="146"/>
      <c r="AY130" s="76">
        <f t="shared" ca="1" si="88"/>
        <v>0.78224004724498086</v>
      </c>
      <c r="AZ130">
        <v>3</v>
      </c>
      <c r="BA130" s="129">
        <f t="shared" si="167"/>
        <v>39775</v>
      </c>
      <c r="BB130">
        <v>0</v>
      </c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90"/>
        <v>0.19626640130324624</v>
      </c>
      <c r="CL130" s="179">
        <f t="shared" si="91"/>
        <v>3</v>
      </c>
      <c r="CM130" s="180">
        <f t="shared" si="92"/>
        <v>39775</v>
      </c>
      <c r="CN130">
        <v>0</v>
      </c>
      <c r="CO130"/>
      <c r="CP130"/>
      <c r="CQ130"/>
      <c r="CR130"/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3"/>
        <v>9.6000000000000002E-2</v>
      </c>
      <c r="DB130" s="146"/>
      <c r="DC130" s="76">
        <f t="shared" ca="1" si="51"/>
        <v>0.8950595652231752</v>
      </c>
      <c r="DD130">
        <f t="shared" si="94"/>
        <v>3</v>
      </c>
      <c r="DE130" s="129">
        <f t="shared" si="166"/>
        <v>39775</v>
      </c>
      <c r="DF130" s="161">
        <f t="shared" si="95"/>
        <v>0</v>
      </c>
      <c r="DG130" s="161">
        <f t="shared" si="96"/>
        <v>0</v>
      </c>
      <c r="DH130" s="161">
        <f t="shared" si="97"/>
        <v>0</v>
      </c>
      <c r="DI130" s="161">
        <f t="shared" si="98"/>
        <v>0</v>
      </c>
      <c r="DJ130" s="161">
        <f t="shared" si="99"/>
        <v>0</v>
      </c>
      <c r="DK130" s="161">
        <f t="shared" si="100"/>
        <v>0</v>
      </c>
      <c r="DL130" s="161">
        <f t="shared" si="101"/>
        <v>0</v>
      </c>
      <c r="DM130" s="161">
        <f t="shared" si="102"/>
        <v>0</v>
      </c>
      <c r="DN130" s="161">
        <f t="shared" si="103"/>
        <v>0</v>
      </c>
      <c r="DO130" s="161">
        <f t="shared" si="104"/>
        <v>0</v>
      </c>
      <c r="DP130" s="161">
        <f t="shared" si="105"/>
        <v>0</v>
      </c>
      <c r="DQ130" s="161">
        <f t="shared" si="106"/>
        <v>0</v>
      </c>
      <c r="DR130" s="161">
        <f t="shared" si="107"/>
        <v>0</v>
      </c>
      <c r="DS130" s="161">
        <f t="shared" si="108"/>
        <v>0</v>
      </c>
      <c r="DT130" s="161">
        <f t="shared" si="109"/>
        <v>0</v>
      </c>
      <c r="DU130" s="161">
        <f t="shared" si="110"/>
        <v>0</v>
      </c>
      <c r="DV130" s="161">
        <f t="shared" si="111"/>
        <v>0</v>
      </c>
      <c r="DW130" s="161">
        <f t="shared" si="112"/>
        <v>0</v>
      </c>
      <c r="DX130" s="161">
        <f t="shared" si="113"/>
        <v>0</v>
      </c>
      <c r="DY130" s="161">
        <f t="shared" si="114"/>
        <v>0</v>
      </c>
      <c r="DZ130" s="161">
        <f t="shared" si="115"/>
        <v>0</v>
      </c>
      <c r="EA130" s="161">
        <f t="shared" si="116"/>
        <v>0</v>
      </c>
      <c r="EB130" s="161">
        <f t="shared" si="117"/>
        <v>0</v>
      </c>
      <c r="EC130" s="161">
        <f t="shared" si="118"/>
        <v>0</v>
      </c>
      <c r="ED130" s="161">
        <f t="shared" si="119"/>
        <v>0</v>
      </c>
      <c r="EE130" s="161">
        <f t="shared" si="120"/>
        <v>0</v>
      </c>
      <c r="EF130" s="161">
        <f t="shared" si="121"/>
        <v>0</v>
      </c>
      <c r="EG130" s="161">
        <f t="shared" si="122"/>
        <v>0</v>
      </c>
      <c r="EH130" s="161">
        <f t="shared" si="123"/>
        <v>0</v>
      </c>
      <c r="EI130" s="161">
        <f t="shared" si="124"/>
        <v>0</v>
      </c>
      <c r="EJ130" s="161">
        <f t="shared" si="125"/>
        <v>0</v>
      </c>
      <c r="EK130" s="147">
        <f t="shared" si="133"/>
        <v>0</v>
      </c>
      <c r="EL130" s="149"/>
      <c r="EN130" s="146"/>
      <c r="EO130" s="146"/>
      <c r="EP130" s="139">
        <f t="shared" si="134"/>
        <v>0</v>
      </c>
      <c r="EQ130" s="139">
        <f t="shared" si="135"/>
        <v>0</v>
      </c>
      <c r="ER130" s="139">
        <f t="shared" si="136"/>
        <v>0</v>
      </c>
      <c r="ES130" s="139">
        <f t="shared" si="137"/>
        <v>0</v>
      </c>
      <c r="ET130" s="139">
        <f t="shared" si="138"/>
        <v>0</v>
      </c>
      <c r="EU130" s="139">
        <f t="shared" si="139"/>
        <v>0</v>
      </c>
      <c r="EV130" s="139">
        <f t="shared" si="140"/>
        <v>0</v>
      </c>
      <c r="EW130" s="139">
        <f t="shared" si="141"/>
        <v>0</v>
      </c>
      <c r="EX130" s="139">
        <f t="shared" si="142"/>
        <v>0</v>
      </c>
      <c r="EY130" s="139">
        <f t="shared" si="143"/>
        <v>0</v>
      </c>
      <c r="EZ130" s="139">
        <f t="shared" si="144"/>
        <v>0</v>
      </c>
      <c r="FA130" s="139">
        <f t="shared" si="145"/>
        <v>0</v>
      </c>
      <c r="FB130" s="139">
        <f t="shared" si="146"/>
        <v>0</v>
      </c>
      <c r="FC130" s="139">
        <f t="shared" si="147"/>
        <v>0</v>
      </c>
      <c r="FD130" s="139">
        <f t="shared" si="148"/>
        <v>0</v>
      </c>
      <c r="FE130" s="139">
        <f t="shared" si="149"/>
        <v>0</v>
      </c>
      <c r="FF130" s="139">
        <f t="shared" si="150"/>
        <v>0</v>
      </c>
      <c r="FG130" s="139">
        <f t="shared" si="151"/>
        <v>0</v>
      </c>
      <c r="FH130" s="139">
        <f t="shared" si="152"/>
        <v>0</v>
      </c>
      <c r="FI130" s="139">
        <f t="shared" si="153"/>
        <v>0</v>
      </c>
      <c r="FJ130" s="139">
        <f t="shared" si="154"/>
        <v>0</v>
      </c>
      <c r="FK130" s="139">
        <f t="shared" si="155"/>
        <v>0</v>
      </c>
      <c r="FL130" s="139">
        <f t="shared" si="156"/>
        <v>0</v>
      </c>
      <c r="FM130" s="139">
        <f t="shared" si="157"/>
        <v>0</v>
      </c>
      <c r="FN130" s="139">
        <f t="shared" si="158"/>
        <v>0</v>
      </c>
      <c r="FO130" s="139">
        <f t="shared" si="159"/>
        <v>0</v>
      </c>
      <c r="FP130" s="139">
        <f t="shared" si="160"/>
        <v>0</v>
      </c>
      <c r="FQ130" s="139">
        <f t="shared" si="161"/>
        <v>0</v>
      </c>
      <c r="FR130" s="139">
        <f t="shared" si="162"/>
        <v>0</v>
      </c>
      <c r="FS130" s="139">
        <f t="shared" si="163"/>
        <v>0</v>
      </c>
      <c r="FT130" s="139">
        <f t="shared" si="164"/>
        <v>0</v>
      </c>
      <c r="FU130" s="148">
        <f t="shared" si="165"/>
        <v>0</v>
      </c>
      <c r="FV130" s="149"/>
      <c r="FY130" s="212">
        <v>125</v>
      </c>
      <c r="FZ130">
        <v>0.25785542725503385</v>
      </c>
      <c r="GA130">
        <v>3.3622069507732135</v>
      </c>
      <c r="GB130">
        <v>9.9751424335793342</v>
      </c>
      <c r="GC130">
        <v>4.9478409767927332</v>
      </c>
      <c r="GD130">
        <v>1.0032173992484563</v>
      </c>
      <c r="GE130">
        <v>4.2289394542119441</v>
      </c>
      <c r="GF130">
        <v>7.3487210980466084</v>
      </c>
      <c r="GG130">
        <v>2.3427766525358242</v>
      </c>
      <c r="GH130">
        <v>0.43710962855211843</v>
      </c>
      <c r="GI130">
        <v>5.0529142104966693</v>
      </c>
      <c r="GJ130"/>
      <c r="GK130"/>
      <c r="GL130"/>
      <c r="GM130"/>
    </row>
    <row r="131" spans="1:195" s="7" customFormat="1">
      <c r="A131" s="1"/>
      <c r="B131" s="76">
        <f t="shared" ca="1" si="132"/>
        <v>0.11225045456901839</v>
      </c>
      <c r="C131">
        <v>8</v>
      </c>
      <c r="D131">
        <v>39775</v>
      </c>
      <c r="E131">
        <v>0</v>
      </c>
      <c r="F131">
        <v>0</v>
      </c>
      <c r="G131">
        <v>52.083333333333336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26.832924836601308</v>
      </c>
      <c r="AO131">
        <v>11.540332431957271</v>
      </c>
      <c r="AP131">
        <v>60.429315111066714</v>
      </c>
      <c r="AQ131">
        <v>58.305335110792178</v>
      </c>
      <c r="AR131">
        <v>10.604882336443096</v>
      </c>
      <c r="AS131">
        <v>59.65213819817113</v>
      </c>
      <c r="AT131">
        <v>5.8320176535267114</v>
      </c>
      <c r="AU131">
        <v>47.507817994256136</v>
      </c>
      <c r="AV131"/>
      <c r="AW131"/>
      <c r="AX131" s="146"/>
      <c r="AY131" s="76">
        <f t="shared" ca="1" si="88"/>
        <v>0.60209741089996438</v>
      </c>
      <c r="AZ131">
        <v>4</v>
      </c>
      <c r="BA131" s="129">
        <f t="shared" si="167"/>
        <v>39775</v>
      </c>
      <c r="BB131">
        <v>0</v>
      </c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90"/>
        <v>0.94054737342165051</v>
      </c>
      <c r="CL131" s="179">
        <f t="shared" si="91"/>
        <v>4</v>
      </c>
      <c r="CM131" s="180">
        <f t="shared" si="92"/>
        <v>39775</v>
      </c>
      <c r="CN131">
        <v>0</v>
      </c>
      <c r="CO131">
        <v>0</v>
      </c>
      <c r="CP131">
        <v>1</v>
      </c>
      <c r="CQ131"/>
      <c r="CR131"/>
      <c r="CS131"/>
      <c r="CT131"/>
      <c r="CU131"/>
      <c r="CV131" s="160"/>
      <c r="CW131">
        <v>1</v>
      </c>
      <c r="CX131">
        <v>1</v>
      </c>
      <c r="CY131" s="160"/>
      <c r="CZ131" s="177">
        <f t="shared" si="93"/>
        <v>9.6000000000000002E-2</v>
      </c>
      <c r="DB131" s="146"/>
      <c r="DC131" s="76">
        <f t="shared" ca="1" si="51"/>
        <v>0.35983748152134876</v>
      </c>
      <c r="DD131">
        <f t="shared" si="94"/>
        <v>4</v>
      </c>
      <c r="DE131" s="129">
        <f t="shared" si="166"/>
        <v>39775</v>
      </c>
      <c r="DF131" s="161">
        <f t="shared" si="95"/>
        <v>0</v>
      </c>
      <c r="DG131" s="161">
        <f t="shared" si="96"/>
        <v>0</v>
      </c>
      <c r="DH131" s="161">
        <f t="shared" si="97"/>
        <v>10.416666666666666</v>
      </c>
      <c r="DI131" s="161">
        <f t="shared" si="98"/>
        <v>0</v>
      </c>
      <c r="DJ131" s="161">
        <f t="shared" si="99"/>
        <v>0</v>
      </c>
      <c r="DK131" s="161">
        <f t="shared" si="100"/>
        <v>0</v>
      </c>
      <c r="DL131" s="161">
        <f t="shared" si="101"/>
        <v>0</v>
      </c>
      <c r="DM131" s="161">
        <f t="shared" si="102"/>
        <v>0</v>
      </c>
      <c r="DN131" s="161">
        <f t="shared" si="103"/>
        <v>0</v>
      </c>
      <c r="DO131" s="161">
        <f t="shared" si="104"/>
        <v>0</v>
      </c>
      <c r="DP131" s="161">
        <f t="shared" si="105"/>
        <v>0</v>
      </c>
      <c r="DQ131" s="161">
        <f t="shared" si="106"/>
        <v>0</v>
      </c>
      <c r="DR131" s="161">
        <f t="shared" si="107"/>
        <v>0</v>
      </c>
      <c r="DS131" s="161">
        <f t="shared" si="108"/>
        <v>0</v>
      </c>
      <c r="DT131" s="161">
        <f t="shared" si="109"/>
        <v>0</v>
      </c>
      <c r="DU131" s="161">
        <f t="shared" si="110"/>
        <v>0</v>
      </c>
      <c r="DV131" s="161">
        <f t="shared" si="111"/>
        <v>0</v>
      </c>
      <c r="DW131" s="161">
        <f t="shared" si="112"/>
        <v>0</v>
      </c>
      <c r="DX131" s="161">
        <f t="shared" si="113"/>
        <v>0</v>
      </c>
      <c r="DY131" s="161">
        <f t="shared" si="114"/>
        <v>0</v>
      </c>
      <c r="DZ131" s="161">
        <f t="shared" si="115"/>
        <v>0</v>
      </c>
      <c r="EA131" s="161">
        <f t="shared" si="116"/>
        <v>0</v>
      </c>
      <c r="EB131" s="161">
        <f t="shared" si="117"/>
        <v>0</v>
      </c>
      <c r="EC131" s="161">
        <f t="shared" si="118"/>
        <v>0</v>
      </c>
      <c r="ED131" s="161">
        <f t="shared" si="119"/>
        <v>0</v>
      </c>
      <c r="EE131" s="161">
        <f t="shared" si="120"/>
        <v>0</v>
      </c>
      <c r="EF131" s="161">
        <f t="shared" si="121"/>
        <v>0</v>
      </c>
      <c r="EG131" s="161">
        <f t="shared" si="122"/>
        <v>0</v>
      </c>
      <c r="EH131" s="161">
        <f t="shared" si="123"/>
        <v>0</v>
      </c>
      <c r="EI131" s="161">
        <f t="shared" si="124"/>
        <v>0</v>
      </c>
      <c r="EJ131" s="161">
        <f t="shared" si="125"/>
        <v>0</v>
      </c>
      <c r="EK131" s="147">
        <f t="shared" si="133"/>
        <v>10.416666666666666</v>
      </c>
      <c r="EL131" s="149"/>
      <c r="EN131" s="146"/>
      <c r="EO131" s="146"/>
      <c r="EP131" s="139">
        <f t="shared" si="134"/>
        <v>0</v>
      </c>
      <c r="EQ131" s="139">
        <f t="shared" si="135"/>
        <v>0</v>
      </c>
      <c r="ER131" s="139">
        <f t="shared" si="136"/>
        <v>0.20224362095138954</v>
      </c>
      <c r="ES131" s="139">
        <f t="shared" si="137"/>
        <v>0</v>
      </c>
      <c r="ET131" s="139">
        <f t="shared" si="138"/>
        <v>0</v>
      </c>
      <c r="EU131" s="139">
        <f t="shared" si="139"/>
        <v>0</v>
      </c>
      <c r="EV131" s="139">
        <f t="shared" si="140"/>
        <v>0</v>
      </c>
      <c r="EW131" s="139">
        <f t="shared" si="141"/>
        <v>0</v>
      </c>
      <c r="EX131" s="139">
        <f t="shared" si="142"/>
        <v>0</v>
      </c>
      <c r="EY131" s="139">
        <f t="shared" si="143"/>
        <v>0</v>
      </c>
      <c r="EZ131" s="139">
        <f t="shared" si="144"/>
        <v>0</v>
      </c>
      <c r="FA131" s="139">
        <f t="shared" si="145"/>
        <v>0</v>
      </c>
      <c r="FB131" s="139">
        <f t="shared" si="146"/>
        <v>0</v>
      </c>
      <c r="FC131" s="139">
        <f t="shared" si="147"/>
        <v>0</v>
      </c>
      <c r="FD131" s="139">
        <f t="shared" si="148"/>
        <v>0</v>
      </c>
      <c r="FE131" s="139">
        <f t="shared" si="149"/>
        <v>0</v>
      </c>
      <c r="FF131" s="139">
        <f t="shared" si="150"/>
        <v>0</v>
      </c>
      <c r="FG131" s="139">
        <f t="shared" si="151"/>
        <v>0</v>
      </c>
      <c r="FH131" s="139">
        <f t="shared" si="152"/>
        <v>0</v>
      </c>
      <c r="FI131" s="139">
        <f t="shared" si="153"/>
        <v>0</v>
      </c>
      <c r="FJ131" s="139">
        <f t="shared" si="154"/>
        <v>0</v>
      </c>
      <c r="FK131" s="139">
        <f t="shared" si="155"/>
        <v>0</v>
      </c>
      <c r="FL131" s="139">
        <f t="shared" si="156"/>
        <v>0</v>
      </c>
      <c r="FM131" s="139">
        <f t="shared" si="157"/>
        <v>0</v>
      </c>
      <c r="FN131" s="139">
        <f t="shared" si="158"/>
        <v>0</v>
      </c>
      <c r="FO131" s="139">
        <f t="shared" si="159"/>
        <v>0</v>
      </c>
      <c r="FP131" s="139">
        <f t="shared" si="160"/>
        <v>0</v>
      </c>
      <c r="FQ131" s="139">
        <f t="shared" si="161"/>
        <v>0</v>
      </c>
      <c r="FR131" s="139">
        <f t="shared" si="162"/>
        <v>0</v>
      </c>
      <c r="FS131" s="139">
        <f t="shared" si="163"/>
        <v>0</v>
      </c>
      <c r="FT131" s="139">
        <f t="shared" si="164"/>
        <v>0</v>
      </c>
      <c r="FU131" s="148">
        <f t="shared" si="165"/>
        <v>0.20224362095138954</v>
      </c>
      <c r="FV131" s="149"/>
      <c r="FY131" s="212">
        <v>126</v>
      </c>
      <c r="FZ131">
        <v>6.4854480827725451</v>
      </c>
      <c r="GA131">
        <v>10.550441822985245</v>
      </c>
      <c r="GB131">
        <v>7.0361315942510112</v>
      </c>
      <c r="GC131">
        <v>3.1340768569316024</v>
      </c>
      <c r="GD131">
        <v>1.5409416426144209</v>
      </c>
      <c r="GE131">
        <v>4.3235276038124235</v>
      </c>
      <c r="GF131">
        <v>4.0274122792117524</v>
      </c>
      <c r="GG131">
        <v>1.9824468495790355</v>
      </c>
      <c r="GH131">
        <v>2.547227937064978</v>
      </c>
      <c r="GI131">
        <v>5.0129254791953581</v>
      </c>
      <c r="GJ131"/>
      <c r="GK131"/>
      <c r="GL131"/>
      <c r="GM131"/>
    </row>
    <row r="132" spans="1:195" s="7" customFormat="1">
      <c r="A132" s="1"/>
      <c r="B132" s="76">
        <f t="shared" ca="1" si="132"/>
        <v>0.48554445213751007</v>
      </c>
      <c r="C132">
        <v>2</v>
      </c>
      <c r="D132">
        <v>39775</v>
      </c>
      <c r="E132">
        <v>0</v>
      </c>
      <c r="F132">
        <v>0</v>
      </c>
      <c r="G132">
        <v>0</v>
      </c>
      <c r="H132">
        <v>0</v>
      </c>
      <c r="I132">
        <v>10.416666666666666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15.119689542483655</v>
      </c>
      <c r="AO132">
        <v>9.5838323944962074</v>
      </c>
      <c r="AP132">
        <v>54.56305416905272</v>
      </c>
      <c r="AQ132">
        <v>48.273679783649293</v>
      </c>
      <c r="AR132">
        <v>8.7723525213178632</v>
      </c>
      <c r="AS132">
        <v>46.984912897755081</v>
      </c>
      <c r="AT132">
        <v>4.9015389470319848</v>
      </c>
      <c r="AU132">
        <v>25.934002477647326</v>
      </c>
      <c r="AV132"/>
      <c r="AW132"/>
      <c r="AX132" s="146"/>
      <c r="AY132" s="76">
        <f t="shared" ca="1" si="88"/>
        <v>0.33309951321782094</v>
      </c>
      <c r="AZ132">
        <v>5</v>
      </c>
      <c r="BA132" s="129">
        <f t="shared" si="167"/>
        <v>39775</v>
      </c>
      <c r="BB132">
        <v>0</v>
      </c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90"/>
        <v>0.13569796866885842</v>
      </c>
      <c r="CL132" s="179">
        <f t="shared" si="91"/>
        <v>5</v>
      </c>
      <c r="CM132" s="180">
        <f t="shared" si="92"/>
        <v>39775</v>
      </c>
      <c r="CN132">
        <v>0</v>
      </c>
      <c r="CO132"/>
      <c r="CP132"/>
      <c r="CQ132"/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3"/>
        <v>9.6000000000000002E-2</v>
      </c>
      <c r="DB132" s="146"/>
      <c r="DC132" s="76">
        <f t="shared" ca="1" si="51"/>
        <v>0.18780695703344463</v>
      </c>
      <c r="DD132">
        <f t="shared" si="94"/>
        <v>5</v>
      </c>
      <c r="DE132" s="129">
        <f t="shared" si="166"/>
        <v>39775</v>
      </c>
      <c r="DF132" s="161">
        <f t="shared" si="95"/>
        <v>0</v>
      </c>
      <c r="DG132" s="161">
        <f t="shared" si="96"/>
        <v>0</v>
      </c>
      <c r="DH132" s="161">
        <f t="shared" si="97"/>
        <v>0</v>
      </c>
      <c r="DI132" s="161">
        <f t="shared" si="98"/>
        <v>0</v>
      </c>
      <c r="DJ132" s="161">
        <f t="shared" si="99"/>
        <v>0</v>
      </c>
      <c r="DK132" s="161">
        <f t="shared" si="100"/>
        <v>0</v>
      </c>
      <c r="DL132" s="161">
        <f t="shared" si="101"/>
        <v>0</v>
      </c>
      <c r="DM132" s="161">
        <f t="shared" si="102"/>
        <v>0</v>
      </c>
      <c r="DN132" s="161">
        <f t="shared" si="103"/>
        <v>0</v>
      </c>
      <c r="DO132" s="161">
        <f t="shared" si="104"/>
        <v>0</v>
      </c>
      <c r="DP132" s="161">
        <f t="shared" si="105"/>
        <v>0</v>
      </c>
      <c r="DQ132" s="161">
        <f t="shared" si="106"/>
        <v>0</v>
      </c>
      <c r="DR132" s="161">
        <f t="shared" si="107"/>
        <v>0</v>
      </c>
      <c r="DS132" s="161">
        <f t="shared" si="108"/>
        <v>0</v>
      </c>
      <c r="DT132" s="161">
        <f t="shared" si="109"/>
        <v>0</v>
      </c>
      <c r="DU132" s="161">
        <f t="shared" si="110"/>
        <v>0</v>
      </c>
      <c r="DV132" s="161">
        <f t="shared" si="111"/>
        <v>0</v>
      </c>
      <c r="DW132" s="161">
        <f t="shared" si="112"/>
        <v>0</v>
      </c>
      <c r="DX132" s="161">
        <f t="shared" si="113"/>
        <v>0</v>
      </c>
      <c r="DY132" s="161">
        <f t="shared" si="114"/>
        <v>0</v>
      </c>
      <c r="DZ132" s="161">
        <f t="shared" si="115"/>
        <v>0</v>
      </c>
      <c r="EA132" s="161">
        <f t="shared" si="116"/>
        <v>0</v>
      </c>
      <c r="EB132" s="161">
        <f t="shared" si="117"/>
        <v>0</v>
      </c>
      <c r="EC132" s="161">
        <f t="shared" si="118"/>
        <v>0</v>
      </c>
      <c r="ED132" s="161">
        <f t="shared" si="119"/>
        <v>0</v>
      </c>
      <c r="EE132" s="161">
        <f t="shared" si="120"/>
        <v>0</v>
      </c>
      <c r="EF132" s="161">
        <f t="shared" si="121"/>
        <v>0</v>
      </c>
      <c r="EG132" s="161">
        <f t="shared" si="122"/>
        <v>0</v>
      </c>
      <c r="EH132" s="161">
        <f t="shared" si="123"/>
        <v>0</v>
      </c>
      <c r="EI132" s="161">
        <f t="shared" si="124"/>
        <v>0</v>
      </c>
      <c r="EJ132" s="161">
        <f t="shared" si="125"/>
        <v>0</v>
      </c>
      <c r="EK132" s="147">
        <f t="shared" si="133"/>
        <v>0</v>
      </c>
      <c r="EL132" s="149"/>
      <c r="EN132" s="146"/>
      <c r="EO132" s="146"/>
      <c r="EP132" s="139">
        <f t="shared" si="134"/>
        <v>0</v>
      </c>
      <c r="EQ132" s="139">
        <f t="shared" si="135"/>
        <v>0</v>
      </c>
      <c r="ER132" s="139">
        <f t="shared" si="136"/>
        <v>0</v>
      </c>
      <c r="ES132" s="139">
        <f t="shared" si="137"/>
        <v>0</v>
      </c>
      <c r="ET132" s="139">
        <f t="shared" si="138"/>
        <v>0</v>
      </c>
      <c r="EU132" s="139">
        <f t="shared" si="139"/>
        <v>0</v>
      </c>
      <c r="EV132" s="139">
        <f t="shared" si="140"/>
        <v>0</v>
      </c>
      <c r="EW132" s="139">
        <f t="shared" si="141"/>
        <v>0</v>
      </c>
      <c r="EX132" s="139">
        <f t="shared" si="142"/>
        <v>0</v>
      </c>
      <c r="EY132" s="139">
        <f t="shared" si="143"/>
        <v>0</v>
      </c>
      <c r="EZ132" s="139">
        <f t="shared" si="144"/>
        <v>0</v>
      </c>
      <c r="FA132" s="139">
        <f t="shared" si="145"/>
        <v>0</v>
      </c>
      <c r="FB132" s="139">
        <f t="shared" si="146"/>
        <v>0</v>
      </c>
      <c r="FC132" s="139">
        <f t="shared" si="147"/>
        <v>0</v>
      </c>
      <c r="FD132" s="139">
        <f t="shared" si="148"/>
        <v>0</v>
      </c>
      <c r="FE132" s="139">
        <f t="shared" si="149"/>
        <v>0</v>
      </c>
      <c r="FF132" s="139">
        <f t="shared" si="150"/>
        <v>0</v>
      </c>
      <c r="FG132" s="139">
        <f t="shared" si="151"/>
        <v>0</v>
      </c>
      <c r="FH132" s="139">
        <f t="shared" si="152"/>
        <v>0</v>
      </c>
      <c r="FI132" s="139">
        <f t="shared" si="153"/>
        <v>0</v>
      </c>
      <c r="FJ132" s="139">
        <f t="shared" si="154"/>
        <v>0</v>
      </c>
      <c r="FK132" s="139">
        <f t="shared" si="155"/>
        <v>0</v>
      </c>
      <c r="FL132" s="139">
        <f t="shared" si="156"/>
        <v>0</v>
      </c>
      <c r="FM132" s="139">
        <f t="shared" si="157"/>
        <v>0</v>
      </c>
      <c r="FN132" s="139">
        <f t="shared" si="158"/>
        <v>0</v>
      </c>
      <c r="FO132" s="139">
        <f t="shared" si="159"/>
        <v>0</v>
      </c>
      <c r="FP132" s="139">
        <f t="shared" si="160"/>
        <v>0</v>
      </c>
      <c r="FQ132" s="139">
        <f t="shared" si="161"/>
        <v>0</v>
      </c>
      <c r="FR132" s="139">
        <f t="shared" si="162"/>
        <v>0</v>
      </c>
      <c r="FS132" s="139">
        <f t="shared" si="163"/>
        <v>0</v>
      </c>
      <c r="FT132" s="139">
        <f t="shared" si="164"/>
        <v>0</v>
      </c>
      <c r="FU132" s="148">
        <f t="shared" si="165"/>
        <v>0</v>
      </c>
      <c r="FV132" s="149"/>
      <c r="FY132" s="212">
        <v>127</v>
      </c>
      <c r="FZ132">
        <v>3.2726231376639134</v>
      </c>
      <c r="GA132">
        <v>6.7777206567200725</v>
      </c>
      <c r="GB132">
        <v>7.8901185511989134</v>
      </c>
      <c r="GC132">
        <v>4.171320345270356</v>
      </c>
      <c r="GD132">
        <v>1.1647385511935506</v>
      </c>
      <c r="GE132">
        <v>3.9294752780412638</v>
      </c>
      <c r="GF132">
        <v>8.2214002648545197</v>
      </c>
      <c r="GG132">
        <v>3.695558630610396</v>
      </c>
      <c r="GH132">
        <v>1.6385724256855185</v>
      </c>
      <c r="GI132">
        <v>5.4066809283363853</v>
      </c>
      <c r="GJ132"/>
      <c r="GK132"/>
      <c r="GL132"/>
      <c r="GM132"/>
    </row>
    <row r="133" spans="1:195" s="7" customFormat="1">
      <c r="A133" s="1"/>
      <c r="B133" s="76">
        <f t="shared" ca="1" si="132"/>
        <v>0.48852846351851253</v>
      </c>
      <c r="C133">
        <v>6</v>
      </c>
      <c r="D133">
        <v>39775</v>
      </c>
      <c r="E133">
        <v>0</v>
      </c>
      <c r="F133">
        <v>0</v>
      </c>
      <c r="G133">
        <v>0</v>
      </c>
      <c r="H133">
        <v>0</v>
      </c>
      <c r="I133">
        <v>10.416666666666666</v>
      </c>
      <c r="J133">
        <v>0</v>
      </c>
      <c r="K133">
        <v>10.416666666666666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27.588988306165838</v>
      </c>
      <c r="AO133">
        <v>10.486670437965039</v>
      </c>
      <c r="AP133">
        <v>50.27293355700229</v>
      </c>
      <c r="AQ133">
        <v>52.067877451635709</v>
      </c>
      <c r="AR133">
        <v>9.6467732384351308</v>
      </c>
      <c r="AS133">
        <v>57.566037506619431</v>
      </c>
      <c r="AT133">
        <v>5.1701252072569561</v>
      </c>
      <c r="AU133">
        <v>25.2915617441151</v>
      </c>
      <c r="AV133"/>
      <c r="AW133"/>
      <c r="AX133" s="146"/>
      <c r="AY133" s="76">
        <f t="shared" ca="1" si="88"/>
        <v>5.8117162301631886E-2</v>
      </c>
      <c r="AZ133">
        <v>6</v>
      </c>
      <c r="BA133" s="129">
        <f t="shared" si="167"/>
        <v>39775</v>
      </c>
      <c r="BB133">
        <v>0</v>
      </c>
      <c r="BC133">
        <v>0</v>
      </c>
      <c r="BD133">
        <v>0</v>
      </c>
      <c r="BE133">
        <v>0</v>
      </c>
      <c r="BF133">
        <v>1</v>
      </c>
      <c r="BG133">
        <v>0</v>
      </c>
      <c r="BH133">
        <v>1</v>
      </c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90"/>
        <v>0.88199352892413962</v>
      </c>
      <c r="CL133" s="179">
        <f t="shared" si="91"/>
        <v>6</v>
      </c>
      <c r="CM133" s="180">
        <f t="shared" si="92"/>
        <v>39775</v>
      </c>
      <c r="CN133">
        <v>0</v>
      </c>
      <c r="CO133"/>
      <c r="CP133"/>
      <c r="CQ133"/>
      <c r="CR133"/>
      <c r="CS133"/>
      <c r="CT133"/>
      <c r="CU133"/>
      <c r="CV133" s="160"/>
      <c r="CW133">
        <v>1</v>
      </c>
      <c r="CX133">
        <v>1</v>
      </c>
      <c r="CY133" s="164"/>
      <c r="CZ133" s="177">
        <f t="shared" si="93"/>
        <v>9.6000000000000002E-2</v>
      </c>
      <c r="DB133" s="146"/>
      <c r="DC133" s="76">
        <f t="shared" ca="1" si="51"/>
        <v>0.25216650258182405</v>
      </c>
      <c r="DD133">
        <f t="shared" si="94"/>
        <v>6</v>
      </c>
      <c r="DE133" s="129">
        <f t="shared" si="166"/>
        <v>39775</v>
      </c>
      <c r="DF133" s="161">
        <f t="shared" si="95"/>
        <v>0</v>
      </c>
      <c r="DG133" s="161">
        <f t="shared" si="96"/>
        <v>0</v>
      </c>
      <c r="DH133" s="161">
        <f t="shared" si="97"/>
        <v>0</v>
      </c>
      <c r="DI133" s="161">
        <f t="shared" si="98"/>
        <v>0</v>
      </c>
      <c r="DJ133" s="161">
        <f t="shared" si="99"/>
        <v>10.416666666666666</v>
      </c>
      <c r="DK133" s="161">
        <f t="shared" si="100"/>
        <v>0</v>
      </c>
      <c r="DL133" s="161">
        <f t="shared" si="101"/>
        <v>10.416666666666666</v>
      </c>
      <c r="DM133" s="161">
        <f t="shared" si="102"/>
        <v>0</v>
      </c>
      <c r="DN133" s="161">
        <f t="shared" si="103"/>
        <v>0</v>
      </c>
      <c r="DO133" s="161">
        <f t="shared" si="104"/>
        <v>0</v>
      </c>
      <c r="DP133" s="161">
        <f t="shared" si="105"/>
        <v>0</v>
      </c>
      <c r="DQ133" s="161">
        <f t="shared" si="106"/>
        <v>0</v>
      </c>
      <c r="DR133" s="161">
        <f t="shared" si="107"/>
        <v>0</v>
      </c>
      <c r="DS133" s="161">
        <f t="shared" si="108"/>
        <v>0</v>
      </c>
      <c r="DT133" s="161">
        <f t="shared" si="109"/>
        <v>0</v>
      </c>
      <c r="DU133" s="161">
        <f t="shared" si="110"/>
        <v>0</v>
      </c>
      <c r="DV133" s="161">
        <f t="shared" si="111"/>
        <v>0</v>
      </c>
      <c r="DW133" s="161">
        <f t="shared" si="112"/>
        <v>0</v>
      </c>
      <c r="DX133" s="161">
        <f t="shared" si="113"/>
        <v>0</v>
      </c>
      <c r="DY133" s="161">
        <f t="shared" si="114"/>
        <v>0</v>
      </c>
      <c r="DZ133" s="161">
        <f t="shared" si="115"/>
        <v>0</v>
      </c>
      <c r="EA133" s="161">
        <f t="shared" si="116"/>
        <v>0</v>
      </c>
      <c r="EB133" s="161">
        <f t="shared" si="117"/>
        <v>0</v>
      </c>
      <c r="EC133" s="161">
        <f t="shared" si="118"/>
        <v>0</v>
      </c>
      <c r="ED133" s="161">
        <f t="shared" si="119"/>
        <v>0</v>
      </c>
      <c r="EE133" s="161">
        <f t="shared" si="120"/>
        <v>0</v>
      </c>
      <c r="EF133" s="161">
        <f t="shared" si="121"/>
        <v>0</v>
      </c>
      <c r="EG133" s="161">
        <f t="shared" si="122"/>
        <v>0</v>
      </c>
      <c r="EH133" s="161">
        <f t="shared" si="123"/>
        <v>0</v>
      </c>
      <c r="EI133" s="161">
        <f t="shared" si="124"/>
        <v>0</v>
      </c>
      <c r="EJ133" s="161">
        <f t="shared" si="125"/>
        <v>0</v>
      </c>
      <c r="EK133" s="147">
        <f t="shared" si="133"/>
        <v>20.833333333333332</v>
      </c>
      <c r="EL133" s="149"/>
      <c r="EN133" s="146"/>
      <c r="EO133" s="146"/>
      <c r="EP133" s="139">
        <f t="shared" si="134"/>
        <v>0</v>
      </c>
      <c r="EQ133" s="139">
        <f t="shared" si="135"/>
        <v>0</v>
      </c>
      <c r="ER133" s="139">
        <f t="shared" si="136"/>
        <v>0</v>
      </c>
      <c r="ES133" s="139">
        <f t="shared" si="137"/>
        <v>0</v>
      </c>
      <c r="ET133" s="139">
        <f t="shared" si="138"/>
        <v>2.2255564645651158</v>
      </c>
      <c r="EU133" s="139">
        <f t="shared" si="139"/>
        <v>0</v>
      </c>
      <c r="EV133" s="139">
        <f t="shared" si="140"/>
        <v>9.0513711528458085</v>
      </c>
      <c r="EW133" s="139">
        <f t="shared" si="141"/>
        <v>0</v>
      </c>
      <c r="EX133" s="139">
        <f t="shared" si="142"/>
        <v>0</v>
      </c>
      <c r="EY133" s="139">
        <f t="shared" si="143"/>
        <v>0</v>
      </c>
      <c r="EZ133" s="139">
        <f t="shared" si="144"/>
        <v>0</v>
      </c>
      <c r="FA133" s="139">
        <f t="shared" si="145"/>
        <v>0</v>
      </c>
      <c r="FB133" s="139">
        <f t="shared" si="146"/>
        <v>0</v>
      </c>
      <c r="FC133" s="139">
        <f t="shared" si="147"/>
        <v>0</v>
      </c>
      <c r="FD133" s="139">
        <f t="shared" si="148"/>
        <v>0</v>
      </c>
      <c r="FE133" s="139">
        <f t="shared" si="149"/>
        <v>0</v>
      </c>
      <c r="FF133" s="139">
        <f t="shared" si="150"/>
        <v>0</v>
      </c>
      <c r="FG133" s="139">
        <f t="shared" si="151"/>
        <v>0</v>
      </c>
      <c r="FH133" s="139">
        <f t="shared" si="152"/>
        <v>0</v>
      </c>
      <c r="FI133" s="139">
        <f t="shared" si="153"/>
        <v>0</v>
      </c>
      <c r="FJ133" s="139">
        <f t="shared" si="154"/>
        <v>0</v>
      </c>
      <c r="FK133" s="139">
        <f t="shared" si="155"/>
        <v>0</v>
      </c>
      <c r="FL133" s="139">
        <f t="shared" si="156"/>
        <v>0</v>
      </c>
      <c r="FM133" s="139">
        <f t="shared" si="157"/>
        <v>0</v>
      </c>
      <c r="FN133" s="139">
        <f t="shared" si="158"/>
        <v>0</v>
      </c>
      <c r="FO133" s="139">
        <f t="shared" si="159"/>
        <v>0</v>
      </c>
      <c r="FP133" s="139">
        <f t="shared" si="160"/>
        <v>0</v>
      </c>
      <c r="FQ133" s="139">
        <f t="shared" si="161"/>
        <v>0</v>
      </c>
      <c r="FR133" s="139">
        <f t="shared" si="162"/>
        <v>0</v>
      </c>
      <c r="FS133" s="139">
        <f t="shared" si="163"/>
        <v>0</v>
      </c>
      <c r="FT133" s="139">
        <f t="shared" si="164"/>
        <v>0</v>
      </c>
      <c r="FU133" s="148">
        <f t="shared" si="165"/>
        <v>11.276927617410925</v>
      </c>
      <c r="FV133" s="149"/>
      <c r="FY133" s="212">
        <v>128</v>
      </c>
      <c r="FZ133">
        <v>0.11277715076296616</v>
      </c>
      <c r="GA133">
        <v>3.7004682715510491</v>
      </c>
      <c r="GB133">
        <v>4.3011376478519932</v>
      </c>
      <c r="GC133">
        <v>1.7975820128006106</v>
      </c>
      <c r="GD133">
        <v>1.7514507284540961</v>
      </c>
      <c r="GE133">
        <v>5.248282175665933</v>
      </c>
      <c r="GF133">
        <v>9.0638728897153751</v>
      </c>
      <c r="GG133">
        <v>6.4374542417727678</v>
      </c>
      <c r="GH133">
        <v>2.3243324925250328</v>
      </c>
      <c r="GI133">
        <v>4.8092343679038709</v>
      </c>
      <c r="GJ133"/>
      <c r="GK133"/>
      <c r="GL133"/>
      <c r="GM133"/>
    </row>
    <row r="134" spans="1:195" s="7" customFormat="1">
      <c r="A134" s="1"/>
      <c r="B134" s="76">
        <f t="shared" ca="1" si="132"/>
        <v>0.25221609006043355</v>
      </c>
      <c r="C134">
        <v>3</v>
      </c>
      <c r="D134">
        <v>39775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15.537109221198516</v>
      </c>
      <c r="AO134">
        <v>7.4847767546930921</v>
      </c>
      <c r="AP134">
        <v>32.674796072225263</v>
      </c>
      <c r="AQ134">
        <v>37.909353151230086</v>
      </c>
      <c r="AR134">
        <v>6.8776721760321013</v>
      </c>
      <c r="AS134">
        <v>40.948777938848728</v>
      </c>
      <c r="AT134">
        <v>3.6742224815963165</v>
      </c>
      <c r="AU134">
        <v>11.492729262115267</v>
      </c>
      <c r="AV134"/>
      <c r="AW134"/>
      <c r="AX134" s="146"/>
      <c r="AY134" s="76">
        <f t="shared" ca="1" si="88"/>
        <v>0.34066085909881139</v>
      </c>
      <c r="AZ134">
        <v>7</v>
      </c>
      <c r="BA134" s="129">
        <f t="shared" si="167"/>
        <v>39775</v>
      </c>
      <c r="BB134">
        <v>0</v>
      </c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90"/>
        <v>0.47471154513655467</v>
      </c>
      <c r="CL134" s="179">
        <f t="shared" si="91"/>
        <v>7</v>
      </c>
      <c r="CM134" s="180">
        <f t="shared" si="92"/>
        <v>39775</v>
      </c>
      <c r="CN134">
        <v>0</v>
      </c>
      <c r="CO134"/>
      <c r="CP134"/>
      <c r="CQ134"/>
      <c r="CR134"/>
      <c r="CS134"/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3"/>
        <v>9.6000000000000002E-2</v>
      </c>
      <c r="DB134" s="146"/>
      <c r="DC134" s="76">
        <f t="shared" ca="1" si="51"/>
        <v>0.21362851638037839</v>
      </c>
      <c r="DD134">
        <f t="shared" si="94"/>
        <v>7</v>
      </c>
      <c r="DE134" s="129">
        <f t="shared" si="166"/>
        <v>39775</v>
      </c>
      <c r="DF134" s="161">
        <f t="shared" si="95"/>
        <v>0</v>
      </c>
      <c r="DG134" s="161">
        <f t="shared" si="96"/>
        <v>0</v>
      </c>
      <c r="DH134" s="161">
        <f t="shared" si="97"/>
        <v>0</v>
      </c>
      <c r="DI134" s="161">
        <f t="shared" si="98"/>
        <v>0</v>
      </c>
      <c r="DJ134" s="161">
        <f t="shared" si="99"/>
        <v>0</v>
      </c>
      <c r="DK134" s="161">
        <f t="shared" si="100"/>
        <v>0</v>
      </c>
      <c r="DL134" s="161">
        <f t="shared" si="101"/>
        <v>0</v>
      </c>
      <c r="DM134" s="161">
        <f t="shared" si="102"/>
        <v>0</v>
      </c>
      <c r="DN134" s="161">
        <f t="shared" si="103"/>
        <v>0</v>
      </c>
      <c r="DO134" s="161">
        <f t="shared" si="104"/>
        <v>0</v>
      </c>
      <c r="DP134" s="161">
        <f t="shared" si="105"/>
        <v>0</v>
      </c>
      <c r="DQ134" s="161">
        <f t="shared" si="106"/>
        <v>0</v>
      </c>
      <c r="DR134" s="161">
        <f t="shared" si="107"/>
        <v>0</v>
      </c>
      <c r="DS134" s="161">
        <f t="shared" si="108"/>
        <v>0</v>
      </c>
      <c r="DT134" s="161">
        <f t="shared" si="109"/>
        <v>0</v>
      </c>
      <c r="DU134" s="161">
        <f t="shared" si="110"/>
        <v>0</v>
      </c>
      <c r="DV134" s="161">
        <f t="shared" si="111"/>
        <v>0</v>
      </c>
      <c r="DW134" s="161">
        <f t="shared" si="112"/>
        <v>0</v>
      </c>
      <c r="DX134" s="161">
        <f t="shared" si="113"/>
        <v>0</v>
      </c>
      <c r="DY134" s="161">
        <f t="shared" si="114"/>
        <v>0</v>
      </c>
      <c r="DZ134" s="161">
        <f t="shared" si="115"/>
        <v>0</v>
      </c>
      <c r="EA134" s="161">
        <f t="shared" si="116"/>
        <v>0</v>
      </c>
      <c r="EB134" s="161">
        <f t="shared" si="117"/>
        <v>0</v>
      </c>
      <c r="EC134" s="161">
        <f t="shared" si="118"/>
        <v>0</v>
      </c>
      <c r="ED134" s="161">
        <f t="shared" si="119"/>
        <v>0</v>
      </c>
      <c r="EE134" s="161">
        <f t="shared" si="120"/>
        <v>0</v>
      </c>
      <c r="EF134" s="161">
        <f t="shared" si="121"/>
        <v>0</v>
      </c>
      <c r="EG134" s="161">
        <f t="shared" si="122"/>
        <v>0</v>
      </c>
      <c r="EH134" s="161">
        <f t="shared" si="123"/>
        <v>0</v>
      </c>
      <c r="EI134" s="161">
        <f t="shared" si="124"/>
        <v>0</v>
      </c>
      <c r="EJ134" s="161">
        <f t="shared" si="125"/>
        <v>0</v>
      </c>
      <c r="EK134" s="147">
        <f t="shared" si="133"/>
        <v>0</v>
      </c>
      <c r="EL134" s="149"/>
      <c r="EN134" s="146"/>
      <c r="EO134" s="146"/>
      <c r="EP134" s="139">
        <f t="shared" si="134"/>
        <v>0</v>
      </c>
      <c r="EQ134" s="139">
        <f t="shared" si="135"/>
        <v>0</v>
      </c>
      <c r="ER134" s="139">
        <f t="shared" si="136"/>
        <v>0</v>
      </c>
      <c r="ES134" s="139">
        <f t="shared" si="137"/>
        <v>0</v>
      </c>
      <c r="ET134" s="139">
        <f t="shared" si="138"/>
        <v>0</v>
      </c>
      <c r="EU134" s="139">
        <f t="shared" si="139"/>
        <v>0</v>
      </c>
      <c r="EV134" s="139">
        <f t="shared" si="140"/>
        <v>0</v>
      </c>
      <c r="EW134" s="139">
        <f t="shared" si="141"/>
        <v>0</v>
      </c>
      <c r="EX134" s="139">
        <f t="shared" si="142"/>
        <v>0</v>
      </c>
      <c r="EY134" s="139">
        <f t="shared" si="143"/>
        <v>0</v>
      </c>
      <c r="EZ134" s="139">
        <f t="shared" si="144"/>
        <v>0</v>
      </c>
      <c r="FA134" s="139">
        <f t="shared" si="145"/>
        <v>0</v>
      </c>
      <c r="FB134" s="139">
        <f t="shared" si="146"/>
        <v>0</v>
      </c>
      <c r="FC134" s="139">
        <f t="shared" si="147"/>
        <v>0</v>
      </c>
      <c r="FD134" s="139">
        <f t="shared" si="148"/>
        <v>0</v>
      </c>
      <c r="FE134" s="139">
        <f t="shared" si="149"/>
        <v>0</v>
      </c>
      <c r="FF134" s="139">
        <f t="shared" si="150"/>
        <v>0</v>
      </c>
      <c r="FG134" s="139">
        <f t="shared" si="151"/>
        <v>0</v>
      </c>
      <c r="FH134" s="139">
        <f t="shared" si="152"/>
        <v>0</v>
      </c>
      <c r="FI134" s="139">
        <f t="shared" si="153"/>
        <v>0</v>
      </c>
      <c r="FJ134" s="139">
        <f t="shared" si="154"/>
        <v>0</v>
      </c>
      <c r="FK134" s="139">
        <f t="shared" si="155"/>
        <v>0</v>
      </c>
      <c r="FL134" s="139">
        <f t="shared" si="156"/>
        <v>0</v>
      </c>
      <c r="FM134" s="139">
        <f t="shared" si="157"/>
        <v>0</v>
      </c>
      <c r="FN134" s="139">
        <f t="shared" si="158"/>
        <v>0</v>
      </c>
      <c r="FO134" s="139">
        <f t="shared" si="159"/>
        <v>0</v>
      </c>
      <c r="FP134" s="139">
        <f t="shared" si="160"/>
        <v>0</v>
      </c>
      <c r="FQ134" s="139">
        <f t="shared" si="161"/>
        <v>0</v>
      </c>
      <c r="FR134" s="139">
        <f t="shared" si="162"/>
        <v>0</v>
      </c>
      <c r="FS134" s="139">
        <f t="shared" si="163"/>
        <v>0</v>
      </c>
      <c r="FT134" s="139">
        <f t="shared" si="164"/>
        <v>0</v>
      </c>
      <c r="FU134" s="148">
        <f t="shared" si="165"/>
        <v>0</v>
      </c>
      <c r="FV134" s="149"/>
      <c r="FY134" s="212">
        <v>129</v>
      </c>
      <c r="FZ134">
        <v>6.589920396130907</v>
      </c>
      <c r="GA134">
        <v>10.500096365491473</v>
      </c>
      <c r="GB134">
        <v>6.5504695032590989</v>
      </c>
      <c r="GC134">
        <v>3.2457100852332448</v>
      </c>
      <c r="GD134">
        <v>1.8076627730441954</v>
      </c>
      <c r="GE134">
        <v>3.3534052508639993</v>
      </c>
      <c r="GF134">
        <v>2.0362814871244055</v>
      </c>
      <c r="GG134">
        <v>2.2610021528384432</v>
      </c>
      <c r="GH134">
        <v>2.2802524308395853</v>
      </c>
      <c r="GI134">
        <v>4.5978820642343354</v>
      </c>
      <c r="GJ134"/>
      <c r="GK134"/>
      <c r="GL134"/>
      <c r="GM134"/>
    </row>
    <row r="135" spans="1:195" s="7" customFormat="1">
      <c r="A135" s="1"/>
      <c r="B135" s="76">
        <f t="shared" ca="1" si="132"/>
        <v>0.65242087402144433</v>
      </c>
      <c r="C135">
        <v>5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16.064133986928105</v>
      </c>
      <c r="AO135">
        <v>8.2302305921264356</v>
      </c>
      <c r="AP135">
        <v>42.91748718462005</v>
      </c>
      <c r="AQ135">
        <v>44.343604267714092</v>
      </c>
      <c r="AR135">
        <v>7.5656533104838521</v>
      </c>
      <c r="AS135">
        <v>41.360173761504257</v>
      </c>
      <c r="AT135">
        <v>4.3714996653603384</v>
      </c>
      <c r="AU135">
        <v>11.242959409314897</v>
      </c>
      <c r="AV135"/>
      <c r="AW135"/>
      <c r="AX135" s="146"/>
      <c r="AY135" s="76">
        <f t="shared" ca="1" si="88"/>
        <v>9.3069573412903672E-2</v>
      </c>
      <c r="AZ135">
        <v>8</v>
      </c>
      <c r="BA135" s="129">
        <f t="shared" si="167"/>
        <v>39775</v>
      </c>
      <c r="BB135">
        <v>0</v>
      </c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90"/>
        <v>0.78479817558250975</v>
      </c>
      <c r="CL135" s="179">
        <f t="shared" si="91"/>
        <v>8</v>
      </c>
      <c r="CM135" s="180">
        <f t="shared" si="92"/>
        <v>39775</v>
      </c>
      <c r="CN135">
        <v>0</v>
      </c>
      <c r="CO135">
        <v>0</v>
      </c>
      <c r="CP135">
        <v>1</v>
      </c>
      <c r="CQ135"/>
      <c r="CR135"/>
      <c r="CS135"/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3"/>
        <v>9.6000000000000002E-2</v>
      </c>
      <c r="DB135" s="146"/>
      <c r="DC135" s="76">
        <f t="shared" ca="1" si="51"/>
        <v>0.43084840847051287</v>
      </c>
      <c r="DD135">
        <f t="shared" si="94"/>
        <v>8</v>
      </c>
      <c r="DE135" s="129">
        <f t="shared" si="166"/>
        <v>39775</v>
      </c>
      <c r="DF135" s="161">
        <f t="shared" si="95"/>
        <v>0</v>
      </c>
      <c r="DG135" s="161">
        <f t="shared" si="96"/>
        <v>0</v>
      </c>
      <c r="DH135" s="161">
        <f t="shared" si="97"/>
        <v>52.083333333333336</v>
      </c>
      <c r="DI135" s="161">
        <f t="shared" si="98"/>
        <v>0</v>
      </c>
      <c r="DJ135" s="161">
        <f t="shared" si="99"/>
        <v>0</v>
      </c>
      <c r="DK135" s="161">
        <f t="shared" si="100"/>
        <v>0</v>
      </c>
      <c r="DL135" s="161">
        <f t="shared" si="101"/>
        <v>0</v>
      </c>
      <c r="DM135" s="161">
        <f t="shared" si="102"/>
        <v>0</v>
      </c>
      <c r="DN135" s="161">
        <f t="shared" si="103"/>
        <v>0</v>
      </c>
      <c r="DO135" s="161">
        <f t="shared" si="104"/>
        <v>0</v>
      </c>
      <c r="DP135" s="161">
        <f t="shared" si="105"/>
        <v>0</v>
      </c>
      <c r="DQ135" s="161">
        <f t="shared" si="106"/>
        <v>0</v>
      </c>
      <c r="DR135" s="161">
        <f t="shared" si="107"/>
        <v>0</v>
      </c>
      <c r="DS135" s="161">
        <f t="shared" si="108"/>
        <v>0</v>
      </c>
      <c r="DT135" s="161">
        <f t="shared" si="109"/>
        <v>0</v>
      </c>
      <c r="DU135" s="161">
        <f t="shared" si="110"/>
        <v>0</v>
      </c>
      <c r="DV135" s="161">
        <f t="shared" si="111"/>
        <v>0</v>
      </c>
      <c r="DW135" s="161">
        <f t="shared" si="112"/>
        <v>0</v>
      </c>
      <c r="DX135" s="161">
        <f t="shared" si="113"/>
        <v>0</v>
      </c>
      <c r="DY135" s="161">
        <f t="shared" si="114"/>
        <v>0</v>
      </c>
      <c r="DZ135" s="161">
        <f t="shared" si="115"/>
        <v>0</v>
      </c>
      <c r="EA135" s="161">
        <f t="shared" si="116"/>
        <v>0</v>
      </c>
      <c r="EB135" s="161">
        <f t="shared" si="117"/>
        <v>0</v>
      </c>
      <c r="EC135" s="161">
        <f t="shared" si="118"/>
        <v>0</v>
      </c>
      <c r="ED135" s="161">
        <f t="shared" si="119"/>
        <v>0</v>
      </c>
      <c r="EE135" s="161">
        <f t="shared" si="120"/>
        <v>0</v>
      </c>
      <c r="EF135" s="161">
        <f t="shared" si="121"/>
        <v>0</v>
      </c>
      <c r="EG135" s="161">
        <f t="shared" si="122"/>
        <v>0</v>
      </c>
      <c r="EH135" s="161">
        <f t="shared" si="123"/>
        <v>0</v>
      </c>
      <c r="EI135" s="161">
        <f t="shared" si="124"/>
        <v>0</v>
      </c>
      <c r="EJ135" s="161">
        <f t="shared" si="125"/>
        <v>0</v>
      </c>
      <c r="EK135" s="147">
        <f t="shared" si="133"/>
        <v>52.083333333333336</v>
      </c>
      <c r="EL135" s="149"/>
      <c r="EN135" s="146"/>
      <c r="EO135" s="146"/>
      <c r="EP135" s="139">
        <f t="shared" si="134"/>
        <v>0</v>
      </c>
      <c r="EQ135" s="139">
        <f t="shared" si="135"/>
        <v>0</v>
      </c>
      <c r="ER135" s="139">
        <f t="shared" si="136"/>
        <v>1.0112181047569477</v>
      </c>
      <c r="ES135" s="139">
        <f t="shared" si="137"/>
        <v>0</v>
      </c>
      <c r="ET135" s="139">
        <f t="shared" si="138"/>
        <v>0</v>
      </c>
      <c r="EU135" s="139">
        <f t="shared" si="139"/>
        <v>0</v>
      </c>
      <c r="EV135" s="139">
        <f t="shared" si="140"/>
        <v>0</v>
      </c>
      <c r="EW135" s="139">
        <f t="shared" si="141"/>
        <v>0</v>
      </c>
      <c r="EX135" s="139">
        <f t="shared" si="142"/>
        <v>0</v>
      </c>
      <c r="EY135" s="139">
        <f t="shared" si="143"/>
        <v>0</v>
      </c>
      <c r="EZ135" s="139">
        <f t="shared" si="144"/>
        <v>0</v>
      </c>
      <c r="FA135" s="139">
        <f t="shared" si="145"/>
        <v>0</v>
      </c>
      <c r="FB135" s="139">
        <f t="shared" si="146"/>
        <v>0</v>
      </c>
      <c r="FC135" s="139">
        <f t="shared" si="147"/>
        <v>0</v>
      </c>
      <c r="FD135" s="139">
        <f t="shared" si="148"/>
        <v>0</v>
      </c>
      <c r="FE135" s="139">
        <f t="shared" si="149"/>
        <v>0</v>
      </c>
      <c r="FF135" s="139">
        <f t="shared" si="150"/>
        <v>0</v>
      </c>
      <c r="FG135" s="139">
        <f t="shared" si="151"/>
        <v>0</v>
      </c>
      <c r="FH135" s="139">
        <f t="shared" si="152"/>
        <v>0</v>
      </c>
      <c r="FI135" s="139">
        <f t="shared" si="153"/>
        <v>0</v>
      </c>
      <c r="FJ135" s="139">
        <f t="shared" si="154"/>
        <v>0</v>
      </c>
      <c r="FK135" s="139">
        <f t="shared" si="155"/>
        <v>0</v>
      </c>
      <c r="FL135" s="139">
        <f t="shared" si="156"/>
        <v>0</v>
      </c>
      <c r="FM135" s="139">
        <f t="shared" si="157"/>
        <v>0</v>
      </c>
      <c r="FN135" s="139">
        <f t="shared" si="158"/>
        <v>0</v>
      </c>
      <c r="FO135" s="139">
        <f t="shared" si="159"/>
        <v>0</v>
      </c>
      <c r="FP135" s="139">
        <f t="shared" si="160"/>
        <v>0</v>
      </c>
      <c r="FQ135" s="139">
        <f t="shared" si="161"/>
        <v>0</v>
      </c>
      <c r="FR135" s="139">
        <f t="shared" si="162"/>
        <v>0</v>
      </c>
      <c r="FS135" s="139">
        <f t="shared" si="163"/>
        <v>0</v>
      </c>
      <c r="FT135" s="139">
        <f t="shared" si="164"/>
        <v>0</v>
      </c>
      <c r="FU135" s="148">
        <f t="shared" si="165"/>
        <v>1.0112181047569477</v>
      </c>
      <c r="FV135" s="149"/>
      <c r="FY135" s="212">
        <v>130</v>
      </c>
      <c r="FZ135">
        <v>3.4086606755178313</v>
      </c>
      <c r="GA135">
        <v>7.5263037054520741</v>
      </c>
      <c r="GB135">
        <v>7.781254698009854</v>
      </c>
      <c r="GC135">
        <v>3.6055293657726657</v>
      </c>
      <c r="GD135">
        <v>1.9681733226155425</v>
      </c>
      <c r="GE135">
        <v>4.2613196442270826</v>
      </c>
      <c r="GF135">
        <v>5.1612316088043855</v>
      </c>
      <c r="GG135">
        <v>3.5940081593361892</v>
      </c>
      <c r="GH135">
        <v>0.53080724969597792</v>
      </c>
      <c r="GI135">
        <v>5.1046563773292188</v>
      </c>
      <c r="GJ135"/>
      <c r="GK135"/>
      <c r="GL135"/>
      <c r="GM135"/>
    </row>
    <row r="136" spans="1:195" s="7" customFormat="1">
      <c r="A136" s="1"/>
      <c r="B136" s="76">
        <f t="shared" ca="1" si="132"/>
        <v>0.15870417345701182</v>
      </c>
      <c r="C136">
        <v>7</v>
      </c>
      <c r="D136">
        <v>39775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17.664828431372545</v>
      </c>
      <c r="AO136">
        <v>8.8742018930642868</v>
      </c>
      <c r="AP136">
        <v>59.720127833567446</v>
      </c>
      <c r="AQ136">
        <v>52.916207513469899</v>
      </c>
      <c r="AR136">
        <v>8.186527705509608</v>
      </c>
      <c r="AS136">
        <v>46.571188892591238</v>
      </c>
      <c r="AT136">
        <v>4.4032443974480246</v>
      </c>
      <c r="AU136">
        <v>22.124329963823854</v>
      </c>
      <c r="AV136"/>
      <c r="AW136"/>
      <c r="AX136" s="146"/>
      <c r="AY136" s="76">
        <f t="shared" ca="1" si="88"/>
        <v>0.26718510544708973</v>
      </c>
      <c r="AZ136">
        <v>9</v>
      </c>
      <c r="BA136" s="129">
        <f t="shared" si="167"/>
        <v>39775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1</v>
      </c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90"/>
        <v>0.77273806048377525</v>
      </c>
      <c r="CL136" s="179">
        <f t="shared" si="91"/>
        <v>9</v>
      </c>
      <c r="CM136" s="180">
        <f t="shared" si="92"/>
        <v>39775</v>
      </c>
      <c r="CN136">
        <v>0</v>
      </c>
      <c r="CO136"/>
      <c r="CP136"/>
      <c r="CQ136"/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3"/>
        <v>9.6000000000000002E-2</v>
      </c>
      <c r="DB136" s="146"/>
      <c r="DC136" s="76">
        <f t="shared" ca="1" si="51"/>
        <v>0.35662478147007581</v>
      </c>
      <c r="DD136">
        <f t="shared" si="94"/>
        <v>9</v>
      </c>
      <c r="DE136" s="129">
        <f t="shared" si="166"/>
        <v>39775</v>
      </c>
      <c r="DF136" s="161">
        <f t="shared" si="95"/>
        <v>0</v>
      </c>
      <c r="DG136" s="161">
        <f t="shared" si="96"/>
        <v>0</v>
      </c>
      <c r="DH136" s="161">
        <f t="shared" si="97"/>
        <v>0</v>
      </c>
      <c r="DI136" s="161">
        <f t="shared" si="98"/>
        <v>0</v>
      </c>
      <c r="DJ136" s="161">
        <f t="shared" si="99"/>
        <v>0</v>
      </c>
      <c r="DK136" s="161">
        <f t="shared" si="100"/>
        <v>0</v>
      </c>
      <c r="DL136" s="161">
        <f t="shared" si="101"/>
        <v>10.416666666666666</v>
      </c>
      <c r="DM136" s="161">
        <f t="shared" si="102"/>
        <v>0</v>
      </c>
      <c r="DN136" s="161">
        <f t="shared" si="103"/>
        <v>0</v>
      </c>
      <c r="DO136" s="161">
        <f t="shared" si="104"/>
        <v>0</v>
      </c>
      <c r="DP136" s="161">
        <f t="shared" si="105"/>
        <v>0</v>
      </c>
      <c r="DQ136" s="161">
        <f t="shared" si="106"/>
        <v>0</v>
      </c>
      <c r="DR136" s="161">
        <f t="shared" si="107"/>
        <v>0</v>
      </c>
      <c r="DS136" s="161">
        <f t="shared" si="108"/>
        <v>0</v>
      </c>
      <c r="DT136" s="161">
        <f t="shared" si="109"/>
        <v>0</v>
      </c>
      <c r="DU136" s="161">
        <f t="shared" si="110"/>
        <v>0</v>
      </c>
      <c r="DV136" s="161">
        <f t="shared" si="111"/>
        <v>0</v>
      </c>
      <c r="DW136" s="161">
        <f t="shared" si="112"/>
        <v>0</v>
      </c>
      <c r="DX136" s="161">
        <f t="shared" si="113"/>
        <v>0</v>
      </c>
      <c r="DY136" s="161">
        <f t="shared" si="114"/>
        <v>0</v>
      </c>
      <c r="DZ136" s="161">
        <f t="shared" si="115"/>
        <v>0</v>
      </c>
      <c r="EA136" s="161">
        <f t="shared" si="116"/>
        <v>0</v>
      </c>
      <c r="EB136" s="161">
        <f t="shared" si="117"/>
        <v>0</v>
      </c>
      <c r="EC136" s="161">
        <f t="shared" si="118"/>
        <v>0</v>
      </c>
      <c r="ED136" s="161">
        <f t="shared" si="119"/>
        <v>0</v>
      </c>
      <c r="EE136" s="161">
        <f t="shared" si="120"/>
        <v>0</v>
      </c>
      <c r="EF136" s="161">
        <f t="shared" si="121"/>
        <v>0</v>
      </c>
      <c r="EG136" s="161">
        <f t="shared" si="122"/>
        <v>0</v>
      </c>
      <c r="EH136" s="161">
        <f t="shared" si="123"/>
        <v>0</v>
      </c>
      <c r="EI136" s="161">
        <f t="shared" si="124"/>
        <v>0</v>
      </c>
      <c r="EJ136" s="161">
        <f t="shared" si="125"/>
        <v>0</v>
      </c>
      <c r="EK136" s="147">
        <f t="shared" si="133"/>
        <v>10.416666666666666</v>
      </c>
      <c r="EL136" s="149"/>
      <c r="EN136" s="146"/>
      <c r="EO136" s="146"/>
      <c r="EP136" s="139">
        <f t="shared" si="134"/>
        <v>0</v>
      </c>
      <c r="EQ136" s="139">
        <f t="shared" si="135"/>
        <v>0</v>
      </c>
      <c r="ER136" s="139">
        <f t="shared" si="136"/>
        <v>0</v>
      </c>
      <c r="ES136" s="139">
        <f t="shared" si="137"/>
        <v>0</v>
      </c>
      <c r="ET136" s="139">
        <f t="shared" si="138"/>
        <v>0</v>
      </c>
      <c r="EU136" s="139">
        <f t="shared" si="139"/>
        <v>0</v>
      </c>
      <c r="EV136" s="139">
        <f t="shared" si="140"/>
        <v>9.0513711528458085</v>
      </c>
      <c r="EW136" s="139">
        <f t="shared" si="141"/>
        <v>0</v>
      </c>
      <c r="EX136" s="139">
        <f t="shared" si="142"/>
        <v>0</v>
      </c>
      <c r="EY136" s="139">
        <f t="shared" si="143"/>
        <v>0</v>
      </c>
      <c r="EZ136" s="139">
        <f t="shared" si="144"/>
        <v>0</v>
      </c>
      <c r="FA136" s="139">
        <f t="shared" si="145"/>
        <v>0</v>
      </c>
      <c r="FB136" s="139">
        <f t="shared" si="146"/>
        <v>0</v>
      </c>
      <c r="FC136" s="139">
        <f t="shared" si="147"/>
        <v>0</v>
      </c>
      <c r="FD136" s="139">
        <f t="shared" si="148"/>
        <v>0</v>
      </c>
      <c r="FE136" s="139">
        <f t="shared" si="149"/>
        <v>0</v>
      </c>
      <c r="FF136" s="139">
        <f t="shared" si="150"/>
        <v>0</v>
      </c>
      <c r="FG136" s="139">
        <f t="shared" si="151"/>
        <v>0</v>
      </c>
      <c r="FH136" s="139">
        <f t="shared" si="152"/>
        <v>0</v>
      </c>
      <c r="FI136" s="139">
        <f t="shared" si="153"/>
        <v>0</v>
      </c>
      <c r="FJ136" s="139">
        <f t="shared" si="154"/>
        <v>0</v>
      </c>
      <c r="FK136" s="139">
        <f t="shared" si="155"/>
        <v>0</v>
      </c>
      <c r="FL136" s="139">
        <f t="shared" si="156"/>
        <v>0</v>
      </c>
      <c r="FM136" s="139">
        <f t="shared" si="157"/>
        <v>0</v>
      </c>
      <c r="FN136" s="139">
        <f t="shared" si="158"/>
        <v>0</v>
      </c>
      <c r="FO136" s="139">
        <f t="shared" si="159"/>
        <v>0</v>
      </c>
      <c r="FP136" s="139">
        <f t="shared" si="160"/>
        <v>0</v>
      </c>
      <c r="FQ136" s="139">
        <f t="shared" si="161"/>
        <v>0</v>
      </c>
      <c r="FR136" s="139">
        <f t="shared" si="162"/>
        <v>0</v>
      </c>
      <c r="FS136" s="139">
        <f t="shared" si="163"/>
        <v>0</v>
      </c>
      <c r="FT136" s="139">
        <f t="shared" si="164"/>
        <v>0</v>
      </c>
      <c r="FU136" s="148">
        <f t="shared" si="165"/>
        <v>9.0513711528458085</v>
      </c>
      <c r="FV136" s="149"/>
      <c r="FY136" s="212">
        <v>131</v>
      </c>
      <c r="FZ136">
        <v>3.5306659903748123</v>
      </c>
      <c r="GA136">
        <v>6.4252170806132183</v>
      </c>
      <c r="GB136">
        <v>7.4580283193950674</v>
      </c>
      <c r="GC136">
        <v>3.7546898958584372</v>
      </c>
      <c r="GD136">
        <v>2.2784912237258412</v>
      </c>
      <c r="GE136">
        <v>4.6164122179826128</v>
      </c>
      <c r="GF136">
        <v>5.2557275768373932</v>
      </c>
      <c r="GG136">
        <v>4.6337081763326946</v>
      </c>
      <c r="GH136">
        <v>1.9236301568768612</v>
      </c>
      <c r="GI136">
        <v>5.5812652211615514</v>
      </c>
      <c r="GJ136"/>
      <c r="GK136"/>
      <c r="GL136"/>
      <c r="GM136"/>
    </row>
    <row r="137" spans="1:195" s="7" customFormat="1">
      <c r="A137" s="1"/>
      <c r="B137" s="76">
        <f t="shared" ca="1" si="132"/>
        <v>0.33606429764768642</v>
      </c>
      <c r="C137">
        <v>10</v>
      </c>
      <c r="D137">
        <v>39775</v>
      </c>
      <c r="E137">
        <v>0</v>
      </c>
      <c r="F137">
        <v>0</v>
      </c>
      <c r="G137">
        <v>10.416666666666666</v>
      </c>
      <c r="H137">
        <v>0</v>
      </c>
      <c r="I137">
        <v>0</v>
      </c>
      <c r="J137">
        <v>0</v>
      </c>
      <c r="K137">
        <v>0</v>
      </c>
      <c r="L137">
        <v>10.416666666666666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12.330614123159306</v>
      </c>
      <c r="AO137">
        <v>10.547506185977264</v>
      </c>
      <c r="AP137">
        <v>57.488004791738256</v>
      </c>
      <c r="AQ137">
        <v>58.007503892340424</v>
      </c>
      <c r="AR137">
        <v>9.7402862557873799</v>
      </c>
      <c r="AS137">
        <v>54.787152877531355</v>
      </c>
      <c r="AT137">
        <v>5.8723465888065034</v>
      </c>
      <c r="AU137">
        <v>5.8310033274528603</v>
      </c>
      <c r="AV137"/>
      <c r="AW137"/>
      <c r="AX137" s="146"/>
      <c r="AY137" s="76">
        <f t="shared" ca="1" si="88"/>
        <v>0.49485647487965712</v>
      </c>
      <c r="AZ137">
        <v>10</v>
      </c>
      <c r="BA137" s="129">
        <f t="shared" si="167"/>
        <v>39775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1</v>
      </c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90"/>
        <v>0.78686694084437492</v>
      </c>
      <c r="CL137" s="179">
        <f t="shared" si="91"/>
        <v>10</v>
      </c>
      <c r="CM137" s="180">
        <f t="shared" si="92"/>
        <v>39775</v>
      </c>
      <c r="CN137">
        <v>0</v>
      </c>
      <c r="CO137">
        <v>0</v>
      </c>
      <c r="CP137">
        <v>1</v>
      </c>
      <c r="CQ137"/>
      <c r="CR137"/>
      <c r="CS137"/>
      <c r="CT137"/>
      <c r="CU137"/>
      <c r="CV137" s="160"/>
      <c r="CW137">
        <v>1</v>
      </c>
      <c r="CX137">
        <v>1</v>
      </c>
      <c r="CY137" s="164"/>
      <c r="CZ137" s="177">
        <f t="shared" si="93"/>
        <v>9.6000000000000002E-2</v>
      </c>
      <c r="DB137" s="146"/>
      <c r="DC137" s="76">
        <f t="shared" ca="1" si="51"/>
        <v>0.89742106793576681</v>
      </c>
      <c r="DD137">
        <f t="shared" si="94"/>
        <v>10</v>
      </c>
      <c r="DE137" s="129">
        <f t="shared" si="166"/>
        <v>39775</v>
      </c>
      <c r="DF137" s="161">
        <f t="shared" si="95"/>
        <v>0</v>
      </c>
      <c r="DG137" s="161">
        <f t="shared" si="96"/>
        <v>0</v>
      </c>
      <c r="DH137" s="161">
        <f t="shared" si="97"/>
        <v>10.416666666666666</v>
      </c>
      <c r="DI137" s="161">
        <f t="shared" si="98"/>
        <v>0</v>
      </c>
      <c r="DJ137" s="161">
        <f t="shared" si="99"/>
        <v>0</v>
      </c>
      <c r="DK137" s="161">
        <f t="shared" si="100"/>
        <v>0</v>
      </c>
      <c r="DL137" s="161">
        <f t="shared" si="101"/>
        <v>0</v>
      </c>
      <c r="DM137" s="161">
        <f t="shared" si="102"/>
        <v>10.416666666666666</v>
      </c>
      <c r="DN137" s="161">
        <f t="shared" si="103"/>
        <v>0</v>
      </c>
      <c r="DO137" s="161">
        <f t="shared" si="104"/>
        <v>0</v>
      </c>
      <c r="DP137" s="161">
        <f t="shared" si="105"/>
        <v>0</v>
      </c>
      <c r="DQ137" s="161">
        <f t="shared" si="106"/>
        <v>0</v>
      </c>
      <c r="DR137" s="161">
        <f t="shared" si="107"/>
        <v>0</v>
      </c>
      <c r="DS137" s="161">
        <f t="shared" si="108"/>
        <v>0</v>
      </c>
      <c r="DT137" s="161">
        <f t="shared" si="109"/>
        <v>0</v>
      </c>
      <c r="DU137" s="161">
        <f t="shared" si="110"/>
        <v>0</v>
      </c>
      <c r="DV137" s="161">
        <f t="shared" si="111"/>
        <v>0</v>
      </c>
      <c r="DW137" s="161">
        <f t="shared" si="112"/>
        <v>0</v>
      </c>
      <c r="DX137" s="161">
        <f t="shared" si="113"/>
        <v>0</v>
      </c>
      <c r="DY137" s="161">
        <f t="shared" si="114"/>
        <v>0</v>
      </c>
      <c r="DZ137" s="161">
        <f t="shared" si="115"/>
        <v>0</v>
      </c>
      <c r="EA137" s="161">
        <f t="shared" si="116"/>
        <v>0</v>
      </c>
      <c r="EB137" s="161">
        <f t="shared" si="117"/>
        <v>0</v>
      </c>
      <c r="EC137" s="161">
        <f t="shared" si="118"/>
        <v>0</v>
      </c>
      <c r="ED137" s="161">
        <f t="shared" si="119"/>
        <v>0</v>
      </c>
      <c r="EE137" s="161">
        <f t="shared" si="120"/>
        <v>0</v>
      </c>
      <c r="EF137" s="161">
        <f t="shared" si="121"/>
        <v>0</v>
      </c>
      <c r="EG137" s="161">
        <f t="shared" si="122"/>
        <v>0</v>
      </c>
      <c r="EH137" s="161">
        <f t="shared" si="123"/>
        <v>0</v>
      </c>
      <c r="EI137" s="161">
        <f t="shared" si="124"/>
        <v>0</v>
      </c>
      <c r="EJ137" s="161">
        <f t="shared" si="125"/>
        <v>0</v>
      </c>
      <c r="EK137" s="147">
        <f t="shared" si="133"/>
        <v>20.833333333333332</v>
      </c>
      <c r="EL137" s="149"/>
      <c r="EN137" s="146"/>
      <c r="EO137" s="146"/>
      <c r="EP137" s="139">
        <f t="shared" si="134"/>
        <v>0</v>
      </c>
      <c r="EQ137" s="139">
        <f t="shared" si="135"/>
        <v>0</v>
      </c>
      <c r="ER137" s="139">
        <f t="shared" si="136"/>
        <v>0.20224362095138954</v>
      </c>
      <c r="ES137" s="139">
        <f t="shared" si="137"/>
        <v>0</v>
      </c>
      <c r="ET137" s="139">
        <f t="shared" si="138"/>
        <v>0</v>
      </c>
      <c r="EU137" s="139">
        <f t="shared" si="139"/>
        <v>0</v>
      </c>
      <c r="EV137" s="139">
        <f t="shared" si="140"/>
        <v>0</v>
      </c>
      <c r="EW137" s="139">
        <f t="shared" si="141"/>
        <v>15.429443614485615</v>
      </c>
      <c r="EX137" s="139">
        <f t="shared" si="142"/>
        <v>0</v>
      </c>
      <c r="EY137" s="139">
        <f t="shared" si="143"/>
        <v>0</v>
      </c>
      <c r="EZ137" s="139">
        <f t="shared" si="144"/>
        <v>0</v>
      </c>
      <c r="FA137" s="139">
        <f t="shared" si="145"/>
        <v>0</v>
      </c>
      <c r="FB137" s="139">
        <f t="shared" si="146"/>
        <v>0</v>
      </c>
      <c r="FC137" s="139">
        <f t="shared" si="147"/>
        <v>0</v>
      </c>
      <c r="FD137" s="139">
        <f t="shared" si="148"/>
        <v>0</v>
      </c>
      <c r="FE137" s="139">
        <f t="shared" si="149"/>
        <v>0</v>
      </c>
      <c r="FF137" s="139">
        <f t="shared" si="150"/>
        <v>0</v>
      </c>
      <c r="FG137" s="139">
        <f t="shared" si="151"/>
        <v>0</v>
      </c>
      <c r="FH137" s="139">
        <f t="shared" si="152"/>
        <v>0</v>
      </c>
      <c r="FI137" s="139">
        <f t="shared" si="153"/>
        <v>0</v>
      </c>
      <c r="FJ137" s="139">
        <f t="shared" si="154"/>
        <v>0</v>
      </c>
      <c r="FK137" s="139">
        <f t="shared" si="155"/>
        <v>0</v>
      </c>
      <c r="FL137" s="139">
        <f t="shared" si="156"/>
        <v>0</v>
      </c>
      <c r="FM137" s="139">
        <f t="shared" si="157"/>
        <v>0</v>
      </c>
      <c r="FN137" s="139">
        <f t="shared" si="158"/>
        <v>0</v>
      </c>
      <c r="FO137" s="139">
        <f t="shared" si="159"/>
        <v>0</v>
      </c>
      <c r="FP137" s="139">
        <f t="shared" si="160"/>
        <v>0</v>
      </c>
      <c r="FQ137" s="139">
        <f t="shared" si="161"/>
        <v>0</v>
      </c>
      <c r="FR137" s="139">
        <f t="shared" si="162"/>
        <v>0</v>
      </c>
      <c r="FS137" s="139">
        <f t="shared" si="163"/>
        <v>0</v>
      </c>
      <c r="FT137" s="139">
        <f t="shared" si="164"/>
        <v>0</v>
      </c>
      <c r="FU137" s="148">
        <f t="shared" si="165"/>
        <v>15.631687235437004</v>
      </c>
      <c r="FV137" s="149"/>
      <c r="FY137" s="212">
        <v>132</v>
      </c>
      <c r="FZ137">
        <v>3.3143398529428953</v>
      </c>
      <c r="GA137">
        <v>5.7492570337527731</v>
      </c>
      <c r="GB137">
        <v>6.2809242190814683</v>
      </c>
      <c r="GC137">
        <v>3.0154802984711422</v>
      </c>
      <c r="GD137">
        <v>0.49287042110721296</v>
      </c>
      <c r="GE137">
        <v>4.934006877198442</v>
      </c>
      <c r="GF137">
        <v>12.339084217477629</v>
      </c>
      <c r="GG137">
        <v>7.0201177028068926</v>
      </c>
      <c r="GH137">
        <v>2.983103413072155</v>
      </c>
      <c r="GI137">
        <v>5.8144721738160605</v>
      </c>
      <c r="GJ137"/>
      <c r="GK137"/>
      <c r="GL137"/>
      <c r="GM137"/>
    </row>
    <row r="138" spans="1:195" s="7" customFormat="1">
      <c r="A138" s="128"/>
      <c r="B138" s="76">
        <f t="shared" ca="1" si="132"/>
        <v>0.81627358332811806</v>
      </c>
      <c r="C138">
        <v>3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13.970383986928102</v>
      </c>
      <c r="AO138">
        <v>10.205156516896208</v>
      </c>
      <c r="AP138">
        <v>66.200072735741884</v>
      </c>
      <c r="AQ138">
        <v>48.270869878150506</v>
      </c>
      <c r="AR138">
        <v>9.3726386602898923</v>
      </c>
      <c r="AS138">
        <v>55.373510516185945</v>
      </c>
      <c r="AT138">
        <v>6.5753293725074853</v>
      </c>
      <c r="AU138">
        <v>29.506313485906539</v>
      </c>
      <c r="AV138"/>
      <c r="AW138"/>
      <c r="AX138" s="128"/>
      <c r="AY138" s="76">
        <f t="shared" ca="1" si="88"/>
        <v>0.16450104710724944</v>
      </c>
      <c r="AZ138">
        <v>1</v>
      </c>
      <c r="BA138" s="129">
        <f>IF(AZ138="", "",$C$9)</f>
        <v>39799</v>
      </c>
      <c r="BB138">
        <v>0</v>
      </c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90"/>
        <v>0.66191230895559094</v>
      </c>
      <c r="CL138" s="179">
        <f t="shared" si="91"/>
        <v>1</v>
      </c>
      <c r="CM138" s="180">
        <f t="shared" si="92"/>
        <v>39799</v>
      </c>
      <c r="CN138">
        <v>0</v>
      </c>
      <c r="CO138"/>
      <c r="CP138"/>
      <c r="CQ138"/>
      <c r="CR138"/>
      <c r="CS138"/>
      <c r="CT138"/>
      <c r="CU138"/>
      <c r="CV138" s="160"/>
      <c r="CW138">
        <v>1</v>
      </c>
      <c r="CX138">
        <v>8</v>
      </c>
      <c r="CY138" s="160"/>
      <c r="CZ138" s="177">
        <f t="shared" si="93"/>
        <v>9.6000000000000002E-2</v>
      </c>
      <c r="DB138" s="128"/>
      <c r="DC138" s="76">
        <f t="shared" ca="1" si="51"/>
        <v>4.3417088659245096E-2</v>
      </c>
      <c r="DD138">
        <f t="shared" si="94"/>
        <v>1</v>
      </c>
      <c r="DE138" s="129">
        <f t="shared" ref="DE138:DE147" si="168">IF((DD138)="","",$C$9)</f>
        <v>39799</v>
      </c>
      <c r="DF138" s="161">
        <f t="shared" si="95"/>
        <v>0</v>
      </c>
      <c r="DG138" s="161">
        <f t="shared" si="96"/>
        <v>0</v>
      </c>
      <c r="DH138" s="161">
        <f t="shared" si="97"/>
        <v>0</v>
      </c>
      <c r="DI138" s="161">
        <f t="shared" si="98"/>
        <v>0</v>
      </c>
      <c r="DJ138" s="161">
        <f t="shared" si="99"/>
        <v>0</v>
      </c>
      <c r="DK138" s="161">
        <f t="shared" si="100"/>
        <v>0</v>
      </c>
      <c r="DL138" s="161">
        <f t="shared" si="101"/>
        <v>0</v>
      </c>
      <c r="DM138" s="161">
        <f t="shared" si="102"/>
        <v>0</v>
      </c>
      <c r="DN138" s="161">
        <f t="shared" si="103"/>
        <v>0</v>
      </c>
      <c r="DO138" s="161">
        <f t="shared" si="104"/>
        <v>0</v>
      </c>
      <c r="DP138" s="161">
        <f t="shared" si="105"/>
        <v>0</v>
      </c>
      <c r="DQ138" s="161">
        <f t="shared" si="106"/>
        <v>0</v>
      </c>
      <c r="DR138" s="161">
        <f t="shared" si="107"/>
        <v>0</v>
      </c>
      <c r="DS138" s="161">
        <f t="shared" si="108"/>
        <v>0</v>
      </c>
      <c r="DT138" s="161">
        <f t="shared" si="109"/>
        <v>0</v>
      </c>
      <c r="DU138" s="161">
        <f t="shared" si="110"/>
        <v>0</v>
      </c>
      <c r="DV138" s="161">
        <f t="shared" si="111"/>
        <v>0</v>
      </c>
      <c r="DW138" s="161">
        <f t="shared" si="112"/>
        <v>0</v>
      </c>
      <c r="DX138" s="161">
        <f t="shared" si="113"/>
        <v>0</v>
      </c>
      <c r="DY138" s="161">
        <f t="shared" si="114"/>
        <v>0</v>
      </c>
      <c r="DZ138" s="161">
        <f t="shared" si="115"/>
        <v>0</v>
      </c>
      <c r="EA138" s="161">
        <f t="shared" si="116"/>
        <v>0</v>
      </c>
      <c r="EB138" s="161">
        <f t="shared" si="117"/>
        <v>0</v>
      </c>
      <c r="EC138" s="161">
        <f t="shared" si="118"/>
        <v>0</v>
      </c>
      <c r="ED138" s="161">
        <f t="shared" si="119"/>
        <v>0</v>
      </c>
      <c r="EE138" s="161">
        <f t="shared" si="120"/>
        <v>0</v>
      </c>
      <c r="EF138" s="161">
        <f t="shared" si="121"/>
        <v>0</v>
      </c>
      <c r="EG138" s="161">
        <f t="shared" si="122"/>
        <v>0</v>
      </c>
      <c r="EH138" s="161">
        <f t="shared" si="123"/>
        <v>0</v>
      </c>
      <c r="EI138" s="161">
        <f t="shared" si="124"/>
        <v>0</v>
      </c>
      <c r="EJ138" s="161">
        <f t="shared" si="125"/>
        <v>0</v>
      </c>
      <c r="EK138" s="147">
        <f t="shared" si="133"/>
        <v>0</v>
      </c>
      <c r="EL138" s="149"/>
      <c r="EN138" s="146"/>
      <c r="EO138" s="146"/>
      <c r="EP138" s="139">
        <f t="shared" si="134"/>
        <v>0</v>
      </c>
      <c r="EQ138" s="139">
        <f t="shared" si="135"/>
        <v>0</v>
      </c>
      <c r="ER138" s="139">
        <f t="shared" si="136"/>
        <v>0</v>
      </c>
      <c r="ES138" s="139">
        <f t="shared" si="137"/>
        <v>0</v>
      </c>
      <c r="ET138" s="139">
        <f t="shared" si="138"/>
        <v>0</v>
      </c>
      <c r="EU138" s="139">
        <f t="shared" si="139"/>
        <v>0</v>
      </c>
      <c r="EV138" s="139">
        <f t="shared" si="140"/>
        <v>0</v>
      </c>
      <c r="EW138" s="139">
        <f t="shared" si="141"/>
        <v>0</v>
      </c>
      <c r="EX138" s="139">
        <f t="shared" si="142"/>
        <v>0</v>
      </c>
      <c r="EY138" s="139">
        <f t="shared" si="143"/>
        <v>0</v>
      </c>
      <c r="EZ138" s="139">
        <f t="shared" si="144"/>
        <v>0</v>
      </c>
      <c r="FA138" s="139">
        <f t="shared" si="145"/>
        <v>0</v>
      </c>
      <c r="FB138" s="139">
        <f t="shared" si="146"/>
        <v>0</v>
      </c>
      <c r="FC138" s="139">
        <f t="shared" si="147"/>
        <v>0</v>
      </c>
      <c r="FD138" s="139">
        <f t="shared" si="148"/>
        <v>0</v>
      </c>
      <c r="FE138" s="139">
        <f t="shared" si="149"/>
        <v>0</v>
      </c>
      <c r="FF138" s="139">
        <f t="shared" si="150"/>
        <v>0</v>
      </c>
      <c r="FG138" s="139">
        <f t="shared" si="151"/>
        <v>0</v>
      </c>
      <c r="FH138" s="139">
        <f t="shared" si="152"/>
        <v>0</v>
      </c>
      <c r="FI138" s="139">
        <f t="shared" si="153"/>
        <v>0</v>
      </c>
      <c r="FJ138" s="139">
        <f t="shared" si="154"/>
        <v>0</v>
      </c>
      <c r="FK138" s="139">
        <f t="shared" si="155"/>
        <v>0</v>
      </c>
      <c r="FL138" s="139">
        <f t="shared" si="156"/>
        <v>0</v>
      </c>
      <c r="FM138" s="139">
        <f t="shared" si="157"/>
        <v>0</v>
      </c>
      <c r="FN138" s="139">
        <f t="shared" si="158"/>
        <v>0</v>
      </c>
      <c r="FO138" s="139">
        <f t="shared" si="159"/>
        <v>0</v>
      </c>
      <c r="FP138" s="139">
        <f t="shared" si="160"/>
        <v>0</v>
      </c>
      <c r="FQ138" s="139">
        <f t="shared" si="161"/>
        <v>0</v>
      </c>
      <c r="FR138" s="139">
        <f t="shared" si="162"/>
        <v>0</v>
      </c>
      <c r="FS138" s="139">
        <f t="shared" si="163"/>
        <v>0</v>
      </c>
      <c r="FT138" s="139">
        <f t="shared" si="164"/>
        <v>0</v>
      </c>
      <c r="FU138" s="148">
        <f t="shared" si="165"/>
        <v>0</v>
      </c>
      <c r="FV138" s="149"/>
      <c r="FY138" s="212">
        <v>133</v>
      </c>
      <c r="FZ138">
        <v>0.27501357784192287</v>
      </c>
      <c r="GA138">
        <v>1.2669787940967367</v>
      </c>
      <c r="GB138">
        <v>7.0697998029085323</v>
      </c>
      <c r="GC138">
        <v>3.9639561176603477</v>
      </c>
      <c r="GD138">
        <v>1.5638652210221857</v>
      </c>
      <c r="GE138">
        <v>4.3576744008206916</v>
      </c>
      <c r="GF138">
        <v>10.499132419039837</v>
      </c>
      <c r="GG138">
        <v>9.883805719664668</v>
      </c>
      <c r="GH138">
        <v>3.6617057997505169</v>
      </c>
      <c r="GI138">
        <v>6.2897750785996038</v>
      </c>
      <c r="GJ138"/>
      <c r="GK138"/>
      <c r="GL138"/>
      <c r="GM138"/>
    </row>
    <row r="139" spans="1:195" s="7" customFormat="1">
      <c r="A139" s="1"/>
      <c r="B139" s="76">
        <f t="shared" ca="1" si="132"/>
        <v>0.89772005888451645</v>
      </c>
      <c r="C139">
        <v>2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11.75347222222222</v>
      </c>
      <c r="AO139">
        <v>9.8672673565334161</v>
      </c>
      <c r="AP139">
        <v>48.278874336750434</v>
      </c>
      <c r="AQ139">
        <v>49.739854913449037</v>
      </c>
      <c r="AR139">
        <v>9.0124269773648553</v>
      </c>
      <c r="AS139">
        <v>45.099002256411211</v>
      </c>
      <c r="AT139">
        <v>5.741552926942588</v>
      </c>
      <c r="AU139">
        <v>11.45375166203276</v>
      </c>
      <c r="AV139"/>
      <c r="AW139"/>
      <c r="AX139" s="146"/>
      <c r="AY139" s="76">
        <f t="shared" ca="1" si="88"/>
        <v>0.99147466353641445</v>
      </c>
      <c r="AZ139">
        <v>2</v>
      </c>
      <c r="BA139" s="129">
        <f t="shared" ref="BA139:BA147" si="169">IF(AZ139="", "",$C$9)</f>
        <v>39799</v>
      </c>
      <c r="BB139">
        <v>0</v>
      </c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90"/>
        <v>0.82232917405981265</v>
      </c>
      <c r="CL139" s="179">
        <f t="shared" si="91"/>
        <v>2</v>
      </c>
      <c r="CM139" s="180">
        <f t="shared" si="92"/>
        <v>39799</v>
      </c>
      <c r="CN139">
        <v>0</v>
      </c>
      <c r="CO139"/>
      <c r="CP139"/>
      <c r="CQ139"/>
      <c r="CR139"/>
      <c r="CS139"/>
      <c r="CT139"/>
      <c r="CU139"/>
      <c r="CV139" s="160"/>
      <c r="CW139">
        <v>1</v>
      </c>
      <c r="CX139">
        <v>1</v>
      </c>
      <c r="CY139" s="160"/>
      <c r="CZ139" s="177">
        <f t="shared" si="93"/>
        <v>9.6000000000000002E-2</v>
      </c>
      <c r="DB139" s="146"/>
      <c r="DC139" s="76">
        <f t="shared" ca="1" si="51"/>
        <v>0.29076099812960265</v>
      </c>
      <c r="DD139">
        <f t="shared" si="94"/>
        <v>2</v>
      </c>
      <c r="DE139" s="129">
        <f t="shared" si="168"/>
        <v>39799</v>
      </c>
      <c r="DF139" s="161">
        <f t="shared" si="95"/>
        <v>0</v>
      </c>
      <c r="DG139" s="161">
        <f t="shared" si="96"/>
        <v>0</v>
      </c>
      <c r="DH139" s="161">
        <f t="shared" si="97"/>
        <v>0</v>
      </c>
      <c r="DI139" s="161">
        <f t="shared" si="98"/>
        <v>0</v>
      </c>
      <c r="DJ139" s="161">
        <f t="shared" si="99"/>
        <v>0</v>
      </c>
      <c r="DK139" s="161">
        <f t="shared" si="100"/>
        <v>0</v>
      </c>
      <c r="DL139" s="161">
        <f t="shared" si="101"/>
        <v>0</v>
      </c>
      <c r="DM139" s="161">
        <f t="shared" si="102"/>
        <v>0</v>
      </c>
      <c r="DN139" s="161">
        <f t="shared" si="103"/>
        <v>0</v>
      </c>
      <c r="DO139" s="161">
        <f t="shared" si="104"/>
        <v>0</v>
      </c>
      <c r="DP139" s="161">
        <f t="shared" si="105"/>
        <v>0</v>
      </c>
      <c r="DQ139" s="161">
        <f t="shared" si="106"/>
        <v>0</v>
      </c>
      <c r="DR139" s="161">
        <f t="shared" si="107"/>
        <v>0</v>
      </c>
      <c r="DS139" s="161">
        <f t="shared" si="108"/>
        <v>0</v>
      </c>
      <c r="DT139" s="161">
        <f t="shared" si="109"/>
        <v>0</v>
      </c>
      <c r="DU139" s="161">
        <f t="shared" si="110"/>
        <v>0</v>
      </c>
      <c r="DV139" s="161">
        <f t="shared" si="111"/>
        <v>0</v>
      </c>
      <c r="DW139" s="161">
        <f t="shared" si="112"/>
        <v>0</v>
      </c>
      <c r="DX139" s="161">
        <f t="shared" si="113"/>
        <v>0</v>
      </c>
      <c r="DY139" s="161">
        <f t="shared" si="114"/>
        <v>0</v>
      </c>
      <c r="DZ139" s="161">
        <f t="shared" si="115"/>
        <v>0</v>
      </c>
      <c r="EA139" s="161">
        <f t="shared" si="116"/>
        <v>0</v>
      </c>
      <c r="EB139" s="161">
        <f t="shared" si="117"/>
        <v>0</v>
      </c>
      <c r="EC139" s="161">
        <f t="shared" si="118"/>
        <v>0</v>
      </c>
      <c r="ED139" s="161">
        <f t="shared" si="119"/>
        <v>0</v>
      </c>
      <c r="EE139" s="161">
        <f t="shared" si="120"/>
        <v>0</v>
      </c>
      <c r="EF139" s="161">
        <f t="shared" si="121"/>
        <v>0</v>
      </c>
      <c r="EG139" s="161">
        <f t="shared" si="122"/>
        <v>0</v>
      </c>
      <c r="EH139" s="161">
        <f t="shared" si="123"/>
        <v>0</v>
      </c>
      <c r="EI139" s="161">
        <f t="shared" si="124"/>
        <v>0</v>
      </c>
      <c r="EJ139" s="161">
        <f t="shared" si="125"/>
        <v>0</v>
      </c>
      <c r="EK139" s="147">
        <f t="shared" si="133"/>
        <v>0</v>
      </c>
      <c r="EL139" s="149"/>
      <c r="EN139" s="146"/>
      <c r="EO139" s="146"/>
      <c r="EP139" s="139">
        <f t="shared" si="134"/>
        <v>0</v>
      </c>
      <c r="EQ139" s="139">
        <f t="shared" si="135"/>
        <v>0</v>
      </c>
      <c r="ER139" s="139">
        <f t="shared" si="136"/>
        <v>0</v>
      </c>
      <c r="ES139" s="139">
        <f t="shared" si="137"/>
        <v>0</v>
      </c>
      <c r="ET139" s="139">
        <f t="shared" si="138"/>
        <v>0</v>
      </c>
      <c r="EU139" s="139">
        <f t="shared" si="139"/>
        <v>0</v>
      </c>
      <c r="EV139" s="139">
        <f t="shared" si="140"/>
        <v>0</v>
      </c>
      <c r="EW139" s="139">
        <f t="shared" si="141"/>
        <v>0</v>
      </c>
      <c r="EX139" s="139">
        <f t="shared" si="142"/>
        <v>0</v>
      </c>
      <c r="EY139" s="139">
        <f t="shared" si="143"/>
        <v>0</v>
      </c>
      <c r="EZ139" s="139">
        <f t="shared" si="144"/>
        <v>0</v>
      </c>
      <c r="FA139" s="139">
        <f t="shared" si="145"/>
        <v>0</v>
      </c>
      <c r="FB139" s="139">
        <f t="shared" si="146"/>
        <v>0</v>
      </c>
      <c r="FC139" s="139">
        <f t="shared" si="147"/>
        <v>0</v>
      </c>
      <c r="FD139" s="139">
        <f t="shared" si="148"/>
        <v>0</v>
      </c>
      <c r="FE139" s="139">
        <f t="shared" si="149"/>
        <v>0</v>
      </c>
      <c r="FF139" s="139">
        <f t="shared" si="150"/>
        <v>0</v>
      </c>
      <c r="FG139" s="139">
        <f t="shared" si="151"/>
        <v>0</v>
      </c>
      <c r="FH139" s="139">
        <f t="shared" si="152"/>
        <v>0</v>
      </c>
      <c r="FI139" s="139">
        <f t="shared" si="153"/>
        <v>0</v>
      </c>
      <c r="FJ139" s="139">
        <f t="shared" si="154"/>
        <v>0</v>
      </c>
      <c r="FK139" s="139">
        <f t="shared" si="155"/>
        <v>0</v>
      </c>
      <c r="FL139" s="139">
        <f t="shared" si="156"/>
        <v>0</v>
      </c>
      <c r="FM139" s="139">
        <f t="shared" si="157"/>
        <v>0</v>
      </c>
      <c r="FN139" s="139">
        <f t="shared" si="158"/>
        <v>0</v>
      </c>
      <c r="FO139" s="139">
        <f t="shared" si="159"/>
        <v>0</v>
      </c>
      <c r="FP139" s="139">
        <f t="shared" si="160"/>
        <v>0</v>
      </c>
      <c r="FQ139" s="139">
        <f t="shared" si="161"/>
        <v>0</v>
      </c>
      <c r="FR139" s="139">
        <f t="shared" si="162"/>
        <v>0</v>
      </c>
      <c r="FS139" s="139">
        <f t="shared" si="163"/>
        <v>0</v>
      </c>
      <c r="FT139" s="139">
        <f t="shared" si="164"/>
        <v>0</v>
      </c>
      <c r="FU139" s="148">
        <f t="shared" si="165"/>
        <v>0</v>
      </c>
      <c r="FV139" s="149"/>
      <c r="FY139" s="212">
        <v>134</v>
      </c>
      <c r="FZ139">
        <v>3.2947727726095888</v>
      </c>
      <c r="GA139">
        <v>5.1611257570495361</v>
      </c>
      <c r="GB139">
        <v>4.5775017221227534</v>
      </c>
      <c r="GC139">
        <v>2.425674986097702</v>
      </c>
      <c r="GD139">
        <v>1.7534192731701659</v>
      </c>
      <c r="GE139">
        <v>5.589298480292987</v>
      </c>
      <c r="GF139">
        <v>8.9103330493788189</v>
      </c>
      <c r="GG139">
        <v>5.7481881241570498</v>
      </c>
      <c r="GH139">
        <v>1.8602337176805224</v>
      </c>
      <c r="GI139">
        <v>5.2436589472797053</v>
      </c>
      <c r="GJ139"/>
      <c r="GK139"/>
      <c r="GL139"/>
      <c r="GM139"/>
    </row>
    <row r="140" spans="1:195" s="7" customFormat="1">
      <c r="A140" s="1"/>
      <c r="B140" s="76">
        <f t="shared" ca="1" si="132"/>
        <v>0.42273613458244785</v>
      </c>
      <c r="C140">
        <v>1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12.581367135207497</v>
      </c>
      <c r="AO140">
        <v>7.5144503304188008</v>
      </c>
      <c r="AP140">
        <v>85.901974489609515</v>
      </c>
      <c r="AQ140">
        <v>39.779311179800857</v>
      </c>
      <c r="AR140">
        <v>6.9456138134095848</v>
      </c>
      <c r="AS140">
        <v>38.343845556071649</v>
      </c>
      <c r="AT140" t="e">
        <v>#DIV/0!</v>
      </c>
      <c r="AU140" t="e">
        <v>#DIV/0!</v>
      </c>
      <c r="AV140"/>
      <c r="AW140"/>
      <c r="AX140" s="146"/>
      <c r="AY140" s="76">
        <f t="shared" ca="1" si="88"/>
        <v>0.92838998427851616</v>
      </c>
      <c r="AZ140">
        <v>3</v>
      </c>
      <c r="BA140" s="129">
        <f t="shared" si="169"/>
        <v>39799</v>
      </c>
      <c r="BB140">
        <v>0</v>
      </c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90"/>
        <v>0.36338580520449071</v>
      </c>
      <c r="CL140" s="179">
        <f t="shared" si="91"/>
        <v>3</v>
      </c>
      <c r="CM140" s="180">
        <f t="shared" si="92"/>
        <v>39799</v>
      </c>
      <c r="CN140">
        <v>0</v>
      </c>
      <c r="CO140"/>
      <c r="CP140"/>
      <c r="CQ140"/>
      <c r="CR140"/>
      <c r="CS140"/>
      <c r="CT140"/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3"/>
        <v>9.6000000000000002E-2</v>
      </c>
      <c r="DB140" s="146"/>
      <c r="DC140" s="76">
        <f t="shared" ca="1" si="51"/>
        <v>0.15603535682469527</v>
      </c>
      <c r="DD140">
        <f t="shared" si="94"/>
        <v>3</v>
      </c>
      <c r="DE140" s="129">
        <f t="shared" si="168"/>
        <v>39799</v>
      </c>
      <c r="DF140" s="161">
        <f t="shared" si="95"/>
        <v>0</v>
      </c>
      <c r="DG140" s="161">
        <f t="shared" si="96"/>
        <v>0</v>
      </c>
      <c r="DH140" s="161">
        <f t="shared" si="97"/>
        <v>0</v>
      </c>
      <c r="DI140" s="161">
        <f t="shared" si="98"/>
        <v>0</v>
      </c>
      <c r="DJ140" s="161">
        <f t="shared" si="99"/>
        <v>0</v>
      </c>
      <c r="DK140" s="161">
        <f t="shared" si="100"/>
        <v>0</v>
      </c>
      <c r="DL140" s="161">
        <f t="shared" si="101"/>
        <v>0</v>
      </c>
      <c r="DM140" s="161">
        <f t="shared" si="102"/>
        <v>0</v>
      </c>
      <c r="DN140" s="161">
        <f t="shared" si="103"/>
        <v>0</v>
      </c>
      <c r="DO140" s="161">
        <f t="shared" si="104"/>
        <v>0</v>
      </c>
      <c r="DP140" s="161">
        <f t="shared" si="105"/>
        <v>0</v>
      </c>
      <c r="DQ140" s="161">
        <f t="shared" si="106"/>
        <v>0</v>
      </c>
      <c r="DR140" s="161">
        <f t="shared" si="107"/>
        <v>0</v>
      </c>
      <c r="DS140" s="161">
        <f t="shared" si="108"/>
        <v>0</v>
      </c>
      <c r="DT140" s="161">
        <f t="shared" si="109"/>
        <v>0</v>
      </c>
      <c r="DU140" s="161">
        <f t="shared" si="110"/>
        <v>0</v>
      </c>
      <c r="DV140" s="161">
        <f t="shared" si="111"/>
        <v>0</v>
      </c>
      <c r="DW140" s="161">
        <f t="shared" si="112"/>
        <v>0</v>
      </c>
      <c r="DX140" s="161">
        <f t="shared" si="113"/>
        <v>0</v>
      </c>
      <c r="DY140" s="161">
        <f t="shared" si="114"/>
        <v>0</v>
      </c>
      <c r="DZ140" s="161">
        <f t="shared" si="115"/>
        <v>0</v>
      </c>
      <c r="EA140" s="161">
        <f t="shared" si="116"/>
        <v>0</v>
      </c>
      <c r="EB140" s="161">
        <f t="shared" si="117"/>
        <v>0</v>
      </c>
      <c r="EC140" s="161">
        <f t="shared" si="118"/>
        <v>0</v>
      </c>
      <c r="ED140" s="161">
        <f t="shared" si="119"/>
        <v>0</v>
      </c>
      <c r="EE140" s="161">
        <f t="shared" si="120"/>
        <v>0</v>
      </c>
      <c r="EF140" s="161">
        <f t="shared" si="121"/>
        <v>0</v>
      </c>
      <c r="EG140" s="161">
        <f t="shared" si="122"/>
        <v>0</v>
      </c>
      <c r="EH140" s="161">
        <f t="shared" si="123"/>
        <v>0</v>
      </c>
      <c r="EI140" s="161">
        <f t="shared" si="124"/>
        <v>0</v>
      </c>
      <c r="EJ140" s="161">
        <f t="shared" si="125"/>
        <v>0</v>
      </c>
      <c r="EK140" s="147">
        <f t="shared" si="133"/>
        <v>0</v>
      </c>
      <c r="EL140" s="149"/>
      <c r="EN140" s="146"/>
      <c r="EO140" s="146"/>
      <c r="EP140" s="139">
        <f t="shared" si="134"/>
        <v>0</v>
      </c>
      <c r="EQ140" s="139">
        <f t="shared" si="135"/>
        <v>0</v>
      </c>
      <c r="ER140" s="139">
        <f t="shared" si="136"/>
        <v>0</v>
      </c>
      <c r="ES140" s="139">
        <f t="shared" si="137"/>
        <v>0</v>
      </c>
      <c r="ET140" s="139">
        <f t="shared" si="138"/>
        <v>0</v>
      </c>
      <c r="EU140" s="139">
        <f t="shared" si="139"/>
        <v>0</v>
      </c>
      <c r="EV140" s="139">
        <f t="shared" si="140"/>
        <v>0</v>
      </c>
      <c r="EW140" s="139">
        <f t="shared" si="141"/>
        <v>0</v>
      </c>
      <c r="EX140" s="139">
        <f t="shared" si="142"/>
        <v>0</v>
      </c>
      <c r="EY140" s="139">
        <f t="shared" si="143"/>
        <v>0</v>
      </c>
      <c r="EZ140" s="139">
        <f t="shared" si="144"/>
        <v>0</v>
      </c>
      <c r="FA140" s="139">
        <f t="shared" si="145"/>
        <v>0</v>
      </c>
      <c r="FB140" s="139">
        <f t="shared" si="146"/>
        <v>0</v>
      </c>
      <c r="FC140" s="139">
        <f t="shared" si="147"/>
        <v>0</v>
      </c>
      <c r="FD140" s="139">
        <f t="shared" si="148"/>
        <v>0</v>
      </c>
      <c r="FE140" s="139">
        <f t="shared" si="149"/>
        <v>0</v>
      </c>
      <c r="FF140" s="139">
        <f t="shared" si="150"/>
        <v>0</v>
      </c>
      <c r="FG140" s="139">
        <f t="shared" si="151"/>
        <v>0</v>
      </c>
      <c r="FH140" s="139">
        <f t="shared" si="152"/>
        <v>0</v>
      </c>
      <c r="FI140" s="139">
        <f t="shared" si="153"/>
        <v>0</v>
      </c>
      <c r="FJ140" s="139">
        <f t="shared" si="154"/>
        <v>0</v>
      </c>
      <c r="FK140" s="139">
        <f t="shared" si="155"/>
        <v>0</v>
      </c>
      <c r="FL140" s="139">
        <f t="shared" si="156"/>
        <v>0</v>
      </c>
      <c r="FM140" s="139">
        <f t="shared" si="157"/>
        <v>0</v>
      </c>
      <c r="FN140" s="139">
        <f t="shared" si="158"/>
        <v>0</v>
      </c>
      <c r="FO140" s="139">
        <f t="shared" si="159"/>
        <v>0</v>
      </c>
      <c r="FP140" s="139">
        <f t="shared" si="160"/>
        <v>0</v>
      </c>
      <c r="FQ140" s="139">
        <f t="shared" si="161"/>
        <v>0</v>
      </c>
      <c r="FR140" s="139">
        <f t="shared" si="162"/>
        <v>0</v>
      </c>
      <c r="FS140" s="139">
        <f t="shared" si="163"/>
        <v>0</v>
      </c>
      <c r="FT140" s="139">
        <f t="shared" si="164"/>
        <v>0</v>
      </c>
      <c r="FU140" s="148">
        <f t="shared" si="165"/>
        <v>0</v>
      </c>
      <c r="FV140" s="149"/>
      <c r="FY140" s="212">
        <v>135</v>
      </c>
      <c r="FZ140">
        <v>9.7388789910148823</v>
      </c>
      <c r="GA140">
        <v>12.001685925480809</v>
      </c>
      <c r="GB140">
        <v>4.0687697128043014</v>
      </c>
      <c r="GC140">
        <v>2.3813608473333874</v>
      </c>
      <c r="GD140">
        <v>0.81654492409447943</v>
      </c>
      <c r="GE140">
        <v>1.9436969775525568</v>
      </c>
      <c r="GF140">
        <v>8.0935827156713778</v>
      </c>
      <c r="GG140">
        <v>6.6014312396422916</v>
      </c>
      <c r="GH140">
        <v>0.84951583256151286</v>
      </c>
      <c r="GI140">
        <v>5.1915663155364369</v>
      </c>
      <c r="GJ140"/>
      <c r="GK140"/>
      <c r="GL140"/>
      <c r="GM140"/>
    </row>
    <row r="141" spans="1:195" s="7" customFormat="1">
      <c r="A141" s="1"/>
      <c r="B141" s="76">
        <f t="shared" ca="1" si="132"/>
        <v>0.15203619859819262</v>
      </c>
      <c r="C141">
        <v>10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20.833333333333332</v>
      </c>
      <c r="J141">
        <v>0</v>
      </c>
      <c r="K141">
        <v>10.416666666666666</v>
      </c>
      <c r="L141">
        <v>10.416666666666666</v>
      </c>
      <c r="M141">
        <v>10.416666666666666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15.961473344357822</v>
      </c>
      <c r="AO141">
        <v>8.1978174966128741</v>
      </c>
      <c r="AP141">
        <v>50.922819732516508</v>
      </c>
      <c r="AQ141">
        <v>38.956724231491933</v>
      </c>
      <c r="AR141">
        <v>7.4919874189695701</v>
      </c>
      <c r="AS141">
        <v>41.030822084790955</v>
      </c>
      <c r="AT141">
        <v>4.6584548906397565</v>
      </c>
      <c r="AU141">
        <v>16.956291444156701</v>
      </c>
      <c r="AV141"/>
      <c r="AW141"/>
      <c r="AX141" s="146"/>
      <c r="AY141" s="76">
        <f t="shared" ca="1" si="88"/>
        <v>0.55911061953967067</v>
      </c>
      <c r="AZ141">
        <v>4</v>
      </c>
      <c r="BA141" s="129">
        <f t="shared" si="169"/>
        <v>39799</v>
      </c>
      <c r="BB141">
        <v>0</v>
      </c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90"/>
        <v>0.34669389247802607</v>
      </c>
      <c r="CL141" s="179">
        <f t="shared" si="91"/>
        <v>4</v>
      </c>
      <c r="CM141" s="180">
        <f t="shared" si="92"/>
        <v>39799</v>
      </c>
      <c r="CN141">
        <v>0</v>
      </c>
      <c r="CO141">
        <v>0</v>
      </c>
      <c r="CP141">
        <v>1</v>
      </c>
      <c r="CQ141"/>
      <c r="CR141"/>
      <c r="CS141"/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3"/>
        <v>9.6000000000000002E-2</v>
      </c>
      <c r="DB141" s="146"/>
      <c r="DC141" s="76">
        <f t="shared" ca="1" si="51"/>
        <v>0.16411956952877116</v>
      </c>
      <c r="DD141">
        <f t="shared" si="94"/>
        <v>4</v>
      </c>
      <c r="DE141" s="129">
        <f t="shared" si="168"/>
        <v>39799</v>
      </c>
      <c r="DF141" s="161">
        <f t="shared" si="95"/>
        <v>0</v>
      </c>
      <c r="DG141" s="161">
        <f t="shared" si="96"/>
        <v>0</v>
      </c>
      <c r="DH141" s="161">
        <f t="shared" si="97"/>
        <v>292.44652406417111</v>
      </c>
      <c r="DI141" s="161">
        <f t="shared" si="98"/>
        <v>0</v>
      </c>
      <c r="DJ141" s="161">
        <f t="shared" si="99"/>
        <v>0</v>
      </c>
      <c r="DK141" s="161">
        <f t="shared" si="100"/>
        <v>0</v>
      </c>
      <c r="DL141" s="161">
        <f t="shared" si="101"/>
        <v>0</v>
      </c>
      <c r="DM141" s="161">
        <f t="shared" si="102"/>
        <v>0</v>
      </c>
      <c r="DN141" s="161">
        <f t="shared" si="103"/>
        <v>0</v>
      </c>
      <c r="DO141" s="161">
        <f t="shared" si="104"/>
        <v>0</v>
      </c>
      <c r="DP141" s="161">
        <f t="shared" si="105"/>
        <v>0</v>
      </c>
      <c r="DQ141" s="161">
        <f t="shared" si="106"/>
        <v>0</v>
      </c>
      <c r="DR141" s="161">
        <f t="shared" si="107"/>
        <v>0</v>
      </c>
      <c r="DS141" s="161">
        <f t="shared" si="108"/>
        <v>0</v>
      </c>
      <c r="DT141" s="161">
        <f t="shared" si="109"/>
        <v>0</v>
      </c>
      <c r="DU141" s="161">
        <f t="shared" si="110"/>
        <v>0</v>
      </c>
      <c r="DV141" s="161">
        <f t="shared" si="111"/>
        <v>0</v>
      </c>
      <c r="DW141" s="161">
        <f t="shared" si="112"/>
        <v>0</v>
      </c>
      <c r="DX141" s="161">
        <f t="shared" si="113"/>
        <v>0</v>
      </c>
      <c r="DY141" s="161">
        <f t="shared" si="114"/>
        <v>0</v>
      </c>
      <c r="DZ141" s="161">
        <f t="shared" si="115"/>
        <v>0</v>
      </c>
      <c r="EA141" s="161">
        <f t="shared" si="116"/>
        <v>0</v>
      </c>
      <c r="EB141" s="161">
        <f t="shared" si="117"/>
        <v>0</v>
      </c>
      <c r="EC141" s="161">
        <f t="shared" si="118"/>
        <v>0</v>
      </c>
      <c r="ED141" s="161">
        <f t="shared" si="119"/>
        <v>0</v>
      </c>
      <c r="EE141" s="161">
        <f t="shared" si="120"/>
        <v>0</v>
      </c>
      <c r="EF141" s="161">
        <f t="shared" si="121"/>
        <v>0</v>
      </c>
      <c r="EG141" s="161">
        <f t="shared" si="122"/>
        <v>0</v>
      </c>
      <c r="EH141" s="161">
        <f t="shared" si="123"/>
        <v>0</v>
      </c>
      <c r="EI141" s="161">
        <f t="shared" si="124"/>
        <v>0</v>
      </c>
      <c r="EJ141" s="161">
        <f t="shared" si="125"/>
        <v>0</v>
      </c>
      <c r="EK141" s="147">
        <f t="shared" si="133"/>
        <v>292.44652406417111</v>
      </c>
      <c r="EL141" s="149"/>
      <c r="EN141" s="146"/>
      <c r="EO141" s="146"/>
      <c r="EP141" s="139">
        <f t="shared" si="134"/>
        <v>0</v>
      </c>
      <c r="EQ141" s="139">
        <f t="shared" si="135"/>
        <v>0</v>
      </c>
      <c r="ER141" s="139">
        <f t="shared" si="136"/>
        <v>5.6779626202930222</v>
      </c>
      <c r="ES141" s="139">
        <f t="shared" si="137"/>
        <v>0</v>
      </c>
      <c r="ET141" s="139">
        <f t="shared" si="138"/>
        <v>0</v>
      </c>
      <c r="EU141" s="139">
        <f t="shared" si="139"/>
        <v>0</v>
      </c>
      <c r="EV141" s="139">
        <f t="shared" si="140"/>
        <v>0</v>
      </c>
      <c r="EW141" s="139">
        <f t="shared" si="141"/>
        <v>0</v>
      </c>
      <c r="EX141" s="139">
        <f t="shared" si="142"/>
        <v>0</v>
      </c>
      <c r="EY141" s="139">
        <f t="shared" si="143"/>
        <v>0</v>
      </c>
      <c r="EZ141" s="139">
        <f t="shared" si="144"/>
        <v>0</v>
      </c>
      <c r="FA141" s="139">
        <f t="shared" si="145"/>
        <v>0</v>
      </c>
      <c r="FB141" s="139">
        <f t="shared" si="146"/>
        <v>0</v>
      </c>
      <c r="FC141" s="139">
        <f t="shared" si="147"/>
        <v>0</v>
      </c>
      <c r="FD141" s="139">
        <f t="shared" si="148"/>
        <v>0</v>
      </c>
      <c r="FE141" s="139">
        <f t="shared" si="149"/>
        <v>0</v>
      </c>
      <c r="FF141" s="139">
        <f t="shared" si="150"/>
        <v>0</v>
      </c>
      <c r="FG141" s="139">
        <f t="shared" si="151"/>
        <v>0</v>
      </c>
      <c r="FH141" s="139">
        <f t="shared" si="152"/>
        <v>0</v>
      </c>
      <c r="FI141" s="139">
        <f t="shared" si="153"/>
        <v>0</v>
      </c>
      <c r="FJ141" s="139">
        <f t="shared" si="154"/>
        <v>0</v>
      </c>
      <c r="FK141" s="139">
        <f t="shared" si="155"/>
        <v>0</v>
      </c>
      <c r="FL141" s="139">
        <f t="shared" si="156"/>
        <v>0</v>
      </c>
      <c r="FM141" s="139">
        <f t="shared" si="157"/>
        <v>0</v>
      </c>
      <c r="FN141" s="139">
        <f t="shared" si="158"/>
        <v>0</v>
      </c>
      <c r="FO141" s="139">
        <f t="shared" si="159"/>
        <v>0</v>
      </c>
      <c r="FP141" s="139">
        <f t="shared" si="160"/>
        <v>0</v>
      </c>
      <c r="FQ141" s="139">
        <f t="shared" si="161"/>
        <v>0</v>
      </c>
      <c r="FR141" s="139">
        <f t="shared" si="162"/>
        <v>0</v>
      </c>
      <c r="FS141" s="139">
        <f t="shared" si="163"/>
        <v>0</v>
      </c>
      <c r="FT141" s="139">
        <f t="shared" si="164"/>
        <v>0</v>
      </c>
      <c r="FU141" s="148">
        <f t="shared" si="165"/>
        <v>5.6779626202930222</v>
      </c>
      <c r="FV141" s="149"/>
      <c r="FY141" s="212">
        <v>136</v>
      </c>
      <c r="FZ141">
        <v>6.5360181112338118</v>
      </c>
      <c r="GA141">
        <v>13.060561169649398</v>
      </c>
      <c r="GB141">
        <v>12.247430932167127</v>
      </c>
      <c r="GC141">
        <v>5.5834577245843056</v>
      </c>
      <c r="GD141">
        <v>0.82856385546040079</v>
      </c>
      <c r="GE141">
        <v>3.7463572152217601</v>
      </c>
      <c r="GF141">
        <v>11.253774302168537</v>
      </c>
      <c r="GG141">
        <v>6.496046268991746</v>
      </c>
      <c r="GH141">
        <v>1.2423625814128689</v>
      </c>
      <c r="GI141">
        <v>7.6101605578211897</v>
      </c>
      <c r="GJ141"/>
      <c r="GK141"/>
      <c r="GL141"/>
      <c r="GM141"/>
    </row>
    <row r="142" spans="1:195" s="7" customFormat="1">
      <c r="A142" s="1"/>
      <c r="B142" s="76">
        <f t="shared" ca="1" si="132"/>
        <v>0.96891960783666242</v>
      </c>
      <c r="C142">
        <v>9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10.416666666666666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17.989251122135602</v>
      </c>
      <c r="AO142">
        <v>8.1937392285760673</v>
      </c>
      <c r="AP142">
        <v>57.447042748149762</v>
      </c>
      <c r="AQ142">
        <v>46.64058014841838</v>
      </c>
      <c r="AR142">
        <v>7.5667714360464222</v>
      </c>
      <c r="AS142">
        <v>43.593073999058262</v>
      </c>
      <c r="AT142">
        <v>3.2647537819114643</v>
      </c>
      <c r="AU142">
        <v>16.038290312514011</v>
      </c>
      <c r="AV142"/>
      <c r="AW142"/>
      <c r="AX142" s="146"/>
      <c r="AY142" s="76">
        <f t="shared" ca="1" si="88"/>
        <v>0.52650996577820042</v>
      </c>
      <c r="AZ142">
        <v>5</v>
      </c>
      <c r="BA142" s="129">
        <f t="shared" si="169"/>
        <v>39799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1</v>
      </c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90"/>
        <v>0.44796141533630807</v>
      </c>
      <c r="CL142" s="179">
        <f t="shared" si="91"/>
        <v>5</v>
      </c>
      <c r="CM142" s="180">
        <f t="shared" si="92"/>
        <v>39799</v>
      </c>
      <c r="CN142">
        <v>0</v>
      </c>
      <c r="CO142"/>
      <c r="CP142"/>
      <c r="CQ142"/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3"/>
        <v>9.6000000000000002E-2</v>
      </c>
      <c r="DB142" s="146"/>
      <c r="DC142" s="76">
        <f t="shared" ca="1" si="51"/>
        <v>0.97187946757302868</v>
      </c>
      <c r="DD142">
        <f t="shared" si="94"/>
        <v>5</v>
      </c>
      <c r="DE142" s="129">
        <f t="shared" si="168"/>
        <v>39799</v>
      </c>
      <c r="DF142" s="161">
        <f t="shared" si="95"/>
        <v>0</v>
      </c>
      <c r="DG142" s="161">
        <f t="shared" si="96"/>
        <v>0</v>
      </c>
      <c r="DH142" s="161">
        <f t="shared" si="97"/>
        <v>0</v>
      </c>
      <c r="DI142" s="161">
        <f t="shared" si="98"/>
        <v>0</v>
      </c>
      <c r="DJ142" s="161">
        <f t="shared" si="99"/>
        <v>0</v>
      </c>
      <c r="DK142" s="161">
        <f t="shared" si="100"/>
        <v>0</v>
      </c>
      <c r="DL142" s="161">
        <f t="shared" si="101"/>
        <v>0</v>
      </c>
      <c r="DM142" s="161">
        <f t="shared" si="102"/>
        <v>10.416666666666666</v>
      </c>
      <c r="DN142" s="161">
        <f t="shared" si="103"/>
        <v>0</v>
      </c>
      <c r="DO142" s="161">
        <f t="shared" si="104"/>
        <v>0</v>
      </c>
      <c r="DP142" s="161">
        <f t="shared" si="105"/>
        <v>0</v>
      </c>
      <c r="DQ142" s="161">
        <f t="shared" si="106"/>
        <v>0</v>
      </c>
      <c r="DR142" s="161">
        <f t="shared" si="107"/>
        <v>0</v>
      </c>
      <c r="DS142" s="161">
        <f t="shared" si="108"/>
        <v>0</v>
      </c>
      <c r="DT142" s="161">
        <f t="shared" si="109"/>
        <v>0</v>
      </c>
      <c r="DU142" s="161">
        <f t="shared" si="110"/>
        <v>0</v>
      </c>
      <c r="DV142" s="161">
        <f t="shared" si="111"/>
        <v>0</v>
      </c>
      <c r="DW142" s="161">
        <f t="shared" si="112"/>
        <v>0</v>
      </c>
      <c r="DX142" s="161">
        <f t="shared" si="113"/>
        <v>0</v>
      </c>
      <c r="DY142" s="161">
        <f t="shared" si="114"/>
        <v>0</v>
      </c>
      <c r="DZ142" s="161">
        <f t="shared" si="115"/>
        <v>0</v>
      </c>
      <c r="EA142" s="161">
        <f t="shared" si="116"/>
        <v>0</v>
      </c>
      <c r="EB142" s="161">
        <f t="shared" si="117"/>
        <v>0</v>
      </c>
      <c r="EC142" s="161">
        <f t="shared" si="118"/>
        <v>0</v>
      </c>
      <c r="ED142" s="161">
        <f t="shared" si="119"/>
        <v>0</v>
      </c>
      <c r="EE142" s="161">
        <f t="shared" si="120"/>
        <v>0</v>
      </c>
      <c r="EF142" s="161">
        <f t="shared" si="121"/>
        <v>0</v>
      </c>
      <c r="EG142" s="161">
        <f t="shared" si="122"/>
        <v>0</v>
      </c>
      <c r="EH142" s="161">
        <f t="shared" si="123"/>
        <v>0</v>
      </c>
      <c r="EI142" s="161">
        <f t="shared" si="124"/>
        <v>0</v>
      </c>
      <c r="EJ142" s="161">
        <f t="shared" si="125"/>
        <v>0</v>
      </c>
      <c r="EK142" s="147">
        <f t="shared" si="133"/>
        <v>10.416666666666666</v>
      </c>
      <c r="EL142" s="149"/>
      <c r="EN142" s="146"/>
      <c r="EO142" s="146"/>
      <c r="EP142" s="139">
        <f t="shared" si="134"/>
        <v>0</v>
      </c>
      <c r="EQ142" s="139">
        <f t="shared" si="135"/>
        <v>0</v>
      </c>
      <c r="ER142" s="139">
        <f t="shared" si="136"/>
        <v>0</v>
      </c>
      <c r="ES142" s="139">
        <f t="shared" si="137"/>
        <v>0</v>
      </c>
      <c r="ET142" s="139">
        <f t="shared" si="138"/>
        <v>0</v>
      </c>
      <c r="EU142" s="139">
        <f t="shared" si="139"/>
        <v>0</v>
      </c>
      <c r="EV142" s="139">
        <f t="shared" si="140"/>
        <v>0</v>
      </c>
      <c r="EW142" s="139">
        <f t="shared" si="141"/>
        <v>15.429443614485615</v>
      </c>
      <c r="EX142" s="139">
        <f t="shared" si="142"/>
        <v>0</v>
      </c>
      <c r="EY142" s="139">
        <f t="shared" si="143"/>
        <v>0</v>
      </c>
      <c r="EZ142" s="139">
        <f t="shared" si="144"/>
        <v>0</v>
      </c>
      <c r="FA142" s="139">
        <f t="shared" si="145"/>
        <v>0</v>
      </c>
      <c r="FB142" s="139">
        <f t="shared" si="146"/>
        <v>0</v>
      </c>
      <c r="FC142" s="139">
        <f t="shared" si="147"/>
        <v>0</v>
      </c>
      <c r="FD142" s="139">
        <f t="shared" si="148"/>
        <v>0</v>
      </c>
      <c r="FE142" s="139">
        <f t="shared" si="149"/>
        <v>0</v>
      </c>
      <c r="FF142" s="139">
        <f t="shared" si="150"/>
        <v>0</v>
      </c>
      <c r="FG142" s="139">
        <f t="shared" si="151"/>
        <v>0</v>
      </c>
      <c r="FH142" s="139">
        <f t="shared" si="152"/>
        <v>0</v>
      </c>
      <c r="FI142" s="139">
        <f t="shared" si="153"/>
        <v>0</v>
      </c>
      <c r="FJ142" s="139">
        <f t="shared" si="154"/>
        <v>0</v>
      </c>
      <c r="FK142" s="139">
        <f t="shared" si="155"/>
        <v>0</v>
      </c>
      <c r="FL142" s="139">
        <f t="shared" si="156"/>
        <v>0</v>
      </c>
      <c r="FM142" s="139">
        <f t="shared" si="157"/>
        <v>0</v>
      </c>
      <c r="FN142" s="139">
        <f t="shared" si="158"/>
        <v>0</v>
      </c>
      <c r="FO142" s="139">
        <f t="shared" si="159"/>
        <v>0</v>
      </c>
      <c r="FP142" s="139">
        <f t="shared" si="160"/>
        <v>0</v>
      </c>
      <c r="FQ142" s="139">
        <f t="shared" si="161"/>
        <v>0</v>
      </c>
      <c r="FR142" s="139">
        <f t="shared" si="162"/>
        <v>0</v>
      </c>
      <c r="FS142" s="139">
        <f t="shared" si="163"/>
        <v>0</v>
      </c>
      <c r="FT142" s="139">
        <f t="shared" si="164"/>
        <v>0</v>
      </c>
      <c r="FU142" s="148">
        <f t="shared" si="165"/>
        <v>15.429443614485615</v>
      </c>
      <c r="FV142" s="149"/>
      <c r="FY142" s="212">
        <v>137</v>
      </c>
      <c r="FZ142">
        <v>0.16353460468009795</v>
      </c>
      <c r="GA142">
        <v>4.4228399042184865</v>
      </c>
      <c r="GB142">
        <v>10.263995535886128</v>
      </c>
      <c r="GC142">
        <v>4.438715065634149</v>
      </c>
      <c r="GD142">
        <v>1.4019557884424199</v>
      </c>
      <c r="GE142">
        <v>4.3050038879216492</v>
      </c>
      <c r="GF142">
        <v>8.7489558608691294</v>
      </c>
      <c r="GG142">
        <v>7.6341366877692654</v>
      </c>
      <c r="GH142">
        <v>2.8489183991646994</v>
      </c>
      <c r="GI142">
        <v>6.26203355764126</v>
      </c>
      <c r="GJ142"/>
      <c r="GK142"/>
      <c r="GL142"/>
      <c r="GM142"/>
    </row>
    <row r="143" spans="1:195" s="7" customFormat="1">
      <c r="A143" s="1"/>
      <c r="B143" s="76">
        <f t="shared" ca="1" si="132"/>
        <v>0.72527331179028209</v>
      </c>
      <c r="C143">
        <v>5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10.416666666666666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13.987617135207495</v>
      </c>
      <c r="AO143">
        <v>8.8519849136420312</v>
      </c>
      <c r="AP143">
        <v>34.589931163647229</v>
      </c>
      <c r="AQ143">
        <v>46.168208769574882</v>
      </c>
      <c r="AR143">
        <v>8.1487407449302687</v>
      </c>
      <c r="AS143">
        <v>41.954992859350924</v>
      </c>
      <c r="AT143">
        <v>4.6144391766891157</v>
      </c>
      <c r="AU143">
        <v>1.8742199626734561</v>
      </c>
      <c r="AV143"/>
      <c r="AW143"/>
      <c r="AX143" s="146"/>
      <c r="AY143" s="76">
        <f t="shared" ca="1" si="88"/>
        <v>0.88777264158419644</v>
      </c>
      <c r="AZ143">
        <v>6</v>
      </c>
      <c r="BA143" s="129">
        <f t="shared" si="169"/>
        <v>39799</v>
      </c>
      <c r="BB143">
        <v>0</v>
      </c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90"/>
        <v>0.41873601348395972</v>
      </c>
      <c r="CL143" s="179">
        <f t="shared" si="91"/>
        <v>6</v>
      </c>
      <c r="CM143" s="180">
        <f t="shared" si="92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3"/>
        <v>9.6000000000000002E-2</v>
      </c>
      <c r="DB143" s="146"/>
      <c r="DC143" s="76">
        <f t="shared" ca="1" si="51"/>
        <v>0.40153457864287034</v>
      </c>
      <c r="DD143">
        <f t="shared" si="94"/>
        <v>6</v>
      </c>
      <c r="DE143" s="129">
        <f t="shared" si="168"/>
        <v>39799</v>
      </c>
      <c r="DF143" s="161">
        <f t="shared" si="95"/>
        <v>0</v>
      </c>
      <c r="DG143" s="161">
        <f t="shared" si="96"/>
        <v>0</v>
      </c>
      <c r="DH143" s="161">
        <f t="shared" si="97"/>
        <v>0</v>
      </c>
      <c r="DI143" s="161">
        <f t="shared" si="98"/>
        <v>0</v>
      </c>
      <c r="DJ143" s="161">
        <f t="shared" si="99"/>
        <v>0</v>
      </c>
      <c r="DK143" s="161">
        <f t="shared" si="100"/>
        <v>0</v>
      </c>
      <c r="DL143" s="161">
        <f t="shared" si="101"/>
        <v>0</v>
      </c>
      <c r="DM143" s="161">
        <f t="shared" si="102"/>
        <v>0</v>
      </c>
      <c r="DN143" s="161">
        <f t="shared" si="103"/>
        <v>0</v>
      </c>
      <c r="DO143" s="161">
        <f t="shared" si="104"/>
        <v>0</v>
      </c>
      <c r="DP143" s="161">
        <f t="shared" si="105"/>
        <v>0</v>
      </c>
      <c r="DQ143" s="161">
        <f t="shared" si="106"/>
        <v>0</v>
      </c>
      <c r="DR143" s="161">
        <f t="shared" si="107"/>
        <v>0</v>
      </c>
      <c r="DS143" s="161">
        <f t="shared" si="108"/>
        <v>0</v>
      </c>
      <c r="DT143" s="161">
        <f t="shared" si="109"/>
        <v>0</v>
      </c>
      <c r="DU143" s="161">
        <f t="shared" si="110"/>
        <v>0</v>
      </c>
      <c r="DV143" s="161">
        <f t="shared" si="111"/>
        <v>0</v>
      </c>
      <c r="DW143" s="161">
        <f t="shared" si="112"/>
        <v>0</v>
      </c>
      <c r="DX143" s="161">
        <f t="shared" si="113"/>
        <v>0</v>
      </c>
      <c r="DY143" s="161">
        <f t="shared" si="114"/>
        <v>0</v>
      </c>
      <c r="DZ143" s="161">
        <f t="shared" si="115"/>
        <v>0</v>
      </c>
      <c r="EA143" s="161">
        <f t="shared" si="116"/>
        <v>0</v>
      </c>
      <c r="EB143" s="161">
        <f t="shared" si="117"/>
        <v>0</v>
      </c>
      <c r="EC143" s="161">
        <f t="shared" si="118"/>
        <v>0</v>
      </c>
      <c r="ED143" s="161">
        <f t="shared" si="119"/>
        <v>0</v>
      </c>
      <c r="EE143" s="161">
        <f t="shared" si="120"/>
        <v>0</v>
      </c>
      <c r="EF143" s="161">
        <f t="shared" si="121"/>
        <v>0</v>
      </c>
      <c r="EG143" s="161">
        <f t="shared" si="122"/>
        <v>0</v>
      </c>
      <c r="EH143" s="161">
        <f t="shared" si="123"/>
        <v>0</v>
      </c>
      <c r="EI143" s="161">
        <f t="shared" si="124"/>
        <v>0</v>
      </c>
      <c r="EJ143" s="161">
        <f t="shared" si="125"/>
        <v>0</v>
      </c>
      <c r="EK143" s="147">
        <f t="shared" si="133"/>
        <v>0</v>
      </c>
      <c r="EL143" s="149"/>
      <c r="EN143" s="146"/>
      <c r="EO143" s="146"/>
      <c r="EP143" s="139">
        <f t="shared" si="134"/>
        <v>0</v>
      </c>
      <c r="EQ143" s="139">
        <f t="shared" si="135"/>
        <v>0</v>
      </c>
      <c r="ER143" s="139">
        <f t="shared" si="136"/>
        <v>0</v>
      </c>
      <c r="ES143" s="139">
        <f t="shared" si="137"/>
        <v>0</v>
      </c>
      <c r="ET143" s="139">
        <f t="shared" si="138"/>
        <v>0</v>
      </c>
      <c r="EU143" s="139">
        <f t="shared" si="139"/>
        <v>0</v>
      </c>
      <c r="EV143" s="139">
        <f t="shared" si="140"/>
        <v>0</v>
      </c>
      <c r="EW143" s="139">
        <f t="shared" si="141"/>
        <v>0</v>
      </c>
      <c r="EX143" s="139">
        <f t="shared" si="142"/>
        <v>0</v>
      </c>
      <c r="EY143" s="139">
        <f t="shared" si="143"/>
        <v>0</v>
      </c>
      <c r="EZ143" s="139">
        <f t="shared" si="144"/>
        <v>0</v>
      </c>
      <c r="FA143" s="139">
        <f t="shared" si="145"/>
        <v>0</v>
      </c>
      <c r="FB143" s="139">
        <f t="shared" si="146"/>
        <v>0</v>
      </c>
      <c r="FC143" s="139">
        <f t="shared" si="147"/>
        <v>0</v>
      </c>
      <c r="FD143" s="139">
        <f t="shared" si="148"/>
        <v>0</v>
      </c>
      <c r="FE143" s="139">
        <f t="shared" si="149"/>
        <v>0</v>
      </c>
      <c r="FF143" s="139">
        <f t="shared" si="150"/>
        <v>0</v>
      </c>
      <c r="FG143" s="139">
        <f t="shared" si="151"/>
        <v>0</v>
      </c>
      <c r="FH143" s="139">
        <f t="shared" si="152"/>
        <v>0</v>
      </c>
      <c r="FI143" s="139">
        <f t="shared" si="153"/>
        <v>0</v>
      </c>
      <c r="FJ143" s="139">
        <f t="shared" si="154"/>
        <v>0</v>
      </c>
      <c r="FK143" s="139">
        <f t="shared" si="155"/>
        <v>0</v>
      </c>
      <c r="FL143" s="139">
        <f t="shared" si="156"/>
        <v>0</v>
      </c>
      <c r="FM143" s="139">
        <f t="shared" si="157"/>
        <v>0</v>
      </c>
      <c r="FN143" s="139">
        <f t="shared" si="158"/>
        <v>0</v>
      </c>
      <c r="FO143" s="139">
        <f t="shared" si="159"/>
        <v>0</v>
      </c>
      <c r="FP143" s="139">
        <f t="shared" si="160"/>
        <v>0</v>
      </c>
      <c r="FQ143" s="139">
        <f t="shared" si="161"/>
        <v>0</v>
      </c>
      <c r="FR143" s="139">
        <f t="shared" si="162"/>
        <v>0</v>
      </c>
      <c r="FS143" s="139">
        <f t="shared" si="163"/>
        <v>0</v>
      </c>
      <c r="FT143" s="139">
        <f t="shared" si="164"/>
        <v>0</v>
      </c>
      <c r="FU143" s="148">
        <f t="shared" si="165"/>
        <v>0</v>
      </c>
      <c r="FV143" s="149"/>
      <c r="FY143" s="212">
        <v>138</v>
      </c>
      <c r="FZ143">
        <v>0.20525131995907958</v>
      </c>
      <c r="GA143">
        <v>4.4758811762028348</v>
      </c>
      <c r="GB143">
        <v>10.657218885105308</v>
      </c>
      <c r="GC143">
        <v>5.019935719231027</v>
      </c>
      <c r="GD143">
        <v>2.1880577217245656</v>
      </c>
      <c r="GE143">
        <v>6.2174210368724694</v>
      </c>
      <c r="GF143">
        <v>11.379726822212895</v>
      </c>
      <c r="GG143">
        <v>7.7494286263930272</v>
      </c>
      <c r="GH143">
        <v>1.2111252970356063</v>
      </c>
      <c r="GI143">
        <v>7.216078507521325</v>
      </c>
      <c r="GJ143"/>
      <c r="GK143"/>
      <c r="GL143"/>
      <c r="GM143"/>
    </row>
    <row r="144" spans="1:195" s="7" customFormat="1">
      <c r="A144" s="1"/>
      <c r="B144" s="76">
        <f t="shared" ca="1" si="132"/>
        <v>0.73855282057261551</v>
      </c>
      <c r="C144">
        <v>4</v>
      </c>
      <c r="D144">
        <v>39799</v>
      </c>
      <c r="E144">
        <v>0</v>
      </c>
      <c r="F144">
        <v>0</v>
      </c>
      <c r="G144">
        <v>292.44652406417111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9.6508115796519398</v>
      </c>
      <c r="AO144">
        <v>7.8306122326435332</v>
      </c>
      <c r="AP144">
        <v>30.742020718412189</v>
      </c>
      <c r="AQ144">
        <v>39.546591979003693</v>
      </c>
      <c r="AR144">
        <v>7.2157978033008359</v>
      </c>
      <c r="AS144">
        <v>38.073323286590806</v>
      </c>
      <c r="AT144">
        <v>5.0358037020501376</v>
      </c>
      <c r="AU144">
        <v>2.1591330252903647</v>
      </c>
      <c r="AV144"/>
      <c r="AW144"/>
      <c r="AX144" s="146"/>
      <c r="AY144" s="76">
        <f t="shared" ca="1" si="88"/>
        <v>0.45482702976330813</v>
      </c>
      <c r="AZ144">
        <v>7</v>
      </c>
      <c r="BA144" s="129">
        <f t="shared" si="169"/>
        <v>39799</v>
      </c>
      <c r="BB144">
        <v>0</v>
      </c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90"/>
        <v>0.1892402525868464</v>
      </c>
      <c r="CL144" s="179">
        <f t="shared" si="91"/>
        <v>7</v>
      </c>
      <c r="CM144" s="180">
        <f t="shared" si="92"/>
        <v>39799</v>
      </c>
      <c r="CN144">
        <v>0</v>
      </c>
      <c r="CO144"/>
      <c r="CP144"/>
      <c r="CQ144"/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3"/>
        <v>9.6000000000000002E-2</v>
      </c>
      <c r="DB144" s="146"/>
      <c r="DC144" s="76">
        <f t="shared" ca="1" si="51"/>
        <v>7.5227026027437249E-2</v>
      </c>
      <c r="DD144">
        <f t="shared" si="94"/>
        <v>7</v>
      </c>
      <c r="DE144" s="129">
        <f t="shared" si="168"/>
        <v>39799</v>
      </c>
      <c r="DF144" s="161">
        <f t="shared" si="95"/>
        <v>0</v>
      </c>
      <c r="DG144" s="161">
        <f t="shared" si="96"/>
        <v>0</v>
      </c>
      <c r="DH144" s="161">
        <f t="shared" si="97"/>
        <v>0</v>
      </c>
      <c r="DI144" s="161">
        <f t="shared" si="98"/>
        <v>0</v>
      </c>
      <c r="DJ144" s="161">
        <f t="shared" si="99"/>
        <v>0</v>
      </c>
      <c r="DK144" s="161">
        <f t="shared" si="100"/>
        <v>0</v>
      </c>
      <c r="DL144" s="161">
        <f t="shared" si="101"/>
        <v>0</v>
      </c>
      <c r="DM144" s="161">
        <f t="shared" si="102"/>
        <v>0</v>
      </c>
      <c r="DN144" s="161">
        <f t="shared" si="103"/>
        <v>0</v>
      </c>
      <c r="DO144" s="161">
        <f t="shared" si="104"/>
        <v>0</v>
      </c>
      <c r="DP144" s="161">
        <f t="shared" si="105"/>
        <v>0</v>
      </c>
      <c r="DQ144" s="161">
        <f t="shared" si="106"/>
        <v>0</v>
      </c>
      <c r="DR144" s="161">
        <f t="shared" si="107"/>
        <v>0</v>
      </c>
      <c r="DS144" s="161">
        <f t="shared" si="108"/>
        <v>0</v>
      </c>
      <c r="DT144" s="161">
        <f t="shared" si="109"/>
        <v>0</v>
      </c>
      <c r="DU144" s="161">
        <f t="shared" si="110"/>
        <v>0</v>
      </c>
      <c r="DV144" s="161">
        <f t="shared" si="111"/>
        <v>0</v>
      </c>
      <c r="DW144" s="161">
        <f t="shared" si="112"/>
        <v>0</v>
      </c>
      <c r="DX144" s="161">
        <f t="shared" si="113"/>
        <v>0</v>
      </c>
      <c r="DY144" s="161">
        <f t="shared" si="114"/>
        <v>0</v>
      </c>
      <c r="DZ144" s="161">
        <f t="shared" si="115"/>
        <v>0</v>
      </c>
      <c r="EA144" s="161">
        <f t="shared" si="116"/>
        <v>0</v>
      </c>
      <c r="EB144" s="161">
        <f t="shared" si="117"/>
        <v>0</v>
      </c>
      <c r="EC144" s="161">
        <f t="shared" si="118"/>
        <v>0</v>
      </c>
      <c r="ED144" s="161">
        <f t="shared" si="119"/>
        <v>0</v>
      </c>
      <c r="EE144" s="161">
        <f t="shared" si="120"/>
        <v>0</v>
      </c>
      <c r="EF144" s="161">
        <f t="shared" si="121"/>
        <v>0</v>
      </c>
      <c r="EG144" s="161">
        <f t="shared" si="122"/>
        <v>0</v>
      </c>
      <c r="EH144" s="161">
        <f t="shared" si="123"/>
        <v>0</v>
      </c>
      <c r="EI144" s="161">
        <f t="shared" si="124"/>
        <v>0</v>
      </c>
      <c r="EJ144" s="161">
        <f t="shared" si="125"/>
        <v>0</v>
      </c>
      <c r="EK144" s="147">
        <f t="shared" si="133"/>
        <v>0</v>
      </c>
      <c r="EL144" s="149"/>
      <c r="EN144" s="146"/>
      <c r="EO144" s="146"/>
      <c r="EP144" s="139">
        <f t="shared" si="134"/>
        <v>0</v>
      </c>
      <c r="EQ144" s="139">
        <f t="shared" si="135"/>
        <v>0</v>
      </c>
      <c r="ER144" s="139">
        <f t="shared" si="136"/>
        <v>0</v>
      </c>
      <c r="ES144" s="139">
        <f t="shared" si="137"/>
        <v>0</v>
      </c>
      <c r="ET144" s="139">
        <f t="shared" si="138"/>
        <v>0</v>
      </c>
      <c r="EU144" s="139">
        <f t="shared" si="139"/>
        <v>0</v>
      </c>
      <c r="EV144" s="139">
        <f t="shared" si="140"/>
        <v>0</v>
      </c>
      <c r="EW144" s="139">
        <f t="shared" si="141"/>
        <v>0</v>
      </c>
      <c r="EX144" s="139">
        <f t="shared" si="142"/>
        <v>0</v>
      </c>
      <c r="EY144" s="139">
        <f t="shared" si="143"/>
        <v>0</v>
      </c>
      <c r="EZ144" s="139">
        <f t="shared" si="144"/>
        <v>0</v>
      </c>
      <c r="FA144" s="139">
        <f t="shared" si="145"/>
        <v>0</v>
      </c>
      <c r="FB144" s="139">
        <f t="shared" si="146"/>
        <v>0</v>
      </c>
      <c r="FC144" s="139">
        <f t="shared" si="147"/>
        <v>0</v>
      </c>
      <c r="FD144" s="139">
        <f t="shared" si="148"/>
        <v>0</v>
      </c>
      <c r="FE144" s="139">
        <f t="shared" si="149"/>
        <v>0</v>
      </c>
      <c r="FF144" s="139">
        <f t="shared" si="150"/>
        <v>0</v>
      </c>
      <c r="FG144" s="139">
        <f t="shared" si="151"/>
        <v>0</v>
      </c>
      <c r="FH144" s="139">
        <f t="shared" si="152"/>
        <v>0</v>
      </c>
      <c r="FI144" s="139">
        <f t="shared" si="153"/>
        <v>0</v>
      </c>
      <c r="FJ144" s="139">
        <f t="shared" si="154"/>
        <v>0</v>
      </c>
      <c r="FK144" s="139">
        <f t="shared" si="155"/>
        <v>0</v>
      </c>
      <c r="FL144" s="139">
        <f t="shared" si="156"/>
        <v>0</v>
      </c>
      <c r="FM144" s="139">
        <f t="shared" si="157"/>
        <v>0</v>
      </c>
      <c r="FN144" s="139">
        <f t="shared" si="158"/>
        <v>0</v>
      </c>
      <c r="FO144" s="139">
        <f t="shared" si="159"/>
        <v>0</v>
      </c>
      <c r="FP144" s="139">
        <f t="shared" si="160"/>
        <v>0</v>
      </c>
      <c r="FQ144" s="139">
        <f t="shared" si="161"/>
        <v>0</v>
      </c>
      <c r="FR144" s="139">
        <f t="shared" si="162"/>
        <v>0</v>
      </c>
      <c r="FS144" s="139">
        <f t="shared" si="163"/>
        <v>0</v>
      </c>
      <c r="FT144" s="139">
        <f t="shared" si="164"/>
        <v>0</v>
      </c>
      <c r="FU144" s="148">
        <f t="shared" si="165"/>
        <v>0</v>
      </c>
      <c r="FV144" s="149"/>
      <c r="FY144" s="212">
        <v>139</v>
      </c>
      <c r="FZ144">
        <v>6.5290114514303497</v>
      </c>
      <c r="GA144">
        <v>11.712865849107498</v>
      </c>
      <c r="GB144">
        <v>8.9332793531460073</v>
      </c>
      <c r="GC144">
        <v>3.992628869660038</v>
      </c>
      <c r="GD144">
        <v>0.96543517125451317</v>
      </c>
      <c r="GE144">
        <v>1.8577658419410672</v>
      </c>
      <c r="GF144">
        <v>7.4983570763287561</v>
      </c>
      <c r="GG144">
        <v>7.4240803797020529</v>
      </c>
      <c r="GH144">
        <v>1.6271241699668519</v>
      </c>
      <c r="GI144">
        <v>6.1423646703783117</v>
      </c>
      <c r="GJ144"/>
      <c r="GK144"/>
      <c r="GL144"/>
      <c r="GM144"/>
    </row>
    <row r="145" spans="1:195" s="7" customFormat="1">
      <c r="A145" s="1"/>
      <c r="B145" s="76">
        <f t="shared" ca="1" si="132"/>
        <v>0.92201328659554704</v>
      </c>
      <c r="C145">
        <v>7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16.782883986928105</v>
      </c>
      <c r="AO145">
        <v>7.6067047079585546</v>
      </c>
      <c r="AP145">
        <v>42.493157877915067</v>
      </c>
      <c r="AQ145">
        <v>43.222682509059688</v>
      </c>
      <c r="AR145">
        <v>6.9383571305317542</v>
      </c>
      <c r="AS145">
        <v>41.754214015375794</v>
      </c>
      <c r="AT145">
        <v>2.8018347721696593</v>
      </c>
      <c r="AU145">
        <v>11.233342829039199</v>
      </c>
      <c r="AV145"/>
      <c r="AW145"/>
      <c r="AX145" s="146"/>
      <c r="AY145" s="76">
        <f t="shared" ca="1" si="88"/>
        <v>0.70860359656663441</v>
      </c>
      <c r="AZ145">
        <v>8</v>
      </c>
      <c r="BA145" s="129">
        <f t="shared" si="169"/>
        <v>39799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1</v>
      </c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90"/>
        <v>0.63371270634835053</v>
      </c>
      <c r="CL145" s="179">
        <f t="shared" si="91"/>
        <v>8</v>
      </c>
      <c r="CM145" s="180">
        <f t="shared" si="92"/>
        <v>39799</v>
      </c>
      <c r="CN145">
        <v>0</v>
      </c>
      <c r="CO145"/>
      <c r="CP145"/>
      <c r="CQ145"/>
      <c r="CR145"/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3"/>
        <v>9.6000000000000002E-2</v>
      </c>
      <c r="DB145" s="146"/>
      <c r="DC145" s="76">
        <f t="shared" ca="1" si="51"/>
        <v>0.16222304501907558</v>
      </c>
      <c r="DD145">
        <f t="shared" si="94"/>
        <v>8</v>
      </c>
      <c r="DE145" s="129">
        <f t="shared" si="168"/>
        <v>39799</v>
      </c>
      <c r="DF145" s="161">
        <f t="shared" si="95"/>
        <v>0</v>
      </c>
      <c r="DG145" s="161">
        <f t="shared" si="96"/>
        <v>0</v>
      </c>
      <c r="DH145" s="161">
        <f t="shared" si="97"/>
        <v>0</v>
      </c>
      <c r="DI145" s="161">
        <f t="shared" si="98"/>
        <v>0</v>
      </c>
      <c r="DJ145" s="161">
        <f t="shared" si="99"/>
        <v>0</v>
      </c>
      <c r="DK145" s="161">
        <f t="shared" si="100"/>
        <v>10.416666666666666</v>
      </c>
      <c r="DL145" s="161">
        <f t="shared" si="101"/>
        <v>0</v>
      </c>
      <c r="DM145" s="161">
        <f t="shared" si="102"/>
        <v>0</v>
      </c>
      <c r="DN145" s="161">
        <f t="shared" si="103"/>
        <v>0</v>
      </c>
      <c r="DO145" s="161">
        <f t="shared" si="104"/>
        <v>0</v>
      </c>
      <c r="DP145" s="161">
        <f t="shared" si="105"/>
        <v>0</v>
      </c>
      <c r="DQ145" s="161">
        <f t="shared" si="106"/>
        <v>0</v>
      </c>
      <c r="DR145" s="161">
        <f t="shared" si="107"/>
        <v>0</v>
      </c>
      <c r="DS145" s="161">
        <f t="shared" si="108"/>
        <v>0</v>
      </c>
      <c r="DT145" s="161">
        <f t="shared" si="109"/>
        <v>0</v>
      </c>
      <c r="DU145" s="161">
        <f t="shared" si="110"/>
        <v>0</v>
      </c>
      <c r="DV145" s="161">
        <f t="shared" si="111"/>
        <v>0</v>
      </c>
      <c r="DW145" s="161">
        <f t="shared" si="112"/>
        <v>0</v>
      </c>
      <c r="DX145" s="161">
        <f t="shared" si="113"/>
        <v>0</v>
      </c>
      <c r="DY145" s="161">
        <f t="shared" si="114"/>
        <v>0</v>
      </c>
      <c r="DZ145" s="161">
        <f t="shared" si="115"/>
        <v>0</v>
      </c>
      <c r="EA145" s="161">
        <f t="shared" si="116"/>
        <v>0</v>
      </c>
      <c r="EB145" s="161">
        <f t="shared" si="117"/>
        <v>0</v>
      </c>
      <c r="EC145" s="161">
        <f t="shared" si="118"/>
        <v>0</v>
      </c>
      <c r="ED145" s="161">
        <f t="shared" si="119"/>
        <v>0</v>
      </c>
      <c r="EE145" s="161">
        <f t="shared" si="120"/>
        <v>0</v>
      </c>
      <c r="EF145" s="161">
        <f t="shared" si="121"/>
        <v>0</v>
      </c>
      <c r="EG145" s="161">
        <f t="shared" si="122"/>
        <v>0</v>
      </c>
      <c r="EH145" s="161">
        <f t="shared" si="123"/>
        <v>0</v>
      </c>
      <c r="EI145" s="161">
        <f t="shared" si="124"/>
        <v>0</v>
      </c>
      <c r="EJ145" s="161">
        <f t="shared" si="125"/>
        <v>0</v>
      </c>
      <c r="EK145" s="147">
        <f t="shared" si="133"/>
        <v>10.416666666666666</v>
      </c>
      <c r="EL145" s="149"/>
      <c r="EN145" s="146"/>
      <c r="EO145" s="146"/>
      <c r="EP145" s="139">
        <f t="shared" si="134"/>
        <v>0</v>
      </c>
      <c r="EQ145" s="139">
        <f t="shared" si="135"/>
        <v>0</v>
      </c>
      <c r="ER145" s="139">
        <f t="shared" si="136"/>
        <v>0</v>
      </c>
      <c r="ES145" s="139">
        <f t="shared" si="137"/>
        <v>0</v>
      </c>
      <c r="ET145" s="139">
        <f t="shared" si="138"/>
        <v>0</v>
      </c>
      <c r="EU145" s="139">
        <f t="shared" si="139"/>
        <v>4.8166740960912398</v>
      </c>
      <c r="EV145" s="139">
        <f t="shared" si="140"/>
        <v>0</v>
      </c>
      <c r="EW145" s="139">
        <f t="shared" si="141"/>
        <v>0</v>
      </c>
      <c r="EX145" s="139">
        <f t="shared" si="142"/>
        <v>0</v>
      </c>
      <c r="EY145" s="139">
        <f t="shared" si="143"/>
        <v>0</v>
      </c>
      <c r="EZ145" s="139">
        <f t="shared" si="144"/>
        <v>0</v>
      </c>
      <c r="FA145" s="139">
        <f t="shared" si="145"/>
        <v>0</v>
      </c>
      <c r="FB145" s="139">
        <f t="shared" si="146"/>
        <v>0</v>
      </c>
      <c r="FC145" s="139">
        <f t="shared" si="147"/>
        <v>0</v>
      </c>
      <c r="FD145" s="139">
        <f t="shared" si="148"/>
        <v>0</v>
      </c>
      <c r="FE145" s="139">
        <f t="shared" si="149"/>
        <v>0</v>
      </c>
      <c r="FF145" s="139">
        <f t="shared" si="150"/>
        <v>0</v>
      </c>
      <c r="FG145" s="139">
        <f t="shared" si="151"/>
        <v>0</v>
      </c>
      <c r="FH145" s="139">
        <f t="shared" si="152"/>
        <v>0</v>
      </c>
      <c r="FI145" s="139">
        <f t="shared" si="153"/>
        <v>0</v>
      </c>
      <c r="FJ145" s="139">
        <f t="shared" si="154"/>
        <v>0</v>
      </c>
      <c r="FK145" s="139">
        <f t="shared" si="155"/>
        <v>0</v>
      </c>
      <c r="FL145" s="139">
        <f t="shared" si="156"/>
        <v>0</v>
      </c>
      <c r="FM145" s="139">
        <f t="shared" si="157"/>
        <v>0</v>
      </c>
      <c r="FN145" s="139">
        <f t="shared" si="158"/>
        <v>0</v>
      </c>
      <c r="FO145" s="139">
        <f t="shared" si="159"/>
        <v>0</v>
      </c>
      <c r="FP145" s="139">
        <f t="shared" si="160"/>
        <v>0</v>
      </c>
      <c r="FQ145" s="139">
        <f t="shared" si="161"/>
        <v>0</v>
      </c>
      <c r="FR145" s="139">
        <f t="shared" si="162"/>
        <v>0</v>
      </c>
      <c r="FS145" s="139">
        <f t="shared" si="163"/>
        <v>0</v>
      </c>
      <c r="FT145" s="139">
        <f t="shared" si="164"/>
        <v>0</v>
      </c>
      <c r="FU145" s="148">
        <f t="shared" si="165"/>
        <v>4.8166740960912398</v>
      </c>
      <c r="FV145" s="149"/>
      <c r="FY145" s="212">
        <v>140</v>
      </c>
      <c r="FZ145">
        <v>0.29938471707815051</v>
      </c>
      <c r="GA145">
        <v>6.7721424947461832</v>
      </c>
      <c r="GB145">
        <v>10.191615855573536</v>
      </c>
      <c r="GC145">
        <v>4.0501179075568636</v>
      </c>
      <c r="GD145">
        <v>0.6105867404628007</v>
      </c>
      <c r="GE145">
        <v>3.3846225473553</v>
      </c>
      <c r="GF145">
        <v>14.254654960335756</v>
      </c>
      <c r="GG145">
        <v>12.540119231725713</v>
      </c>
      <c r="GH145">
        <v>3.6484081934538155</v>
      </c>
      <c r="GI145">
        <v>7.2984126432911154</v>
      </c>
      <c r="GJ145"/>
      <c r="GK145"/>
      <c r="GL145"/>
      <c r="GM145"/>
    </row>
    <row r="146" spans="1:195" s="7" customFormat="1">
      <c r="A146" s="1"/>
      <c r="B146" s="76">
        <f t="shared" ca="1" si="132"/>
        <v>0.35253917570924131</v>
      </c>
      <c r="C146">
        <v>6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13.131944444444443</v>
      </c>
      <c r="AO146">
        <v>8.3700233090415139</v>
      </c>
      <c r="AP146">
        <v>53.942425207536132</v>
      </c>
      <c r="AQ146">
        <v>42.941944806760816</v>
      </c>
      <c r="AR146">
        <v>7.6641124370951976</v>
      </c>
      <c r="AS146">
        <v>40.459429431343629</v>
      </c>
      <c r="AT146" t="e">
        <v>#DIV/0!</v>
      </c>
      <c r="AU146" t="e">
        <v>#DIV/0!</v>
      </c>
      <c r="AV146"/>
      <c r="AW146"/>
      <c r="AX146" s="146"/>
      <c r="AY146" s="76">
        <f t="shared" ca="1" si="88"/>
        <v>0.62962691909424917</v>
      </c>
      <c r="AZ146">
        <v>9</v>
      </c>
      <c r="BA146" s="129">
        <f t="shared" si="169"/>
        <v>39799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1</v>
      </c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90"/>
        <v>0.86577477813502801</v>
      </c>
      <c r="CL146" s="179">
        <f t="shared" si="91"/>
        <v>9</v>
      </c>
      <c r="CM146" s="180">
        <f t="shared" si="92"/>
        <v>39799</v>
      </c>
      <c r="CN146">
        <v>0</v>
      </c>
      <c r="CO146"/>
      <c r="CP146"/>
      <c r="CQ146"/>
      <c r="CR146"/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3"/>
        <v>9.6000000000000002E-2</v>
      </c>
      <c r="DB146" s="146"/>
      <c r="DC146" s="76">
        <f t="shared" ca="1" si="51"/>
        <v>0.84780023234085977</v>
      </c>
      <c r="DD146">
        <f t="shared" si="94"/>
        <v>9</v>
      </c>
      <c r="DE146" s="129">
        <f t="shared" si="168"/>
        <v>39799</v>
      </c>
      <c r="DF146" s="161">
        <f t="shared" si="95"/>
        <v>0</v>
      </c>
      <c r="DG146" s="161">
        <f t="shared" si="96"/>
        <v>0</v>
      </c>
      <c r="DH146" s="161">
        <f t="shared" si="97"/>
        <v>0</v>
      </c>
      <c r="DI146" s="161">
        <f t="shared" si="98"/>
        <v>0</v>
      </c>
      <c r="DJ146" s="161">
        <f t="shared" si="99"/>
        <v>0</v>
      </c>
      <c r="DK146" s="161">
        <f t="shared" si="100"/>
        <v>10.416666666666666</v>
      </c>
      <c r="DL146" s="161">
        <f t="shared" si="101"/>
        <v>0</v>
      </c>
      <c r="DM146" s="161">
        <f t="shared" si="102"/>
        <v>0</v>
      </c>
      <c r="DN146" s="161">
        <f t="shared" si="103"/>
        <v>0</v>
      </c>
      <c r="DO146" s="161">
        <f t="shared" si="104"/>
        <v>0</v>
      </c>
      <c r="DP146" s="161">
        <f t="shared" si="105"/>
        <v>0</v>
      </c>
      <c r="DQ146" s="161">
        <f t="shared" si="106"/>
        <v>0</v>
      </c>
      <c r="DR146" s="161">
        <f t="shared" si="107"/>
        <v>0</v>
      </c>
      <c r="DS146" s="161">
        <f t="shared" si="108"/>
        <v>0</v>
      </c>
      <c r="DT146" s="161">
        <f t="shared" si="109"/>
        <v>0</v>
      </c>
      <c r="DU146" s="161">
        <f t="shared" si="110"/>
        <v>0</v>
      </c>
      <c r="DV146" s="161">
        <f t="shared" si="111"/>
        <v>0</v>
      </c>
      <c r="DW146" s="161">
        <f t="shared" si="112"/>
        <v>0</v>
      </c>
      <c r="DX146" s="161">
        <f t="shared" si="113"/>
        <v>0</v>
      </c>
      <c r="DY146" s="161">
        <f t="shared" si="114"/>
        <v>0</v>
      </c>
      <c r="DZ146" s="161">
        <f t="shared" si="115"/>
        <v>0</v>
      </c>
      <c r="EA146" s="161">
        <f t="shared" si="116"/>
        <v>0</v>
      </c>
      <c r="EB146" s="161">
        <f t="shared" si="117"/>
        <v>0</v>
      </c>
      <c r="EC146" s="161">
        <f t="shared" si="118"/>
        <v>0</v>
      </c>
      <c r="ED146" s="161">
        <f t="shared" si="119"/>
        <v>0</v>
      </c>
      <c r="EE146" s="161">
        <f t="shared" si="120"/>
        <v>0</v>
      </c>
      <c r="EF146" s="161">
        <f t="shared" si="121"/>
        <v>0</v>
      </c>
      <c r="EG146" s="161">
        <f t="shared" si="122"/>
        <v>0</v>
      </c>
      <c r="EH146" s="161">
        <f t="shared" si="123"/>
        <v>0</v>
      </c>
      <c r="EI146" s="161">
        <f t="shared" si="124"/>
        <v>0</v>
      </c>
      <c r="EJ146" s="161">
        <f t="shared" si="125"/>
        <v>0</v>
      </c>
      <c r="EK146" s="147">
        <f t="shared" si="133"/>
        <v>10.416666666666666</v>
      </c>
      <c r="EL146" s="149"/>
      <c r="EN146" s="146"/>
      <c r="EO146" s="146"/>
      <c r="EP146" s="139">
        <f t="shared" si="134"/>
        <v>0</v>
      </c>
      <c r="EQ146" s="139">
        <f t="shared" si="135"/>
        <v>0</v>
      </c>
      <c r="ER146" s="139">
        <f t="shared" si="136"/>
        <v>0</v>
      </c>
      <c r="ES146" s="139">
        <f t="shared" si="137"/>
        <v>0</v>
      </c>
      <c r="ET146" s="139">
        <f t="shared" si="138"/>
        <v>0</v>
      </c>
      <c r="EU146" s="139">
        <f t="shared" si="139"/>
        <v>4.8166740960912398</v>
      </c>
      <c r="EV146" s="139">
        <f t="shared" si="140"/>
        <v>0</v>
      </c>
      <c r="EW146" s="139">
        <f t="shared" si="141"/>
        <v>0</v>
      </c>
      <c r="EX146" s="139">
        <f t="shared" si="142"/>
        <v>0</v>
      </c>
      <c r="EY146" s="139">
        <f t="shared" si="143"/>
        <v>0</v>
      </c>
      <c r="EZ146" s="139">
        <f t="shared" si="144"/>
        <v>0</v>
      </c>
      <c r="FA146" s="139">
        <f t="shared" si="145"/>
        <v>0</v>
      </c>
      <c r="FB146" s="139">
        <f t="shared" si="146"/>
        <v>0</v>
      </c>
      <c r="FC146" s="139">
        <f t="shared" si="147"/>
        <v>0</v>
      </c>
      <c r="FD146" s="139">
        <f t="shared" si="148"/>
        <v>0</v>
      </c>
      <c r="FE146" s="139">
        <f t="shared" si="149"/>
        <v>0</v>
      </c>
      <c r="FF146" s="139">
        <f t="shared" si="150"/>
        <v>0</v>
      </c>
      <c r="FG146" s="139">
        <f t="shared" si="151"/>
        <v>0</v>
      </c>
      <c r="FH146" s="139">
        <f t="shared" si="152"/>
        <v>0</v>
      </c>
      <c r="FI146" s="139">
        <f t="shared" si="153"/>
        <v>0</v>
      </c>
      <c r="FJ146" s="139">
        <f t="shared" si="154"/>
        <v>0</v>
      </c>
      <c r="FK146" s="139">
        <f t="shared" si="155"/>
        <v>0</v>
      </c>
      <c r="FL146" s="139">
        <f t="shared" si="156"/>
        <v>0</v>
      </c>
      <c r="FM146" s="139">
        <f t="shared" si="157"/>
        <v>0</v>
      </c>
      <c r="FN146" s="139">
        <f t="shared" si="158"/>
        <v>0</v>
      </c>
      <c r="FO146" s="139">
        <f t="shared" si="159"/>
        <v>0</v>
      </c>
      <c r="FP146" s="139">
        <f t="shared" si="160"/>
        <v>0</v>
      </c>
      <c r="FQ146" s="139">
        <f t="shared" si="161"/>
        <v>0</v>
      </c>
      <c r="FR146" s="139">
        <f t="shared" si="162"/>
        <v>0</v>
      </c>
      <c r="FS146" s="139">
        <f t="shared" si="163"/>
        <v>0</v>
      </c>
      <c r="FT146" s="139">
        <f t="shared" si="164"/>
        <v>0</v>
      </c>
      <c r="FU146" s="148">
        <f t="shared" si="165"/>
        <v>4.8166740960912398</v>
      </c>
      <c r="FV146" s="149"/>
      <c r="FY146" s="212">
        <v>141</v>
      </c>
      <c r="FZ146">
        <v>0.32799253604960715</v>
      </c>
      <c r="GA146">
        <v>2.0930657507426815</v>
      </c>
      <c r="GB146">
        <v>6.5964097886228803</v>
      </c>
      <c r="GC146">
        <v>3.4146205796483415</v>
      </c>
      <c r="GD146">
        <v>0.76135391635613747</v>
      </c>
      <c r="GE146">
        <v>3.4783444005740245</v>
      </c>
      <c r="GF146">
        <v>14.229358417205733</v>
      </c>
      <c r="GG146">
        <v>11.577349996157974</v>
      </c>
      <c r="GH146">
        <v>2.612844571581793</v>
      </c>
      <c r="GI146">
        <v>6.4461231887334893</v>
      </c>
      <c r="GJ146"/>
      <c r="GK146"/>
      <c r="GL146"/>
      <c r="GM146"/>
    </row>
    <row r="147" spans="1:195" s="7" customFormat="1">
      <c r="A147" s="1"/>
      <c r="B147" s="76">
        <f t="shared" ca="1" si="132"/>
        <v>0.4209787414832542</v>
      </c>
      <c r="C147">
        <v>8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10.416666666666666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16.800998110087406</v>
      </c>
      <c r="AO147">
        <v>9.1320371767426458</v>
      </c>
      <c r="AP147">
        <v>58.010128733077906</v>
      </c>
      <c r="AQ147">
        <v>45.457835859158493</v>
      </c>
      <c r="AR147">
        <v>8.4391951304328412</v>
      </c>
      <c r="AS147">
        <v>47.512153214130684</v>
      </c>
      <c r="AT147">
        <v>4.5859940222990749</v>
      </c>
      <c r="AU147">
        <v>12.769081481195819</v>
      </c>
      <c r="AV147"/>
      <c r="AW147"/>
      <c r="AX147" s="146"/>
      <c r="AY147" s="76">
        <f t="shared" ca="1" si="88"/>
        <v>3.4021864450603623E-2</v>
      </c>
      <c r="AZ147">
        <v>10</v>
      </c>
      <c r="BA147" s="129">
        <f t="shared" si="169"/>
        <v>39799</v>
      </c>
      <c r="BB147">
        <v>0</v>
      </c>
      <c r="BC147">
        <v>0</v>
      </c>
      <c r="BD147">
        <v>0</v>
      </c>
      <c r="BE147">
        <v>0</v>
      </c>
      <c r="BF147">
        <v>2</v>
      </c>
      <c r="BG147">
        <v>0</v>
      </c>
      <c r="BH147">
        <v>1</v>
      </c>
      <c r="BI147">
        <v>1</v>
      </c>
      <c r="BJ147">
        <v>1</v>
      </c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90"/>
        <v>0.6207747552374141</v>
      </c>
      <c r="CL147" s="179">
        <f t="shared" si="91"/>
        <v>10</v>
      </c>
      <c r="CM147" s="180">
        <f t="shared" si="92"/>
        <v>39799</v>
      </c>
      <c r="CN147">
        <v>0</v>
      </c>
      <c r="CO147"/>
      <c r="CP147"/>
      <c r="CQ147"/>
      <c r="CR147"/>
      <c r="CS147"/>
      <c r="CT147"/>
      <c r="CU147"/>
      <c r="CV147" s="160"/>
      <c r="CW147">
        <v>1</v>
      </c>
      <c r="CX147">
        <v>1</v>
      </c>
      <c r="CY147" s="165"/>
      <c r="CZ147" s="177">
        <f t="shared" si="93"/>
        <v>9.6000000000000002E-2</v>
      </c>
      <c r="DB147" s="146"/>
      <c r="DC147" s="76">
        <f t="shared" ca="1" si="51"/>
        <v>0.11674730113938825</v>
      </c>
      <c r="DD147">
        <f t="shared" si="94"/>
        <v>10</v>
      </c>
      <c r="DE147" s="129">
        <f t="shared" si="168"/>
        <v>39799</v>
      </c>
      <c r="DF147" s="161">
        <f t="shared" si="95"/>
        <v>0</v>
      </c>
      <c r="DG147" s="161">
        <f t="shared" si="96"/>
        <v>0</v>
      </c>
      <c r="DH147" s="161">
        <f t="shared" si="97"/>
        <v>0</v>
      </c>
      <c r="DI147" s="161">
        <f t="shared" si="98"/>
        <v>0</v>
      </c>
      <c r="DJ147" s="161">
        <f t="shared" si="99"/>
        <v>20.833333333333332</v>
      </c>
      <c r="DK147" s="161">
        <f t="shared" si="100"/>
        <v>0</v>
      </c>
      <c r="DL147" s="161">
        <f t="shared" si="101"/>
        <v>10.416666666666666</v>
      </c>
      <c r="DM147" s="161">
        <f t="shared" si="102"/>
        <v>10.416666666666666</v>
      </c>
      <c r="DN147" s="161">
        <f t="shared" si="103"/>
        <v>10.416666666666666</v>
      </c>
      <c r="DO147" s="161">
        <f t="shared" si="104"/>
        <v>0</v>
      </c>
      <c r="DP147" s="161">
        <f t="shared" si="105"/>
        <v>0</v>
      </c>
      <c r="DQ147" s="161">
        <f t="shared" si="106"/>
        <v>0</v>
      </c>
      <c r="DR147" s="161">
        <f t="shared" si="107"/>
        <v>0</v>
      </c>
      <c r="DS147" s="161">
        <f t="shared" si="108"/>
        <v>0</v>
      </c>
      <c r="DT147" s="161">
        <f t="shared" si="109"/>
        <v>0</v>
      </c>
      <c r="DU147" s="161">
        <f t="shared" si="110"/>
        <v>0</v>
      </c>
      <c r="DV147" s="161">
        <f t="shared" si="111"/>
        <v>0</v>
      </c>
      <c r="DW147" s="161">
        <f t="shared" si="112"/>
        <v>0</v>
      </c>
      <c r="DX147" s="161">
        <f t="shared" si="113"/>
        <v>0</v>
      </c>
      <c r="DY147" s="161">
        <f t="shared" si="114"/>
        <v>0</v>
      </c>
      <c r="DZ147" s="161">
        <f t="shared" si="115"/>
        <v>0</v>
      </c>
      <c r="EA147" s="161">
        <f t="shared" si="116"/>
        <v>0</v>
      </c>
      <c r="EB147" s="161">
        <f t="shared" si="117"/>
        <v>0</v>
      </c>
      <c r="EC147" s="161">
        <f t="shared" si="118"/>
        <v>0</v>
      </c>
      <c r="ED147" s="161">
        <f t="shared" si="119"/>
        <v>0</v>
      </c>
      <c r="EE147" s="161">
        <f t="shared" si="120"/>
        <v>0</v>
      </c>
      <c r="EF147" s="161">
        <f t="shared" si="121"/>
        <v>0</v>
      </c>
      <c r="EG147" s="161">
        <f t="shared" si="122"/>
        <v>0</v>
      </c>
      <c r="EH147" s="161">
        <f t="shared" si="123"/>
        <v>0</v>
      </c>
      <c r="EI147" s="161">
        <f t="shared" si="124"/>
        <v>0</v>
      </c>
      <c r="EJ147" s="161">
        <f t="shared" si="125"/>
        <v>0</v>
      </c>
      <c r="EK147" s="147">
        <f t="shared" si="133"/>
        <v>52.083333333333329</v>
      </c>
      <c r="EL147" s="149"/>
      <c r="EN147" s="146"/>
      <c r="EO147" s="146"/>
      <c r="EP147" s="139">
        <f t="shared" si="134"/>
        <v>0</v>
      </c>
      <c r="EQ147" s="139">
        <f t="shared" si="135"/>
        <v>0</v>
      </c>
      <c r="ER147" s="139">
        <f t="shared" si="136"/>
        <v>0</v>
      </c>
      <c r="ES147" s="139">
        <f t="shared" si="137"/>
        <v>0</v>
      </c>
      <c r="ET147" s="139">
        <f t="shared" si="138"/>
        <v>4.4511129291302316</v>
      </c>
      <c r="EU147" s="139">
        <f t="shared" si="139"/>
        <v>0</v>
      </c>
      <c r="EV147" s="139">
        <f t="shared" si="140"/>
        <v>9.0513711528458085</v>
      </c>
      <c r="EW147" s="139">
        <f t="shared" si="141"/>
        <v>15.429443614485615</v>
      </c>
      <c r="EX147" s="139">
        <f t="shared" si="142"/>
        <v>24.490767885124477</v>
      </c>
      <c r="EY147" s="139">
        <f t="shared" si="143"/>
        <v>0</v>
      </c>
      <c r="EZ147" s="139">
        <f t="shared" si="144"/>
        <v>0</v>
      </c>
      <c r="FA147" s="139">
        <f t="shared" si="145"/>
        <v>0</v>
      </c>
      <c r="FB147" s="139">
        <f t="shared" si="146"/>
        <v>0</v>
      </c>
      <c r="FC147" s="139">
        <f t="shared" si="147"/>
        <v>0</v>
      </c>
      <c r="FD147" s="139">
        <f t="shared" si="148"/>
        <v>0</v>
      </c>
      <c r="FE147" s="139">
        <f t="shared" si="149"/>
        <v>0</v>
      </c>
      <c r="FF147" s="139">
        <f t="shared" si="150"/>
        <v>0</v>
      </c>
      <c r="FG147" s="139">
        <f t="shared" si="151"/>
        <v>0</v>
      </c>
      <c r="FH147" s="139">
        <f t="shared" si="152"/>
        <v>0</v>
      </c>
      <c r="FI147" s="139">
        <f t="shared" si="153"/>
        <v>0</v>
      </c>
      <c r="FJ147" s="139">
        <f t="shared" si="154"/>
        <v>0</v>
      </c>
      <c r="FK147" s="139">
        <f t="shared" si="155"/>
        <v>0</v>
      </c>
      <c r="FL147" s="139">
        <f t="shared" si="156"/>
        <v>0</v>
      </c>
      <c r="FM147" s="139">
        <f t="shared" si="157"/>
        <v>0</v>
      </c>
      <c r="FN147" s="139">
        <f t="shared" si="158"/>
        <v>0</v>
      </c>
      <c r="FO147" s="139">
        <f t="shared" si="159"/>
        <v>0</v>
      </c>
      <c r="FP147" s="139">
        <f t="shared" si="160"/>
        <v>0</v>
      </c>
      <c r="FQ147" s="139">
        <f t="shared" si="161"/>
        <v>0</v>
      </c>
      <c r="FR147" s="139">
        <f t="shared" si="162"/>
        <v>0</v>
      </c>
      <c r="FS147" s="139">
        <f t="shared" si="163"/>
        <v>0</v>
      </c>
      <c r="FT147" s="139">
        <f t="shared" si="164"/>
        <v>0</v>
      </c>
      <c r="FU147" s="148">
        <f t="shared" si="165"/>
        <v>53.422695581586133</v>
      </c>
      <c r="FV147" s="149"/>
      <c r="FY147" s="212">
        <v>142</v>
      </c>
      <c r="FZ147">
        <v>0.28627582077062558</v>
      </c>
      <c r="GA147">
        <v>5.8358296027671255</v>
      </c>
      <c r="GB147">
        <v>11.569650842094884</v>
      </c>
      <c r="GC147">
        <v>5.2090455952530306</v>
      </c>
      <c r="GD147">
        <v>0.7758811191065329</v>
      </c>
      <c r="GE147">
        <v>1.9004729950605372</v>
      </c>
      <c r="GF147">
        <v>4.74665692113925</v>
      </c>
      <c r="GG147">
        <v>3.8648073452232961</v>
      </c>
      <c r="GH147">
        <v>2.1735147477091985</v>
      </c>
      <c r="GI147">
        <v>4.9700814256441026</v>
      </c>
      <c r="GJ147"/>
      <c r="GK147"/>
      <c r="GL147"/>
      <c r="GM147"/>
    </row>
    <row r="148" spans="1:195" s="7" customFormat="1">
      <c r="A148" s="128"/>
      <c r="B148" s="76">
        <f t="shared" ca="1" si="132"/>
        <v>0.77703595676483328</v>
      </c>
      <c r="C148">
        <v>6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10.416666666666666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11.782756024096383</v>
      </c>
      <c r="AO148">
        <v>9.7072920359278996</v>
      </c>
      <c r="AP148">
        <v>50.034515273126871</v>
      </c>
      <c r="AQ148">
        <v>51.943656209726669</v>
      </c>
      <c r="AR148">
        <v>8.9311248496137932</v>
      </c>
      <c r="AS148">
        <v>45.20080218898282</v>
      </c>
      <c r="AT148">
        <v>5.7428882432262585</v>
      </c>
      <c r="AU148">
        <v>-2.1973959807703025</v>
      </c>
      <c r="AV148"/>
      <c r="AW148"/>
      <c r="AX148" s="128"/>
      <c r="AY148" s="76">
        <f t="shared" ca="1" si="88"/>
        <v>0.48913150568518415</v>
      </c>
      <c r="AZ148">
        <v>1</v>
      </c>
      <c r="BA148" s="129">
        <f>IF(AZ148="", "",$C$10)</f>
        <v>39847</v>
      </c>
      <c r="BB148">
        <v>0</v>
      </c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90"/>
        <v>0.52393711180365976</v>
      </c>
      <c r="CL148" s="179">
        <f t="shared" si="91"/>
        <v>1</v>
      </c>
      <c r="CM148" s="180">
        <f t="shared" si="92"/>
        <v>39847</v>
      </c>
      <c r="CN148">
        <v>0</v>
      </c>
      <c r="CO148"/>
      <c r="CP148"/>
      <c r="CQ148"/>
      <c r="CR148"/>
      <c r="CS148"/>
      <c r="CT148"/>
      <c r="CU148"/>
      <c r="CV148" s="160"/>
      <c r="CW148">
        <v>1</v>
      </c>
      <c r="CX148">
        <v>1</v>
      </c>
      <c r="CY148" s="160"/>
      <c r="CZ148" s="177">
        <f t="shared" si="93"/>
        <v>9.6000000000000002E-2</v>
      </c>
      <c r="DB148" s="128"/>
      <c r="DC148" s="76">
        <f t="shared" ca="1" si="51"/>
        <v>0.56783717622148888</v>
      </c>
      <c r="DD148">
        <f t="shared" si="94"/>
        <v>1</v>
      </c>
      <c r="DE148" s="129">
        <f t="shared" ref="DE148:DE157" si="170">IF((DD148)="", "", $C$10)</f>
        <v>39847</v>
      </c>
      <c r="DF148" s="161">
        <f t="shared" si="95"/>
        <v>0</v>
      </c>
      <c r="DG148" s="161">
        <f t="shared" si="96"/>
        <v>0</v>
      </c>
      <c r="DH148" s="161">
        <f t="shared" si="97"/>
        <v>0</v>
      </c>
      <c r="DI148" s="161">
        <f t="shared" si="98"/>
        <v>0</v>
      </c>
      <c r="DJ148" s="161">
        <f t="shared" si="99"/>
        <v>0</v>
      </c>
      <c r="DK148" s="161">
        <f t="shared" si="100"/>
        <v>0</v>
      </c>
      <c r="DL148" s="161">
        <f t="shared" si="101"/>
        <v>0</v>
      </c>
      <c r="DM148" s="161">
        <f t="shared" si="102"/>
        <v>0</v>
      </c>
      <c r="DN148" s="161">
        <f t="shared" si="103"/>
        <v>0</v>
      </c>
      <c r="DO148" s="161">
        <f t="shared" si="104"/>
        <v>0</v>
      </c>
      <c r="DP148" s="161">
        <f t="shared" si="105"/>
        <v>0</v>
      </c>
      <c r="DQ148" s="161">
        <f t="shared" si="106"/>
        <v>0</v>
      </c>
      <c r="DR148" s="161">
        <f t="shared" si="107"/>
        <v>0</v>
      </c>
      <c r="DS148" s="161">
        <f t="shared" si="108"/>
        <v>0</v>
      </c>
      <c r="DT148" s="161">
        <f t="shared" si="109"/>
        <v>0</v>
      </c>
      <c r="DU148" s="161">
        <f t="shared" si="110"/>
        <v>0</v>
      </c>
      <c r="DV148" s="161">
        <f t="shared" si="111"/>
        <v>0</v>
      </c>
      <c r="DW148" s="161">
        <f t="shared" si="112"/>
        <v>0</v>
      </c>
      <c r="DX148" s="161">
        <f t="shared" si="113"/>
        <v>0</v>
      </c>
      <c r="DY148" s="161">
        <f t="shared" si="114"/>
        <v>0</v>
      </c>
      <c r="DZ148" s="161">
        <f t="shared" si="115"/>
        <v>0</v>
      </c>
      <c r="EA148" s="161">
        <f t="shared" si="116"/>
        <v>0</v>
      </c>
      <c r="EB148" s="161">
        <f t="shared" si="117"/>
        <v>0</v>
      </c>
      <c r="EC148" s="161">
        <f t="shared" si="118"/>
        <v>0</v>
      </c>
      <c r="ED148" s="161">
        <f t="shared" si="119"/>
        <v>0</v>
      </c>
      <c r="EE148" s="161">
        <f t="shared" si="120"/>
        <v>0</v>
      </c>
      <c r="EF148" s="161">
        <f t="shared" si="121"/>
        <v>0</v>
      </c>
      <c r="EG148" s="161">
        <f t="shared" si="122"/>
        <v>0</v>
      </c>
      <c r="EH148" s="161">
        <f t="shared" si="123"/>
        <v>0</v>
      </c>
      <c r="EI148" s="161">
        <f t="shared" si="124"/>
        <v>0</v>
      </c>
      <c r="EJ148" s="161">
        <f t="shared" si="125"/>
        <v>0</v>
      </c>
      <c r="EK148" s="147">
        <f t="shared" si="133"/>
        <v>0</v>
      </c>
      <c r="EL148" s="149"/>
      <c r="EN148" s="146"/>
      <c r="EO148" s="146"/>
      <c r="EP148" s="139">
        <f t="shared" si="134"/>
        <v>0</v>
      </c>
      <c r="EQ148" s="139">
        <f t="shared" si="135"/>
        <v>0</v>
      </c>
      <c r="ER148" s="139">
        <f t="shared" si="136"/>
        <v>0</v>
      </c>
      <c r="ES148" s="139">
        <f t="shared" si="137"/>
        <v>0</v>
      </c>
      <c r="ET148" s="139">
        <f t="shared" si="138"/>
        <v>0</v>
      </c>
      <c r="EU148" s="139">
        <f t="shared" si="139"/>
        <v>0</v>
      </c>
      <c r="EV148" s="139">
        <f t="shared" si="140"/>
        <v>0</v>
      </c>
      <c r="EW148" s="139">
        <f t="shared" si="141"/>
        <v>0</v>
      </c>
      <c r="EX148" s="139">
        <f t="shared" si="142"/>
        <v>0</v>
      </c>
      <c r="EY148" s="139">
        <f t="shared" si="143"/>
        <v>0</v>
      </c>
      <c r="EZ148" s="139">
        <f t="shared" si="144"/>
        <v>0</v>
      </c>
      <c r="FA148" s="139">
        <f t="shared" si="145"/>
        <v>0</v>
      </c>
      <c r="FB148" s="139">
        <f t="shared" si="146"/>
        <v>0</v>
      </c>
      <c r="FC148" s="139">
        <f t="shared" si="147"/>
        <v>0</v>
      </c>
      <c r="FD148" s="139">
        <f t="shared" si="148"/>
        <v>0</v>
      </c>
      <c r="FE148" s="139">
        <f t="shared" si="149"/>
        <v>0</v>
      </c>
      <c r="FF148" s="139">
        <f t="shared" si="150"/>
        <v>0</v>
      </c>
      <c r="FG148" s="139">
        <f t="shared" si="151"/>
        <v>0</v>
      </c>
      <c r="FH148" s="139">
        <f t="shared" si="152"/>
        <v>0</v>
      </c>
      <c r="FI148" s="139">
        <f t="shared" si="153"/>
        <v>0</v>
      </c>
      <c r="FJ148" s="139">
        <f t="shared" si="154"/>
        <v>0</v>
      </c>
      <c r="FK148" s="139">
        <f t="shared" si="155"/>
        <v>0</v>
      </c>
      <c r="FL148" s="139">
        <f t="shared" si="156"/>
        <v>0</v>
      </c>
      <c r="FM148" s="139">
        <f t="shared" si="157"/>
        <v>0</v>
      </c>
      <c r="FN148" s="139">
        <f t="shared" si="158"/>
        <v>0</v>
      </c>
      <c r="FO148" s="139">
        <f t="shared" si="159"/>
        <v>0</v>
      </c>
      <c r="FP148" s="139">
        <f t="shared" si="160"/>
        <v>0</v>
      </c>
      <c r="FQ148" s="139">
        <f t="shared" si="161"/>
        <v>0</v>
      </c>
      <c r="FR148" s="139">
        <f t="shared" si="162"/>
        <v>0</v>
      </c>
      <c r="FS148" s="139">
        <f t="shared" si="163"/>
        <v>0</v>
      </c>
      <c r="FT148" s="139">
        <f t="shared" si="164"/>
        <v>0</v>
      </c>
      <c r="FU148" s="148">
        <f t="shared" si="165"/>
        <v>0</v>
      </c>
      <c r="FV148" s="149"/>
      <c r="FY148" s="212">
        <v>143</v>
      </c>
      <c r="FZ148">
        <v>6.4751091665332536</v>
      </c>
      <c r="GA148">
        <v>9.4762315526559586</v>
      </c>
      <c r="GB148">
        <v>3.8851725507321264</v>
      </c>
      <c r="GC148">
        <v>2.1389546719515691</v>
      </c>
      <c r="GD148">
        <v>1.4762240880447079</v>
      </c>
      <c r="GE148">
        <v>3.681328778104465</v>
      </c>
      <c r="GF148">
        <v>4.1588759310774988</v>
      </c>
      <c r="GG148">
        <v>1.4147536062227331</v>
      </c>
      <c r="GH148">
        <v>2.1424925701694666</v>
      </c>
      <c r="GI148">
        <v>4.1075259016323971</v>
      </c>
      <c r="GJ148"/>
      <c r="GK148"/>
      <c r="GL148"/>
      <c r="GM148"/>
    </row>
    <row r="149" spans="1:195" s="7" customFormat="1">
      <c r="A149" s="77"/>
      <c r="B149" s="76">
        <f t="shared" ca="1" si="132"/>
        <v>0.17401680644727602</v>
      </c>
      <c r="C149">
        <v>5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20.833333333333332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14.778530789825968</v>
      </c>
      <c r="AO149">
        <v>10.594834118546929</v>
      </c>
      <c r="AP149">
        <v>30.536921142526488</v>
      </c>
      <c r="AQ149">
        <v>48.831706931405044</v>
      </c>
      <c r="AR149">
        <v>9.6866597490628514</v>
      </c>
      <c r="AS149">
        <v>46.828128705547257</v>
      </c>
      <c r="AT149">
        <v>5.653060224569896</v>
      </c>
      <c r="AU149">
        <v>-3.8061671886435589</v>
      </c>
      <c r="AV149"/>
      <c r="AW149"/>
      <c r="AX149" s="151"/>
      <c r="AY149" s="76">
        <f t="shared" ca="1" si="88"/>
        <v>2.3510657229774079E-2</v>
      </c>
      <c r="AZ149">
        <v>2</v>
      </c>
      <c r="BA149" s="129">
        <f t="shared" ref="BA149:BA157" si="171">IF(AZ149="", "",$C$10)</f>
        <v>39847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1</v>
      </c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90"/>
        <v>0.8377104524393979</v>
      </c>
      <c r="CL149" s="179">
        <f t="shared" si="91"/>
        <v>2</v>
      </c>
      <c r="CM149" s="180">
        <f t="shared" si="92"/>
        <v>39847</v>
      </c>
      <c r="CN149">
        <v>0</v>
      </c>
      <c r="CO149"/>
      <c r="CP149"/>
      <c r="CQ149"/>
      <c r="CR149"/>
      <c r="CS149"/>
      <c r="CT149"/>
      <c r="CU149"/>
      <c r="CV149" s="160"/>
      <c r="CW149">
        <f>40/12</f>
        <v>3.3333333333333335</v>
      </c>
      <c r="CX149">
        <f>350/32</f>
        <v>10.9375</v>
      </c>
      <c r="CY149" s="160"/>
      <c r="CZ149" s="177">
        <f t="shared" si="93"/>
        <v>9.6000000000000002E-2</v>
      </c>
      <c r="DB149" s="151"/>
      <c r="DC149" s="76">
        <f t="shared" ca="1" si="51"/>
        <v>0.407725321620517</v>
      </c>
      <c r="DD149">
        <f t="shared" si="94"/>
        <v>2</v>
      </c>
      <c r="DE149" s="129">
        <f t="shared" si="170"/>
        <v>39847</v>
      </c>
      <c r="DF149" s="161">
        <f t="shared" si="95"/>
        <v>0</v>
      </c>
      <c r="DG149" s="161">
        <f t="shared" si="96"/>
        <v>0</v>
      </c>
      <c r="DH149" s="161">
        <f t="shared" si="97"/>
        <v>0</v>
      </c>
      <c r="DI149" s="161">
        <f t="shared" si="98"/>
        <v>0</v>
      </c>
      <c r="DJ149" s="161">
        <f t="shared" si="99"/>
        <v>0</v>
      </c>
      <c r="DK149" s="161">
        <f t="shared" si="100"/>
        <v>0</v>
      </c>
      <c r="DL149" s="161">
        <f t="shared" si="101"/>
        <v>0</v>
      </c>
      <c r="DM149" s="161">
        <f t="shared" si="102"/>
        <v>34.722222222222221</v>
      </c>
      <c r="DN149" s="161">
        <f t="shared" si="103"/>
        <v>0</v>
      </c>
      <c r="DO149" s="161">
        <f t="shared" si="104"/>
        <v>0</v>
      </c>
      <c r="DP149" s="161">
        <f t="shared" si="105"/>
        <v>0</v>
      </c>
      <c r="DQ149" s="161">
        <f t="shared" si="106"/>
        <v>0</v>
      </c>
      <c r="DR149" s="161">
        <f t="shared" si="107"/>
        <v>0</v>
      </c>
      <c r="DS149" s="161">
        <f t="shared" si="108"/>
        <v>0</v>
      </c>
      <c r="DT149" s="161">
        <f t="shared" si="109"/>
        <v>0</v>
      </c>
      <c r="DU149" s="161">
        <f t="shared" si="110"/>
        <v>0</v>
      </c>
      <c r="DV149" s="161">
        <f t="shared" si="111"/>
        <v>0</v>
      </c>
      <c r="DW149" s="161">
        <f t="shared" si="112"/>
        <v>0</v>
      </c>
      <c r="DX149" s="161">
        <f t="shared" si="113"/>
        <v>0</v>
      </c>
      <c r="DY149" s="161">
        <f t="shared" si="114"/>
        <v>0</v>
      </c>
      <c r="DZ149" s="161">
        <f t="shared" si="115"/>
        <v>0</v>
      </c>
      <c r="EA149" s="161">
        <f t="shared" si="116"/>
        <v>0</v>
      </c>
      <c r="EB149" s="161">
        <f t="shared" si="117"/>
        <v>0</v>
      </c>
      <c r="EC149" s="161">
        <f t="shared" si="118"/>
        <v>0</v>
      </c>
      <c r="ED149" s="161">
        <f t="shared" si="119"/>
        <v>0</v>
      </c>
      <c r="EE149" s="161">
        <f t="shared" si="120"/>
        <v>0</v>
      </c>
      <c r="EF149" s="161">
        <f t="shared" si="121"/>
        <v>0</v>
      </c>
      <c r="EG149" s="161">
        <f t="shared" si="122"/>
        <v>0</v>
      </c>
      <c r="EH149" s="161">
        <f t="shared" si="123"/>
        <v>0</v>
      </c>
      <c r="EI149" s="161">
        <f t="shared" si="124"/>
        <v>0</v>
      </c>
      <c r="EJ149" s="161">
        <f t="shared" si="125"/>
        <v>0</v>
      </c>
      <c r="EK149" s="147">
        <f t="shared" si="133"/>
        <v>34.722222222222221</v>
      </c>
      <c r="EL149" s="149"/>
      <c r="EN149" s="151"/>
      <c r="EO149" s="151"/>
      <c r="EP149" s="139">
        <f t="shared" si="134"/>
        <v>0</v>
      </c>
      <c r="EQ149" s="139">
        <f t="shared" si="135"/>
        <v>0</v>
      </c>
      <c r="ER149" s="139">
        <f t="shared" si="136"/>
        <v>0</v>
      </c>
      <c r="ES149" s="139">
        <f t="shared" si="137"/>
        <v>0</v>
      </c>
      <c r="ET149" s="139">
        <f t="shared" si="138"/>
        <v>0</v>
      </c>
      <c r="EU149" s="139">
        <f t="shared" si="139"/>
        <v>0</v>
      </c>
      <c r="EV149" s="139">
        <f t="shared" si="140"/>
        <v>0</v>
      </c>
      <c r="EW149" s="139">
        <f t="shared" si="141"/>
        <v>51.43147871495205</v>
      </c>
      <c r="EX149" s="139">
        <f t="shared" si="142"/>
        <v>0</v>
      </c>
      <c r="EY149" s="139">
        <f t="shared" si="143"/>
        <v>0</v>
      </c>
      <c r="EZ149" s="139">
        <f t="shared" si="144"/>
        <v>0</v>
      </c>
      <c r="FA149" s="139">
        <f t="shared" si="145"/>
        <v>0</v>
      </c>
      <c r="FB149" s="139">
        <f t="shared" si="146"/>
        <v>0</v>
      </c>
      <c r="FC149" s="139">
        <f t="shared" si="147"/>
        <v>0</v>
      </c>
      <c r="FD149" s="139">
        <f t="shared" si="148"/>
        <v>0</v>
      </c>
      <c r="FE149" s="139">
        <f t="shared" si="149"/>
        <v>0</v>
      </c>
      <c r="FF149" s="139">
        <f t="shared" si="150"/>
        <v>0</v>
      </c>
      <c r="FG149" s="139">
        <f t="shared" si="151"/>
        <v>0</v>
      </c>
      <c r="FH149" s="139">
        <f t="shared" si="152"/>
        <v>0</v>
      </c>
      <c r="FI149" s="139">
        <f t="shared" si="153"/>
        <v>0</v>
      </c>
      <c r="FJ149" s="139">
        <f t="shared" si="154"/>
        <v>0</v>
      </c>
      <c r="FK149" s="139">
        <f t="shared" si="155"/>
        <v>0</v>
      </c>
      <c r="FL149" s="139">
        <f t="shared" si="156"/>
        <v>0</v>
      </c>
      <c r="FM149" s="139">
        <f t="shared" si="157"/>
        <v>0</v>
      </c>
      <c r="FN149" s="139">
        <f t="shared" si="158"/>
        <v>0</v>
      </c>
      <c r="FO149" s="139">
        <f t="shared" si="159"/>
        <v>0</v>
      </c>
      <c r="FP149" s="139">
        <f t="shared" si="160"/>
        <v>0</v>
      </c>
      <c r="FQ149" s="139">
        <f t="shared" si="161"/>
        <v>0</v>
      </c>
      <c r="FR149" s="139">
        <f t="shared" si="162"/>
        <v>0</v>
      </c>
      <c r="FS149" s="139">
        <f t="shared" si="163"/>
        <v>0</v>
      </c>
      <c r="FT149" s="139">
        <f t="shared" si="164"/>
        <v>0</v>
      </c>
      <c r="FU149" s="148">
        <f t="shared" si="165"/>
        <v>51.43147871495205</v>
      </c>
      <c r="FV149" s="149"/>
      <c r="FY149" s="212">
        <v>144</v>
      </c>
      <c r="FZ149">
        <v>0.17368609546352431</v>
      </c>
      <c r="GA149">
        <v>3.5038584538578452</v>
      </c>
      <c r="GB149">
        <v>4.1986526594048872</v>
      </c>
      <c r="GC149">
        <v>1.7731405237932498</v>
      </c>
      <c r="GD149">
        <v>2.1108651732600818</v>
      </c>
      <c r="GE149">
        <v>6.2702513993280178</v>
      </c>
      <c r="GF149">
        <v>8.4493734872049586</v>
      </c>
      <c r="GG149">
        <v>5.4512940666878542</v>
      </c>
      <c r="GH149">
        <v>2.4026680499566258</v>
      </c>
      <c r="GI149">
        <v>4.9710973038929627</v>
      </c>
      <c r="GJ149"/>
      <c r="GK149"/>
      <c r="GL149"/>
      <c r="GM149"/>
    </row>
    <row r="150" spans="1:195" s="7" customFormat="1">
      <c r="A150" s="77"/>
      <c r="B150" s="76">
        <f t="shared" ca="1" si="132"/>
        <v>0.43646756484347105</v>
      </c>
      <c r="C150">
        <v>4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15.248161764705879</v>
      </c>
      <c r="AO150">
        <v>8.7415687667375099</v>
      </c>
      <c r="AP150">
        <v>57.90611422872685</v>
      </c>
      <c r="AQ150">
        <v>44.564206829838824</v>
      </c>
      <c r="AR150">
        <v>8.0181908690227335</v>
      </c>
      <c r="AS150">
        <v>46.232650751700106</v>
      </c>
      <c r="AT150">
        <v>4.4686030527867731</v>
      </c>
      <c r="AU150">
        <v>30.728783431249404</v>
      </c>
      <c r="AV150"/>
      <c r="AW150"/>
      <c r="AX150" s="151"/>
      <c r="AY150" s="76">
        <f t="shared" ca="1" si="88"/>
        <v>5.0741419020704059E-2</v>
      </c>
      <c r="AZ150">
        <v>3</v>
      </c>
      <c r="BA150" s="129">
        <f t="shared" si="171"/>
        <v>39847</v>
      </c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>
        <f t="shared" ca="1" si="90"/>
        <v>0.46804813606613149</v>
      </c>
      <c r="CL150" s="179">
        <f t="shared" si="91"/>
        <v>3</v>
      </c>
      <c r="CM150" s="180">
        <f t="shared" si="92"/>
        <v>39847</v>
      </c>
      <c r="CN150"/>
      <c r="CO150"/>
      <c r="CP150"/>
      <c r="CQ150"/>
      <c r="CR150"/>
      <c r="CS150"/>
      <c r="CT150"/>
      <c r="CU150"/>
      <c r="CV150" s="160"/>
      <c r="CW150">
        <v>1</v>
      </c>
      <c r="CX150">
        <v>1</v>
      </c>
      <c r="CY150" s="160"/>
      <c r="CZ150" s="177">
        <f t="shared" si="93"/>
        <v>9.6000000000000002E-2</v>
      </c>
      <c r="DB150" s="151"/>
      <c r="DC150" s="76">
        <f t="shared" ca="1" si="51"/>
        <v>0.41157426736241587</v>
      </c>
      <c r="DD150">
        <f t="shared" si="94"/>
        <v>3</v>
      </c>
      <c r="DE150" s="129">
        <f t="shared" si="170"/>
        <v>39847</v>
      </c>
      <c r="DF150" s="161">
        <f t="shared" si="95"/>
        <v>0</v>
      </c>
      <c r="DG150" s="161">
        <f t="shared" si="96"/>
        <v>0</v>
      </c>
      <c r="DH150" s="161">
        <f t="shared" si="97"/>
        <v>0</v>
      </c>
      <c r="DI150" s="161">
        <f t="shared" si="98"/>
        <v>0</v>
      </c>
      <c r="DJ150" s="161">
        <f t="shared" si="99"/>
        <v>0</v>
      </c>
      <c r="DK150" s="161">
        <f t="shared" si="100"/>
        <v>0</v>
      </c>
      <c r="DL150" s="161">
        <f t="shared" si="101"/>
        <v>0</v>
      </c>
      <c r="DM150" s="161">
        <f t="shared" si="102"/>
        <v>0</v>
      </c>
      <c r="DN150" s="161">
        <f t="shared" si="103"/>
        <v>0</v>
      </c>
      <c r="DO150" s="161">
        <f t="shared" si="104"/>
        <v>0</v>
      </c>
      <c r="DP150" s="161">
        <f t="shared" si="105"/>
        <v>0</v>
      </c>
      <c r="DQ150" s="161">
        <f t="shared" si="106"/>
        <v>0</v>
      </c>
      <c r="DR150" s="161">
        <f t="shared" si="107"/>
        <v>0</v>
      </c>
      <c r="DS150" s="161">
        <f t="shared" si="108"/>
        <v>0</v>
      </c>
      <c r="DT150" s="161">
        <f t="shared" si="109"/>
        <v>0</v>
      </c>
      <c r="DU150" s="161">
        <f t="shared" si="110"/>
        <v>0</v>
      </c>
      <c r="DV150" s="161">
        <f t="shared" si="111"/>
        <v>0</v>
      </c>
      <c r="DW150" s="161">
        <f t="shared" si="112"/>
        <v>0</v>
      </c>
      <c r="DX150" s="161">
        <f t="shared" si="113"/>
        <v>0</v>
      </c>
      <c r="DY150" s="161">
        <f t="shared" si="114"/>
        <v>0</v>
      </c>
      <c r="DZ150" s="161">
        <f t="shared" si="115"/>
        <v>0</v>
      </c>
      <c r="EA150" s="161">
        <f t="shared" si="116"/>
        <v>0</v>
      </c>
      <c r="EB150" s="161">
        <f t="shared" si="117"/>
        <v>0</v>
      </c>
      <c r="EC150" s="161">
        <f t="shared" si="118"/>
        <v>0</v>
      </c>
      <c r="ED150" s="161">
        <f t="shared" si="119"/>
        <v>0</v>
      </c>
      <c r="EE150" s="161">
        <f t="shared" si="120"/>
        <v>0</v>
      </c>
      <c r="EF150" s="161">
        <f t="shared" si="121"/>
        <v>0</v>
      </c>
      <c r="EG150" s="161">
        <f t="shared" si="122"/>
        <v>0</v>
      </c>
      <c r="EH150" s="161">
        <f t="shared" si="123"/>
        <v>0</v>
      </c>
      <c r="EI150" s="161">
        <f t="shared" si="124"/>
        <v>0</v>
      </c>
      <c r="EJ150" s="161">
        <f t="shared" si="125"/>
        <v>0</v>
      </c>
      <c r="EK150" s="147">
        <f t="shared" si="133"/>
        <v>0</v>
      </c>
      <c r="EL150" s="149"/>
      <c r="EN150" s="151"/>
      <c r="EO150" s="151"/>
      <c r="EP150" s="139">
        <f t="shared" si="134"/>
        <v>0</v>
      </c>
      <c r="EQ150" s="139">
        <f t="shared" si="135"/>
        <v>0</v>
      </c>
      <c r="ER150" s="139">
        <f t="shared" si="136"/>
        <v>0</v>
      </c>
      <c r="ES150" s="139">
        <f t="shared" si="137"/>
        <v>0</v>
      </c>
      <c r="ET150" s="139">
        <f t="shared" si="138"/>
        <v>0</v>
      </c>
      <c r="EU150" s="139">
        <f t="shared" si="139"/>
        <v>0</v>
      </c>
      <c r="EV150" s="139">
        <f t="shared" si="140"/>
        <v>0</v>
      </c>
      <c r="EW150" s="139">
        <f t="shared" si="141"/>
        <v>0</v>
      </c>
      <c r="EX150" s="139">
        <f t="shared" si="142"/>
        <v>0</v>
      </c>
      <c r="EY150" s="139">
        <f t="shared" si="143"/>
        <v>0</v>
      </c>
      <c r="EZ150" s="139">
        <f t="shared" si="144"/>
        <v>0</v>
      </c>
      <c r="FA150" s="139">
        <f t="shared" si="145"/>
        <v>0</v>
      </c>
      <c r="FB150" s="139">
        <f t="shared" si="146"/>
        <v>0</v>
      </c>
      <c r="FC150" s="139">
        <f t="shared" si="147"/>
        <v>0</v>
      </c>
      <c r="FD150" s="139">
        <f t="shared" si="148"/>
        <v>0</v>
      </c>
      <c r="FE150" s="139">
        <f t="shared" si="149"/>
        <v>0</v>
      </c>
      <c r="FF150" s="139">
        <f t="shared" si="150"/>
        <v>0</v>
      </c>
      <c r="FG150" s="139">
        <f t="shared" si="151"/>
        <v>0</v>
      </c>
      <c r="FH150" s="139">
        <f t="shared" si="152"/>
        <v>0</v>
      </c>
      <c r="FI150" s="139">
        <f t="shared" si="153"/>
        <v>0</v>
      </c>
      <c r="FJ150" s="139">
        <f t="shared" si="154"/>
        <v>0</v>
      </c>
      <c r="FK150" s="139">
        <f t="shared" si="155"/>
        <v>0</v>
      </c>
      <c r="FL150" s="139">
        <f t="shared" si="156"/>
        <v>0</v>
      </c>
      <c r="FM150" s="139">
        <f t="shared" si="157"/>
        <v>0</v>
      </c>
      <c r="FN150" s="139">
        <f t="shared" si="158"/>
        <v>0</v>
      </c>
      <c r="FO150" s="139">
        <f t="shared" si="159"/>
        <v>0</v>
      </c>
      <c r="FP150" s="139">
        <f t="shared" si="160"/>
        <v>0</v>
      </c>
      <c r="FQ150" s="139">
        <f t="shared" si="161"/>
        <v>0</v>
      </c>
      <c r="FR150" s="139">
        <f t="shared" si="162"/>
        <v>0</v>
      </c>
      <c r="FS150" s="139">
        <f t="shared" si="163"/>
        <v>0</v>
      </c>
      <c r="FT150" s="139">
        <f t="shared" si="164"/>
        <v>0</v>
      </c>
      <c r="FU150" s="148">
        <f t="shared" si="165"/>
        <v>0</v>
      </c>
      <c r="FV150" s="149"/>
      <c r="FY150" s="212">
        <v>145</v>
      </c>
      <c r="FZ150">
        <v>3.4906085030187883</v>
      </c>
      <c r="GA150">
        <v>8.0016928527271673</v>
      </c>
      <c r="GB150">
        <v>11.987300865501446</v>
      </c>
      <c r="GC150">
        <v>5.6664668776713363</v>
      </c>
      <c r="GD150">
        <v>0.7539517925322573</v>
      </c>
      <c r="GE150">
        <v>3.203188703678669</v>
      </c>
      <c r="GF150">
        <v>11.867484881827624</v>
      </c>
      <c r="GG150">
        <v>9.336123814896359</v>
      </c>
      <c r="GH150">
        <v>2.0701526949955147</v>
      </c>
      <c r="GI150">
        <v>7.3980969174574707</v>
      </c>
      <c r="GJ150"/>
      <c r="GK150"/>
      <c r="GL150"/>
      <c r="GM150"/>
    </row>
    <row r="151" spans="1:195" s="7" customFormat="1">
      <c r="A151" s="77"/>
      <c r="B151" s="76">
        <f t="shared" ca="1" si="132"/>
        <v>0.87169908105040506</v>
      </c>
      <c r="C151">
        <v>9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14.986531911961569</v>
      </c>
      <c r="AO151">
        <v>9.1157529430954067</v>
      </c>
      <c r="AP151">
        <v>78.431831495466184</v>
      </c>
      <c r="AQ151">
        <v>51.687033481692033</v>
      </c>
      <c r="AR151">
        <v>8.3684811777657071</v>
      </c>
      <c r="AS151">
        <v>39.993737609541462</v>
      </c>
      <c r="AT151">
        <v>4.3522915906959332</v>
      </c>
      <c r="AU151">
        <v>5.6676265650870032</v>
      </c>
      <c r="AV151"/>
      <c r="AW151"/>
      <c r="AX151" s="151"/>
      <c r="AY151" s="76">
        <f t="shared" ca="1" si="88"/>
        <v>0.64324451886446887</v>
      </c>
      <c r="AZ151">
        <v>4</v>
      </c>
      <c r="BA151" s="129">
        <f t="shared" si="171"/>
        <v>39847</v>
      </c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>
        <f t="shared" ca="1" si="90"/>
        <v>0.17631334682500643</v>
      </c>
      <c r="CL151" s="179">
        <f t="shared" si="91"/>
        <v>4</v>
      </c>
      <c r="CM151" s="180">
        <f t="shared" si="92"/>
        <v>39847</v>
      </c>
      <c r="CN151"/>
      <c r="CO151"/>
      <c r="CP151"/>
      <c r="CQ151"/>
      <c r="CR151"/>
      <c r="CS151"/>
      <c r="CT151"/>
      <c r="CU151"/>
      <c r="CV151" s="160"/>
      <c r="CW151">
        <v>1</v>
      </c>
      <c r="CX151">
        <v>1</v>
      </c>
      <c r="CY151" s="160"/>
      <c r="CZ151" s="177">
        <f t="shared" si="93"/>
        <v>9.6000000000000002E-2</v>
      </c>
      <c r="DB151" s="151"/>
      <c r="DC151" s="76">
        <f t="shared" ca="1" si="51"/>
        <v>0.74423368452191507</v>
      </c>
      <c r="DD151">
        <f t="shared" si="94"/>
        <v>4</v>
      </c>
      <c r="DE151" s="129">
        <f t="shared" si="170"/>
        <v>39847</v>
      </c>
      <c r="DF151" s="161">
        <f t="shared" si="95"/>
        <v>0</v>
      </c>
      <c r="DG151" s="161">
        <f t="shared" si="96"/>
        <v>0</v>
      </c>
      <c r="DH151" s="161">
        <f t="shared" si="97"/>
        <v>0</v>
      </c>
      <c r="DI151" s="161">
        <f t="shared" si="98"/>
        <v>0</v>
      </c>
      <c r="DJ151" s="161">
        <f t="shared" si="99"/>
        <v>0</v>
      </c>
      <c r="DK151" s="161">
        <f t="shared" si="100"/>
        <v>0</v>
      </c>
      <c r="DL151" s="161">
        <f t="shared" si="101"/>
        <v>0</v>
      </c>
      <c r="DM151" s="161">
        <f t="shared" si="102"/>
        <v>0</v>
      </c>
      <c r="DN151" s="161">
        <f t="shared" si="103"/>
        <v>0</v>
      </c>
      <c r="DO151" s="161">
        <f t="shared" si="104"/>
        <v>0</v>
      </c>
      <c r="DP151" s="161">
        <f t="shared" si="105"/>
        <v>0</v>
      </c>
      <c r="DQ151" s="161">
        <f t="shared" si="106"/>
        <v>0</v>
      </c>
      <c r="DR151" s="161">
        <f t="shared" si="107"/>
        <v>0</v>
      </c>
      <c r="DS151" s="161">
        <f t="shared" si="108"/>
        <v>0</v>
      </c>
      <c r="DT151" s="161">
        <f t="shared" si="109"/>
        <v>0</v>
      </c>
      <c r="DU151" s="161">
        <f t="shared" si="110"/>
        <v>0</v>
      </c>
      <c r="DV151" s="161">
        <f t="shared" si="111"/>
        <v>0</v>
      </c>
      <c r="DW151" s="161">
        <f t="shared" si="112"/>
        <v>0</v>
      </c>
      <c r="DX151" s="161">
        <f t="shared" si="113"/>
        <v>0</v>
      </c>
      <c r="DY151" s="161">
        <f t="shared" si="114"/>
        <v>0</v>
      </c>
      <c r="DZ151" s="161">
        <f t="shared" si="115"/>
        <v>0</v>
      </c>
      <c r="EA151" s="161">
        <f t="shared" si="116"/>
        <v>0</v>
      </c>
      <c r="EB151" s="161">
        <f t="shared" si="117"/>
        <v>0</v>
      </c>
      <c r="EC151" s="161">
        <f t="shared" si="118"/>
        <v>0</v>
      </c>
      <c r="ED151" s="161">
        <f t="shared" si="119"/>
        <v>0</v>
      </c>
      <c r="EE151" s="161">
        <f t="shared" si="120"/>
        <v>0</v>
      </c>
      <c r="EF151" s="161">
        <f t="shared" si="121"/>
        <v>0</v>
      </c>
      <c r="EG151" s="161">
        <f t="shared" si="122"/>
        <v>0</v>
      </c>
      <c r="EH151" s="161">
        <f t="shared" si="123"/>
        <v>0</v>
      </c>
      <c r="EI151" s="161">
        <f t="shared" si="124"/>
        <v>0</v>
      </c>
      <c r="EJ151" s="161">
        <f t="shared" si="125"/>
        <v>0</v>
      </c>
      <c r="EK151" s="147">
        <f t="shared" si="133"/>
        <v>0</v>
      </c>
      <c r="EL151" s="149"/>
      <c r="EN151" s="151"/>
      <c r="EO151" s="151"/>
      <c r="EP151" s="139">
        <f t="shared" si="134"/>
        <v>0</v>
      </c>
      <c r="EQ151" s="139">
        <f t="shared" si="135"/>
        <v>0</v>
      </c>
      <c r="ER151" s="139">
        <f t="shared" si="136"/>
        <v>0</v>
      </c>
      <c r="ES151" s="139">
        <f t="shared" si="137"/>
        <v>0</v>
      </c>
      <c r="ET151" s="139">
        <f t="shared" si="138"/>
        <v>0</v>
      </c>
      <c r="EU151" s="139">
        <f t="shared" si="139"/>
        <v>0</v>
      </c>
      <c r="EV151" s="139">
        <f t="shared" si="140"/>
        <v>0</v>
      </c>
      <c r="EW151" s="139">
        <f t="shared" si="141"/>
        <v>0</v>
      </c>
      <c r="EX151" s="139">
        <f t="shared" si="142"/>
        <v>0</v>
      </c>
      <c r="EY151" s="139">
        <f t="shared" si="143"/>
        <v>0</v>
      </c>
      <c r="EZ151" s="139">
        <f t="shared" si="144"/>
        <v>0</v>
      </c>
      <c r="FA151" s="139">
        <f t="shared" si="145"/>
        <v>0</v>
      </c>
      <c r="FB151" s="139">
        <f t="shared" si="146"/>
        <v>0</v>
      </c>
      <c r="FC151" s="139">
        <f t="shared" si="147"/>
        <v>0</v>
      </c>
      <c r="FD151" s="139">
        <f t="shared" si="148"/>
        <v>0</v>
      </c>
      <c r="FE151" s="139">
        <f t="shared" si="149"/>
        <v>0</v>
      </c>
      <c r="FF151" s="139">
        <f t="shared" si="150"/>
        <v>0</v>
      </c>
      <c r="FG151" s="139">
        <f t="shared" si="151"/>
        <v>0</v>
      </c>
      <c r="FH151" s="139">
        <f t="shared" si="152"/>
        <v>0</v>
      </c>
      <c r="FI151" s="139">
        <f t="shared" si="153"/>
        <v>0</v>
      </c>
      <c r="FJ151" s="139">
        <f t="shared" si="154"/>
        <v>0</v>
      </c>
      <c r="FK151" s="139">
        <f t="shared" si="155"/>
        <v>0</v>
      </c>
      <c r="FL151" s="139">
        <f t="shared" si="156"/>
        <v>0</v>
      </c>
      <c r="FM151" s="139">
        <f t="shared" si="157"/>
        <v>0</v>
      </c>
      <c r="FN151" s="139">
        <f t="shared" si="158"/>
        <v>0</v>
      </c>
      <c r="FO151" s="139">
        <f t="shared" si="159"/>
        <v>0</v>
      </c>
      <c r="FP151" s="139">
        <f t="shared" si="160"/>
        <v>0</v>
      </c>
      <c r="FQ151" s="139">
        <f t="shared" si="161"/>
        <v>0</v>
      </c>
      <c r="FR151" s="139">
        <f t="shared" si="162"/>
        <v>0</v>
      </c>
      <c r="FS151" s="139">
        <f t="shared" si="163"/>
        <v>0</v>
      </c>
      <c r="FT151" s="139">
        <f t="shared" si="164"/>
        <v>0</v>
      </c>
      <c r="FU151" s="148">
        <f t="shared" si="165"/>
        <v>0</v>
      </c>
      <c r="FV151" s="149"/>
      <c r="FY151" s="212">
        <v>146</v>
      </c>
      <c r="FZ151">
        <v>3.3041883621594685</v>
      </c>
      <c r="GA151">
        <v>6.5659651968954709</v>
      </c>
      <c r="GB151">
        <v>6.5038557617718133</v>
      </c>
      <c r="GC151">
        <v>3.1648797107000339</v>
      </c>
      <c r="GD151">
        <v>1.1086151093463741</v>
      </c>
      <c r="GE151">
        <v>5.2278177331979911</v>
      </c>
      <c r="GF151">
        <v>11.305000434895895</v>
      </c>
      <c r="GG151">
        <v>5.8721203160561553</v>
      </c>
      <c r="GH151">
        <v>1.6264321861526625</v>
      </c>
      <c r="GI151">
        <v>5.7411587398489345</v>
      </c>
      <c r="GJ151"/>
      <c r="GK151"/>
      <c r="GL151"/>
      <c r="GM151"/>
    </row>
    <row r="152" spans="1:195" s="7" customFormat="1">
      <c r="A152" s="77"/>
      <c r="B152" s="76">
        <f t="shared" ref="B152:B183" ca="1" si="172">IF(C152="", "", RAND())</f>
        <v>0.59036115888890661</v>
      </c>
      <c r="C152">
        <v>7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10.416666666666666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26.918849417276949</v>
      </c>
      <c r="AO152">
        <v>12.852372338477569</v>
      </c>
      <c r="AP152">
        <v>105.38394041633487</v>
      </c>
      <c r="AQ152">
        <v>68.604732718711162</v>
      </c>
      <c r="AR152">
        <v>11.752022176438253</v>
      </c>
      <c r="AS152">
        <v>64.157302640793361</v>
      </c>
      <c r="AT152">
        <v>6.8516172050445592</v>
      </c>
      <c r="AU152">
        <v>68.594956046016819</v>
      </c>
      <c r="AV152"/>
      <c r="AW152"/>
      <c r="AX152" s="151"/>
      <c r="AY152" s="76">
        <f t="shared" ref="AY152:AY207" ca="1" si="173">IF(AZ152="", "", RAND())</f>
        <v>0.7089647910848127</v>
      </c>
      <c r="AZ152">
        <v>5</v>
      </c>
      <c r="BA152" s="129">
        <f t="shared" si="171"/>
        <v>39847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2</v>
      </c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90"/>
        <v>0.51920459608822567</v>
      </c>
      <c r="CL152" s="179">
        <f t="shared" si="91"/>
        <v>5</v>
      </c>
      <c r="CM152" s="180">
        <f t="shared" si="92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3"/>
        <v>9.6000000000000002E-2</v>
      </c>
      <c r="DB152" s="151"/>
      <c r="DC152" s="76">
        <f t="shared" ref="DC152:DC207" ca="1" si="174">IF(DD152="", "", RAND())</f>
        <v>0.99916591012870803</v>
      </c>
      <c r="DD152">
        <f t="shared" si="94"/>
        <v>5</v>
      </c>
      <c r="DE152" s="129">
        <f t="shared" si="170"/>
        <v>39847</v>
      </c>
      <c r="DF152" s="161">
        <f t="shared" si="95"/>
        <v>0</v>
      </c>
      <c r="DG152" s="161">
        <f t="shared" si="96"/>
        <v>0</v>
      </c>
      <c r="DH152" s="161">
        <f t="shared" si="97"/>
        <v>0</v>
      </c>
      <c r="DI152" s="161">
        <f t="shared" si="98"/>
        <v>0</v>
      </c>
      <c r="DJ152" s="161">
        <f t="shared" si="99"/>
        <v>0</v>
      </c>
      <c r="DK152" s="161">
        <f t="shared" si="100"/>
        <v>20.833333333333332</v>
      </c>
      <c r="DL152" s="161">
        <f t="shared" si="101"/>
        <v>0</v>
      </c>
      <c r="DM152" s="161">
        <f t="shared" si="102"/>
        <v>0</v>
      </c>
      <c r="DN152" s="161">
        <f t="shared" si="103"/>
        <v>0</v>
      </c>
      <c r="DO152" s="161">
        <f t="shared" si="104"/>
        <v>0</v>
      </c>
      <c r="DP152" s="161">
        <f t="shared" si="105"/>
        <v>0</v>
      </c>
      <c r="DQ152" s="161">
        <f t="shared" si="106"/>
        <v>0</v>
      </c>
      <c r="DR152" s="161">
        <f t="shared" si="107"/>
        <v>0</v>
      </c>
      <c r="DS152" s="161">
        <f t="shared" si="108"/>
        <v>0</v>
      </c>
      <c r="DT152" s="161">
        <f t="shared" si="109"/>
        <v>0</v>
      </c>
      <c r="DU152" s="161">
        <f t="shared" si="110"/>
        <v>0</v>
      </c>
      <c r="DV152" s="161">
        <f t="shared" si="111"/>
        <v>0</v>
      </c>
      <c r="DW152" s="161">
        <f t="shared" si="112"/>
        <v>0</v>
      </c>
      <c r="DX152" s="161">
        <f t="shared" si="113"/>
        <v>0</v>
      </c>
      <c r="DY152" s="161">
        <f t="shared" si="114"/>
        <v>0</v>
      </c>
      <c r="DZ152" s="161">
        <f t="shared" si="115"/>
        <v>0</v>
      </c>
      <c r="EA152" s="161">
        <f t="shared" si="116"/>
        <v>0</v>
      </c>
      <c r="EB152" s="161">
        <f t="shared" si="117"/>
        <v>0</v>
      </c>
      <c r="EC152" s="161">
        <f t="shared" si="118"/>
        <v>0</v>
      </c>
      <c r="ED152" s="161">
        <f t="shared" si="119"/>
        <v>0</v>
      </c>
      <c r="EE152" s="161">
        <f t="shared" si="120"/>
        <v>0</v>
      </c>
      <c r="EF152" s="161">
        <f t="shared" si="121"/>
        <v>0</v>
      </c>
      <c r="EG152" s="161">
        <f t="shared" si="122"/>
        <v>0</v>
      </c>
      <c r="EH152" s="161">
        <f t="shared" si="123"/>
        <v>0</v>
      </c>
      <c r="EI152" s="161">
        <f t="shared" si="124"/>
        <v>0</v>
      </c>
      <c r="EJ152" s="161">
        <f t="shared" si="125"/>
        <v>0</v>
      </c>
      <c r="EK152" s="147">
        <f t="shared" ref="EK152:EK183" si="175">IF(DF152="", "", SUM(DF152:EJ152))</f>
        <v>20.833333333333332</v>
      </c>
      <c r="EL152" s="149"/>
      <c r="EN152" s="151"/>
      <c r="EO152" s="151"/>
      <c r="EP152" s="139">
        <f t="shared" ref="EP152:EP183" si="176">IF(DF152="", "", DF152*G$36)</f>
        <v>0</v>
      </c>
      <c r="EQ152" s="139">
        <f t="shared" ref="EQ152:EQ183" si="177">IF(DG152="", "", DG152*H$36)</f>
        <v>0</v>
      </c>
      <c r="ER152" s="139">
        <f t="shared" ref="ER152:ER183" si="178">IF(DH152="", "", DH152*I$36)</f>
        <v>0</v>
      </c>
      <c r="ES152" s="139">
        <f t="shared" ref="ES152:ES183" si="179">IF(DI152="", "", DI152*J$36)</f>
        <v>0</v>
      </c>
      <c r="ET152" s="139">
        <f t="shared" ref="ET152:ET183" si="180">IF(DJ152="", "", DJ152*K$36)</f>
        <v>0</v>
      </c>
      <c r="EU152" s="139">
        <f t="shared" ref="EU152:EU183" si="181">IF(DK152="", "", DK152*L$36)</f>
        <v>9.6333481921824795</v>
      </c>
      <c r="EV152" s="139">
        <f t="shared" ref="EV152:EV183" si="182">IF(DL152="", "", DL152*M$36)</f>
        <v>0</v>
      </c>
      <c r="EW152" s="139">
        <f t="shared" ref="EW152:EW183" si="183">IF(DM152="", "", DM152*N$36)</f>
        <v>0</v>
      </c>
      <c r="EX152" s="139">
        <f t="shared" ref="EX152:EX183" si="184">IF(DN152="", "", DN152*O$36)</f>
        <v>0</v>
      </c>
      <c r="EY152" s="139">
        <f t="shared" ref="EY152:EY183" si="185">IF(DO152="", "", DO152*P$36)</f>
        <v>0</v>
      </c>
      <c r="EZ152" s="139">
        <f t="shared" ref="EZ152:EZ183" si="186">IF(DP152="", "", DP152*Q$36)</f>
        <v>0</v>
      </c>
      <c r="FA152" s="139">
        <f t="shared" ref="FA152:FA183" si="187">IF(DQ152="", "", DQ152*R$36)</f>
        <v>0</v>
      </c>
      <c r="FB152" s="139">
        <f t="shared" ref="FB152:FB183" si="188">IF(DR152="", "", DR152*S$36)</f>
        <v>0</v>
      </c>
      <c r="FC152" s="139">
        <f t="shared" ref="FC152:FC183" si="189">IF(DS152="", "", DS152*T$36)</f>
        <v>0</v>
      </c>
      <c r="FD152" s="139">
        <f t="shared" ref="FD152:FD183" si="190">IF(DT152="", "", DT152*U$36)</f>
        <v>0</v>
      </c>
      <c r="FE152" s="139">
        <f t="shared" ref="FE152:FE183" si="191">IF(DU152="", "", DU152*V$36)</f>
        <v>0</v>
      </c>
      <c r="FF152" s="139">
        <f t="shared" ref="FF152:FF183" si="192">IF(DV152="", "", DV152*W$36)</f>
        <v>0</v>
      </c>
      <c r="FG152" s="139">
        <f t="shared" ref="FG152:FG183" si="193">IF(DW152="", "", DW152*X$36)</f>
        <v>0</v>
      </c>
      <c r="FH152" s="139">
        <f t="shared" ref="FH152:FH183" si="194">IF(DX152="", "", DX152*Y$36)</f>
        <v>0</v>
      </c>
      <c r="FI152" s="139">
        <f t="shared" ref="FI152:FI183" si="195">IF(DY152="", "", DY152*Z$36)</f>
        <v>0</v>
      </c>
      <c r="FJ152" s="139">
        <f t="shared" ref="FJ152:FJ183" si="196">IF(DZ152="", "", DZ152*AA$36)</f>
        <v>0</v>
      </c>
      <c r="FK152" s="139">
        <f t="shared" ref="FK152:FK183" si="197">IF(EA152="", "", EA152*AB$36)</f>
        <v>0</v>
      </c>
      <c r="FL152" s="139">
        <f t="shared" ref="FL152:FL183" si="198">IF(EB152="", "", EB152*AC$36)</f>
        <v>0</v>
      </c>
      <c r="FM152" s="139">
        <f t="shared" ref="FM152:FM183" si="199">IF(EC152="", "", EC152*AD$36)</f>
        <v>0</v>
      </c>
      <c r="FN152" s="139">
        <f t="shared" ref="FN152:FN183" si="200">IF(ED152="", "", ED152*AE$36)</f>
        <v>0</v>
      </c>
      <c r="FO152" s="139">
        <f t="shared" ref="FO152:FO183" si="201">IF(EE152="", "", EE152*AF$36)</f>
        <v>0</v>
      </c>
      <c r="FP152" s="139">
        <f t="shared" ref="FP152:FP183" si="202">IF(EF152="", "", EF152*AG$36)</f>
        <v>0</v>
      </c>
      <c r="FQ152" s="139">
        <f t="shared" ref="FQ152:FQ183" si="203">IF(EG152="", "", EG152*AH$36)</f>
        <v>0</v>
      </c>
      <c r="FR152" s="139">
        <f t="shared" ref="FR152:FR183" si="204">IF(EH152="", "", EH152*AI$36)</f>
        <v>0</v>
      </c>
      <c r="FS152" s="139">
        <f t="shared" ref="FS152:FS183" si="205">IF(EI152="", "", EI152*AJ$36)</f>
        <v>0</v>
      </c>
      <c r="FT152" s="139">
        <f t="shared" ref="FT152:FT183" si="206">IF(EJ152="", "", EJ152*AK$36)</f>
        <v>0</v>
      </c>
      <c r="FU152" s="148">
        <f t="shared" ref="FU152:FU183" si="207">IF(EP152="","",SUM(EP152:FT152))</f>
        <v>9.6333481921824795</v>
      </c>
      <c r="FV152" s="149"/>
      <c r="FY152" s="212">
        <v>147</v>
      </c>
      <c r="FZ152">
        <v>3.2421686653136343</v>
      </c>
      <c r="GA152">
        <v>6.3819947197842213</v>
      </c>
      <c r="GB152">
        <v>8.2028401169392904</v>
      </c>
      <c r="GC152">
        <v>4.0864074018600647</v>
      </c>
      <c r="GD152">
        <v>1.4319166994796841</v>
      </c>
      <c r="GE152">
        <v>3.025810978839016</v>
      </c>
      <c r="GF152">
        <v>9.335477440995275</v>
      </c>
      <c r="GG152">
        <v>8.8354543849956055</v>
      </c>
      <c r="GH152">
        <v>1.176065457108868</v>
      </c>
      <c r="GI152">
        <v>6.2174174740172123</v>
      </c>
      <c r="GJ152"/>
      <c r="GK152"/>
      <c r="GL152"/>
      <c r="GM152"/>
    </row>
    <row r="153" spans="1:195" s="7" customFormat="1">
      <c r="A153" s="77"/>
      <c r="B153" s="76">
        <f t="shared" ca="1" si="172"/>
        <v>0.40405820811904469</v>
      </c>
      <c r="C153">
        <v>2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34.722222222222221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12.069444444444441</v>
      </c>
      <c r="AO153">
        <v>10.276836111851557</v>
      </c>
      <c r="AP153">
        <v>48.571342018662065</v>
      </c>
      <c r="AQ153">
        <v>50.490089292227289</v>
      </c>
      <c r="AR153">
        <v>9.4279819267093181</v>
      </c>
      <c r="AS153">
        <v>52.539917817995487</v>
      </c>
      <c r="AT153">
        <v>6.5496440639927185</v>
      </c>
      <c r="AU153">
        <v>8.4974757577405384</v>
      </c>
      <c r="AV153"/>
      <c r="AW153"/>
      <c r="AX153" s="151"/>
      <c r="AY153" s="76">
        <f t="shared" ca="1" si="173"/>
        <v>0.11245488998470665</v>
      </c>
      <c r="AZ153">
        <v>6</v>
      </c>
      <c r="BA153" s="129">
        <f t="shared" si="171"/>
        <v>39847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1</v>
      </c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8">IF(AZ153="", "", RAND())</f>
        <v>0.57055918538285533</v>
      </c>
      <c r="CL153" s="179">
        <f t="shared" ref="CL153:CL207" si="209">IF(AZ153="", "", AZ153)</f>
        <v>6</v>
      </c>
      <c r="CM153" s="180">
        <f t="shared" ref="CM153:CM207" si="210">IF(AZ153="", "", BA153)</f>
        <v>39847</v>
      </c>
      <c r="CN153"/>
      <c r="CO153"/>
      <c r="CP153"/>
      <c r="CQ153"/>
      <c r="CR153"/>
      <c r="CS153"/>
      <c r="CT153"/>
      <c r="CU153"/>
      <c r="CV153" s="160"/>
      <c r="CW153">
        <v>1</v>
      </c>
      <c r="CX153">
        <v>1</v>
      </c>
      <c r="CY153" s="160"/>
      <c r="CZ153" s="177">
        <f t="shared" ref="CZ153:CZ207" si="211">IF(AZ153="", "", $G$15)</f>
        <v>9.6000000000000002E-2</v>
      </c>
      <c r="DB153" s="151"/>
      <c r="DC153" s="76">
        <f t="shared" ca="1" si="174"/>
        <v>0.85260111754448631</v>
      </c>
      <c r="DD153">
        <f t="shared" ref="DD153:DD207" si="212">IF(AZ153="", "", AZ153)</f>
        <v>6</v>
      </c>
      <c r="DE153" s="129">
        <f t="shared" si="170"/>
        <v>39847</v>
      </c>
      <c r="DF153" s="161">
        <f t="shared" ref="DF153:DF187" si="213">IF($AZ153="", "", ((BB153*$CW153)+(CN153*$CX153))/$CZ153)</f>
        <v>0</v>
      </c>
      <c r="DG153" s="161">
        <f t="shared" ref="DG153:DG187" si="214">IF($AZ153="", "", ((BC153*$CW153)+(CO153*$CX153))/$CZ153)</f>
        <v>0</v>
      </c>
      <c r="DH153" s="161">
        <f t="shared" ref="DH153:DH187" si="215">IF($AZ153="", "", ((BD153*$CW153)+(CP153*$CX153))/$CZ153)</f>
        <v>0</v>
      </c>
      <c r="DI153" s="161">
        <f t="shared" ref="DI153:DI187" si="216">IF($AZ153="", "", ((BE153*$CW153)+(CQ153*$CX153))/$CZ153)</f>
        <v>0</v>
      </c>
      <c r="DJ153" s="161">
        <f t="shared" ref="DJ153:DJ187" si="217">IF($AZ153="", "", ((BF153*$CW153)+(CR153*$CX153))/$CZ153)</f>
        <v>0</v>
      </c>
      <c r="DK153" s="161">
        <f t="shared" ref="DK153:DK187" si="218">IF($AZ153="", "", ((BG153*$CW153)+(CS153*$CX153))/$CZ153)</f>
        <v>0</v>
      </c>
      <c r="DL153" s="161">
        <f t="shared" ref="DL153:DL187" si="219">IF($AZ153="", "", ((BH153*$CW153)+(CT153*$CX153))/$CZ153)</f>
        <v>0</v>
      </c>
      <c r="DM153" s="161">
        <f t="shared" ref="DM153:DM187" si="220">IF($AZ153="", "", ((BI153*$CW153)+(CU153*$CX153))/$CZ153)</f>
        <v>0</v>
      </c>
      <c r="DN153" s="161">
        <f t="shared" ref="DN153:DN187" si="221">IF($AZ153="", "", (BJ153*$CW153)/$CZ153)</f>
        <v>0</v>
      </c>
      <c r="DO153" s="161">
        <f t="shared" ref="DO153:DO187" si="222">IF($AZ153="", "", (BK153*$CW153)/$CZ153)</f>
        <v>10.416666666666666</v>
      </c>
      <c r="DP153" s="161">
        <f t="shared" ref="DP153:DP187" si="223">IF($AZ153="", "", (BL153*$CW153)/$CZ153)</f>
        <v>0</v>
      </c>
      <c r="DQ153" s="161">
        <f t="shared" ref="DQ153:DQ187" si="224">IF($AZ153="", "", (BM153*$CW153)/$CZ153)</f>
        <v>0</v>
      </c>
      <c r="DR153" s="161">
        <f t="shared" ref="DR153:DR187" si="225">IF($AZ153="", "", (BN153*$CW153)/$CZ153)</f>
        <v>0</v>
      </c>
      <c r="DS153" s="161">
        <f t="shared" ref="DS153:DS187" si="226">IF($AZ153="", "", (BO153*$CW153)/$CZ153)</f>
        <v>0</v>
      </c>
      <c r="DT153" s="161">
        <f t="shared" ref="DT153:DT187" si="227">IF($AZ153="", "", (BP153*$CW153)/$CZ153)</f>
        <v>0</v>
      </c>
      <c r="DU153" s="161">
        <f t="shared" ref="DU153:DU187" si="228">IF($AZ153="", "", (BQ153*$CW153)/$CZ153)</f>
        <v>0</v>
      </c>
      <c r="DV153" s="161">
        <f t="shared" ref="DV153:DV187" si="229">IF($AZ153="", "", (BR153*$CW153)/$CZ153)</f>
        <v>0</v>
      </c>
      <c r="DW153" s="161">
        <f t="shared" ref="DW153:DW187" si="230">IF($AZ153="", "", (BS153*$CW153)/$CZ153)</f>
        <v>0</v>
      </c>
      <c r="DX153" s="161">
        <f t="shared" ref="DX153:DX187" si="231">IF($AZ153="", "", (BT153*$CW153)/$CZ153)</f>
        <v>0</v>
      </c>
      <c r="DY153" s="161">
        <f t="shared" ref="DY153:DY187" si="232">IF($AZ153="", "", (BU153*$CW153)/$CZ153)</f>
        <v>0</v>
      </c>
      <c r="DZ153" s="161">
        <f t="shared" ref="DZ153:DZ187" si="233">IF($AZ153="", "", (BV153*$CW153)/$CZ153)</f>
        <v>0</v>
      </c>
      <c r="EA153" s="161">
        <f t="shared" ref="EA153:EA187" si="234">IF($AZ153="", "", (BW153*$CW153)/$CZ153)</f>
        <v>0</v>
      </c>
      <c r="EB153" s="161">
        <f t="shared" ref="EB153:EB187" si="235">IF($AZ153="", "", (BX153*$CW153)/$CZ153)</f>
        <v>0</v>
      </c>
      <c r="EC153" s="161">
        <f t="shared" ref="EC153:EC187" si="236">IF($AZ153="", "", (BY153*$CW153)/$CZ153)</f>
        <v>0</v>
      </c>
      <c r="ED153" s="161">
        <f t="shared" ref="ED153:ED187" si="237">IF($AZ153="", "", (BZ153*$CW153)/$CZ153)</f>
        <v>0</v>
      </c>
      <c r="EE153" s="161">
        <f t="shared" ref="EE153:EE187" si="238">IF($AZ153="", "", (CA153*$CW153)/$CZ153)</f>
        <v>0</v>
      </c>
      <c r="EF153" s="161">
        <f t="shared" ref="EF153:EF187" si="239">IF($AZ153="", "", (CB153*$CW153)/$CZ153)</f>
        <v>0</v>
      </c>
      <c r="EG153" s="161">
        <f t="shared" ref="EG153:EG187" si="240">IF($AZ153="", "", (CC153*$CW153)/$CZ153)</f>
        <v>0</v>
      </c>
      <c r="EH153" s="161">
        <f t="shared" ref="EH153:EH187" si="241">IF($AZ153="", "", (CD153*$CW153)/$CZ153)</f>
        <v>0</v>
      </c>
      <c r="EI153" s="161">
        <f t="shared" ref="EI153:EI187" si="242">IF($AZ153="", "", (CE153*$CW153)/$CZ153)</f>
        <v>0</v>
      </c>
      <c r="EJ153" s="161">
        <f t="shared" ref="EJ153:EJ187" si="243">IF($AZ153="", "", (CF153*$CW153)/$CZ153)</f>
        <v>0</v>
      </c>
      <c r="EK153" s="147">
        <f t="shared" si="175"/>
        <v>10.416666666666666</v>
      </c>
      <c r="EL153" s="149"/>
      <c r="EN153" s="151"/>
      <c r="EO153" s="151"/>
      <c r="EP153" s="139">
        <f t="shared" si="176"/>
        <v>0</v>
      </c>
      <c r="EQ153" s="139">
        <f t="shared" si="177"/>
        <v>0</v>
      </c>
      <c r="ER153" s="139">
        <f t="shared" si="178"/>
        <v>0</v>
      </c>
      <c r="ES153" s="139">
        <f t="shared" si="179"/>
        <v>0</v>
      </c>
      <c r="ET153" s="139">
        <f t="shared" si="180"/>
        <v>0</v>
      </c>
      <c r="EU153" s="139">
        <f t="shared" si="181"/>
        <v>0</v>
      </c>
      <c r="EV153" s="139">
        <f t="shared" si="182"/>
        <v>0</v>
      </c>
      <c r="EW153" s="139">
        <f t="shared" si="183"/>
        <v>0</v>
      </c>
      <c r="EX153" s="139">
        <f t="shared" si="184"/>
        <v>0</v>
      </c>
      <c r="EY153" s="139">
        <f t="shared" si="185"/>
        <v>36.81206073671931</v>
      </c>
      <c r="EZ153" s="139">
        <f t="shared" si="186"/>
        <v>0</v>
      </c>
      <c r="FA153" s="139">
        <f t="shared" si="187"/>
        <v>0</v>
      </c>
      <c r="FB153" s="139">
        <f t="shared" si="188"/>
        <v>0</v>
      </c>
      <c r="FC153" s="139">
        <f t="shared" si="189"/>
        <v>0</v>
      </c>
      <c r="FD153" s="139">
        <f t="shared" si="190"/>
        <v>0</v>
      </c>
      <c r="FE153" s="139">
        <f t="shared" si="191"/>
        <v>0</v>
      </c>
      <c r="FF153" s="139">
        <f t="shared" si="192"/>
        <v>0</v>
      </c>
      <c r="FG153" s="139">
        <f t="shared" si="193"/>
        <v>0</v>
      </c>
      <c r="FH153" s="139">
        <f t="shared" si="194"/>
        <v>0</v>
      </c>
      <c r="FI153" s="139">
        <f t="shared" si="195"/>
        <v>0</v>
      </c>
      <c r="FJ153" s="139">
        <f t="shared" si="196"/>
        <v>0</v>
      </c>
      <c r="FK153" s="139">
        <f t="shared" si="197"/>
        <v>0</v>
      </c>
      <c r="FL153" s="139">
        <f t="shared" si="198"/>
        <v>0</v>
      </c>
      <c r="FM153" s="139">
        <f t="shared" si="199"/>
        <v>0</v>
      </c>
      <c r="FN153" s="139">
        <f t="shared" si="200"/>
        <v>0</v>
      </c>
      <c r="FO153" s="139">
        <f t="shared" si="201"/>
        <v>0</v>
      </c>
      <c r="FP153" s="139">
        <f t="shared" si="202"/>
        <v>0</v>
      </c>
      <c r="FQ153" s="139">
        <f t="shared" si="203"/>
        <v>0</v>
      </c>
      <c r="FR153" s="139">
        <f t="shared" si="204"/>
        <v>0</v>
      </c>
      <c r="FS153" s="139">
        <f t="shared" si="205"/>
        <v>0</v>
      </c>
      <c r="FT153" s="139">
        <f t="shared" si="206"/>
        <v>0</v>
      </c>
      <c r="FU153" s="148">
        <f t="shared" si="207"/>
        <v>36.81206073671931</v>
      </c>
      <c r="FV153" s="149"/>
      <c r="FY153" s="212">
        <v>148</v>
      </c>
      <c r="FZ153">
        <v>3.3459050774384504</v>
      </c>
      <c r="GA153">
        <v>6.5576506681811066</v>
      </c>
      <c r="GB153">
        <v>6.5145277940569777</v>
      </c>
      <c r="GC153">
        <v>3.5325726223366685</v>
      </c>
      <c r="GD153">
        <v>1.2333800034519875</v>
      </c>
      <c r="GE153">
        <v>3.7374804062286566</v>
      </c>
      <c r="GF153">
        <v>10.11816783162913</v>
      </c>
      <c r="GG153">
        <v>7.7344694731124237</v>
      </c>
      <c r="GH153">
        <v>3.1256716373921836</v>
      </c>
      <c r="GI153">
        <v>6.0702960587368544</v>
      </c>
      <c r="GJ153"/>
      <c r="GK153"/>
      <c r="GL153"/>
      <c r="GM153"/>
    </row>
    <row r="154" spans="1:195" s="7" customFormat="1">
      <c r="A154" s="77"/>
      <c r="B154" s="76">
        <f t="shared" ca="1" si="172"/>
        <v>0.5982946346872362</v>
      </c>
      <c r="C154">
        <v>10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10.416666666666666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18.37466778880227</v>
      </c>
      <c r="AO154">
        <v>11.801592440938471</v>
      </c>
      <c r="AP154">
        <v>64.895896249173802</v>
      </c>
      <c r="AQ154">
        <v>56.32012511225814</v>
      </c>
      <c r="AR154">
        <v>10.847793011327679</v>
      </c>
      <c r="AS154">
        <v>59.306681539486554</v>
      </c>
      <c r="AT154">
        <v>6.6184366386370757</v>
      </c>
      <c r="AU154">
        <v>17.346535262469509</v>
      </c>
      <c r="AV154"/>
      <c r="AW154"/>
      <c r="AX154" s="151"/>
      <c r="AY154" s="76">
        <f t="shared" ca="1" si="173"/>
        <v>0.15662357535464655</v>
      </c>
      <c r="AZ154">
        <v>7</v>
      </c>
      <c r="BA154" s="129">
        <f t="shared" si="171"/>
        <v>39847</v>
      </c>
      <c r="BB154">
        <v>0</v>
      </c>
      <c r="BC154">
        <v>0</v>
      </c>
      <c r="BD154">
        <v>0</v>
      </c>
      <c r="BE154">
        <v>0</v>
      </c>
      <c r="BF154">
        <v>1</v>
      </c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8"/>
        <v>0.82819311857473377</v>
      </c>
      <c r="CL154" s="179">
        <f t="shared" si="209"/>
        <v>7</v>
      </c>
      <c r="CM154" s="180">
        <f t="shared" si="210"/>
        <v>39847</v>
      </c>
      <c r="CN154"/>
      <c r="CO154"/>
      <c r="CP154"/>
      <c r="CQ154"/>
      <c r="CR154"/>
      <c r="CS154"/>
      <c r="CT154"/>
      <c r="CU154"/>
      <c r="CV154" s="160"/>
      <c r="CW154">
        <v>1</v>
      </c>
      <c r="CX154">
        <v>1</v>
      </c>
      <c r="CY154" s="165"/>
      <c r="CZ154" s="177">
        <f t="shared" si="211"/>
        <v>9.6000000000000002E-2</v>
      </c>
      <c r="DB154" s="151"/>
      <c r="DC154" s="76">
        <f t="shared" ca="1" si="174"/>
        <v>0.81459654433897111</v>
      </c>
      <c r="DD154">
        <f t="shared" si="212"/>
        <v>7</v>
      </c>
      <c r="DE154" s="129">
        <f t="shared" si="170"/>
        <v>39847</v>
      </c>
      <c r="DF154" s="161">
        <f t="shared" si="213"/>
        <v>0</v>
      </c>
      <c r="DG154" s="161">
        <f t="shared" si="214"/>
        <v>0</v>
      </c>
      <c r="DH154" s="161">
        <f t="shared" si="215"/>
        <v>0</v>
      </c>
      <c r="DI154" s="161">
        <f t="shared" si="216"/>
        <v>0</v>
      </c>
      <c r="DJ154" s="161">
        <f t="shared" si="217"/>
        <v>10.416666666666666</v>
      </c>
      <c r="DK154" s="161">
        <f t="shared" si="218"/>
        <v>0</v>
      </c>
      <c r="DL154" s="161">
        <f t="shared" si="219"/>
        <v>0</v>
      </c>
      <c r="DM154" s="161">
        <f t="shared" si="220"/>
        <v>0</v>
      </c>
      <c r="DN154" s="161">
        <f t="shared" si="221"/>
        <v>0</v>
      </c>
      <c r="DO154" s="161">
        <f t="shared" si="222"/>
        <v>0</v>
      </c>
      <c r="DP154" s="161">
        <f t="shared" si="223"/>
        <v>0</v>
      </c>
      <c r="DQ154" s="161">
        <f t="shared" si="224"/>
        <v>0</v>
      </c>
      <c r="DR154" s="161">
        <f t="shared" si="225"/>
        <v>0</v>
      </c>
      <c r="DS154" s="161">
        <f t="shared" si="226"/>
        <v>0</v>
      </c>
      <c r="DT154" s="161">
        <f t="shared" si="227"/>
        <v>0</v>
      </c>
      <c r="DU154" s="161">
        <f t="shared" si="228"/>
        <v>0</v>
      </c>
      <c r="DV154" s="161">
        <f t="shared" si="229"/>
        <v>0</v>
      </c>
      <c r="DW154" s="161">
        <f t="shared" si="230"/>
        <v>0</v>
      </c>
      <c r="DX154" s="161">
        <f t="shared" si="231"/>
        <v>0</v>
      </c>
      <c r="DY154" s="161">
        <f t="shared" si="232"/>
        <v>0</v>
      </c>
      <c r="DZ154" s="161">
        <f t="shared" si="233"/>
        <v>0</v>
      </c>
      <c r="EA154" s="161">
        <f t="shared" si="234"/>
        <v>0</v>
      </c>
      <c r="EB154" s="161">
        <f t="shared" si="235"/>
        <v>0</v>
      </c>
      <c r="EC154" s="161">
        <f t="shared" si="236"/>
        <v>0</v>
      </c>
      <c r="ED154" s="161">
        <f t="shared" si="237"/>
        <v>0</v>
      </c>
      <c r="EE154" s="161">
        <f t="shared" si="238"/>
        <v>0</v>
      </c>
      <c r="EF154" s="161">
        <f t="shared" si="239"/>
        <v>0</v>
      </c>
      <c r="EG154" s="161">
        <f t="shared" si="240"/>
        <v>0</v>
      </c>
      <c r="EH154" s="161">
        <f t="shared" si="241"/>
        <v>0</v>
      </c>
      <c r="EI154" s="161">
        <f t="shared" si="242"/>
        <v>0</v>
      </c>
      <c r="EJ154" s="161">
        <f t="shared" si="243"/>
        <v>0</v>
      </c>
      <c r="EK154" s="147">
        <f t="shared" si="175"/>
        <v>10.416666666666666</v>
      </c>
      <c r="EL154" s="149"/>
      <c r="EN154" s="151"/>
      <c r="EO154" s="151"/>
      <c r="EP154" s="139">
        <f t="shared" si="176"/>
        <v>0</v>
      </c>
      <c r="EQ154" s="139">
        <f t="shared" si="177"/>
        <v>0</v>
      </c>
      <c r="ER154" s="139">
        <f t="shared" si="178"/>
        <v>0</v>
      </c>
      <c r="ES154" s="139">
        <f t="shared" si="179"/>
        <v>0</v>
      </c>
      <c r="ET154" s="139">
        <f t="shared" si="180"/>
        <v>2.2255564645651158</v>
      </c>
      <c r="EU154" s="139">
        <f t="shared" si="181"/>
        <v>0</v>
      </c>
      <c r="EV154" s="139">
        <f t="shared" si="182"/>
        <v>0</v>
      </c>
      <c r="EW154" s="139">
        <f t="shared" si="183"/>
        <v>0</v>
      </c>
      <c r="EX154" s="139">
        <f t="shared" si="184"/>
        <v>0</v>
      </c>
      <c r="EY154" s="139">
        <f t="shared" si="185"/>
        <v>0</v>
      </c>
      <c r="EZ154" s="139">
        <f t="shared" si="186"/>
        <v>0</v>
      </c>
      <c r="FA154" s="139">
        <f t="shared" si="187"/>
        <v>0</v>
      </c>
      <c r="FB154" s="139">
        <f t="shared" si="188"/>
        <v>0</v>
      </c>
      <c r="FC154" s="139">
        <f t="shared" si="189"/>
        <v>0</v>
      </c>
      <c r="FD154" s="139">
        <f t="shared" si="190"/>
        <v>0</v>
      </c>
      <c r="FE154" s="139">
        <f t="shared" si="191"/>
        <v>0</v>
      </c>
      <c r="FF154" s="139">
        <f t="shared" si="192"/>
        <v>0</v>
      </c>
      <c r="FG154" s="139">
        <f t="shared" si="193"/>
        <v>0</v>
      </c>
      <c r="FH154" s="139">
        <f t="shared" si="194"/>
        <v>0</v>
      </c>
      <c r="FI154" s="139">
        <f t="shared" si="195"/>
        <v>0</v>
      </c>
      <c r="FJ154" s="139">
        <f t="shared" si="196"/>
        <v>0</v>
      </c>
      <c r="FK154" s="139">
        <f t="shared" si="197"/>
        <v>0</v>
      </c>
      <c r="FL154" s="139">
        <f t="shared" si="198"/>
        <v>0</v>
      </c>
      <c r="FM154" s="139">
        <f t="shared" si="199"/>
        <v>0</v>
      </c>
      <c r="FN154" s="139">
        <f t="shared" si="200"/>
        <v>0</v>
      </c>
      <c r="FO154" s="139">
        <f t="shared" si="201"/>
        <v>0</v>
      </c>
      <c r="FP154" s="139">
        <f t="shared" si="202"/>
        <v>0</v>
      </c>
      <c r="FQ154" s="139">
        <f t="shared" si="203"/>
        <v>0</v>
      </c>
      <c r="FR154" s="139">
        <f t="shared" si="204"/>
        <v>0</v>
      </c>
      <c r="FS154" s="139">
        <f t="shared" si="205"/>
        <v>0</v>
      </c>
      <c r="FT154" s="139">
        <f t="shared" si="206"/>
        <v>0</v>
      </c>
      <c r="FU154" s="148">
        <f t="shared" si="207"/>
        <v>2.2255564645651158</v>
      </c>
      <c r="FV154" s="149"/>
      <c r="FY154" s="212">
        <v>149</v>
      </c>
      <c r="FZ154">
        <v>3.2929261192307662</v>
      </c>
      <c r="GA154">
        <v>4.6183396634715042</v>
      </c>
      <c r="GB154">
        <v>6.2998891040966161</v>
      </c>
      <c r="GC154">
        <v>3.5645195655745656</v>
      </c>
      <c r="GD154">
        <v>1.5705667686840037</v>
      </c>
      <c r="GE154">
        <v>3.9117826137960119</v>
      </c>
      <c r="GF154">
        <v>5.8506921243398509</v>
      </c>
      <c r="GG154">
        <v>3.5192282285083403</v>
      </c>
      <c r="GH154">
        <v>1.2373569330846168</v>
      </c>
      <c r="GI154">
        <v>4.6992446198407762</v>
      </c>
      <c r="GJ154"/>
      <c r="GK154"/>
      <c r="GL154"/>
      <c r="GM154"/>
    </row>
    <row r="155" spans="1:195" s="7" customFormat="1">
      <c r="A155" s="77"/>
      <c r="B155" s="76">
        <f t="shared" ca="1" si="172"/>
        <v>0.30732050693473578</v>
      </c>
      <c r="C155">
        <v>3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19.736659874793293</v>
      </c>
      <c r="AO155">
        <v>10.473482680200913</v>
      </c>
      <c r="AP155">
        <v>143.43729316825193</v>
      </c>
      <c r="AQ155">
        <v>56.682912832915456</v>
      </c>
      <c r="AR155">
        <v>9.6184717204049281</v>
      </c>
      <c r="AS155">
        <v>52.261386676892222</v>
      </c>
      <c r="AT155" t="e">
        <v>#DIV/0!</v>
      </c>
      <c r="AU155" t="e">
        <v>#DIV/0!</v>
      </c>
      <c r="AV155"/>
      <c r="AW155"/>
      <c r="AX155" s="151"/>
      <c r="AY155" s="76">
        <f t="shared" ca="1" si="173"/>
        <v>0.56244872467313201</v>
      </c>
      <c r="AZ155">
        <v>8</v>
      </c>
      <c r="BA155" s="129">
        <f t="shared" si="171"/>
        <v>39847</v>
      </c>
      <c r="BB155">
        <v>0</v>
      </c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8"/>
        <v>0.6654414756325302</v>
      </c>
      <c r="CL155" s="179">
        <f t="shared" si="209"/>
        <v>8</v>
      </c>
      <c r="CM155" s="180">
        <f t="shared" si="210"/>
        <v>39847</v>
      </c>
      <c r="CN155">
        <v>0</v>
      </c>
      <c r="CO155"/>
      <c r="CP155"/>
      <c r="CQ155"/>
      <c r="CR155"/>
      <c r="CS155"/>
      <c r="CT155"/>
      <c r="CU155"/>
      <c r="CV155" s="160"/>
      <c r="CW155">
        <v>1</v>
      </c>
      <c r="CX155">
        <f>360/54</f>
        <v>6.666666666666667</v>
      </c>
      <c r="CY155" s="165"/>
      <c r="CZ155" s="177">
        <f t="shared" si="211"/>
        <v>9.6000000000000002E-2</v>
      </c>
      <c r="DB155" s="151"/>
      <c r="DC155" s="76">
        <f t="shared" ca="1" si="174"/>
        <v>0.43479727315744388</v>
      </c>
      <c r="DD155">
        <f t="shared" si="212"/>
        <v>8</v>
      </c>
      <c r="DE155" s="129">
        <f t="shared" si="170"/>
        <v>39847</v>
      </c>
      <c r="DF155" s="161">
        <f t="shared" si="213"/>
        <v>0</v>
      </c>
      <c r="DG155" s="161">
        <f t="shared" si="214"/>
        <v>0</v>
      </c>
      <c r="DH155" s="161">
        <f t="shared" si="215"/>
        <v>0</v>
      </c>
      <c r="DI155" s="161">
        <f t="shared" si="216"/>
        <v>0</v>
      </c>
      <c r="DJ155" s="161">
        <f t="shared" si="217"/>
        <v>0</v>
      </c>
      <c r="DK155" s="161">
        <f t="shared" si="218"/>
        <v>0</v>
      </c>
      <c r="DL155" s="161">
        <f t="shared" si="219"/>
        <v>0</v>
      </c>
      <c r="DM155" s="161">
        <f t="shared" si="220"/>
        <v>0</v>
      </c>
      <c r="DN155" s="161">
        <f t="shared" si="221"/>
        <v>0</v>
      </c>
      <c r="DO155" s="161">
        <f t="shared" si="222"/>
        <v>0</v>
      </c>
      <c r="DP155" s="161">
        <f t="shared" si="223"/>
        <v>0</v>
      </c>
      <c r="DQ155" s="161">
        <f t="shared" si="224"/>
        <v>0</v>
      </c>
      <c r="DR155" s="161">
        <f t="shared" si="225"/>
        <v>0</v>
      </c>
      <c r="DS155" s="161">
        <f t="shared" si="226"/>
        <v>0</v>
      </c>
      <c r="DT155" s="161">
        <f t="shared" si="227"/>
        <v>0</v>
      </c>
      <c r="DU155" s="161">
        <f t="shared" si="228"/>
        <v>0</v>
      </c>
      <c r="DV155" s="161">
        <f t="shared" si="229"/>
        <v>0</v>
      </c>
      <c r="DW155" s="161">
        <f t="shared" si="230"/>
        <v>0</v>
      </c>
      <c r="DX155" s="161">
        <f t="shared" si="231"/>
        <v>0</v>
      </c>
      <c r="DY155" s="161">
        <f t="shared" si="232"/>
        <v>0</v>
      </c>
      <c r="DZ155" s="161">
        <f t="shared" si="233"/>
        <v>0</v>
      </c>
      <c r="EA155" s="161">
        <f t="shared" si="234"/>
        <v>0</v>
      </c>
      <c r="EB155" s="161">
        <f t="shared" si="235"/>
        <v>0</v>
      </c>
      <c r="EC155" s="161">
        <f t="shared" si="236"/>
        <v>0</v>
      </c>
      <c r="ED155" s="161">
        <f t="shared" si="237"/>
        <v>0</v>
      </c>
      <c r="EE155" s="161">
        <f t="shared" si="238"/>
        <v>0</v>
      </c>
      <c r="EF155" s="161">
        <f t="shared" si="239"/>
        <v>0</v>
      </c>
      <c r="EG155" s="161">
        <f t="shared" si="240"/>
        <v>0</v>
      </c>
      <c r="EH155" s="161">
        <f t="shared" si="241"/>
        <v>0</v>
      </c>
      <c r="EI155" s="161">
        <f t="shared" si="242"/>
        <v>0</v>
      </c>
      <c r="EJ155" s="161">
        <f t="shared" si="243"/>
        <v>0</v>
      </c>
      <c r="EK155" s="147">
        <f t="shared" si="175"/>
        <v>0</v>
      </c>
      <c r="EL155" s="149"/>
      <c r="EN155" s="151"/>
      <c r="EO155" s="151"/>
      <c r="EP155" s="139">
        <f t="shared" si="176"/>
        <v>0</v>
      </c>
      <c r="EQ155" s="139">
        <f t="shared" si="177"/>
        <v>0</v>
      </c>
      <c r="ER155" s="139">
        <f t="shared" si="178"/>
        <v>0</v>
      </c>
      <c r="ES155" s="139">
        <f t="shared" si="179"/>
        <v>0</v>
      </c>
      <c r="ET155" s="139">
        <f t="shared" si="180"/>
        <v>0</v>
      </c>
      <c r="EU155" s="139">
        <f t="shared" si="181"/>
        <v>0</v>
      </c>
      <c r="EV155" s="139">
        <f t="shared" si="182"/>
        <v>0</v>
      </c>
      <c r="EW155" s="139">
        <f t="shared" si="183"/>
        <v>0</v>
      </c>
      <c r="EX155" s="139">
        <f t="shared" si="184"/>
        <v>0</v>
      </c>
      <c r="EY155" s="139">
        <f t="shared" si="185"/>
        <v>0</v>
      </c>
      <c r="EZ155" s="139">
        <f t="shared" si="186"/>
        <v>0</v>
      </c>
      <c r="FA155" s="139">
        <f t="shared" si="187"/>
        <v>0</v>
      </c>
      <c r="FB155" s="139">
        <f t="shared" si="188"/>
        <v>0</v>
      </c>
      <c r="FC155" s="139">
        <f t="shared" si="189"/>
        <v>0</v>
      </c>
      <c r="FD155" s="139">
        <f t="shared" si="190"/>
        <v>0</v>
      </c>
      <c r="FE155" s="139">
        <f t="shared" si="191"/>
        <v>0</v>
      </c>
      <c r="FF155" s="139">
        <f t="shared" si="192"/>
        <v>0</v>
      </c>
      <c r="FG155" s="139">
        <f t="shared" si="193"/>
        <v>0</v>
      </c>
      <c r="FH155" s="139">
        <f t="shared" si="194"/>
        <v>0</v>
      </c>
      <c r="FI155" s="139">
        <f t="shared" si="195"/>
        <v>0</v>
      </c>
      <c r="FJ155" s="139">
        <f t="shared" si="196"/>
        <v>0</v>
      </c>
      <c r="FK155" s="139">
        <f t="shared" si="197"/>
        <v>0</v>
      </c>
      <c r="FL155" s="139">
        <f t="shared" si="198"/>
        <v>0</v>
      </c>
      <c r="FM155" s="139">
        <f t="shared" si="199"/>
        <v>0</v>
      </c>
      <c r="FN155" s="139">
        <f t="shared" si="200"/>
        <v>0</v>
      </c>
      <c r="FO155" s="139">
        <f t="shared" si="201"/>
        <v>0</v>
      </c>
      <c r="FP155" s="139">
        <f t="shared" si="202"/>
        <v>0</v>
      </c>
      <c r="FQ155" s="139">
        <f t="shared" si="203"/>
        <v>0</v>
      </c>
      <c r="FR155" s="139">
        <f t="shared" si="204"/>
        <v>0</v>
      </c>
      <c r="FS155" s="139">
        <f t="shared" si="205"/>
        <v>0</v>
      </c>
      <c r="FT155" s="139">
        <f t="shared" si="206"/>
        <v>0</v>
      </c>
      <c r="FU155" s="148">
        <f t="shared" si="207"/>
        <v>0</v>
      </c>
      <c r="FV155" s="149"/>
      <c r="FY155" s="212">
        <v>150</v>
      </c>
      <c r="FZ155">
        <v>9.604688106539788</v>
      </c>
      <c r="GA155">
        <v>14.477563561169543</v>
      </c>
      <c r="GB155">
        <v>6.1761151639496914</v>
      </c>
      <c r="GC155">
        <v>2.5507506983907149</v>
      </c>
      <c r="GD155">
        <v>0.51525449077021257</v>
      </c>
      <c r="GE155">
        <v>3.1184125927302766</v>
      </c>
      <c r="GF155">
        <v>11.848211118659826</v>
      </c>
      <c r="GG155">
        <v>9.194320070612962</v>
      </c>
      <c r="GH155">
        <v>2.0012737304942649</v>
      </c>
      <c r="GI155">
        <v>6.5186629200540986</v>
      </c>
      <c r="GJ155"/>
      <c r="GK155"/>
      <c r="GL155"/>
      <c r="GM155"/>
    </row>
    <row r="156" spans="1:195" s="7" customFormat="1">
      <c r="A156" s="77"/>
      <c r="B156" s="76">
        <f t="shared" ca="1" si="172"/>
        <v>0.8639442191918878</v>
      </c>
      <c r="C156">
        <v>8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17.338439542483659</v>
      </c>
      <c r="AO156">
        <v>12.204665530939341</v>
      </c>
      <c r="AP156">
        <v>83.936678614395603</v>
      </c>
      <c r="AQ156">
        <v>63.05006529157923</v>
      </c>
      <c r="AR156">
        <v>11.204167450094431</v>
      </c>
      <c r="AS156">
        <v>60.813652190975915</v>
      </c>
      <c r="AT156">
        <v>8.0219036097790095</v>
      </c>
      <c r="AU156">
        <v>22.728679017768791</v>
      </c>
      <c r="AV156"/>
      <c r="AW156"/>
      <c r="AX156" s="151"/>
      <c r="AY156" s="76">
        <f t="shared" ca="1" si="173"/>
        <v>0.46308243034441166</v>
      </c>
      <c r="AZ156">
        <v>9</v>
      </c>
      <c r="BA156" s="129">
        <f t="shared" si="171"/>
        <v>39847</v>
      </c>
      <c r="BB156">
        <v>0</v>
      </c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8"/>
        <v>0.32894242284540898</v>
      </c>
      <c r="CL156" s="179">
        <f t="shared" si="209"/>
        <v>9</v>
      </c>
      <c r="CM156" s="180">
        <f t="shared" si="210"/>
        <v>39847</v>
      </c>
      <c r="CN156">
        <v>0</v>
      </c>
      <c r="CO156"/>
      <c r="CP156"/>
      <c r="CQ156"/>
      <c r="CR156"/>
      <c r="CS156"/>
      <c r="CT156"/>
      <c r="CU156"/>
      <c r="CV156" s="160"/>
      <c r="CW156">
        <v>1</v>
      </c>
      <c r="CX156">
        <f>350/56</f>
        <v>6.25</v>
      </c>
      <c r="CY156" s="165"/>
      <c r="CZ156" s="177">
        <f t="shared" si="211"/>
        <v>9.6000000000000002E-2</v>
      </c>
      <c r="DB156" s="151"/>
      <c r="DC156" s="76">
        <f t="shared" ca="1" si="174"/>
        <v>0.28783941288827819</v>
      </c>
      <c r="DD156">
        <f t="shared" si="212"/>
        <v>9</v>
      </c>
      <c r="DE156" s="129">
        <f t="shared" si="170"/>
        <v>39847</v>
      </c>
      <c r="DF156" s="161">
        <f t="shared" si="213"/>
        <v>0</v>
      </c>
      <c r="DG156" s="161">
        <f t="shared" si="214"/>
        <v>0</v>
      </c>
      <c r="DH156" s="161">
        <f t="shared" si="215"/>
        <v>0</v>
      </c>
      <c r="DI156" s="161">
        <f t="shared" si="216"/>
        <v>0</v>
      </c>
      <c r="DJ156" s="161">
        <f t="shared" si="217"/>
        <v>0</v>
      </c>
      <c r="DK156" s="161">
        <f t="shared" si="218"/>
        <v>0</v>
      </c>
      <c r="DL156" s="161">
        <f t="shared" si="219"/>
        <v>0</v>
      </c>
      <c r="DM156" s="161">
        <f t="shared" si="220"/>
        <v>0</v>
      </c>
      <c r="DN156" s="161">
        <f t="shared" si="221"/>
        <v>0</v>
      </c>
      <c r="DO156" s="161">
        <f t="shared" si="222"/>
        <v>0</v>
      </c>
      <c r="DP156" s="161">
        <f t="shared" si="223"/>
        <v>0</v>
      </c>
      <c r="DQ156" s="161">
        <f t="shared" si="224"/>
        <v>0</v>
      </c>
      <c r="DR156" s="161">
        <f t="shared" si="225"/>
        <v>0</v>
      </c>
      <c r="DS156" s="161">
        <f t="shared" si="226"/>
        <v>0</v>
      </c>
      <c r="DT156" s="161">
        <f t="shared" si="227"/>
        <v>0</v>
      </c>
      <c r="DU156" s="161">
        <f t="shared" si="228"/>
        <v>0</v>
      </c>
      <c r="DV156" s="161">
        <f t="shared" si="229"/>
        <v>0</v>
      </c>
      <c r="DW156" s="161">
        <f t="shared" si="230"/>
        <v>0</v>
      </c>
      <c r="DX156" s="161">
        <f t="shared" si="231"/>
        <v>0</v>
      </c>
      <c r="DY156" s="161">
        <f t="shared" si="232"/>
        <v>0</v>
      </c>
      <c r="DZ156" s="161">
        <f t="shared" si="233"/>
        <v>0</v>
      </c>
      <c r="EA156" s="161">
        <f t="shared" si="234"/>
        <v>0</v>
      </c>
      <c r="EB156" s="161">
        <f t="shared" si="235"/>
        <v>0</v>
      </c>
      <c r="EC156" s="161">
        <f t="shared" si="236"/>
        <v>0</v>
      </c>
      <c r="ED156" s="161">
        <f t="shared" si="237"/>
        <v>0</v>
      </c>
      <c r="EE156" s="161">
        <f t="shared" si="238"/>
        <v>0</v>
      </c>
      <c r="EF156" s="161">
        <f t="shared" si="239"/>
        <v>0</v>
      </c>
      <c r="EG156" s="161">
        <f t="shared" si="240"/>
        <v>0</v>
      </c>
      <c r="EH156" s="161">
        <f t="shared" si="241"/>
        <v>0</v>
      </c>
      <c r="EI156" s="161">
        <f t="shared" si="242"/>
        <v>0</v>
      </c>
      <c r="EJ156" s="161">
        <f t="shared" si="243"/>
        <v>0</v>
      </c>
      <c r="EK156" s="147">
        <f t="shared" si="175"/>
        <v>0</v>
      </c>
      <c r="EL156" s="149"/>
      <c r="EN156" s="151"/>
      <c r="EO156" s="151"/>
      <c r="EP156" s="139">
        <f t="shared" si="176"/>
        <v>0</v>
      </c>
      <c r="EQ156" s="139">
        <f t="shared" si="177"/>
        <v>0</v>
      </c>
      <c r="ER156" s="139">
        <f t="shared" si="178"/>
        <v>0</v>
      </c>
      <c r="ES156" s="139">
        <f t="shared" si="179"/>
        <v>0</v>
      </c>
      <c r="ET156" s="139">
        <f t="shared" si="180"/>
        <v>0</v>
      </c>
      <c r="EU156" s="139">
        <f t="shared" si="181"/>
        <v>0</v>
      </c>
      <c r="EV156" s="139">
        <f t="shared" si="182"/>
        <v>0</v>
      </c>
      <c r="EW156" s="139">
        <f t="shared" si="183"/>
        <v>0</v>
      </c>
      <c r="EX156" s="139">
        <f t="shared" si="184"/>
        <v>0</v>
      </c>
      <c r="EY156" s="139">
        <f t="shared" si="185"/>
        <v>0</v>
      </c>
      <c r="EZ156" s="139">
        <f t="shared" si="186"/>
        <v>0</v>
      </c>
      <c r="FA156" s="139">
        <f t="shared" si="187"/>
        <v>0</v>
      </c>
      <c r="FB156" s="139">
        <f t="shared" si="188"/>
        <v>0</v>
      </c>
      <c r="FC156" s="139">
        <f t="shared" si="189"/>
        <v>0</v>
      </c>
      <c r="FD156" s="139">
        <f t="shared" si="190"/>
        <v>0</v>
      </c>
      <c r="FE156" s="139">
        <f t="shared" si="191"/>
        <v>0</v>
      </c>
      <c r="FF156" s="139">
        <f t="shared" si="192"/>
        <v>0</v>
      </c>
      <c r="FG156" s="139">
        <f t="shared" si="193"/>
        <v>0</v>
      </c>
      <c r="FH156" s="139">
        <f t="shared" si="194"/>
        <v>0</v>
      </c>
      <c r="FI156" s="139">
        <f t="shared" si="195"/>
        <v>0</v>
      </c>
      <c r="FJ156" s="139">
        <f t="shared" si="196"/>
        <v>0</v>
      </c>
      <c r="FK156" s="139">
        <f t="shared" si="197"/>
        <v>0</v>
      </c>
      <c r="FL156" s="139">
        <f t="shared" si="198"/>
        <v>0</v>
      </c>
      <c r="FM156" s="139">
        <f t="shared" si="199"/>
        <v>0</v>
      </c>
      <c r="FN156" s="139">
        <f t="shared" si="200"/>
        <v>0</v>
      </c>
      <c r="FO156" s="139">
        <f t="shared" si="201"/>
        <v>0</v>
      </c>
      <c r="FP156" s="139">
        <f t="shared" si="202"/>
        <v>0</v>
      </c>
      <c r="FQ156" s="139">
        <f t="shared" si="203"/>
        <v>0</v>
      </c>
      <c r="FR156" s="139">
        <f t="shared" si="204"/>
        <v>0</v>
      </c>
      <c r="FS156" s="139">
        <f t="shared" si="205"/>
        <v>0</v>
      </c>
      <c r="FT156" s="139">
        <f t="shared" si="206"/>
        <v>0</v>
      </c>
      <c r="FU156" s="148">
        <f t="shared" si="207"/>
        <v>0</v>
      </c>
      <c r="FV156" s="149"/>
      <c r="FY156" s="212">
        <v>151</v>
      </c>
      <c r="FZ156">
        <v>0.20579979573676088</v>
      </c>
      <c r="GA156">
        <v>1.8133325977680947</v>
      </c>
      <c r="GB156">
        <v>8.8737236089819707</v>
      </c>
      <c r="GC156">
        <v>4.6200820644907203</v>
      </c>
      <c r="GD156">
        <v>1.2159966938902778</v>
      </c>
      <c r="GE156">
        <v>2.7943047181283522</v>
      </c>
      <c r="GF156">
        <v>7.5806060011186371</v>
      </c>
      <c r="GG156">
        <v>7.216470507894158</v>
      </c>
      <c r="GH156">
        <v>2.5309891398555902</v>
      </c>
      <c r="GI156">
        <v>5.4409683245792664</v>
      </c>
      <c r="GJ156"/>
      <c r="GK156"/>
      <c r="GL156"/>
      <c r="GM156"/>
    </row>
    <row r="157" spans="1:195" s="7" customFormat="1">
      <c r="A157" s="77"/>
      <c r="B157" s="76">
        <f t="shared" ca="1" si="172"/>
        <v>0.84699495355403998</v>
      </c>
      <c r="C157">
        <v>1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16.597017973856207</v>
      </c>
      <c r="AO157">
        <v>10.968739547428886</v>
      </c>
      <c r="AP157">
        <v>72.0442131000556</v>
      </c>
      <c r="AQ157">
        <v>51.53746314567266</v>
      </c>
      <c r="AR157">
        <v>10.114327776066656</v>
      </c>
      <c r="AS157">
        <v>52.836488838611153</v>
      </c>
      <c r="AT157">
        <v>7.3050385084167582</v>
      </c>
      <c r="AU157">
        <v>40.972339707429576</v>
      </c>
      <c r="AV157"/>
      <c r="AW157"/>
      <c r="AX157" s="151"/>
      <c r="AY157" s="76">
        <f t="shared" ca="1" si="173"/>
        <v>0.98449523858856391</v>
      </c>
      <c r="AZ157">
        <v>10</v>
      </c>
      <c r="BA157" s="129">
        <f t="shared" si="171"/>
        <v>39847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1</v>
      </c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8"/>
        <v>0.81352059291862311</v>
      </c>
      <c r="CL157" s="179">
        <f t="shared" si="209"/>
        <v>10</v>
      </c>
      <c r="CM157" s="180">
        <f t="shared" si="210"/>
        <v>39847</v>
      </c>
      <c r="CN157"/>
      <c r="CO157"/>
      <c r="CP157"/>
      <c r="CQ157"/>
      <c r="CR157"/>
      <c r="CS157"/>
      <c r="CT157"/>
      <c r="CU157"/>
      <c r="CV157" s="160"/>
      <c r="CW157">
        <v>1</v>
      </c>
      <c r="CX157">
        <v>1</v>
      </c>
      <c r="CY157" s="165"/>
      <c r="CZ157" s="177">
        <f t="shared" si="211"/>
        <v>9.6000000000000002E-2</v>
      </c>
      <c r="DB157" s="151"/>
      <c r="DC157" s="76">
        <f t="shared" ca="1" si="174"/>
        <v>0.46086110350193876</v>
      </c>
      <c r="DD157">
        <f t="shared" si="212"/>
        <v>10</v>
      </c>
      <c r="DE157" s="129">
        <f t="shared" si="170"/>
        <v>39847</v>
      </c>
      <c r="DF157" s="161">
        <f t="shared" si="213"/>
        <v>0</v>
      </c>
      <c r="DG157" s="161">
        <f t="shared" si="214"/>
        <v>0</v>
      </c>
      <c r="DH157" s="161">
        <f t="shared" si="215"/>
        <v>0</v>
      </c>
      <c r="DI157" s="161">
        <f t="shared" si="216"/>
        <v>0</v>
      </c>
      <c r="DJ157" s="161">
        <f t="shared" si="217"/>
        <v>0</v>
      </c>
      <c r="DK157" s="161">
        <f t="shared" si="218"/>
        <v>0</v>
      </c>
      <c r="DL157" s="161">
        <f t="shared" si="219"/>
        <v>0</v>
      </c>
      <c r="DM157" s="161">
        <f t="shared" si="220"/>
        <v>10.416666666666666</v>
      </c>
      <c r="DN157" s="161">
        <f t="shared" si="221"/>
        <v>0</v>
      </c>
      <c r="DO157" s="161">
        <f t="shared" si="222"/>
        <v>0</v>
      </c>
      <c r="DP157" s="161">
        <f t="shared" si="223"/>
        <v>0</v>
      </c>
      <c r="DQ157" s="161">
        <f t="shared" si="224"/>
        <v>0</v>
      </c>
      <c r="DR157" s="161">
        <f t="shared" si="225"/>
        <v>0</v>
      </c>
      <c r="DS157" s="161">
        <f t="shared" si="226"/>
        <v>0</v>
      </c>
      <c r="DT157" s="161">
        <f t="shared" si="227"/>
        <v>0</v>
      </c>
      <c r="DU157" s="161">
        <f t="shared" si="228"/>
        <v>0</v>
      </c>
      <c r="DV157" s="161">
        <f t="shared" si="229"/>
        <v>0</v>
      </c>
      <c r="DW157" s="161">
        <f t="shared" si="230"/>
        <v>0</v>
      </c>
      <c r="DX157" s="161">
        <f t="shared" si="231"/>
        <v>0</v>
      </c>
      <c r="DY157" s="161">
        <f t="shared" si="232"/>
        <v>0</v>
      </c>
      <c r="DZ157" s="161">
        <f t="shared" si="233"/>
        <v>0</v>
      </c>
      <c r="EA157" s="161">
        <f t="shared" si="234"/>
        <v>0</v>
      </c>
      <c r="EB157" s="161">
        <f t="shared" si="235"/>
        <v>0</v>
      </c>
      <c r="EC157" s="161">
        <f t="shared" si="236"/>
        <v>0</v>
      </c>
      <c r="ED157" s="161">
        <f t="shared" si="237"/>
        <v>0</v>
      </c>
      <c r="EE157" s="161">
        <f t="shared" si="238"/>
        <v>0</v>
      </c>
      <c r="EF157" s="161">
        <f t="shared" si="239"/>
        <v>0</v>
      </c>
      <c r="EG157" s="161">
        <f t="shared" si="240"/>
        <v>0</v>
      </c>
      <c r="EH157" s="161">
        <f t="shared" si="241"/>
        <v>0</v>
      </c>
      <c r="EI157" s="161">
        <f t="shared" si="242"/>
        <v>0</v>
      </c>
      <c r="EJ157" s="161">
        <f t="shared" si="243"/>
        <v>0</v>
      </c>
      <c r="EK157" s="147">
        <f t="shared" si="175"/>
        <v>10.416666666666666</v>
      </c>
      <c r="EL157" s="149"/>
      <c r="EN157" s="151"/>
      <c r="EO157" s="151"/>
      <c r="EP157" s="139">
        <f t="shared" si="176"/>
        <v>0</v>
      </c>
      <c r="EQ157" s="139">
        <f t="shared" si="177"/>
        <v>0</v>
      </c>
      <c r="ER157" s="139">
        <f t="shared" si="178"/>
        <v>0</v>
      </c>
      <c r="ES157" s="139">
        <f t="shared" si="179"/>
        <v>0</v>
      </c>
      <c r="ET157" s="139">
        <f t="shared" si="180"/>
        <v>0</v>
      </c>
      <c r="EU157" s="139">
        <f t="shared" si="181"/>
        <v>0</v>
      </c>
      <c r="EV157" s="139">
        <f t="shared" si="182"/>
        <v>0</v>
      </c>
      <c r="EW157" s="139">
        <f t="shared" si="183"/>
        <v>15.429443614485615</v>
      </c>
      <c r="EX157" s="139">
        <f t="shared" si="184"/>
        <v>0</v>
      </c>
      <c r="EY157" s="139">
        <f t="shared" si="185"/>
        <v>0</v>
      </c>
      <c r="EZ157" s="139">
        <f t="shared" si="186"/>
        <v>0</v>
      </c>
      <c r="FA157" s="139">
        <f t="shared" si="187"/>
        <v>0</v>
      </c>
      <c r="FB157" s="139">
        <f t="shared" si="188"/>
        <v>0</v>
      </c>
      <c r="FC157" s="139">
        <f t="shared" si="189"/>
        <v>0</v>
      </c>
      <c r="FD157" s="139">
        <f t="shared" si="190"/>
        <v>0</v>
      </c>
      <c r="FE157" s="139">
        <f t="shared" si="191"/>
        <v>0</v>
      </c>
      <c r="FF157" s="139">
        <f t="shared" si="192"/>
        <v>0</v>
      </c>
      <c r="FG157" s="139">
        <f t="shared" si="193"/>
        <v>0</v>
      </c>
      <c r="FH157" s="139">
        <f t="shared" si="194"/>
        <v>0</v>
      </c>
      <c r="FI157" s="139">
        <f t="shared" si="195"/>
        <v>0</v>
      </c>
      <c r="FJ157" s="139">
        <f t="shared" si="196"/>
        <v>0</v>
      </c>
      <c r="FK157" s="139">
        <f t="shared" si="197"/>
        <v>0</v>
      </c>
      <c r="FL157" s="139">
        <f t="shared" si="198"/>
        <v>0</v>
      </c>
      <c r="FM157" s="139">
        <f t="shared" si="199"/>
        <v>0</v>
      </c>
      <c r="FN157" s="139">
        <f t="shared" si="200"/>
        <v>0</v>
      </c>
      <c r="FO157" s="139">
        <f t="shared" si="201"/>
        <v>0</v>
      </c>
      <c r="FP157" s="139">
        <f t="shared" si="202"/>
        <v>0</v>
      </c>
      <c r="FQ157" s="139">
        <f t="shared" si="203"/>
        <v>0</v>
      </c>
      <c r="FR157" s="139">
        <f t="shared" si="204"/>
        <v>0</v>
      </c>
      <c r="FS157" s="139">
        <f t="shared" si="205"/>
        <v>0</v>
      </c>
      <c r="FT157" s="139">
        <f t="shared" si="206"/>
        <v>0</v>
      </c>
      <c r="FU157" s="148">
        <f t="shared" si="207"/>
        <v>15.429443614485615</v>
      </c>
      <c r="FV157" s="149"/>
      <c r="FY157" s="212">
        <v>152</v>
      </c>
      <c r="FZ157">
        <v>0.28535249408121427</v>
      </c>
      <c r="GA157">
        <v>2.8316141255799789</v>
      </c>
      <c r="GB157">
        <v>8.2474884512064097</v>
      </c>
      <c r="GC157">
        <v>3.6103011013627908</v>
      </c>
      <c r="GD157">
        <v>1.07174019998335</v>
      </c>
      <c r="GE157">
        <v>3.9897450977122686</v>
      </c>
      <c r="GF157">
        <v>4.4883718413856117</v>
      </c>
      <c r="GG157">
        <v>2.2022016585806923</v>
      </c>
      <c r="GH157">
        <v>2.0646701696906042</v>
      </c>
      <c r="GI157">
        <v>4.1645114528762353</v>
      </c>
      <c r="GJ157"/>
      <c r="GK157"/>
      <c r="GL157"/>
      <c r="GM157"/>
    </row>
    <row r="158" spans="1:195" s="7" customFormat="1">
      <c r="A158" s="128"/>
      <c r="B158" s="76">
        <f t="shared" ca="1" si="172"/>
        <v>0.57110782106986591</v>
      </c>
      <c r="C158">
        <v>8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10.416666666666666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16.311414776754074</v>
      </c>
      <c r="AO158">
        <v>7.9013075034728075</v>
      </c>
      <c r="AP158">
        <v>42.712652074938241</v>
      </c>
      <c r="AQ158">
        <v>41.332216414768581</v>
      </c>
      <c r="AR158">
        <v>7.2746069461343392</v>
      </c>
      <c r="AS158">
        <v>41.491765732730848</v>
      </c>
      <c r="AT158">
        <v>4.6115031127132307</v>
      </c>
      <c r="AU158">
        <v>10.158471132802035</v>
      </c>
      <c r="AV158"/>
      <c r="AW158"/>
      <c r="AX158" s="128"/>
      <c r="AY158" s="76">
        <f t="shared" ca="1" si="173"/>
        <v>0.86969630287446398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1</v>
      </c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8"/>
        <v>0.52358081031049042</v>
      </c>
      <c r="CL158" s="179">
        <f t="shared" si="209"/>
        <v>1</v>
      </c>
      <c r="CM158" s="180">
        <f t="shared" si="210"/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11"/>
        <v>9.6000000000000002E-2</v>
      </c>
      <c r="DB158" s="128"/>
      <c r="DC158" s="76">
        <f t="shared" ca="1" si="174"/>
        <v>0.68071017998878602</v>
      </c>
      <c r="DD158">
        <f t="shared" si="212"/>
        <v>1</v>
      </c>
      <c r="DE158" s="129">
        <f t="shared" ref="DE158:DE167" si="244">IF((DD158)="", "", $C$11)</f>
        <v>39910</v>
      </c>
      <c r="DF158" s="161">
        <f t="shared" si="213"/>
        <v>0</v>
      </c>
      <c r="DG158" s="161">
        <f t="shared" si="214"/>
        <v>0</v>
      </c>
      <c r="DH158" s="161">
        <f t="shared" si="215"/>
        <v>0</v>
      </c>
      <c r="DI158" s="161">
        <f t="shared" si="216"/>
        <v>0</v>
      </c>
      <c r="DJ158" s="161">
        <f t="shared" si="217"/>
        <v>0</v>
      </c>
      <c r="DK158" s="161">
        <f t="shared" si="218"/>
        <v>10.416666666666666</v>
      </c>
      <c r="DL158" s="161">
        <f t="shared" si="219"/>
        <v>0</v>
      </c>
      <c r="DM158" s="161">
        <f t="shared" si="220"/>
        <v>0</v>
      </c>
      <c r="DN158" s="161">
        <f t="shared" si="221"/>
        <v>0</v>
      </c>
      <c r="DO158" s="161">
        <f t="shared" si="222"/>
        <v>0</v>
      </c>
      <c r="DP158" s="161">
        <f t="shared" si="223"/>
        <v>0</v>
      </c>
      <c r="DQ158" s="161">
        <f t="shared" si="224"/>
        <v>0</v>
      </c>
      <c r="DR158" s="161">
        <f t="shared" si="225"/>
        <v>0</v>
      </c>
      <c r="DS158" s="161">
        <f t="shared" si="226"/>
        <v>0</v>
      </c>
      <c r="DT158" s="161">
        <f t="shared" si="227"/>
        <v>0</v>
      </c>
      <c r="DU158" s="161">
        <f t="shared" si="228"/>
        <v>0</v>
      </c>
      <c r="DV158" s="161">
        <f t="shared" si="229"/>
        <v>0</v>
      </c>
      <c r="DW158" s="161">
        <f t="shared" si="230"/>
        <v>0</v>
      </c>
      <c r="DX158" s="161">
        <f t="shared" si="231"/>
        <v>0</v>
      </c>
      <c r="DY158" s="161">
        <f t="shared" si="232"/>
        <v>0</v>
      </c>
      <c r="DZ158" s="161">
        <f t="shared" si="233"/>
        <v>0</v>
      </c>
      <c r="EA158" s="161">
        <f t="shared" si="234"/>
        <v>0</v>
      </c>
      <c r="EB158" s="161">
        <f t="shared" si="235"/>
        <v>0</v>
      </c>
      <c r="EC158" s="161">
        <f t="shared" si="236"/>
        <v>0</v>
      </c>
      <c r="ED158" s="161">
        <f t="shared" si="237"/>
        <v>0</v>
      </c>
      <c r="EE158" s="161">
        <f t="shared" si="238"/>
        <v>0</v>
      </c>
      <c r="EF158" s="161">
        <f t="shared" si="239"/>
        <v>0</v>
      </c>
      <c r="EG158" s="161">
        <f t="shared" si="240"/>
        <v>0</v>
      </c>
      <c r="EH158" s="161">
        <f t="shared" si="241"/>
        <v>0</v>
      </c>
      <c r="EI158" s="161">
        <f t="shared" si="242"/>
        <v>0</v>
      </c>
      <c r="EJ158" s="161">
        <f t="shared" si="243"/>
        <v>0</v>
      </c>
      <c r="EK158" s="147">
        <f t="shared" si="175"/>
        <v>10.416666666666666</v>
      </c>
      <c r="EL158" s="149"/>
      <c r="EN158" s="146"/>
      <c r="EO158" s="146"/>
      <c r="EP158" s="139">
        <f t="shared" si="176"/>
        <v>0</v>
      </c>
      <c r="EQ158" s="139">
        <f t="shared" si="177"/>
        <v>0</v>
      </c>
      <c r="ER158" s="139">
        <f t="shared" si="178"/>
        <v>0</v>
      </c>
      <c r="ES158" s="139">
        <f t="shared" si="179"/>
        <v>0</v>
      </c>
      <c r="ET158" s="139">
        <f t="shared" si="180"/>
        <v>0</v>
      </c>
      <c r="EU158" s="139">
        <f t="shared" si="181"/>
        <v>4.8166740960912398</v>
      </c>
      <c r="EV158" s="139">
        <f t="shared" si="182"/>
        <v>0</v>
      </c>
      <c r="EW158" s="139">
        <f t="shared" si="183"/>
        <v>0</v>
      </c>
      <c r="EX158" s="139">
        <f t="shared" si="184"/>
        <v>0</v>
      </c>
      <c r="EY158" s="139">
        <f t="shared" si="185"/>
        <v>0</v>
      </c>
      <c r="EZ158" s="139">
        <f t="shared" si="186"/>
        <v>0</v>
      </c>
      <c r="FA158" s="139">
        <f t="shared" si="187"/>
        <v>0</v>
      </c>
      <c r="FB158" s="139">
        <f t="shared" si="188"/>
        <v>0</v>
      </c>
      <c r="FC158" s="139">
        <f t="shared" si="189"/>
        <v>0</v>
      </c>
      <c r="FD158" s="139">
        <f t="shared" si="190"/>
        <v>0</v>
      </c>
      <c r="FE158" s="139">
        <f t="shared" si="191"/>
        <v>0</v>
      </c>
      <c r="FF158" s="139">
        <f t="shared" si="192"/>
        <v>0</v>
      </c>
      <c r="FG158" s="139">
        <f t="shared" si="193"/>
        <v>0</v>
      </c>
      <c r="FH158" s="139">
        <f t="shared" si="194"/>
        <v>0</v>
      </c>
      <c r="FI158" s="139">
        <f t="shared" si="195"/>
        <v>0</v>
      </c>
      <c r="FJ158" s="139">
        <f t="shared" si="196"/>
        <v>0</v>
      </c>
      <c r="FK158" s="139">
        <f t="shared" si="197"/>
        <v>0</v>
      </c>
      <c r="FL158" s="139">
        <f t="shared" si="198"/>
        <v>0</v>
      </c>
      <c r="FM158" s="139">
        <f t="shared" si="199"/>
        <v>0</v>
      </c>
      <c r="FN158" s="139">
        <f t="shared" si="200"/>
        <v>0</v>
      </c>
      <c r="FO158" s="139">
        <f t="shared" si="201"/>
        <v>0</v>
      </c>
      <c r="FP158" s="139">
        <f t="shared" si="202"/>
        <v>0</v>
      </c>
      <c r="FQ158" s="139">
        <f t="shared" si="203"/>
        <v>0</v>
      </c>
      <c r="FR158" s="139">
        <f t="shared" si="204"/>
        <v>0</v>
      </c>
      <c r="FS158" s="139">
        <f t="shared" si="205"/>
        <v>0</v>
      </c>
      <c r="FT158" s="139">
        <f t="shared" si="206"/>
        <v>0</v>
      </c>
      <c r="FU158" s="148">
        <f t="shared" si="207"/>
        <v>4.8166740960912398</v>
      </c>
      <c r="FV158" s="149"/>
      <c r="FY158" s="212">
        <v>153</v>
      </c>
      <c r="FZ158">
        <v>3.2929261192307662</v>
      </c>
      <c r="GA158">
        <v>6.7903488013555702</v>
      </c>
      <c r="GB158">
        <v>6.5723284398417778</v>
      </c>
      <c r="GC158">
        <v>3.1411702693702863</v>
      </c>
      <c r="GD158">
        <v>1.3670274405994303</v>
      </c>
      <c r="GE158">
        <v>2.1702041546184963</v>
      </c>
      <c r="GF158">
        <v>5.8469440386694673</v>
      </c>
      <c r="GG158">
        <v>7.2986730060663003</v>
      </c>
      <c r="GH158">
        <v>2.4209713045815793</v>
      </c>
      <c r="GI158">
        <v>4.9778200359543412</v>
      </c>
      <c r="GJ158"/>
      <c r="GK158"/>
      <c r="GL158"/>
      <c r="GM158"/>
    </row>
    <row r="159" spans="1:195" s="7" customFormat="1">
      <c r="A159" s="1"/>
      <c r="B159" s="76">
        <f t="shared" ca="1" si="172"/>
        <v>0.97502220722243349</v>
      </c>
      <c r="C159">
        <v>1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10.416666666666666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14.057942554531852</v>
      </c>
      <c r="AO159">
        <v>6.6980228888281488</v>
      </c>
      <c r="AP159">
        <v>55.42185305968934</v>
      </c>
      <c r="AQ159">
        <v>38.956668817124182</v>
      </c>
      <c r="AR159">
        <v>6.2512808328056915</v>
      </c>
      <c r="AS159">
        <v>35.20020583416477</v>
      </c>
      <c r="AT159">
        <v>2.9574082443918592</v>
      </c>
      <c r="AU159">
        <v>18.559082401544092</v>
      </c>
      <c r="AV159"/>
      <c r="AW159"/>
      <c r="AX159" s="146"/>
      <c r="AY159" s="76">
        <f t="shared" ca="1" si="173"/>
        <v>0.42914250319168312</v>
      </c>
      <c r="AZ159">
        <v>2</v>
      </c>
      <c r="BA159" s="129">
        <f t="shared" ref="BA159:BA167" si="245">IF(AZ159="", "",$C$11)</f>
        <v>39910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1</v>
      </c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8"/>
        <v>0.3466058610274998</v>
      </c>
      <c r="CL159" s="179">
        <f t="shared" si="209"/>
        <v>2</v>
      </c>
      <c r="CM159" s="180">
        <f t="shared" si="210"/>
        <v>39910</v>
      </c>
      <c r="CN159">
        <v>0</v>
      </c>
      <c r="CO159"/>
      <c r="CP159"/>
      <c r="CQ159"/>
      <c r="CR159"/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si="211"/>
        <v>9.6000000000000002E-2</v>
      </c>
      <c r="DB159" s="146"/>
      <c r="DC159" s="76">
        <f t="shared" ca="1" si="174"/>
        <v>0.77555366864187647</v>
      </c>
      <c r="DD159">
        <f t="shared" si="212"/>
        <v>2</v>
      </c>
      <c r="DE159" s="129">
        <f t="shared" si="244"/>
        <v>39910</v>
      </c>
      <c r="DF159" s="161">
        <f t="shared" si="213"/>
        <v>0</v>
      </c>
      <c r="DG159" s="161">
        <f t="shared" si="214"/>
        <v>0</v>
      </c>
      <c r="DH159" s="161">
        <f t="shared" si="215"/>
        <v>0</v>
      </c>
      <c r="DI159" s="161">
        <f t="shared" si="216"/>
        <v>0</v>
      </c>
      <c r="DJ159" s="161">
        <f t="shared" si="217"/>
        <v>0</v>
      </c>
      <c r="DK159" s="161">
        <f t="shared" si="218"/>
        <v>0</v>
      </c>
      <c r="DL159" s="161">
        <f t="shared" si="219"/>
        <v>10.416666666666666</v>
      </c>
      <c r="DM159" s="161">
        <f t="shared" si="220"/>
        <v>0</v>
      </c>
      <c r="DN159" s="161">
        <f t="shared" si="221"/>
        <v>0</v>
      </c>
      <c r="DO159" s="161">
        <f t="shared" si="222"/>
        <v>0</v>
      </c>
      <c r="DP159" s="161">
        <f t="shared" si="223"/>
        <v>0</v>
      </c>
      <c r="DQ159" s="161">
        <f t="shared" si="224"/>
        <v>0</v>
      </c>
      <c r="DR159" s="161">
        <f t="shared" si="225"/>
        <v>0</v>
      </c>
      <c r="DS159" s="161">
        <f t="shared" si="226"/>
        <v>0</v>
      </c>
      <c r="DT159" s="161">
        <f t="shared" si="227"/>
        <v>0</v>
      </c>
      <c r="DU159" s="161">
        <f t="shared" si="228"/>
        <v>0</v>
      </c>
      <c r="DV159" s="161">
        <f t="shared" si="229"/>
        <v>0</v>
      </c>
      <c r="DW159" s="161">
        <f t="shared" si="230"/>
        <v>0</v>
      </c>
      <c r="DX159" s="161">
        <f t="shared" si="231"/>
        <v>0</v>
      </c>
      <c r="DY159" s="161">
        <f t="shared" si="232"/>
        <v>0</v>
      </c>
      <c r="DZ159" s="161">
        <f t="shared" si="233"/>
        <v>0</v>
      </c>
      <c r="EA159" s="161">
        <f t="shared" si="234"/>
        <v>0</v>
      </c>
      <c r="EB159" s="161">
        <f t="shared" si="235"/>
        <v>0</v>
      </c>
      <c r="EC159" s="161">
        <f t="shared" si="236"/>
        <v>0</v>
      </c>
      <c r="ED159" s="161">
        <f t="shared" si="237"/>
        <v>0</v>
      </c>
      <c r="EE159" s="161">
        <f t="shared" si="238"/>
        <v>0</v>
      </c>
      <c r="EF159" s="161">
        <f t="shared" si="239"/>
        <v>0</v>
      </c>
      <c r="EG159" s="161">
        <f t="shared" si="240"/>
        <v>0</v>
      </c>
      <c r="EH159" s="161">
        <f t="shared" si="241"/>
        <v>0</v>
      </c>
      <c r="EI159" s="161">
        <f t="shared" si="242"/>
        <v>0</v>
      </c>
      <c r="EJ159" s="161">
        <f t="shared" si="243"/>
        <v>0</v>
      </c>
      <c r="EK159" s="147">
        <f t="shared" si="175"/>
        <v>10.416666666666666</v>
      </c>
      <c r="EL159" s="149"/>
      <c r="EN159" s="146"/>
      <c r="EO159" s="146"/>
      <c r="EP159" s="139">
        <f t="shared" si="176"/>
        <v>0</v>
      </c>
      <c r="EQ159" s="139">
        <f t="shared" si="177"/>
        <v>0</v>
      </c>
      <c r="ER159" s="139">
        <f t="shared" si="178"/>
        <v>0</v>
      </c>
      <c r="ES159" s="139">
        <f t="shared" si="179"/>
        <v>0</v>
      </c>
      <c r="ET159" s="139">
        <f t="shared" si="180"/>
        <v>0</v>
      </c>
      <c r="EU159" s="139">
        <f t="shared" si="181"/>
        <v>0</v>
      </c>
      <c r="EV159" s="139">
        <f t="shared" si="182"/>
        <v>9.0513711528458085</v>
      </c>
      <c r="EW159" s="139">
        <f t="shared" si="183"/>
        <v>0</v>
      </c>
      <c r="EX159" s="139">
        <f t="shared" si="184"/>
        <v>0</v>
      </c>
      <c r="EY159" s="139">
        <f t="shared" si="185"/>
        <v>0</v>
      </c>
      <c r="EZ159" s="139">
        <f t="shared" si="186"/>
        <v>0</v>
      </c>
      <c r="FA159" s="139">
        <f t="shared" si="187"/>
        <v>0</v>
      </c>
      <c r="FB159" s="139">
        <f t="shared" si="188"/>
        <v>0</v>
      </c>
      <c r="FC159" s="139">
        <f t="shared" si="189"/>
        <v>0</v>
      </c>
      <c r="FD159" s="139">
        <f t="shared" si="190"/>
        <v>0</v>
      </c>
      <c r="FE159" s="139">
        <f t="shared" si="191"/>
        <v>0</v>
      </c>
      <c r="FF159" s="139">
        <f t="shared" si="192"/>
        <v>0</v>
      </c>
      <c r="FG159" s="139">
        <f t="shared" si="193"/>
        <v>0</v>
      </c>
      <c r="FH159" s="139">
        <f t="shared" si="194"/>
        <v>0</v>
      </c>
      <c r="FI159" s="139">
        <f t="shared" si="195"/>
        <v>0</v>
      </c>
      <c r="FJ159" s="139">
        <f t="shared" si="196"/>
        <v>0</v>
      </c>
      <c r="FK159" s="139">
        <f t="shared" si="197"/>
        <v>0</v>
      </c>
      <c r="FL159" s="139">
        <f t="shared" si="198"/>
        <v>0</v>
      </c>
      <c r="FM159" s="139">
        <f t="shared" si="199"/>
        <v>0</v>
      </c>
      <c r="FN159" s="139">
        <f t="shared" si="200"/>
        <v>0</v>
      </c>
      <c r="FO159" s="139">
        <f t="shared" si="201"/>
        <v>0</v>
      </c>
      <c r="FP159" s="139">
        <f t="shared" si="202"/>
        <v>0</v>
      </c>
      <c r="FQ159" s="139">
        <f t="shared" si="203"/>
        <v>0</v>
      </c>
      <c r="FR159" s="139">
        <f t="shared" si="204"/>
        <v>0</v>
      </c>
      <c r="FS159" s="139">
        <f t="shared" si="205"/>
        <v>0</v>
      </c>
      <c r="FT159" s="139">
        <f t="shared" si="206"/>
        <v>0</v>
      </c>
      <c r="FU159" s="148">
        <f t="shared" si="207"/>
        <v>9.0513711528458085</v>
      </c>
      <c r="FV159" s="149"/>
      <c r="FY159" s="212">
        <v>154</v>
      </c>
      <c r="FZ159">
        <v>3.4575714760561405</v>
      </c>
      <c r="GA159">
        <v>8.5103413791871869</v>
      </c>
      <c r="GB159">
        <v>4.9508884197223697</v>
      </c>
      <c r="GC159">
        <v>2.1479247473020431</v>
      </c>
      <c r="GD159">
        <v>2.1875335272013108</v>
      </c>
      <c r="GE159">
        <v>3.9433253509988369</v>
      </c>
      <c r="GF159">
        <v>5.7914135263282533</v>
      </c>
      <c r="GG159">
        <v>5.8436661268343766</v>
      </c>
      <c r="GH159">
        <v>1.5627782026461492</v>
      </c>
      <c r="GI159">
        <v>5.0534000483892072</v>
      </c>
      <c r="GJ159"/>
      <c r="GK159"/>
      <c r="GL159"/>
      <c r="GM159"/>
    </row>
    <row r="160" spans="1:195" s="7" customFormat="1">
      <c r="A160" s="1"/>
      <c r="B160" s="76">
        <f t="shared" ca="1" si="172"/>
        <v>0.40353329262421322</v>
      </c>
      <c r="C160">
        <v>6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11.180555555555554</v>
      </c>
      <c r="AO160">
        <v>8.0883439056611124</v>
      </c>
      <c r="AP160">
        <v>47.975680820019491</v>
      </c>
      <c r="AQ160">
        <v>39.304887212850005</v>
      </c>
      <c r="AR160">
        <v>7.474751164948386</v>
      </c>
      <c r="AS160">
        <v>40.808350075935216</v>
      </c>
      <c r="AT160">
        <v>5.2438978682893049</v>
      </c>
      <c r="AU160">
        <v>20.436480581649427</v>
      </c>
      <c r="AV160"/>
      <c r="AW160"/>
      <c r="AX160" s="146"/>
      <c r="AY160" s="76">
        <f t="shared" ca="1" si="173"/>
        <v>0.12111932240600387</v>
      </c>
      <c r="AZ160">
        <v>3</v>
      </c>
      <c r="BA160" s="129">
        <f t="shared" si="245"/>
        <v>39910</v>
      </c>
      <c r="BB160">
        <v>0</v>
      </c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8"/>
        <v>0.1072906253911734</v>
      </c>
      <c r="CL160" s="179">
        <f t="shared" si="209"/>
        <v>3</v>
      </c>
      <c r="CM160" s="180">
        <f t="shared" si="210"/>
        <v>39910</v>
      </c>
      <c r="CN160">
        <v>0</v>
      </c>
      <c r="CO160"/>
      <c r="CP160"/>
      <c r="CQ160"/>
      <c r="CR160"/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1"/>
        <v>9.6000000000000002E-2</v>
      </c>
      <c r="DB160" s="146"/>
      <c r="DC160" s="76">
        <f t="shared" ca="1" si="174"/>
        <v>0.56856909261231836</v>
      </c>
      <c r="DD160">
        <f t="shared" si="212"/>
        <v>3</v>
      </c>
      <c r="DE160" s="129">
        <f t="shared" si="244"/>
        <v>39910</v>
      </c>
      <c r="DF160" s="161">
        <f t="shared" si="213"/>
        <v>0</v>
      </c>
      <c r="DG160" s="161">
        <f t="shared" si="214"/>
        <v>0</v>
      </c>
      <c r="DH160" s="161">
        <f t="shared" si="215"/>
        <v>0</v>
      </c>
      <c r="DI160" s="161">
        <f t="shared" si="216"/>
        <v>0</v>
      </c>
      <c r="DJ160" s="161">
        <f t="shared" si="217"/>
        <v>0</v>
      </c>
      <c r="DK160" s="161">
        <f t="shared" si="218"/>
        <v>0</v>
      </c>
      <c r="DL160" s="161">
        <f t="shared" si="219"/>
        <v>0</v>
      </c>
      <c r="DM160" s="161">
        <f t="shared" si="220"/>
        <v>0</v>
      </c>
      <c r="DN160" s="161">
        <f t="shared" si="221"/>
        <v>0</v>
      </c>
      <c r="DO160" s="161">
        <f t="shared" si="222"/>
        <v>0</v>
      </c>
      <c r="DP160" s="161">
        <f t="shared" si="223"/>
        <v>0</v>
      </c>
      <c r="DQ160" s="161">
        <f t="shared" si="224"/>
        <v>0</v>
      </c>
      <c r="DR160" s="161">
        <f t="shared" si="225"/>
        <v>0</v>
      </c>
      <c r="DS160" s="161">
        <f t="shared" si="226"/>
        <v>0</v>
      </c>
      <c r="DT160" s="161">
        <f t="shared" si="227"/>
        <v>0</v>
      </c>
      <c r="DU160" s="161">
        <f t="shared" si="228"/>
        <v>0</v>
      </c>
      <c r="DV160" s="161">
        <f t="shared" si="229"/>
        <v>0</v>
      </c>
      <c r="DW160" s="161">
        <f t="shared" si="230"/>
        <v>0</v>
      </c>
      <c r="DX160" s="161">
        <f t="shared" si="231"/>
        <v>0</v>
      </c>
      <c r="DY160" s="161">
        <f t="shared" si="232"/>
        <v>0</v>
      </c>
      <c r="DZ160" s="161">
        <f t="shared" si="233"/>
        <v>0</v>
      </c>
      <c r="EA160" s="161">
        <f t="shared" si="234"/>
        <v>0</v>
      </c>
      <c r="EB160" s="161">
        <f t="shared" si="235"/>
        <v>0</v>
      </c>
      <c r="EC160" s="161">
        <f t="shared" si="236"/>
        <v>0</v>
      </c>
      <c r="ED160" s="161">
        <f t="shared" si="237"/>
        <v>0</v>
      </c>
      <c r="EE160" s="161">
        <f t="shared" si="238"/>
        <v>0</v>
      </c>
      <c r="EF160" s="161">
        <f t="shared" si="239"/>
        <v>0</v>
      </c>
      <c r="EG160" s="161">
        <f t="shared" si="240"/>
        <v>0</v>
      </c>
      <c r="EH160" s="161">
        <f t="shared" si="241"/>
        <v>0</v>
      </c>
      <c r="EI160" s="161">
        <f t="shared" si="242"/>
        <v>0</v>
      </c>
      <c r="EJ160" s="161">
        <f t="shared" si="243"/>
        <v>0</v>
      </c>
      <c r="EK160" s="147">
        <f t="shared" si="175"/>
        <v>0</v>
      </c>
      <c r="EL160" s="149"/>
      <c r="EN160" s="146"/>
      <c r="EO160" s="146"/>
      <c r="EP160" s="139">
        <f t="shared" si="176"/>
        <v>0</v>
      </c>
      <c r="EQ160" s="139">
        <f t="shared" si="177"/>
        <v>0</v>
      </c>
      <c r="ER160" s="139">
        <f t="shared" si="178"/>
        <v>0</v>
      </c>
      <c r="ES160" s="139">
        <f t="shared" si="179"/>
        <v>0</v>
      </c>
      <c r="ET160" s="139">
        <f t="shared" si="180"/>
        <v>0</v>
      </c>
      <c r="EU160" s="139">
        <f t="shared" si="181"/>
        <v>0</v>
      </c>
      <c r="EV160" s="139">
        <f t="shared" si="182"/>
        <v>0</v>
      </c>
      <c r="EW160" s="139">
        <f t="shared" si="183"/>
        <v>0</v>
      </c>
      <c r="EX160" s="139">
        <f t="shared" si="184"/>
        <v>0</v>
      </c>
      <c r="EY160" s="139">
        <f t="shared" si="185"/>
        <v>0</v>
      </c>
      <c r="EZ160" s="139">
        <f t="shared" si="186"/>
        <v>0</v>
      </c>
      <c r="FA160" s="139">
        <f t="shared" si="187"/>
        <v>0</v>
      </c>
      <c r="FB160" s="139">
        <f t="shared" si="188"/>
        <v>0</v>
      </c>
      <c r="FC160" s="139">
        <f t="shared" si="189"/>
        <v>0</v>
      </c>
      <c r="FD160" s="139">
        <f t="shared" si="190"/>
        <v>0</v>
      </c>
      <c r="FE160" s="139">
        <f t="shared" si="191"/>
        <v>0</v>
      </c>
      <c r="FF160" s="139">
        <f t="shared" si="192"/>
        <v>0</v>
      </c>
      <c r="FG160" s="139">
        <f t="shared" si="193"/>
        <v>0</v>
      </c>
      <c r="FH160" s="139">
        <f t="shared" si="194"/>
        <v>0</v>
      </c>
      <c r="FI160" s="139">
        <f t="shared" si="195"/>
        <v>0</v>
      </c>
      <c r="FJ160" s="139">
        <f t="shared" si="196"/>
        <v>0</v>
      </c>
      <c r="FK160" s="139">
        <f t="shared" si="197"/>
        <v>0</v>
      </c>
      <c r="FL160" s="139">
        <f t="shared" si="198"/>
        <v>0</v>
      </c>
      <c r="FM160" s="139">
        <f t="shared" si="199"/>
        <v>0</v>
      </c>
      <c r="FN160" s="139">
        <f t="shared" si="200"/>
        <v>0</v>
      </c>
      <c r="FO160" s="139">
        <f t="shared" si="201"/>
        <v>0</v>
      </c>
      <c r="FP160" s="139">
        <f t="shared" si="202"/>
        <v>0</v>
      </c>
      <c r="FQ160" s="139">
        <f t="shared" si="203"/>
        <v>0</v>
      </c>
      <c r="FR160" s="139">
        <f t="shared" si="204"/>
        <v>0</v>
      </c>
      <c r="FS160" s="139">
        <f t="shared" si="205"/>
        <v>0</v>
      </c>
      <c r="FT160" s="139">
        <f t="shared" si="206"/>
        <v>0</v>
      </c>
      <c r="FU160" s="148">
        <f t="shared" si="207"/>
        <v>0</v>
      </c>
      <c r="FV160" s="149"/>
      <c r="FY160" s="212">
        <v>155</v>
      </c>
      <c r="FZ160">
        <v>9.6971622757359022</v>
      </c>
      <c r="GA160">
        <v>14.124836837820578</v>
      </c>
      <c r="GB160">
        <v>6.1769849259781546</v>
      </c>
      <c r="GC160">
        <v>2.5001776669233902</v>
      </c>
      <c r="GD160">
        <v>0.92798055846140104</v>
      </c>
      <c r="GE160">
        <v>3.5200969055210463</v>
      </c>
      <c r="GF160">
        <v>7.9057723013489554</v>
      </c>
      <c r="GG160">
        <v>6.4709716806991509</v>
      </c>
      <c r="GH160">
        <v>2.5713526782257801</v>
      </c>
      <c r="GI160">
        <v>5.9382115407122154</v>
      </c>
      <c r="GJ160"/>
      <c r="GK160"/>
      <c r="GL160"/>
      <c r="GM160"/>
    </row>
    <row r="161" spans="1:195" s="7" customFormat="1">
      <c r="A161" s="1"/>
      <c r="B161" s="76">
        <f t="shared" ca="1" si="172"/>
        <v>0.49540989204888919</v>
      </c>
      <c r="C161">
        <v>7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21.859272875816991</v>
      </c>
      <c r="AO161">
        <v>12.391974850538139</v>
      </c>
      <c r="AP161">
        <v>66.29175521650474</v>
      </c>
      <c r="AQ161">
        <v>63.775067904306631</v>
      </c>
      <c r="AR161">
        <v>11.354457586190993</v>
      </c>
      <c r="AS161">
        <v>58.747836679317864</v>
      </c>
      <c r="AT161">
        <v>6.9230217540951058</v>
      </c>
      <c r="AU161">
        <v>17.691055735387653</v>
      </c>
      <c r="AV161"/>
      <c r="AW161"/>
      <c r="AX161" s="146"/>
      <c r="AY161" s="76">
        <f t="shared" ca="1" si="173"/>
        <v>0.54060600910425727</v>
      </c>
      <c r="AZ161">
        <v>4</v>
      </c>
      <c r="BA161" s="129">
        <f t="shared" si="245"/>
        <v>39910</v>
      </c>
      <c r="BB161">
        <v>0</v>
      </c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8"/>
        <v>0.20444055777827641</v>
      </c>
      <c r="CL161" s="179">
        <f t="shared" si="209"/>
        <v>4</v>
      </c>
      <c r="CM161" s="180">
        <f t="shared" si="210"/>
        <v>39910</v>
      </c>
      <c r="CN161">
        <v>0</v>
      </c>
      <c r="CO161"/>
      <c r="CP161"/>
      <c r="CQ161"/>
      <c r="CR161"/>
      <c r="CS161"/>
      <c r="CT161"/>
      <c r="CU161"/>
      <c r="CV161" s="160"/>
      <c r="CW161">
        <v>1</v>
      </c>
      <c r="CX161">
        <f>310/93</f>
        <v>3.3333333333333335</v>
      </c>
      <c r="CY161" s="160"/>
      <c r="CZ161" s="177">
        <f t="shared" si="211"/>
        <v>9.6000000000000002E-2</v>
      </c>
      <c r="DB161" s="146"/>
      <c r="DC161" s="76">
        <f t="shared" ca="1" si="174"/>
        <v>0.67245538034782282</v>
      </c>
      <c r="DD161">
        <f t="shared" si="212"/>
        <v>4</v>
      </c>
      <c r="DE161" s="129">
        <f t="shared" si="244"/>
        <v>39910</v>
      </c>
      <c r="DF161" s="161">
        <f t="shared" si="213"/>
        <v>0</v>
      </c>
      <c r="DG161" s="161">
        <f t="shared" si="214"/>
        <v>0</v>
      </c>
      <c r="DH161" s="161">
        <f t="shared" si="215"/>
        <v>0</v>
      </c>
      <c r="DI161" s="161">
        <f t="shared" si="216"/>
        <v>0</v>
      </c>
      <c r="DJ161" s="161">
        <f t="shared" si="217"/>
        <v>0</v>
      </c>
      <c r="DK161" s="161">
        <f t="shared" si="218"/>
        <v>0</v>
      </c>
      <c r="DL161" s="161">
        <f t="shared" si="219"/>
        <v>0</v>
      </c>
      <c r="DM161" s="161">
        <f t="shared" si="220"/>
        <v>0</v>
      </c>
      <c r="DN161" s="161">
        <f t="shared" si="221"/>
        <v>0</v>
      </c>
      <c r="DO161" s="161">
        <f t="shared" si="222"/>
        <v>0</v>
      </c>
      <c r="DP161" s="161">
        <f t="shared" si="223"/>
        <v>0</v>
      </c>
      <c r="DQ161" s="161">
        <f t="shared" si="224"/>
        <v>0</v>
      </c>
      <c r="DR161" s="161">
        <f t="shared" si="225"/>
        <v>0</v>
      </c>
      <c r="DS161" s="161">
        <f t="shared" si="226"/>
        <v>0</v>
      </c>
      <c r="DT161" s="161">
        <f t="shared" si="227"/>
        <v>0</v>
      </c>
      <c r="DU161" s="161">
        <f t="shared" si="228"/>
        <v>0</v>
      </c>
      <c r="DV161" s="161">
        <f t="shared" si="229"/>
        <v>0</v>
      </c>
      <c r="DW161" s="161">
        <f t="shared" si="230"/>
        <v>0</v>
      </c>
      <c r="DX161" s="161">
        <f t="shared" si="231"/>
        <v>0</v>
      </c>
      <c r="DY161" s="161">
        <f t="shared" si="232"/>
        <v>0</v>
      </c>
      <c r="DZ161" s="161">
        <f t="shared" si="233"/>
        <v>0</v>
      </c>
      <c r="EA161" s="161">
        <f t="shared" si="234"/>
        <v>0</v>
      </c>
      <c r="EB161" s="161">
        <f t="shared" si="235"/>
        <v>0</v>
      </c>
      <c r="EC161" s="161">
        <f t="shared" si="236"/>
        <v>0</v>
      </c>
      <c r="ED161" s="161">
        <f t="shared" si="237"/>
        <v>0</v>
      </c>
      <c r="EE161" s="161">
        <f t="shared" si="238"/>
        <v>0</v>
      </c>
      <c r="EF161" s="161">
        <f t="shared" si="239"/>
        <v>0</v>
      </c>
      <c r="EG161" s="161">
        <f t="shared" si="240"/>
        <v>0</v>
      </c>
      <c r="EH161" s="161">
        <f t="shared" si="241"/>
        <v>0</v>
      </c>
      <c r="EI161" s="161">
        <f t="shared" si="242"/>
        <v>0</v>
      </c>
      <c r="EJ161" s="161">
        <f t="shared" si="243"/>
        <v>0</v>
      </c>
      <c r="EK161" s="147">
        <f t="shared" si="175"/>
        <v>0</v>
      </c>
      <c r="EL161" s="149"/>
      <c r="EN161" s="146"/>
      <c r="EO161" s="146"/>
      <c r="EP161" s="139">
        <f t="shared" si="176"/>
        <v>0</v>
      </c>
      <c r="EQ161" s="139">
        <f t="shared" si="177"/>
        <v>0</v>
      </c>
      <c r="ER161" s="139">
        <f t="shared" si="178"/>
        <v>0</v>
      </c>
      <c r="ES161" s="139">
        <f t="shared" si="179"/>
        <v>0</v>
      </c>
      <c r="ET161" s="139">
        <f t="shared" si="180"/>
        <v>0</v>
      </c>
      <c r="EU161" s="139">
        <f t="shared" si="181"/>
        <v>0</v>
      </c>
      <c r="EV161" s="139">
        <f t="shared" si="182"/>
        <v>0</v>
      </c>
      <c r="EW161" s="139">
        <f t="shared" si="183"/>
        <v>0</v>
      </c>
      <c r="EX161" s="139">
        <f t="shared" si="184"/>
        <v>0</v>
      </c>
      <c r="EY161" s="139">
        <f t="shared" si="185"/>
        <v>0</v>
      </c>
      <c r="EZ161" s="139">
        <f t="shared" si="186"/>
        <v>0</v>
      </c>
      <c r="FA161" s="139">
        <f t="shared" si="187"/>
        <v>0</v>
      </c>
      <c r="FB161" s="139">
        <f t="shared" si="188"/>
        <v>0</v>
      </c>
      <c r="FC161" s="139">
        <f t="shared" si="189"/>
        <v>0</v>
      </c>
      <c r="FD161" s="139">
        <f t="shared" si="190"/>
        <v>0</v>
      </c>
      <c r="FE161" s="139">
        <f t="shared" si="191"/>
        <v>0</v>
      </c>
      <c r="FF161" s="139">
        <f t="shared" si="192"/>
        <v>0</v>
      </c>
      <c r="FG161" s="139">
        <f t="shared" si="193"/>
        <v>0</v>
      </c>
      <c r="FH161" s="139">
        <f t="shared" si="194"/>
        <v>0</v>
      </c>
      <c r="FI161" s="139">
        <f t="shared" si="195"/>
        <v>0</v>
      </c>
      <c r="FJ161" s="139">
        <f t="shared" si="196"/>
        <v>0</v>
      </c>
      <c r="FK161" s="139">
        <f t="shared" si="197"/>
        <v>0</v>
      </c>
      <c r="FL161" s="139">
        <f t="shared" si="198"/>
        <v>0</v>
      </c>
      <c r="FM161" s="139">
        <f t="shared" si="199"/>
        <v>0</v>
      </c>
      <c r="FN161" s="139">
        <f t="shared" si="200"/>
        <v>0</v>
      </c>
      <c r="FO161" s="139">
        <f t="shared" si="201"/>
        <v>0</v>
      </c>
      <c r="FP161" s="139">
        <f t="shared" si="202"/>
        <v>0</v>
      </c>
      <c r="FQ161" s="139">
        <f t="shared" si="203"/>
        <v>0</v>
      </c>
      <c r="FR161" s="139">
        <f t="shared" si="204"/>
        <v>0</v>
      </c>
      <c r="FS161" s="139">
        <f t="shared" si="205"/>
        <v>0</v>
      </c>
      <c r="FT161" s="139">
        <f t="shared" si="206"/>
        <v>0</v>
      </c>
      <c r="FU161" s="148">
        <f t="shared" si="207"/>
        <v>0</v>
      </c>
      <c r="FV161" s="149"/>
      <c r="FY161" s="212">
        <v>156</v>
      </c>
      <c r="FZ161">
        <v>9.6473281485081817</v>
      </c>
      <c r="GA161">
        <v>12.114977653550095</v>
      </c>
      <c r="GB161">
        <v>9.5303340776860281</v>
      </c>
      <c r="GC161">
        <v>5.1547678158945285</v>
      </c>
      <c r="GD161">
        <v>1.5125600838337734</v>
      </c>
      <c r="GE161">
        <v>4.6941743254082198</v>
      </c>
      <c r="GF161">
        <v>10.598401156970787</v>
      </c>
      <c r="GG161">
        <v>6.7381827986183023</v>
      </c>
      <c r="GH161">
        <v>0.83723328081836756</v>
      </c>
      <c r="GI161">
        <v>7.7021238940109731</v>
      </c>
      <c r="GJ161"/>
      <c r="GK161"/>
      <c r="GL161"/>
      <c r="GM161"/>
    </row>
    <row r="162" spans="1:195" s="7" customFormat="1">
      <c r="A162" s="1"/>
      <c r="B162" s="76">
        <f t="shared" ca="1" si="172"/>
        <v>0.84287084819968472</v>
      </c>
      <c r="C162">
        <v>5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20.833333333333332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19.27983256555634</v>
      </c>
      <c r="AO162">
        <v>9.5163002539233954</v>
      </c>
      <c r="AP162">
        <v>71.403484572535319</v>
      </c>
      <c r="AQ162">
        <v>50.420033551024801</v>
      </c>
      <c r="AR162">
        <v>8.7399666849475235</v>
      </c>
      <c r="AS162">
        <v>46.706560716594915</v>
      </c>
      <c r="AT162">
        <v>5.0543372759266267</v>
      </c>
      <c r="AU162">
        <v>27.219295742334101</v>
      </c>
      <c r="AV162"/>
      <c r="AW162"/>
      <c r="AX162" s="146"/>
      <c r="AY162" s="76">
        <f t="shared" ca="1" si="173"/>
        <v>4.9371883760502167E-2</v>
      </c>
      <c r="AZ162">
        <v>5</v>
      </c>
      <c r="BA162" s="129">
        <f t="shared" si="245"/>
        <v>39910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2</v>
      </c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8"/>
        <v>0.52603935102061339</v>
      </c>
      <c r="CL162" s="179">
        <f t="shared" si="209"/>
        <v>5</v>
      </c>
      <c r="CM162" s="180">
        <f t="shared" si="210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211"/>
        <v>9.6000000000000002E-2</v>
      </c>
      <c r="DB162" s="146"/>
      <c r="DC162" s="76">
        <f t="shared" ca="1" si="174"/>
        <v>0.33404600680540897</v>
      </c>
      <c r="DD162">
        <f t="shared" si="212"/>
        <v>5</v>
      </c>
      <c r="DE162" s="129">
        <f t="shared" si="244"/>
        <v>39910</v>
      </c>
      <c r="DF162" s="161">
        <f t="shared" si="213"/>
        <v>0</v>
      </c>
      <c r="DG162" s="161">
        <f t="shared" si="214"/>
        <v>0</v>
      </c>
      <c r="DH162" s="161">
        <f t="shared" si="215"/>
        <v>0</v>
      </c>
      <c r="DI162" s="161">
        <f t="shared" si="216"/>
        <v>0</v>
      </c>
      <c r="DJ162" s="161">
        <f t="shared" si="217"/>
        <v>0</v>
      </c>
      <c r="DK162" s="161">
        <f t="shared" si="218"/>
        <v>0</v>
      </c>
      <c r="DL162" s="161">
        <f t="shared" si="219"/>
        <v>0</v>
      </c>
      <c r="DM162" s="161">
        <f t="shared" si="220"/>
        <v>0</v>
      </c>
      <c r="DN162" s="161">
        <f t="shared" si="221"/>
        <v>0</v>
      </c>
      <c r="DO162" s="161">
        <f t="shared" si="222"/>
        <v>20.833333333333332</v>
      </c>
      <c r="DP162" s="161">
        <f t="shared" si="223"/>
        <v>0</v>
      </c>
      <c r="DQ162" s="161">
        <f t="shared" si="224"/>
        <v>0</v>
      </c>
      <c r="DR162" s="161">
        <f t="shared" si="225"/>
        <v>0</v>
      </c>
      <c r="DS162" s="161">
        <f t="shared" si="226"/>
        <v>0</v>
      </c>
      <c r="DT162" s="161">
        <f t="shared" si="227"/>
        <v>0</v>
      </c>
      <c r="DU162" s="161">
        <f t="shared" si="228"/>
        <v>0</v>
      </c>
      <c r="DV162" s="161">
        <f t="shared" si="229"/>
        <v>0</v>
      </c>
      <c r="DW162" s="161">
        <f t="shared" si="230"/>
        <v>0</v>
      </c>
      <c r="DX162" s="161">
        <f t="shared" si="231"/>
        <v>0</v>
      </c>
      <c r="DY162" s="161">
        <f t="shared" si="232"/>
        <v>0</v>
      </c>
      <c r="DZ162" s="161">
        <f t="shared" si="233"/>
        <v>0</v>
      </c>
      <c r="EA162" s="161">
        <f t="shared" si="234"/>
        <v>0</v>
      </c>
      <c r="EB162" s="161">
        <f t="shared" si="235"/>
        <v>0</v>
      </c>
      <c r="EC162" s="161">
        <f t="shared" si="236"/>
        <v>0</v>
      </c>
      <c r="ED162" s="161">
        <f t="shared" si="237"/>
        <v>0</v>
      </c>
      <c r="EE162" s="161">
        <f t="shared" si="238"/>
        <v>0</v>
      </c>
      <c r="EF162" s="161">
        <f t="shared" si="239"/>
        <v>0</v>
      </c>
      <c r="EG162" s="161">
        <f t="shared" si="240"/>
        <v>0</v>
      </c>
      <c r="EH162" s="161">
        <f t="shared" si="241"/>
        <v>0</v>
      </c>
      <c r="EI162" s="161">
        <f t="shared" si="242"/>
        <v>0</v>
      </c>
      <c r="EJ162" s="161">
        <f t="shared" si="243"/>
        <v>0</v>
      </c>
      <c r="EK162" s="147">
        <f t="shared" si="175"/>
        <v>20.833333333333332</v>
      </c>
      <c r="EL162" s="149"/>
      <c r="EN162" s="146"/>
      <c r="EO162" s="146"/>
      <c r="EP162" s="139">
        <f t="shared" si="176"/>
        <v>0</v>
      </c>
      <c r="EQ162" s="139">
        <f t="shared" si="177"/>
        <v>0</v>
      </c>
      <c r="ER162" s="139">
        <f t="shared" si="178"/>
        <v>0</v>
      </c>
      <c r="ES162" s="139">
        <f t="shared" si="179"/>
        <v>0</v>
      </c>
      <c r="ET162" s="139">
        <f t="shared" si="180"/>
        <v>0</v>
      </c>
      <c r="EU162" s="139">
        <f t="shared" si="181"/>
        <v>0</v>
      </c>
      <c r="EV162" s="139">
        <f t="shared" si="182"/>
        <v>0</v>
      </c>
      <c r="EW162" s="139">
        <f t="shared" si="183"/>
        <v>0</v>
      </c>
      <c r="EX162" s="139">
        <f t="shared" si="184"/>
        <v>0</v>
      </c>
      <c r="EY162" s="139">
        <f t="shared" si="185"/>
        <v>73.62412147343862</v>
      </c>
      <c r="EZ162" s="139">
        <f t="shared" si="186"/>
        <v>0</v>
      </c>
      <c r="FA162" s="139">
        <f t="shared" si="187"/>
        <v>0</v>
      </c>
      <c r="FB162" s="139">
        <f t="shared" si="188"/>
        <v>0</v>
      </c>
      <c r="FC162" s="139">
        <f t="shared" si="189"/>
        <v>0</v>
      </c>
      <c r="FD162" s="139">
        <f t="shared" si="190"/>
        <v>0</v>
      </c>
      <c r="FE162" s="139">
        <f t="shared" si="191"/>
        <v>0</v>
      </c>
      <c r="FF162" s="139">
        <f t="shared" si="192"/>
        <v>0</v>
      </c>
      <c r="FG162" s="139">
        <f t="shared" si="193"/>
        <v>0</v>
      </c>
      <c r="FH162" s="139">
        <f t="shared" si="194"/>
        <v>0</v>
      </c>
      <c r="FI162" s="139">
        <f t="shared" si="195"/>
        <v>0</v>
      </c>
      <c r="FJ162" s="139">
        <f t="shared" si="196"/>
        <v>0</v>
      </c>
      <c r="FK162" s="139">
        <f t="shared" si="197"/>
        <v>0</v>
      </c>
      <c r="FL162" s="139">
        <f t="shared" si="198"/>
        <v>0</v>
      </c>
      <c r="FM162" s="139">
        <f t="shared" si="199"/>
        <v>0</v>
      </c>
      <c r="FN162" s="139">
        <f t="shared" si="200"/>
        <v>0</v>
      </c>
      <c r="FO162" s="139">
        <f t="shared" si="201"/>
        <v>0</v>
      </c>
      <c r="FP162" s="139">
        <f t="shared" si="202"/>
        <v>0</v>
      </c>
      <c r="FQ162" s="139">
        <f t="shared" si="203"/>
        <v>0</v>
      </c>
      <c r="FR162" s="139">
        <f t="shared" si="204"/>
        <v>0</v>
      </c>
      <c r="FS162" s="139">
        <f t="shared" si="205"/>
        <v>0</v>
      </c>
      <c r="FT162" s="139">
        <f t="shared" si="206"/>
        <v>0</v>
      </c>
      <c r="FU162" s="148">
        <f t="shared" si="207"/>
        <v>73.62412147343862</v>
      </c>
      <c r="FV162" s="149"/>
      <c r="FY162" s="212">
        <v>157</v>
      </c>
      <c r="FZ162">
        <v>3.4688337189848428</v>
      </c>
      <c r="GA162">
        <v>6.5912966249193223</v>
      </c>
      <c r="GB162">
        <v>6.506797463123096</v>
      </c>
      <c r="GC162">
        <v>3.2305273526031346</v>
      </c>
      <c r="GD162">
        <v>2.6360981912330539</v>
      </c>
      <c r="GE162">
        <v>5.4006649638568085</v>
      </c>
      <c r="GF162">
        <v>6.4606546183285518</v>
      </c>
      <c r="GG162">
        <v>6.8751428246330839</v>
      </c>
      <c r="GH162">
        <v>2.8229443074258631</v>
      </c>
      <c r="GI162">
        <v>6.1519741461425745</v>
      </c>
      <c r="GJ162"/>
      <c r="GK162"/>
      <c r="GL162"/>
      <c r="GM162"/>
    </row>
    <row r="163" spans="1:195" s="7" customFormat="1">
      <c r="A163" s="1"/>
      <c r="B163" s="76">
        <f t="shared" ca="1" si="172"/>
        <v>2.0034281108785912E-2</v>
      </c>
      <c r="C163">
        <v>4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11.343749999999998</v>
      </c>
      <c r="AO163">
        <v>10.573607967701708</v>
      </c>
      <c r="AP163">
        <v>64.408325649749983</v>
      </c>
      <c r="AQ163">
        <v>51.93555333933287</v>
      </c>
      <c r="AR163">
        <v>9.6738101386272319</v>
      </c>
      <c r="AS163">
        <v>52.133023446982151</v>
      </c>
      <c r="AT163">
        <v>6.3808007388778769</v>
      </c>
      <c r="AU163">
        <v>10.215867276059893</v>
      </c>
      <c r="AV163"/>
      <c r="AW163"/>
      <c r="AX163" s="146"/>
      <c r="AY163" s="76">
        <f t="shared" ca="1" si="173"/>
        <v>0.18300745447151545</v>
      </c>
      <c r="AZ163">
        <v>6</v>
      </c>
      <c r="BA163" s="129">
        <f t="shared" si="245"/>
        <v>39910</v>
      </c>
      <c r="BB163">
        <v>0</v>
      </c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8"/>
        <v>0.97387698304064085</v>
      </c>
      <c r="CL163" s="179">
        <f t="shared" si="209"/>
        <v>6</v>
      </c>
      <c r="CM163" s="180">
        <f t="shared" si="210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211"/>
        <v>9.6000000000000002E-2</v>
      </c>
      <c r="DB163" s="146"/>
      <c r="DC163" s="76">
        <f t="shared" ca="1" si="174"/>
        <v>0.90696434200532394</v>
      </c>
      <c r="DD163">
        <f t="shared" si="212"/>
        <v>6</v>
      </c>
      <c r="DE163" s="129">
        <f t="shared" si="244"/>
        <v>39910</v>
      </c>
      <c r="DF163" s="161">
        <f t="shared" si="213"/>
        <v>0</v>
      </c>
      <c r="DG163" s="161">
        <f t="shared" si="214"/>
        <v>0</v>
      </c>
      <c r="DH163" s="161">
        <f t="shared" si="215"/>
        <v>0</v>
      </c>
      <c r="DI163" s="161">
        <f t="shared" si="216"/>
        <v>0</v>
      </c>
      <c r="DJ163" s="161">
        <f t="shared" si="217"/>
        <v>0</v>
      </c>
      <c r="DK163" s="161">
        <f t="shared" si="218"/>
        <v>0</v>
      </c>
      <c r="DL163" s="161">
        <f t="shared" si="219"/>
        <v>0</v>
      </c>
      <c r="DM163" s="161">
        <f t="shared" si="220"/>
        <v>0</v>
      </c>
      <c r="DN163" s="161">
        <f t="shared" si="221"/>
        <v>0</v>
      </c>
      <c r="DO163" s="161">
        <f t="shared" si="222"/>
        <v>0</v>
      </c>
      <c r="DP163" s="161">
        <f t="shared" si="223"/>
        <v>0</v>
      </c>
      <c r="DQ163" s="161">
        <f t="shared" si="224"/>
        <v>0</v>
      </c>
      <c r="DR163" s="161">
        <f t="shared" si="225"/>
        <v>0</v>
      </c>
      <c r="DS163" s="161">
        <f t="shared" si="226"/>
        <v>0</v>
      </c>
      <c r="DT163" s="161">
        <f t="shared" si="227"/>
        <v>0</v>
      </c>
      <c r="DU163" s="161">
        <f t="shared" si="228"/>
        <v>0</v>
      </c>
      <c r="DV163" s="161">
        <f t="shared" si="229"/>
        <v>0</v>
      </c>
      <c r="DW163" s="161">
        <f t="shared" si="230"/>
        <v>0</v>
      </c>
      <c r="DX163" s="161">
        <f t="shared" si="231"/>
        <v>0</v>
      </c>
      <c r="DY163" s="161">
        <f t="shared" si="232"/>
        <v>0</v>
      </c>
      <c r="DZ163" s="161">
        <f t="shared" si="233"/>
        <v>0</v>
      </c>
      <c r="EA163" s="161">
        <f t="shared" si="234"/>
        <v>0</v>
      </c>
      <c r="EB163" s="161">
        <f t="shared" si="235"/>
        <v>0</v>
      </c>
      <c r="EC163" s="161">
        <f t="shared" si="236"/>
        <v>0</v>
      </c>
      <c r="ED163" s="161">
        <f t="shared" si="237"/>
        <v>0</v>
      </c>
      <c r="EE163" s="161">
        <f t="shared" si="238"/>
        <v>0</v>
      </c>
      <c r="EF163" s="161">
        <f t="shared" si="239"/>
        <v>0</v>
      </c>
      <c r="EG163" s="161">
        <f t="shared" si="240"/>
        <v>0</v>
      </c>
      <c r="EH163" s="161">
        <f t="shared" si="241"/>
        <v>0</v>
      </c>
      <c r="EI163" s="161">
        <f t="shared" si="242"/>
        <v>0</v>
      </c>
      <c r="EJ163" s="161">
        <f t="shared" si="243"/>
        <v>0</v>
      </c>
      <c r="EK163" s="147">
        <f t="shared" si="175"/>
        <v>0</v>
      </c>
      <c r="EL163" s="149"/>
      <c r="EN163" s="146"/>
      <c r="EO163" s="146"/>
      <c r="EP163" s="139">
        <f t="shared" si="176"/>
        <v>0</v>
      </c>
      <c r="EQ163" s="139">
        <f t="shared" si="177"/>
        <v>0</v>
      </c>
      <c r="ER163" s="139">
        <f t="shared" si="178"/>
        <v>0</v>
      </c>
      <c r="ES163" s="139">
        <f t="shared" si="179"/>
        <v>0</v>
      </c>
      <c r="ET163" s="139">
        <f t="shared" si="180"/>
        <v>0</v>
      </c>
      <c r="EU163" s="139">
        <f t="shared" si="181"/>
        <v>0</v>
      </c>
      <c r="EV163" s="139">
        <f t="shared" si="182"/>
        <v>0</v>
      </c>
      <c r="EW163" s="139">
        <f t="shared" si="183"/>
        <v>0</v>
      </c>
      <c r="EX163" s="139">
        <f t="shared" si="184"/>
        <v>0</v>
      </c>
      <c r="EY163" s="139">
        <f t="shared" si="185"/>
        <v>0</v>
      </c>
      <c r="EZ163" s="139">
        <f t="shared" si="186"/>
        <v>0</v>
      </c>
      <c r="FA163" s="139">
        <f t="shared" si="187"/>
        <v>0</v>
      </c>
      <c r="FB163" s="139">
        <f t="shared" si="188"/>
        <v>0</v>
      </c>
      <c r="FC163" s="139">
        <f t="shared" si="189"/>
        <v>0</v>
      </c>
      <c r="FD163" s="139">
        <f t="shared" si="190"/>
        <v>0</v>
      </c>
      <c r="FE163" s="139">
        <f t="shared" si="191"/>
        <v>0</v>
      </c>
      <c r="FF163" s="139">
        <f t="shared" si="192"/>
        <v>0</v>
      </c>
      <c r="FG163" s="139">
        <f t="shared" si="193"/>
        <v>0</v>
      </c>
      <c r="FH163" s="139">
        <f t="shared" si="194"/>
        <v>0</v>
      </c>
      <c r="FI163" s="139">
        <f t="shared" si="195"/>
        <v>0</v>
      </c>
      <c r="FJ163" s="139">
        <f t="shared" si="196"/>
        <v>0</v>
      </c>
      <c r="FK163" s="139">
        <f t="shared" si="197"/>
        <v>0</v>
      </c>
      <c r="FL163" s="139">
        <f t="shared" si="198"/>
        <v>0</v>
      </c>
      <c r="FM163" s="139">
        <f t="shared" si="199"/>
        <v>0</v>
      </c>
      <c r="FN163" s="139">
        <f t="shared" si="200"/>
        <v>0</v>
      </c>
      <c r="FO163" s="139">
        <f t="shared" si="201"/>
        <v>0</v>
      </c>
      <c r="FP163" s="139">
        <f t="shared" si="202"/>
        <v>0</v>
      </c>
      <c r="FQ163" s="139">
        <f t="shared" si="203"/>
        <v>0</v>
      </c>
      <c r="FR163" s="139">
        <f t="shared" si="204"/>
        <v>0</v>
      </c>
      <c r="FS163" s="139">
        <f t="shared" si="205"/>
        <v>0</v>
      </c>
      <c r="FT163" s="139">
        <f t="shared" si="206"/>
        <v>0</v>
      </c>
      <c r="FU163" s="148">
        <f t="shared" si="207"/>
        <v>0</v>
      </c>
      <c r="FV163" s="149"/>
      <c r="FY163" s="212">
        <v>158</v>
      </c>
      <c r="FZ163">
        <v>0.19583573040919949</v>
      </c>
      <c r="GA163">
        <v>2.4658589708444967</v>
      </c>
      <c r="GB163">
        <v>8.6211077750124687</v>
      </c>
      <c r="GC163">
        <v>4.7924851774775288</v>
      </c>
      <c r="GD163">
        <v>1.9999947256877781</v>
      </c>
      <c r="GE163">
        <v>4.3246826284755207</v>
      </c>
      <c r="GF163">
        <v>5.8693328410403378</v>
      </c>
      <c r="GG163">
        <v>4.930810700840663</v>
      </c>
      <c r="GH163">
        <v>2.8489183991646994</v>
      </c>
      <c r="GI163">
        <v>5.4054255974740242</v>
      </c>
      <c r="GJ163"/>
      <c r="GK163"/>
      <c r="GL163"/>
      <c r="GM163"/>
    </row>
    <row r="164" spans="1:195" s="7" customFormat="1">
      <c r="A164" s="1"/>
      <c r="B164" s="76">
        <f t="shared" ca="1" si="172"/>
        <v>1.1678742286070021E-2</v>
      </c>
      <c r="C164">
        <v>10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31.25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11.310533801874163</v>
      </c>
      <c r="AO164">
        <v>10.225649070982472</v>
      </c>
      <c r="AP164">
        <v>89.838696766148033</v>
      </c>
      <c r="AQ164">
        <v>51.970121572564437</v>
      </c>
      <c r="AR164">
        <v>9.4103399411947386</v>
      </c>
      <c r="AS164">
        <v>50.2671723586583</v>
      </c>
      <c r="AT164" t="e">
        <v>#DIV/0!</v>
      </c>
      <c r="AU164" t="e">
        <v>#DIV/0!</v>
      </c>
      <c r="AV164"/>
      <c r="AW164"/>
      <c r="AX164" s="146"/>
      <c r="AY164" s="76">
        <f t="shared" ca="1" si="173"/>
        <v>7.1987269520745301E-2</v>
      </c>
      <c r="AZ164">
        <v>7</v>
      </c>
      <c r="BA164" s="129">
        <f t="shared" si="245"/>
        <v>39910</v>
      </c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8"/>
        <v>0.87723368579432837</v>
      </c>
      <c r="CL164" s="179">
        <f t="shared" si="209"/>
        <v>7</v>
      </c>
      <c r="CM164" s="180">
        <f t="shared" si="210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211"/>
        <v>9.6000000000000002E-2</v>
      </c>
      <c r="DB164" s="146"/>
      <c r="DC164" s="76">
        <f t="shared" ca="1" si="174"/>
        <v>0.73152841146047032</v>
      </c>
      <c r="DD164">
        <f t="shared" si="212"/>
        <v>7</v>
      </c>
      <c r="DE164" s="129">
        <f t="shared" si="244"/>
        <v>39910</v>
      </c>
      <c r="DF164" s="161">
        <f t="shared" si="213"/>
        <v>0</v>
      </c>
      <c r="DG164" s="161">
        <f t="shared" si="214"/>
        <v>0</v>
      </c>
      <c r="DH164" s="161">
        <f t="shared" si="215"/>
        <v>0</v>
      </c>
      <c r="DI164" s="161">
        <f t="shared" si="216"/>
        <v>0</v>
      </c>
      <c r="DJ164" s="161">
        <f t="shared" si="217"/>
        <v>0</v>
      </c>
      <c r="DK164" s="161">
        <f t="shared" si="218"/>
        <v>0</v>
      </c>
      <c r="DL164" s="161">
        <f t="shared" si="219"/>
        <v>0</v>
      </c>
      <c r="DM164" s="161">
        <f t="shared" si="220"/>
        <v>0</v>
      </c>
      <c r="DN164" s="161">
        <f t="shared" si="221"/>
        <v>0</v>
      </c>
      <c r="DO164" s="161">
        <f t="shared" si="222"/>
        <v>0</v>
      </c>
      <c r="DP164" s="161">
        <f t="shared" si="223"/>
        <v>0</v>
      </c>
      <c r="DQ164" s="161">
        <f t="shared" si="224"/>
        <v>0</v>
      </c>
      <c r="DR164" s="161">
        <f t="shared" si="225"/>
        <v>0</v>
      </c>
      <c r="DS164" s="161">
        <f t="shared" si="226"/>
        <v>0</v>
      </c>
      <c r="DT164" s="161">
        <f t="shared" si="227"/>
        <v>0</v>
      </c>
      <c r="DU164" s="161">
        <f t="shared" si="228"/>
        <v>0</v>
      </c>
      <c r="DV164" s="161">
        <f t="shared" si="229"/>
        <v>0</v>
      </c>
      <c r="DW164" s="161">
        <f t="shared" si="230"/>
        <v>0</v>
      </c>
      <c r="DX164" s="161">
        <f t="shared" si="231"/>
        <v>0</v>
      </c>
      <c r="DY164" s="161">
        <f t="shared" si="232"/>
        <v>0</v>
      </c>
      <c r="DZ164" s="161">
        <f t="shared" si="233"/>
        <v>0</v>
      </c>
      <c r="EA164" s="161">
        <f t="shared" si="234"/>
        <v>0</v>
      </c>
      <c r="EB164" s="161">
        <f t="shared" si="235"/>
        <v>0</v>
      </c>
      <c r="EC164" s="161">
        <f t="shared" si="236"/>
        <v>0</v>
      </c>
      <c r="ED164" s="161">
        <f t="shared" si="237"/>
        <v>0</v>
      </c>
      <c r="EE164" s="161">
        <f t="shared" si="238"/>
        <v>0</v>
      </c>
      <c r="EF164" s="161">
        <f t="shared" si="239"/>
        <v>0</v>
      </c>
      <c r="EG164" s="161">
        <f t="shared" si="240"/>
        <v>0</v>
      </c>
      <c r="EH164" s="161">
        <f t="shared" si="241"/>
        <v>0</v>
      </c>
      <c r="EI164" s="161">
        <f t="shared" si="242"/>
        <v>0</v>
      </c>
      <c r="EJ164" s="161">
        <f t="shared" si="243"/>
        <v>0</v>
      </c>
      <c r="EK164" s="147">
        <f t="shared" si="175"/>
        <v>0</v>
      </c>
      <c r="EL164" s="149"/>
      <c r="EN164" s="146"/>
      <c r="EO164" s="146"/>
      <c r="EP164" s="139">
        <f t="shared" si="176"/>
        <v>0</v>
      </c>
      <c r="EQ164" s="139">
        <f t="shared" si="177"/>
        <v>0</v>
      </c>
      <c r="ER164" s="139">
        <f t="shared" si="178"/>
        <v>0</v>
      </c>
      <c r="ES164" s="139">
        <f t="shared" si="179"/>
        <v>0</v>
      </c>
      <c r="ET164" s="139">
        <f t="shared" si="180"/>
        <v>0</v>
      </c>
      <c r="EU164" s="139">
        <f t="shared" si="181"/>
        <v>0</v>
      </c>
      <c r="EV164" s="139">
        <f t="shared" si="182"/>
        <v>0</v>
      </c>
      <c r="EW164" s="139">
        <f t="shared" si="183"/>
        <v>0</v>
      </c>
      <c r="EX164" s="139">
        <f t="shared" si="184"/>
        <v>0</v>
      </c>
      <c r="EY164" s="139">
        <f t="shared" si="185"/>
        <v>0</v>
      </c>
      <c r="EZ164" s="139">
        <f t="shared" si="186"/>
        <v>0</v>
      </c>
      <c r="FA164" s="139">
        <f t="shared" si="187"/>
        <v>0</v>
      </c>
      <c r="FB164" s="139">
        <f t="shared" si="188"/>
        <v>0</v>
      </c>
      <c r="FC164" s="139">
        <f t="shared" si="189"/>
        <v>0</v>
      </c>
      <c r="FD164" s="139">
        <f t="shared" si="190"/>
        <v>0</v>
      </c>
      <c r="FE164" s="139">
        <f t="shared" si="191"/>
        <v>0</v>
      </c>
      <c r="FF164" s="139">
        <f t="shared" si="192"/>
        <v>0</v>
      </c>
      <c r="FG164" s="139">
        <f t="shared" si="193"/>
        <v>0</v>
      </c>
      <c r="FH164" s="139">
        <f t="shared" si="194"/>
        <v>0</v>
      </c>
      <c r="FI164" s="139">
        <f t="shared" si="195"/>
        <v>0</v>
      </c>
      <c r="FJ164" s="139">
        <f t="shared" si="196"/>
        <v>0</v>
      </c>
      <c r="FK164" s="139">
        <f t="shared" si="197"/>
        <v>0</v>
      </c>
      <c r="FL164" s="139">
        <f t="shared" si="198"/>
        <v>0</v>
      </c>
      <c r="FM164" s="139">
        <f t="shared" si="199"/>
        <v>0</v>
      </c>
      <c r="FN164" s="139">
        <f t="shared" si="200"/>
        <v>0</v>
      </c>
      <c r="FO164" s="139">
        <f t="shared" si="201"/>
        <v>0</v>
      </c>
      <c r="FP164" s="139">
        <f t="shared" si="202"/>
        <v>0</v>
      </c>
      <c r="FQ164" s="139">
        <f t="shared" si="203"/>
        <v>0</v>
      </c>
      <c r="FR164" s="139">
        <f t="shared" si="204"/>
        <v>0</v>
      </c>
      <c r="FS164" s="139">
        <f t="shared" si="205"/>
        <v>0</v>
      </c>
      <c r="FT164" s="139">
        <f t="shared" si="206"/>
        <v>0</v>
      </c>
      <c r="FU164" s="148">
        <f t="shared" si="207"/>
        <v>0</v>
      </c>
      <c r="FV164" s="149"/>
      <c r="FY164" s="212">
        <v>159</v>
      </c>
      <c r="FZ164">
        <v>6.4040487310492686</v>
      </c>
      <c r="GA164">
        <v>8.486720322149754</v>
      </c>
      <c r="GB164">
        <v>4.9253005093332787</v>
      </c>
      <c r="GC164">
        <v>2.6047778872803589</v>
      </c>
      <c r="GD164">
        <v>1.2522604755274775</v>
      </c>
      <c r="GE164">
        <v>3.4106429703740586</v>
      </c>
      <c r="GF164">
        <v>6.917362458616628</v>
      </c>
      <c r="GG164">
        <v>5.3581753816502165</v>
      </c>
      <c r="GH164">
        <v>1.010423826157665</v>
      </c>
      <c r="GI164">
        <v>4.863501489634265</v>
      </c>
      <c r="GJ164"/>
      <c r="GK164"/>
      <c r="GL164"/>
      <c r="GM164"/>
    </row>
    <row r="165" spans="1:195" s="7" customFormat="1">
      <c r="A165" s="1"/>
      <c r="B165" s="76">
        <f t="shared" ca="1" si="172"/>
        <v>0.54061478851451317</v>
      </c>
      <c r="C165">
        <v>2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10.416666666666666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18.303385109063704</v>
      </c>
      <c r="AO165">
        <v>7.6667251960726022</v>
      </c>
      <c r="AP165">
        <v>58.080735515155155</v>
      </c>
      <c r="AQ165">
        <v>38.564545740627054</v>
      </c>
      <c r="AR165">
        <v>7.0960578748895449</v>
      </c>
      <c r="AS165">
        <v>40.086530559860634</v>
      </c>
      <c r="AT165">
        <v>3.5600240854125693</v>
      </c>
      <c r="AU165">
        <v>16.460243007908364</v>
      </c>
      <c r="AV165"/>
      <c r="AW165"/>
      <c r="AX165" s="146"/>
      <c r="AY165" s="76">
        <f t="shared" ca="1" si="173"/>
        <v>0.85189028159835001</v>
      </c>
      <c r="AZ165">
        <v>8</v>
      </c>
      <c r="BA165" s="129">
        <f t="shared" si="245"/>
        <v>39910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1</v>
      </c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08"/>
        <v>0.67340287520935949</v>
      </c>
      <c r="CL165" s="179">
        <f t="shared" si="209"/>
        <v>8</v>
      </c>
      <c r="CM165" s="180">
        <f t="shared" si="210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211"/>
        <v>9.6000000000000002E-2</v>
      </c>
      <c r="DB165" s="146"/>
      <c r="DC165" s="76">
        <f t="shared" ca="1" si="174"/>
        <v>0.25067419745474417</v>
      </c>
      <c r="DD165">
        <f t="shared" si="212"/>
        <v>8</v>
      </c>
      <c r="DE165" s="129">
        <f t="shared" si="244"/>
        <v>39910</v>
      </c>
      <c r="DF165" s="161">
        <f t="shared" si="213"/>
        <v>0</v>
      </c>
      <c r="DG165" s="161">
        <f t="shared" si="214"/>
        <v>0</v>
      </c>
      <c r="DH165" s="161">
        <f t="shared" si="215"/>
        <v>0</v>
      </c>
      <c r="DI165" s="161">
        <f t="shared" si="216"/>
        <v>0</v>
      </c>
      <c r="DJ165" s="161">
        <f t="shared" si="217"/>
        <v>0</v>
      </c>
      <c r="DK165" s="161">
        <f t="shared" si="218"/>
        <v>0</v>
      </c>
      <c r="DL165" s="161">
        <f t="shared" si="219"/>
        <v>10.416666666666666</v>
      </c>
      <c r="DM165" s="161">
        <f t="shared" si="220"/>
        <v>0</v>
      </c>
      <c r="DN165" s="161">
        <f t="shared" si="221"/>
        <v>0</v>
      </c>
      <c r="DO165" s="161">
        <f t="shared" si="222"/>
        <v>0</v>
      </c>
      <c r="DP165" s="161">
        <f t="shared" si="223"/>
        <v>0</v>
      </c>
      <c r="DQ165" s="161">
        <f t="shared" si="224"/>
        <v>0</v>
      </c>
      <c r="DR165" s="161">
        <f t="shared" si="225"/>
        <v>0</v>
      </c>
      <c r="DS165" s="161">
        <f t="shared" si="226"/>
        <v>0</v>
      </c>
      <c r="DT165" s="161">
        <f t="shared" si="227"/>
        <v>0</v>
      </c>
      <c r="DU165" s="161">
        <f t="shared" si="228"/>
        <v>0</v>
      </c>
      <c r="DV165" s="161">
        <f t="shared" si="229"/>
        <v>0</v>
      </c>
      <c r="DW165" s="161">
        <f t="shared" si="230"/>
        <v>0</v>
      </c>
      <c r="DX165" s="161">
        <f t="shared" si="231"/>
        <v>0</v>
      </c>
      <c r="DY165" s="161">
        <f t="shared" si="232"/>
        <v>0</v>
      </c>
      <c r="DZ165" s="161">
        <f t="shared" si="233"/>
        <v>0</v>
      </c>
      <c r="EA165" s="161">
        <f t="shared" si="234"/>
        <v>0</v>
      </c>
      <c r="EB165" s="161">
        <f t="shared" si="235"/>
        <v>0</v>
      </c>
      <c r="EC165" s="161">
        <f t="shared" si="236"/>
        <v>0</v>
      </c>
      <c r="ED165" s="161">
        <f t="shared" si="237"/>
        <v>0</v>
      </c>
      <c r="EE165" s="161">
        <f t="shared" si="238"/>
        <v>0</v>
      </c>
      <c r="EF165" s="161">
        <f t="shared" si="239"/>
        <v>0</v>
      </c>
      <c r="EG165" s="161">
        <f t="shared" si="240"/>
        <v>0</v>
      </c>
      <c r="EH165" s="161">
        <f t="shared" si="241"/>
        <v>0</v>
      </c>
      <c r="EI165" s="161">
        <f t="shared" si="242"/>
        <v>0</v>
      </c>
      <c r="EJ165" s="161">
        <f t="shared" si="243"/>
        <v>0</v>
      </c>
      <c r="EK165" s="147">
        <f t="shared" si="175"/>
        <v>10.416666666666666</v>
      </c>
      <c r="EL165" s="149"/>
      <c r="EN165" s="146"/>
      <c r="EO165" s="146"/>
      <c r="EP165" s="139">
        <f t="shared" si="176"/>
        <v>0</v>
      </c>
      <c r="EQ165" s="139">
        <f t="shared" si="177"/>
        <v>0</v>
      </c>
      <c r="ER165" s="139">
        <f t="shared" si="178"/>
        <v>0</v>
      </c>
      <c r="ES165" s="139">
        <f t="shared" si="179"/>
        <v>0</v>
      </c>
      <c r="ET165" s="139">
        <f t="shared" si="180"/>
        <v>0</v>
      </c>
      <c r="EU165" s="139">
        <f t="shared" si="181"/>
        <v>0</v>
      </c>
      <c r="EV165" s="139">
        <f t="shared" si="182"/>
        <v>9.0513711528458085</v>
      </c>
      <c r="EW165" s="139">
        <f t="shared" si="183"/>
        <v>0</v>
      </c>
      <c r="EX165" s="139">
        <f t="shared" si="184"/>
        <v>0</v>
      </c>
      <c r="EY165" s="139">
        <f t="shared" si="185"/>
        <v>0</v>
      </c>
      <c r="EZ165" s="139">
        <f t="shared" si="186"/>
        <v>0</v>
      </c>
      <c r="FA165" s="139">
        <f t="shared" si="187"/>
        <v>0</v>
      </c>
      <c r="FB165" s="139">
        <f t="shared" si="188"/>
        <v>0</v>
      </c>
      <c r="FC165" s="139">
        <f t="shared" si="189"/>
        <v>0</v>
      </c>
      <c r="FD165" s="139">
        <f t="shared" si="190"/>
        <v>0</v>
      </c>
      <c r="FE165" s="139">
        <f t="shared" si="191"/>
        <v>0</v>
      </c>
      <c r="FF165" s="139">
        <f t="shared" si="192"/>
        <v>0</v>
      </c>
      <c r="FG165" s="139">
        <f t="shared" si="193"/>
        <v>0</v>
      </c>
      <c r="FH165" s="139">
        <f t="shared" si="194"/>
        <v>0</v>
      </c>
      <c r="FI165" s="139">
        <f t="shared" si="195"/>
        <v>0</v>
      </c>
      <c r="FJ165" s="139">
        <f t="shared" si="196"/>
        <v>0</v>
      </c>
      <c r="FK165" s="139">
        <f t="shared" si="197"/>
        <v>0</v>
      </c>
      <c r="FL165" s="139">
        <f t="shared" si="198"/>
        <v>0</v>
      </c>
      <c r="FM165" s="139">
        <f t="shared" si="199"/>
        <v>0</v>
      </c>
      <c r="FN165" s="139">
        <f t="shared" si="200"/>
        <v>0</v>
      </c>
      <c r="FO165" s="139">
        <f t="shared" si="201"/>
        <v>0</v>
      </c>
      <c r="FP165" s="139">
        <f t="shared" si="202"/>
        <v>0</v>
      </c>
      <c r="FQ165" s="139">
        <f t="shared" si="203"/>
        <v>0</v>
      </c>
      <c r="FR165" s="139">
        <f t="shared" si="204"/>
        <v>0</v>
      </c>
      <c r="FS165" s="139">
        <f t="shared" si="205"/>
        <v>0</v>
      </c>
      <c r="FT165" s="139">
        <f t="shared" si="206"/>
        <v>0</v>
      </c>
      <c r="FU165" s="148">
        <f t="shared" si="207"/>
        <v>9.0513711528458085</v>
      </c>
      <c r="FV165" s="149"/>
      <c r="FY165" s="212">
        <v>160</v>
      </c>
      <c r="FZ165">
        <v>3.5408174811582387</v>
      </c>
      <c r="GA165">
        <v>4.9330152380604035</v>
      </c>
      <c r="GB165">
        <v>7.2702131797516154</v>
      </c>
      <c r="GC165">
        <v>4.1515473191833703</v>
      </c>
      <c r="GD165">
        <v>0.9884205673869324</v>
      </c>
      <c r="GE165">
        <v>2.720612865855276</v>
      </c>
      <c r="GF165">
        <v>11.125851437529253</v>
      </c>
      <c r="GG165">
        <v>10.016958146275508</v>
      </c>
      <c r="GH165">
        <v>2.9344903542061598</v>
      </c>
      <c r="GI165">
        <v>6.4103250458779151</v>
      </c>
      <c r="GJ165"/>
      <c r="GK165"/>
      <c r="GL165"/>
      <c r="GM165"/>
    </row>
    <row r="166" spans="1:195" s="7" customFormat="1">
      <c r="A166" s="1"/>
      <c r="B166" s="76">
        <f t="shared" ca="1" si="172"/>
        <v>0.14002768824136402</v>
      </c>
      <c r="C166">
        <v>3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17.769748110087406</v>
      </c>
      <c r="AO166">
        <v>11.266892645835789</v>
      </c>
      <c r="AP166">
        <v>93.044436469497896</v>
      </c>
      <c r="AQ166">
        <v>66.005252453371369</v>
      </c>
      <c r="AR166">
        <v>10.324975304955334</v>
      </c>
      <c r="AS166">
        <v>49.753588297373923</v>
      </c>
      <c r="AT166">
        <v>5.6604301438457405</v>
      </c>
      <c r="AU166">
        <v>16.087706576555743</v>
      </c>
      <c r="AV166"/>
      <c r="AW166"/>
      <c r="AX166" s="146"/>
      <c r="AY166" s="76">
        <f t="shared" ca="1" si="173"/>
        <v>9.5545742785894561E-2</v>
      </c>
      <c r="AZ166">
        <v>9</v>
      </c>
      <c r="BA166" s="129">
        <f t="shared" si="245"/>
        <v>39910</v>
      </c>
      <c r="BB166">
        <v>0</v>
      </c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8"/>
        <v>0.17687303362666107</v>
      </c>
      <c r="CL166" s="179">
        <f t="shared" si="209"/>
        <v>9</v>
      </c>
      <c r="CM166" s="180">
        <f t="shared" si="210"/>
        <v>39910</v>
      </c>
      <c r="CN166">
        <v>0</v>
      </c>
      <c r="CO166"/>
      <c r="CP166"/>
      <c r="CQ166"/>
      <c r="CR166"/>
      <c r="CS166"/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211"/>
        <v>9.6000000000000002E-2</v>
      </c>
      <c r="DB166" s="146"/>
      <c r="DC166" s="76">
        <f t="shared" ca="1" si="174"/>
        <v>0.19166176788870093</v>
      </c>
      <c r="DD166">
        <f t="shared" si="212"/>
        <v>9</v>
      </c>
      <c r="DE166" s="129">
        <f t="shared" si="244"/>
        <v>39910</v>
      </c>
      <c r="DF166" s="161">
        <f t="shared" si="213"/>
        <v>0</v>
      </c>
      <c r="DG166" s="161">
        <f t="shared" si="214"/>
        <v>0</v>
      </c>
      <c r="DH166" s="161">
        <f t="shared" si="215"/>
        <v>0</v>
      </c>
      <c r="DI166" s="161">
        <f t="shared" si="216"/>
        <v>0</v>
      </c>
      <c r="DJ166" s="161">
        <f t="shared" si="217"/>
        <v>0</v>
      </c>
      <c r="DK166" s="161">
        <f t="shared" si="218"/>
        <v>0</v>
      </c>
      <c r="DL166" s="161">
        <f t="shared" si="219"/>
        <v>0</v>
      </c>
      <c r="DM166" s="161">
        <f t="shared" si="220"/>
        <v>0</v>
      </c>
      <c r="DN166" s="161">
        <f t="shared" si="221"/>
        <v>0</v>
      </c>
      <c r="DO166" s="161">
        <f t="shared" si="222"/>
        <v>0</v>
      </c>
      <c r="DP166" s="161">
        <f t="shared" si="223"/>
        <v>0</v>
      </c>
      <c r="DQ166" s="161">
        <f t="shared" si="224"/>
        <v>0</v>
      </c>
      <c r="DR166" s="161">
        <f t="shared" si="225"/>
        <v>0</v>
      </c>
      <c r="DS166" s="161">
        <f t="shared" si="226"/>
        <v>0</v>
      </c>
      <c r="DT166" s="161">
        <f t="shared" si="227"/>
        <v>0</v>
      </c>
      <c r="DU166" s="161">
        <f t="shared" si="228"/>
        <v>0</v>
      </c>
      <c r="DV166" s="161">
        <f t="shared" si="229"/>
        <v>0</v>
      </c>
      <c r="DW166" s="161">
        <f t="shared" si="230"/>
        <v>0</v>
      </c>
      <c r="DX166" s="161">
        <f t="shared" si="231"/>
        <v>0</v>
      </c>
      <c r="DY166" s="161">
        <f t="shared" si="232"/>
        <v>0</v>
      </c>
      <c r="DZ166" s="161">
        <f t="shared" si="233"/>
        <v>0</v>
      </c>
      <c r="EA166" s="161">
        <f t="shared" si="234"/>
        <v>0</v>
      </c>
      <c r="EB166" s="161">
        <f t="shared" si="235"/>
        <v>0</v>
      </c>
      <c r="EC166" s="161">
        <f t="shared" si="236"/>
        <v>0</v>
      </c>
      <c r="ED166" s="161">
        <f t="shared" si="237"/>
        <v>0</v>
      </c>
      <c r="EE166" s="161">
        <f t="shared" si="238"/>
        <v>0</v>
      </c>
      <c r="EF166" s="161">
        <f t="shared" si="239"/>
        <v>0</v>
      </c>
      <c r="EG166" s="161">
        <f t="shared" si="240"/>
        <v>0</v>
      </c>
      <c r="EH166" s="161">
        <f t="shared" si="241"/>
        <v>0</v>
      </c>
      <c r="EI166" s="161">
        <f t="shared" si="242"/>
        <v>0</v>
      </c>
      <c r="EJ166" s="161">
        <f t="shared" si="243"/>
        <v>0</v>
      </c>
      <c r="EK166" s="147">
        <f t="shared" si="175"/>
        <v>0</v>
      </c>
      <c r="EL166" s="149"/>
      <c r="EN166" s="146"/>
      <c r="EO166" s="146"/>
      <c r="EP166" s="139">
        <f t="shared" si="176"/>
        <v>0</v>
      </c>
      <c r="EQ166" s="139">
        <f t="shared" si="177"/>
        <v>0</v>
      </c>
      <c r="ER166" s="139">
        <f t="shared" si="178"/>
        <v>0</v>
      </c>
      <c r="ES166" s="139">
        <f t="shared" si="179"/>
        <v>0</v>
      </c>
      <c r="ET166" s="139">
        <f t="shared" si="180"/>
        <v>0</v>
      </c>
      <c r="EU166" s="139">
        <f t="shared" si="181"/>
        <v>0</v>
      </c>
      <c r="EV166" s="139">
        <f t="shared" si="182"/>
        <v>0</v>
      </c>
      <c r="EW166" s="139">
        <f t="shared" si="183"/>
        <v>0</v>
      </c>
      <c r="EX166" s="139">
        <f t="shared" si="184"/>
        <v>0</v>
      </c>
      <c r="EY166" s="139">
        <f t="shared" si="185"/>
        <v>0</v>
      </c>
      <c r="EZ166" s="139">
        <f t="shared" si="186"/>
        <v>0</v>
      </c>
      <c r="FA166" s="139">
        <f t="shared" si="187"/>
        <v>0</v>
      </c>
      <c r="FB166" s="139">
        <f t="shared" si="188"/>
        <v>0</v>
      </c>
      <c r="FC166" s="139">
        <f t="shared" si="189"/>
        <v>0</v>
      </c>
      <c r="FD166" s="139">
        <f t="shared" si="190"/>
        <v>0</v>
      </c>
      <c r="FE166" s="139">
        <f t="shared" si="191"/>
        <v>0</v>
      </c>
      <c r="FF166" s="139">
        <f t="shared" si="192"/>
        <v>0</v>
      </c>
      <c r="FG166" s="139">
        <f t="shared" si="193"/>
        <v>0</v>
      </c>
      <c r="FH166" s="139">
        <f t="shared" si="194"/>
        <v>0</v>
      </c>
      <c r="FI166" s="139">
        <f t="shared" si="195"/>
        <v>0</v>
      </c>
      <c r="FJ166" s="139">
        <f t="shared" si="196"/>
        <v>0</v>
      </c>
      <c r="FK166" s="139">
        <f t="shared" si="197"/>
        <v>0</v>
      </c>
      <c r="FL166" s="139">
        <f t="shared" si="198"/>
        <v>0</v>
      </c>
      <c r="FM166" s="139">
        <f t="shared" si="199"/>
        <v>0</v>
      </c>
      <c r="FN166" s="139">
        <f t="shared" si="200"/>
        <v>0</v>
      </c>
      <c r="FO166" s="139">
        <f t="shared" si="201"/>
        <v>0</v>
      </c>
      <c r="FP166" s="139">
        <f t="shared" si="202"/>
        <v>0</v>
      </c>
      <c r="FQ166" s="139">
        <f t="shared" si="203"/>
        <v>0</v>
      </c>
      <c r="FR166" s="139">
        <f t="shared" si="204"/>
        <v>0</v>
      </c>
      <c r="FS166" s="139">
        <f t="shared" si="205"/>
        <v>0</v>
      </c>
      <c r="FT166" s="139">
        <f t="shared" si="206"/>
        <v>0</v>
      </c>
      <c r="FU166" s="148">
        <f t="shared" si="207"/>
        <v>0</v>
      </c>
      <c r="FV166" s="149"/>
      <c r="FY166" s="212">
        <v>161</v>
      </c>
      <c r="FZ166">
        <v>3.3252272449598674</v>
      </c>
      <c r="GA166">
        <v>5.8911965820846142</v>
      </c>
      <c r="GB166">
        <v>12.074007809951432</v>
      </c>
      <c r="GC166">
        <v>6.1223571032321429</v>
      </c>
      <c r="GD166">
        <v>0.90048468982041108</v>
      </c>
      <c r="GE166">
        <v>2.1723362698566913</v>
      </c>
      <c r="GF166">
        <v>7.5770926411563035</v>
      </c>
      <c r="GG166">
        <v>7.3471495982732886</v>
      </c>
      <c r="GH166">
        <v>1.6305017320511725</v>
      </c>
      <c r="GI166">
        <v>6.4457767399502455</v>
      </c>
      <c r="GJ166"/>
      <c r="GK166"/>
      <c r="GL166"/>
      <c r="GM166"/>
    </row>
    <row r="167" spans="1:195" s="7" customFormat="1">
      <c r="A167" s="1"/>
      <c r="B167" s="76">
        <f t="shared" ca="1" si="172"/>
        <v>0.16586771059503524</v>
      </c>
      <c r="C167">
        <v>9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22.267909874793293</v>
      </c>
      <c r="AO167">
        <v>8.8574844066304941</v>
      </c>
      <c r="AP167">
        <v>44.900563561287768</v>
      </c>
      <c r="AQ167">
        <v>42.29227345244383</v>
      </c>
      <c r="AR167">
        <v>8.1897786397624373</v>
      </c>
      <c r="AS167">
        <v>43.942781094444648</v>
      </c>
      <c r="AT167">
        <v>4.6546166323965865</v>
      </c>
      <c r="AU167">
        <v>16.4609314874332</v>
      </c>
      <c r="AV167"/>
      <c r="AW167"/>
      <c r="AX167" s="146"/>
      <c r="AY167" s="76">
        <f t="shared" ca="1" si="173"/>
        <v>0.58006262789275231</v>
      </c>
      <c r="AZ167">
        <v>10</v>
      </c>
      <c r="BA167" s="129">
        <f t="shared" si="245"/>
        <v>39910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3</v>
      </c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8"/>
        <v>0.61090379224084135</v>
      </c>
      <c r="CL167" s="179">
        <f t="shared" si="209"/>
        <v>10</v>
      </c>
      <c r="CM167" s="180">
        <f t="shared" si="210"/>
        <v>39910</v>
      </c>
      <c r="CN167">
        <v>0</v>
      </c>
      <c r="CO167"/>
      <c r="CP167"/>
      <c r="CQ167"/>
      <c r="CR167"/>
      <c r="CS167"/>
      <c r="CT167"/>
      <c r="CU167"/>
      <c r="CV167" s="160"/>
      <c r="CW167">
        <v>1</v>
      </c>
      <c r="CX167">
        <f>350/35</f>
        <v>10</v>
      </c>
      <c r="CY167" s="165"/>
      <c r="CZ167" s="177">
        <f t="shared" si="211"/>
        <v>9.6000000000000002E-2</v>
      </c>
      <c r="DB167" s="146"/>
      <c r="DC167" s="76">
        <f t="shared" ca="1" si="174"/>
        <v>0.63964846794656971</v>
      </c>
      <c r="DD167">
        <f t="shared" si="212"/>
        <v>10</v>
      </c>
      <c r="DE167" s="129">
        <f t="shared" si="244"/>
        <v>39910</v>
      </c>
      <c r="DF167" s="161">
        <f t="shared" si="213"/>
        <v>0</v>
      </c>
      <c r="DG167" s="161">
        <f t="shared" si="214"/>
        <v>0</v>
      </c>
      <c r="DH167" s="161">
        <f t="shared" si="215"/>
        <v>0</v>
      </c>
      <c r="DI167" s="161">
        <f t="shared" si="216"/>
        <v>0</v>
      </c>
      <c r="DJ167" s="161">
        <f t="shared" si="217"/>
        <v>0</v>
      </c>
      <c r="DK167" s="161">
        <f t="shared" si="218"/>
        <v>0</v>
      </c>
      <c r="DL167" s="161">
        <f t="shared" si="219"/>
        <v>0</v>
      </c>
      <c r="DM167" s="161">
        <f t="shared" si="220"/>
        <v>0</v>
      </c>
      <c r="DN167" s="161">
        <f t="shared" si="221"/>
        <v>0</v>
      </c>
      <c r="DO167" s="161">
        <f t="shared" si="222"/>
        <v>31.25</v>
      </c>
      <c r="DP167" s="161">
        <f t="shared" si="223"/>
        <v>0</v>
      </c>
      <c r="DQ167" s="161">
        <f t="shared" si="224"/>
        <v>0</v>
      </c>
      <c r="DR167" s="161">
        <f t="shared" si="225"/>
        <v>0</v>
      </c>
      <c r="DS167" s="161">
        <f t="shared" si="226"/>
        <v>0</v>
      </c>
      <c r="DT167" s="161">
        <f t="shared" si="227"/>
        <v>0</v>
      </c>
      <c r="DU167" s="161">
        <f t="shared" si="228"/>
        <v>0</v>
      </c>
      <c r="DV167" s="161">
        <f t="shared" si="229"/>
        <v>0</v>
      </c>
      <c r="DW167" s="161">
        <f t="shared" si="230"/>
        <v>0</v>
      </c>
      <c r="DX167" s="161">
        <f t="shared" si="231"/>
        <v>0</v>
      </c>
      <c r="DY167" s="161">
        <f t="shared" si="232"/>
        <v>0</v>
      </c>
      <c r="DZ167" s="161">
        <f t="shared" si="233"/>
        <v>0</v>
      </c>
      <c r="EA167" s="161">
        <f t="shared" si="234"/>
        <v>0</v>
      </c>
      <c r="EB167" s="161">
        <f t="shared" si="235"/>
        <v>0</v>
      </c>
      <c r="EC167" s="161">
        <f t="shared" si="236"/>
        <v>0</v>
      </c>
      <c r="ED167" s="161">
        <f t="shared" si="237"/>
        <v>0</v>
      </c>
      <c r="EE167" s="161">
        <f t="shared" si="238"/>
        <v>0</v>
      </c>
      <c r="EF167" s="161">
        <f t="shared" si="239"/>
        <v>0</v>
      </c>
      <c r="EG167" s="161">
        <f t="shared" si="240"/>
        <v>0</v>
      </c>
      <c r="EH167" s="161">
        <f t="shared" si="241"/>
        <v>0</v>
      </c>
      <c r="EI167" s="161">
        <f t="shared" si="242"/>
        <v>0</v>
      </c>
      <c r="EJ167" s="161">
        <f t="shared" si="243"/>
        <v>0</v>
      </c>
      <c r="EK167" s="147">
        <f t="shared" si="175"/>
        <v>31.25</v>
      </c>
      <c r="EL167" s="149"/>
      <c r="EN167" s="146"/>
      <c r="EO167" s="146"/>
      <c r="EP167" s="139">
        <f t="shared" si="176"/>
        <v>0</v>
      </c>
      <c r="EQ167" s="139">
        <f t="shared" si="177"/>
        <v>0</v>
      </c>
      <c r="ER167" s="139">
        <f t="shared" si="178"/>
        <v>0</v>
      </c>
      <c r="ES167" s="139">
        <f t="shared" si="179"/>
        <v>0</v>
      </c>
      <c r="ET167" s="139">
        <f t="shared" si="180"/>
        <v>0</v>
      </c>
      <c r="EU167" s="139">
        <f t="shared" si="181"/>
        <v>0</v>
      </c>
      <c r="EV167" s="139">
        <f t="shared" si="182"/>
        <v>0</v>
      </c>
      <c r="EW167" s="139">
        <f t="shared" si="183"/>
        <v>0</v>
      </c>
      <c r="EX167" s="139">
        <f t="shared" si="184"/>
        <v>0</v>
      </c>
      <c r="EY167" s="139">
        <f t="shared" si="185"/>
        <v>110.43618221015792</v>
      </c>
      <c r="EZ167" s="139">
        <f t="shared" si="186"/>
        <v>0</v>
      </c>
      <c r="FA167" s="139">
        <f t="shared" si="187"/>
        <v>0</v>
      </c>
      <c r="FB167" s="139">
        <f t="shared" si="188"/>
        <v>0</v>
      </c>
      <c r="FC167" s="139">
        <f t="shared" si="189"/>
        <v>0</v>
      </c>
      <c r="FD167" s="139">
        <f t="shared" si="190"/>
        <v>0</v>
      </c>
      <c r="FE167" s="139">
        <f t="shared" si="191"/>
        <v>0</v>
      </c>
      <c r="FF167" s="139">
        <f t="shared" si="192"/>
        <v>0</v>
      </c>
      <c r="FG167" s="139">
        <f t="shared" si="193"/>
        <v>0</v>
      </c>
      <c r="FH167" s="139">
        <f t="shared" si="194"/>
        <v>0</v>
      </c>
      <c r="FI167" s="139">
        <f t="shared" si="195"/>
        <v>0</v>
      </c>
      <c r="FJ167" s="139">
        <f t="shared" si="196"/>
        <v>0</v>
      </c>
      <c r="FK167" s="139">
        <f t="shared" si="197"/>
        <v>0</v>
      </c>
      <c r="FL167" s="139">
        <f t="shared" si="198"/>
        <v>0</v>
      </c>
      <c r="FM167" s="139">
        <f t="shared" si="199"/>
        <v>0</v>
      </c>
      <c r="FN167" s="139">
        <f t="shared" si="200"/>
        <v>0</v>
      </c>
      <c r="FO167" s="139">
        <f t="shared" si="201"/>
        <v>0</v>
      </c>
      <c r="FP167" s="139">
        <f t="shared" si="202"/>
        <v>0</v>
      </c>
      <c r="FQ167" s="139">
        <f t="shared" si="203"/>
        <v>0</v>
      </c>
      <c r="FR167" s="139">
        <f t="shared" si="204"/>
        <v>0</v>
      </c>
      <c r="FS167" s="139">
        <f t="shared" si="205"/>
        <v>0</v>
      </c>
      <c r="FT167" s="139">
        <f t="shared" si="206"/>
        <v>0</v>
      </c>
      <c r="FU167" s="148">
        <f t="shared" si="207"/>
        <v>110.43618221015792</v>
      </c>
      <c r="FV167" s="149"/>
      <c r="FY167" s="212">
        <v>162</v>
      </c>
      <c r="FZ167">
        <v>0.18549681416990815</v>
      </c>
      <c r="GA167">
        <v>4.683072415395328</v>
      </c>
      <c r="GB167">
        <v>6.0504327948799066</v>
      </c>
      <c r="GC167">
        <v>3.31799038487399</v>
      </c>
      <c r="GD167">
        <v>1.3423939549887067</v>
      </c>
      <c r="GE167">
        <v>2.4931285982142382</v>
      </c>
      <c r="GF167">
        <v>8.8832219380378881</v>
      </c>
      <c r="GG167">
        <v>7.7942791862624503</v>
      </c>
      <c r="GH167">
        <v>2.7324029840322215</v>
      </c>
      <c r="GI167">
        <v>5.0042200999059006</v>
      </c>
      <c r="GJ167"/>
      <c r="GK167"/>
      <c r="GL167"/>
      <c r="GM167"/>
    </row>
    <row r="168" spans="1:195" s="7" customFormat="1">
      <c r="A168" s="128"/>
      <c r="B168" s="76">
        <f t="shared" ca="1" si="172"/>
        <v>0.30968080598904568</v>
      </c>
      <c r="C168">
        <v>4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14.517028899913379</v>
      </c>
      <c r="AO168">
        <v>6.5386895773515166</v>
      </c>
      <c r="AP168">
        <v>55.117814834943239</v>
      </c>
      <c r="AQ168">
        <v>32.955996592459151</v>
      </c>
      <c r="AR168">
        <v>6.0360403136374474</v>
      </c>
      <c r="AS168">
        <v>38.800581135029709</v>
      </c>
      <c r="AT168">
        <v>3.8183242622372133</v>
      </c>
      <c r="AU168">
        <v>21.048172740137904</v>
      </c>
      <c r="AV168"/>
      <c r="AW168"/>
      <c r="AX168" s="128"/>
      <c r="AY168" s="76">
        <f t="shared" ca="1" si="173"/>
        <v>0.81265712281115587</v>
      </c>
      <c r="AZ168">
        <v>1</v>
      </c>
      <c r="BA168" s="129">
        <f>IF(AZ168="", "",$C$12)</f>
        <v>39949</v>
      </c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8"/>
        <v>0.95769503827229752</v>
      </c>
      <c r="CL168" s="179">
        <f t="shared" si="209"/>
        <v>1</v>
      </c>
      <c r="CM168" s="180">
        <f t="shared" si="210"/>
        <v>39949</v>
      </c>
      <c r="CN168">
        <v>0</v>
      </c>
      <c r="CO168">
        <v>0</v>
      </c>
      <c r="CP168">
        <v>1</v>
      </c>
      <c r="CQ168"/>
      <c r="CR168"/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211"/>
        <v>9.6000000000000002E-2</v>
      </c>
      <c r="DB168" s="128"/>
      <c r="DC168" s="76">
        <f t="shared" ca="1" si="174"/>
        <v>0.27026673529035605</v>
      </c>
      <c r="DD168">
        <f t="shared" si="212"/>
        <v>1</v>
      </c>
      <c r="DE168" s="129">
        <f t="shared" ref="DE168:DE177" si="246">IF((DD168)="", "", $C$12)</f>
        <v>39949</v>
      </c>
      <c r="DF168" s="161">
        <f t="shared" si="213"/>
        <v>0</v>
      </c>
      <c r="DG168" s="161">
        <f t="shared" si="214"/>
        <v>0</v>
      </c>
      <c r="DH168" s="161">
        <f t="shared" si="215"/>
        <v>40.788152610441763</v>
      </c>
      <c r="DI168" s="161">
        <f t="shared" si="216"/>
        <v>0</v>
      </c>
      <c r="DJ168" s="161">
        <f t="shared" si="217"/>
        <v>0</v>
      </c>
      <c r="DK168" s="161">
        <f t="shared" si="218"/>
        <v>0</v>
      </c>
      <c r="DL168" s="161">
        <f t="shared" si="219"/>
        <v>0</v>
      </c>
      <c r="DM168" s="161">
        <f t="shared" si="220"/>
        <v>0</v>
      </c>
      <c r="DN168" s="161">
        <f t="shared" si="221"/>
        <v>0</v>
      </c>
      <c r="DO168" s="161">
        <f t="shared" si="222"/>
        <v>0</v>
      </c>
      <c r="DP168" s="161">
        <f t="shared" si="223"/>
        <v>0</v>
      </c>
      <c r="DQ168" s="161">
        <f t="shared" si="224"/>
        <v>0</v>
      </c>
      <c r="DR168" s="161">
        <f t="shared" si="225"/>
        <v>0</v>
      </c>
      <c r="DS168" s="161">
        <f t="shared" si="226"/>
        <v>0</v>
      </c>
      <c r="DT168" s="161">
        <f t="shared" si="227"/>
        <v>0</v>
      </c>
      <c r="DU168" s="161">
        <f t="shared" si="228"/>
        <v>0</v>
      </c>
      <c r="DV168" s="161">
        <f t="shared" si="229"/>
        <v>0</v>
      </c>
      <c r="DW168" s="161">
        <f t="shared" si="230"/>
        <v>0</v>
      </c>
      <c r="DX168" s="161">
        <f t="shared" si="231"/>
        <v>0</v>
      </c>
      <c r="DY168" s="161">
        <f t="shared" si="232"/>
        <v>0</v>
      </c>
      <c r="DZ168" s="161">
        <f t="shared" si="233"/>
        <v>0</v>
      </c>
      <c r="EA168" s="161">
        <f t="shared" si="234"/>
        <v>0</v>
      </c>
      <c r="EB168" s="161">
        <f t="shared" si="235"/>
        <v>0</v>
      </c>
      <c r="EC168" s="161">
        <f t="shared" si="236"/>
        <v>0</v>
      </c>
      <c r="ED168" s="161">
        <f t="shared" si="237"/>
        <v>0</v>
      </c>
      <c r="EE168" s="161">
        <f t="shared" si="238"/>
        <v>0</v>
      </c>
      <c r="EF168" s="161">
        <f t="shared" si="239"/>
        <v>0</v>
      </c>
      <c r="EG168" s="161">
        <f t="shared" si="240"/>
        <v>0</v>
      </c>
      <c r="EH168" s="161">
        <f t="shared" si="241"/>
        <v>0</v>
      </c>
      <c r="EI168" s="161">
        <f t="shared" si="242"/>
        <v>0</v>
      </c>
      <c r="EJ168" s="161">
        <f t="shared" si="243"/>
        <v>0</v>
      </c>
      <c r="EK168" s="147">
        <f t="shared" si="175"/>
        <v>40.788152610441763</v>
      </c>
      <c r="EL168" s="149"/>
      <c r="EN168" s="146"/>
      <c r="EO168" s="146"/>
      <c r="EP168" s="139">
        <f t="shared" si="176"/>
        <v>0</v>
      </c>
      <c r="EQ168" s="139">
        <f t="shared" si="177"/>
        <v>0</v>
      </c>
      <c r="ER168" s="139">
        <f t="shared" si="178"/>
        <v>0.79191779288194697</v>
      </c>
      <c r="ES168" s="139">
        <f t="shared" si="179"/>
        <v>0</v>
      </c>
      <c r="ET168" s="139">
        <f t="shared" si="180"/>
        <v>0</v>
      </c>
      <c r="EU168" s="139">
        <f t="shared" si="181"/>
        <v>0</v>
      </c>
      <c r="EV168" s="139">
        <f t="shared" si="182"/>
        <v>0</v>
      </c>
      <c r="EW168" s="139">
        <f t="shared" si="183"/>
        <v>0</v>
      </c>
      <c r="EX168" s="139">
        <f t="shared" si="184"/>
        <v>0</v>
      </c>
      <c r="EY168" s="139">
        <f t="shared" si="185"/>
        <v>0</v>
      </c>
      <c r="EZ168" s="139">
        <f t="shared" si="186"/>
        <v>0</v>
      </c>
      <c r="FA168" s="139">
        <f t="shared" si="187"/>
        <v>0</v>
      </c>
      <c r="FB168" s="139">
        <f t="shared" si="188"/>
        <v>0</v>
      </c>
      <c r="FC168" s="139">
        <f t="shared" si="189"/>
        <v>0</v>
      </c>
      <c r="FD168" s="139">
        <f t="shared" si="190"/>
        <v>0</v>
      </c>
      <c r="FE168" s="139">
        <f t="shared" si="191"/>
        <v>0</v>
      </c>
      <c r="FF168" s="139">
        <f t="shared" si="192"/>
        <v>0</v>
      </c>
      <c r="FG168" s="139">
        <f t="shared" si="193"/>
        <v>0</v>
      </c>
      <c r="FH168" s="139">
        <f t="shared" si="194"/>
        <v>0</v>
      </c>
      <c r="FI168" s="139">
        <f t="shared" si="195"/>
        <v>0</v>
      </c>
      <c r="FJ168" s="139">
        <f t="shared" si="196"/>
        <v>0</v>
      </c>
      <c r="FK168" s="139">
        <f t="shared" si="197"/>
        <v>0</v>
      </c>
      <c r="FL168" s="139">
        <f t="shared" si="198"/>
        <v>0</v>
      </c>
      <c r="FM168" s="139">
        <f t="shared" si="199"/>
        <v>0</v>
      </c>
      <c r="FN168" s="139">
        <f t="shared" si="200"/>
        <v>0</v>
      </c>
      <c r="FO168" s="139">
        <f t="shared" si="201"/>
        <v>0</v>
      </c>
      <c r="FP168" s="139">
        <f t="shared" si="202"/>
        <v>0</v>
      </c>
      <c r="FQ168" s="139">
        <f t="shared" si="203"/>
        <v>0</v>
      </c>
      <c r="FR168" s="139">
        <f t="shared" si="204"/>
        <v>0</v>
      </c>
      <c r="FS168" s="139">
        <f t="shared" si="205"/>
        <v>0</v>
      </c>
      <c r="FT168" s="139">
        <f t="shared" si="206"/>
        <v>0</v>
      </c>
      <c r="FU168" s="148">
        <f t="shared" si="207"/>
        <v>0.79191779288194697</v>
      </c>
      <c r="FV168" s="149"/>
      <c r="FY168" s="212">
        <v>163</v>
      </c>
      <c r="FZ168">
        <v>3.3355661611991589</v>
      </c>
      <c r="GA168">
        <v>8.3390660878178871</v>
      </c>
      <c r="GB168">
        <v>9.2545026117105902</v>
      </c>
      <c r="GC168">
        <v>3.7741992543974052</v>
      </c>
      <c r="GD168">
        <v>0.77919827782439222</v>
      </c>
      <c r="GE168">
        <v>4.1857154717199236</v>
      </c>
      <c r="GF168">
        <v>7.3561405168635376</v>
      </c>
      <c r="GG168">
        <v>3.5689335710435932</v>
      </c>
      <c r="GH168">
        <v>2.3373070280823676</v>
      </c>
      <c r="GI168">
        <v>5.3807365817856514</v>
      </c>
      <c r="GJ168"/>
      <c r="GK168"/>
      <c r="GL168"/>
      <c r="GM168"/>
    </row>
    <row r="169" spans="1:195" s="7" customFormat="1">
      <c r="A169" s="1"/>
      <c r="B169" s="76">
        <f t="shared" ca="1" si="172"/>
        <v>0.26319118192236957</v>
      </c>
      <c r="C169">
        <v>2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11.1875</v>
      </c>
      <c r="AO169">
        <v>8.3488629576224884</v>
      </c>
      <c r="AP169">
        <v>62.616464082739952</v>
      </c>
      <c r="AQ169">
        <v>43.878413610288007</v>
      </c>
      <c r="AR169">
        <v>7.6430331909142541</v>
      </c>
      <c r="AS169">
        <v>39.396232326072173</v>
      </c>
      <c r="AT169">
        <v>4.9178874511625317</v>
      </c>
      <c r="AU169">
        <v>3.8214060597420394</v>
      </c>
      <c r="AV169"/>
      <c r="AW169"/>
      <c r="AX169" s="146"/>
      <c r="AY169" s="76">
        <f t="shared" ca="1" si="173"/>
        <v>0.75952814979022243</v>
      </c>
      <c r="AZ169">
        <v>2</v>
      </c>
      <c r="BA169" s="129">
        <f t="shared" ref="BA169:BA177" si="247">IF(AZ169="", "",$C$12)</f>
        <v>39949</v>
      </c>
      <c r="BB169">
        <v>0</v>
      </c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08"/>
        <v>0.33938284828205045</v>
      </c>
      <c r="CL169" s="179">
        <f t="shared" si="209"/>
        <v>2</v>
      </c>
      <c r="CM169" s="180">
        <f t="shared" si="210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211"/>
        <v>9.6000000000000002E-2</v>
      </c>
      <c r="DB169" s="146"/>
      <c r="DC169" s="76">
        <f t="shared" ca="1" si="174"/>
        <v>0.5517340223030498</v>
      </c>
      <c r="DD169">
        <f t="shared" si="212"/>
        <v>2</v>
      </c>
      <c r="DE169" s="129">
        <f t="shared" si="246"/>
        <v>39949</v>
      </c>
      <c r="DF169" s="161">
        <f t="shared" si="213"/>
        <v>0</v>
      </c>
      <c r="DG169" s="161">
        <f t="shared" si="214"/>
        <v>0</v>
      </c>
      <c r="DH169" s="161">
        <f t="shared" si="215"/>
        <v>0</v>
      </c>
      <c r="DI169" s="161">
        <f t="shared" si="216"/>
        <v>0</v>
      </c>
      <c r="DJ169" s="161">
        <f t="shared" si="217"/>
        <v>0</v>
      </c>
      <c r="DK169" s="161">
        <f t="shared" si="218"/>
        <v>0</v>
      </c>
      <c r="DL169" s="161">
        <f t="shared" si="219"/>
        <v>0</v>
      </c>
      <c r="DM169" s="161">
        <f t="shared" si="220"/>
        <v>0</v>
      </c>
      <c r="DN169" s="161">
        <f t="shared" si="221"/>
        <v>0</v>
      </c>
      <c r="DO169" s="161">
        <f t="shared" si="222"/>
        <v>0</v>
      </c>
      <c r="DP169" s="161">
        <f t="shared" si="223"/>
        <v>0</v>
      </c>
      <c r="DQ169" s="161">
        <f t="shared" si="224"/>
        <v>0</v>
      </c>
      <c r="DR169" s="161">
        <f t="shared" si="225"/>
        <v>0</v>
      </c>
      <c r="DS169" s="161">
        <f t="shared" si="226"/>
        <v>0</v>
      </c>
      <c r="DT169" s="161">
        <f t="shared" si="227"/>
        <v>0</v>
      </c>
      <c r="DU169" s="161">
        <f t="shared" si="228"/>
        <v>0</v>
      </c>
      <c r="DV169" s="161">
        <f t="shared" si="229"/>
        <v>0</v>
      </c>
      <c r="DW169" s="161">
        <f t="shared" si="230"/>
        <v>0</v>
      </c>
      <c r="DX169" s="161">
        <f t="shared" si="231"/>
        <v>0</v>
      </c>
      <c r="DY169" s="161">
        <f t="shared" si="232"/>
        <v>0</v>
      </c>
      <c r="DZ169" s="161">
        <f t="shared" si="233"/>
        <v>0</v>
      </c>
      <c r="EA169" s="161">
        <f t="shared" si="234"/>
        <v>0</v>
      </c>
      <c r="EB169" s="161">
        <f t="shared" si="235"/>
        <v>0</v>
      </c>
      <c r="EC169" s="161">
        <f t="shared" si="236"/>
        <v>0</v>
      </c>
      <c r="ED169" s="161">
        <f t="shared" si="237"/>
        <v>0</v>
      </c>
      <c r="EE169" s="161">
        <f t="shared" si="238"/>
        <v>0</v>
      </c>
      <c r="EF169" s="161">
        <f t="shared" si="239"/>
        <v>0</v>
      </c>
      <c r="EG169" s="161">
        <f t="shared" si="240"/>
        <v>0</v>
      </c>
      <c r="EH169" s="161">
        <f t="shared" si="241"/>
        <v>0</v>
      </c>
      <c r="EI169" s="161">
        <f t="shared" si="242"/>
        <v>0</v>
      </c>
      <c r="EJ169" s="161">
        <f t="shared" si="243"/>
        <v>0</v>
      </c>
      <c r="EK169" s="147">
        <f t="shared" si="175"/>
        <v>0</v>
      </c>
      <c r="EL169" s="149"/>
      <c r="EN169" s="146"/>
      <c r="EO169" s="146"/>
      <c r="EP169" s="139">
        <f t="shared" si="176"/>
        <v>0</v>
      </c>
      <c r="EQ169" s="139">
        <f t="shared" si="177"/>
        <v>0</v>
      </c>
      <c r="ER169" s="139">
        <f t="shared" si="178"/>
        <v>0</v>
      </c>
      <c r="ES169" s="139">
        <f t="shared" si="179"/>
        <v>0</v>
      </c>
      <c r="ET169" s="139">
        <f t="shared" si="180"/>
        <v>0</v>
      </c>
      <c r="EU169" s="139">
        <f t="shared" si="181"/>
        <v>0</v>
      </c>
      <c r="EV169" s="139">
        <f t="shared" si="182"/>
        <v>0</v>
      </c>
      <c r="EW169" s="139">
        <f t="shared" si="183"/>
        <v>0</v>
      </c>
      <c r="EX169" s="139">
        <f t="shared" si="184"/>
        <v>0</v>
      </c>
      <c r="EY169" s="139">
        <f t="shared" si="185"/>
        <v>0</v>
      </c>
      <c r="EZ169" s="139">
        <f t="shared" si="186"/>
        <v>0</v>
      </c>
      <c r="FA169" s="139">
        <f t="shared" si="187"/>
        <v>0</v>
      </c>
      <c r="FB169" s="139">
        <f t="shared" si="188"/>
        <v>0</v>
      </c>
      <c r="FC169" s="139">
        <f t="shared" si="189"/>
        <v>0</v>
      </c>
      <c r="FD169" s="139">
        <f t="shared" si="190"/>
        <v>0</v>
      </c>
      <c r="FE169" s="139">
        <f t="shared" si="191"/>
        <v>0</v>
      </c>
      <c r="FF169" s="139">
        <f t="shared" si="192"/>
        <v>0</v>
      </c>
      <c r="FG169" s="139">
        <f t="shared" si="193"/>
        <v>0</v>
      </c>
      <c r="FH169" s="139">
        <f t="shared" si="194"/>
        <v>0</v>
      </c>
      <c r="FI169" s="139">
        <f t="shared" si="195"/>
        <v>0</v>
      </c>
      <c r="FJ169" s="139">
        <f t="shared" si="196"/>
        <v>0</v>
      </c>
      <c r="FK169" s="139">
        <f t="shared" si="197"/>
        <v>0</v>
      </c>
      <c r="FL169" s="139">
        <f t="shared" si="198"/>
        <v>0</v>
      </c>
      <c r="FM169" s="139">
        <f t="shared" si="199"/>
        <v>0</v>
      </c>
      <c r="FN169" s="139">
        <f t="shared" si="200"/>
        <v>0</v>
      </c>
      <c r="FO169" s="139">
        <f t="shared" si="201"/>
        <v>0</v>
      </c>
      <c r="FP169" s="139">
        <f t="shared" si="202"/>
        <v>0</v>
      </c>
      <c r="FQ169" s="139">
        <f t="shared" si="203"/>
        <v>0</v>
      </c>
      <c r="FR169" s="139">
        <f t="shared" si="204"/>
        <v>0</v>
      </c>
      <c r="FS169" s="139">
        <f t="shared" si="205"/>
        <v>0</v>
      </c>
      <c r="FT169" s="139">
        <f t="shared" si="206"/>
        <v>0</v>
      </c>
      <c r="FU169" s="148">
        <f t="shared" si="207"/>
        <v>0</v>
      </c>
      <c r="FV169" s="149"/>
      <c r="FY169" s="212">
        <v>164</v>
      </c>
      <c r="FZ169">
        <v>0.2355183668534937</v>
      </c>
      <c r="GA169">
        <v>2.6508989541460322</v>
      </c>
      <c r="GB169">
        <v>9.9073039578533511</v>
      </c>
      <c r="GC169">
        <v>5.2369177438878296</v>
      </c>
      <c r="GD169">
        <v>1.622300327633206</v>
      </c>
      <c r="GE169">
        <v>3.2914512120501214</v>
      </c>
      <c r="GF169">
        <v>6.6031563644297036</v>
      </c>
      <c r="GG169">
        <v>5.4898636909216236</v>
      </c>
      <c r="GH169">
        <v>1.7468383203221909</v>
      </c>
      <c r="GI169">
        <v>5.6709673550050397</v>
      </c>
      <c r="GJ169"/>
      <c r="GK169"/>
      <c r="GL169"/>
      <c r="GM169"/>
    </row>
    <row r="170" spans="1:195" s="7" customFormat="1">
      <c r="A170" s="1"/>
      <c r="B170" s="76">
        <f t="shared" ca="1" si="172"/>
        <v>0.90432367536589187</v>
      </c>
      <c r="C170">
        <v>1</v>
      </c>
      <c r="D170">
        <v>39949</v>
      </c>
      <c r="E170">
        <v>0</v>
      </c>
      <c r="F170">
        <v>0</v>
      </c>
      <c r="G170">
        <v>40.788152610441763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12.834839357429718</v>
      </c>
      <c r="AO170">
        <v>8.5375007521516331</v>
      </c>
      <c r="AP170">
        <v>46.648359755221918</v>
      </c>
      <c r="AQ170">
        <v>43.448842804665873</v>
      </c>
      <c r="AR170">
        <v>7.7909087708172633</v>
      </c>
      <c r="AS170">
        <v>39.323181646345773</v>
      </c>
      <c r="AT170">
        <v>4.6000217075975938</v>
      </c>
      <c r="AU170">
        <v>1.9877074372718708</v>
      </c>
      <c r="AV170"/>
      <c r="AW170"/>
      <c r="AX170" s="146"/>
      <c r="AY170" s="76">
        <f t="shared" ca="1" si="173"/>
        <v>0.5477459353635048</v>
      </c>
      <c r="AZ170">
        <v>3</v>
      </c>
      <c r="BA170" s="129">
        <f t="shared" si="247"/>
        <v>39949</v>
      </c>
      <c r="BB170">
        <v>0</v>
      </c>
      <c r="BC170">
        <v>0</v>
      </c>
      <c r="BD170">
        <v>0</v>
      </c>
      <c r="BE170">
        <v>1</v>
      </c>
      <c r="BF170">
        <v>0</v>
      </c>
      <c r="BG170">
        <v>0</v>
      </c>
      <c r="BH170">
        <v>0</v>
      </c>
      <c r="BI170">
        <v>1</v>
      </c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08"/>
        <v>0.31606427596817976</v>
      </c>
      <c r="CL170" s="179">
        <f t="shared" si="209"/>
        <v>3</v>
      </c>
      <c r="CM170" s="180">
        <f t="shared" si="210"/>
        <v>39949</v>
      </c>
      <c r="CN170">
        <v>0</v>
      </c>
      <c r="CO170"/>
      <c r="CP170"/>
      <c r="CQ170"/>
      <c r="CR170"/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211"/>
        <v>9.6000000000000002E-2</v>
      </c>
      <c r="DB170" s="146"/>
      <c r="DC170" s="76">
        <f t="shared" ca="1" si="174"/>
        <v>0.97760443333909919</v>
      </c>
      <c r="DD170">
        <f t="shared" si="212"/>
        <v>3</v>
      </c>
      <c r="DE170" s="129">
        <f t="shared" si="246"/>
        <v>39949</v>
      </c>
      <c r="DF170" s="161">
        <f t="shared" si="213"/>
        <v>0</v>
      </c>
      <c r="DG170" s="161">
        <f t="shared" si="214"/>
        <v>0</v>
      </c>
      <c r="DH170" s="161">
        <f t="shared" si="215"/>
        <v>0</v>
      </c>
      <c r="DI170" s="161">
        <f t="shared" si="216"/>
        <v>10.416666666666666</v>
      </c>
      <c r="DJ170" s="161">
        <f t="shared" si="217"/>
        <v>0</v>
      </c>
      <c r="DK170" s="161">
        <f t="shared" si="218"/>
        <v>0</v>
      </c>
      <c r="DL170" s="161">
        <f t="shared" si="219"/>
        <v>0</v>
      </c>
      <c r="DM170" s="161">
        <f t="shared" si="220"/>
        <v>10.416666666666666</v>
      </c>
      <c r="DN170" s="161">
        <f t="shared" si="221"/>
        <v>0</v>
      </c>
      <c r="DO170" s="161">
        <f t="shared" si="222"/>
        <v>0</v>
      </c>
      <c r="DP170" s="161">
        <f t="shared" si="223"/>
        <v>0</v>
      </c>
      <c r="DQ170" s="161">
        <f t="shared" si="224"/>
        <v>0</v>
      </c>
      <c r="DR170" s="161">
        <f t="shared" si="225"/>
        <v>0</v>
      </c>
      <c r="DS170" s="161">
        <f t="shared" si="226"/>
        <v>0</v>
      </c>
      <c r="DT170" s="161">
        <f t="shared" si="227"/>
        <v>0</v>
      </c>
      <c r="DU170" s="161">
        <f t="shared" si="228"/>
        <v>0</v>
      </c>
      <c r="DV170" s="161">
        <f t="shared" si="229"/>
        <v>0</v>
      </c>
      <c r="DW170" s="161">
        <f t="shared" si="230"/>
        <v>0</v>
      </c>
      <c r="DX170" s="161">
        <f t="shared" si="231"/>
        <v>0</v>
      </c>
      <c r="DY170" s="161">
        <f t="shared" si="232"/>
        <v>0</v>
      </c>
      <c r="DZ170" s="161">
        <f t="shared" si="233"/>
        <v>0</v>
      </c>
      <c r="EA170" s="161">
        <f t="shared" si="234"/>
        <v>0</v>
      </c>
      <c r="EB170" s="161">
        <f t="shared" si="235"/>
        <v>0</v>
      </c>
      <c r="EC170" s="161">
        <f t="shared" si="236"/>
        <v>0</v>
      </c>
      <c r="ED170" s="161">
        <f t="shared" si="237"/>
        <v>0</v>
      </c>
      <c r="EE170" s="161">
        <f t="shared" si="238"/>
        <v>0</v>
      </c>
      <c r="EF170" s="161">
        <f t="shared" si="239"/>
        <v>0</v>
      </c>
      <c r="EG170" s="161">
        <f t="shared" si="240"/>
        <v>0</v>
      </c>
      <c r="EH170" s="161">
        <f t="shared" si="241"/>
        <v>0</v>
      </c>
      <c r="EI170" s="161">
        <f t="shared" si="242"/>
        <v>0</v>
      </c>
      <c r="EJ170" s="161">
        <f t="shared" si="243"/>
        <v>0</v>
      </c>
      <c r="EK170" s="147">
        <f t="shared" si="175"/>
        <v>20.833333333333332</v>
      </c>
      <c r="EL170" s="149"/>
      <c r="EN170" s="146"/>
      <c r="EO170" s="146"/>
      <c r="EP170" s="139">
        <f t="shared" si="176"/>
        <v>0</v>
      </c>
      <c r="EQ170" s="139">
        <f t="shared" si="177"/>
        <v>0</v>
      </c>
      <c r="ER170" s="139">
        <f t="shared" si="178"/>
        <v>0</v>
      </c>
      <c r="ES170" s="139">
        <f t="shared" si="179"/>
        <v>0.82252780626897948</v>
      </c>
      <c r="ET170" s="139">
        <f t="shared" si="180"/>
        <v>0</v>
      </c>
      <c r="EU170" s="139">
        <f t="shared" si="181"/>
        <v>0</v>
      </c>
      <c r="EV170" s="139">
        <f t="shared" si="182"/>
        <v>0</v>
      </c>
      <c r="EW170" s="139">
        <f t="shared" si="183"/>
        <v>15.429443614485615</v>
      </c>
      <c r="EX170" s="139">
        <f t="shared" si="184"/>
        <v>0</v>
      </c>
      <c r="EY170" s="139">
        <f t="shared" si="185"/>
        <v>0</v>
      </c>
      <c r="EZ170" s="139">
        <f t="shared" si="186"/>
        <v>0</v>
      </c>
      <c r="FA170" s="139">
        <f t="shared" si="187"/>
        <v>0</v>
      </c>
      <c r="FB170" s="139">
        <f t="shared" si="188"/>
        <v>0</v>
      </c>
      <c r="FC170" s="139">
        <f t="shared" si="189"/>
        <v>0</v>
      </c>
      <c r="FD170" s="139">
        <f t="shared" si="190"/>
        <v>0</v>
      </c>
      <c r="FE170" s="139">
        <f t="shared" si="191"/>
        <v>0</v>
      </c>
      <c r="FF170" s="139">
        <f t="shared" si="192"/>
        <v>0</v>
      </c>
      <c r="FG170" s="139">
        <f t="shared" si="193"/>
        <v>0</v>
      </c>
      <c r="FH170" s="139">
        <f t="shared" si="194"/>
        <v>0</v>
      </c>
      <c r="FI170" s="139">
        <f t="shared" si="195"/>
        <v>0</v>
      </c>
      <c r="FJ170" s="139">
        <f t="shared" si="196"/>
        <v>0</v>
      </c>
      <c r="FK170" s="139">
        <f t="shared" si="197"/>
        <v>0</v>
      </c>
      <c r="FL170" s="139">
        <f t="shared" si="198"/>
        <v>0</v>
      </c>
      <c r="FM170" s="139">
        <f t="shared" si="199"/>
        <v>0</v>
      </c>
      <c r="FN170" s="139">
        <f t="shared" si="200"/>
        <v>0</v>
      </c>
      <c r="FO170" s="139">
        <f t="shared" si="201"/>
        <v>0</v>
      </c>
      <c r="FP170" s="139">
        <f t="shared" si="202"/>
        <v>0</v>
      </c>
      <c r="FQ170" s="139">
        <f t="shared" si="203"/>
        <v>0</v>
      </c>
      <c r="FR170" s="139">
        <f t="shared" si="204"/>
        <v>0</v>
      </c>
      <c r="FS170" s="139">
        <f t="shared" si="205"/>
        <v>0</v>
      </c>
      <c r="FT170" s="139">
        <f t="shared" si="206"/>
        <v>0</v>
      </c>
      <c r="FU170" s="148">
        <f t="shared" si="207"/>
        <v>16.251971420754593</v>
      </c>
      <c r="FV170" s="149"/>
      <c r="FY170" s="212">
        <v>165</v>
      </c>
      <c r="FZ170">
        <v>12.868270505565551</v>
      </c>
      <c r="GA170">
        <v>18.748383444301734</v>
      </c>
      <c r="GB170">
        <v>7.3553676433301973</v>
      </c>
      <c r="GC170">
        <v>3.3668826233168287</v>
      </c>
      <c r="GD170">
        <v>1.5366600148127791</v>
      </c>
      <c r="GE170">
        <v>5.4138124044930933</v>
      </c>
      <c r="GF170">
        <v>10.452358623643169</v>
      </c>
      <c r="GG170">
        <v>5.3246579427238343</v>
      </c>
      <c r="GH170">
        <v>1.4248944875826246</v>
      </c>
      <c r="GI170">
        <v>7.5593996256763525</v>
      </c>
      <c r="GJ170"/>
      <c r="GK170"/>
      <c r="GL170"/>
      <c r="GM170"/>
    </row>
    <row r="171" spans="1:195" s="7" customFormat="1">
      <c r="A171" s="1"/>
      <c r="B171" s="76">
        <f t="shared" ca="1" si="172"/>
        <v>0.8801995879011093</v>
      </c>
      <c r="C171">
        <v>7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10.416666666666666</v>
      </c>
      <c r="K171">
        <v>10.416666666666666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15.543172690763049</v>
      </c>
      <c r="AO171">
        <v>10.181608467997929</v>
      </c>
      <c r="AP171">
        <v>68.74921556413517</v>
      </c>
      <c r="AQ171">
        <v>59.833547371426569</v>
      </c>
      <c r="AR171">
        <v>9.3239396907636785</v>
      </c>
      <c r="AS171">
        <v>46.558711317597982</v>
      </c>
      <c r="AT171">
        <v>4.6609940745339342</v>
      </c>
      <c r="AU171">
        <v>-2.0626915403588511</v>
      </c>
      <c r="AV171"/>
      <c r="AW171"/>
      <c r="AX171" s="146"/>
      <c r="AY171" s="76">
        <f t="shared" ca="1" si="173"/>
        <v>7.2144601503270067E-3</v>
      </c>
      <c r="AZ171">
        <v>4</v>
      </c>
      <c r="BA171" s="129">
        <f t="shared" si="247"/>
        <v>39949</v>
      </c>
      <c r="BB171">
        <v>0</v>
      </c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8"/>
        <v>0.81913441046413293</v>
      </c>
      <c r="CL171" s="179">
        <f t="shared" si="209"/>
        <v>4</v>
      </c>
      <c r="CM171" s="180">
        <f t="shared" si="210"/>
        <v>39949</v>
      </c>
      <c r="CN171">
        <v>0</v>
      </c>
      <c r="CO171"/>
      <c r="CP171"/>
      <c r="CQ171"/>
      <c r="CR171"/>
      <c r="CS171"/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211"/>
        <v>9.6000000000000002E-2</v>
      </c>
      <c r="DB171" s="146"/>
      <c r="DC171" s="76">
        <f t="shared" ca="1" si="174"/>
        <v>0.17442971614177005</v>
      </c>
      <c r="DD171">
        <f t="shared" si="212"/>
        <v>4</v>
      </c>
      <c r="DE171" s="129">
        <f t="shared" si="246"/>
        <v>39949</v>
      </c>
      <c r="DF171" s="161">
        <f t="shared" si="213"/>
        <v>0</v>
      </c>
      <c r="DG171" s="161">
        <f t="shared" si="214"/>
        <v>0</v>
      </c>
      <c r="DH171" s="161">
        <f t="shared" si="215"/>
        <v>0</v>
      </c>
      <c r="DI171" s="161">
        <f t="shared" si="216"/>
        <v>0</v>
      </c>
      <c r="DJ171" s="161">
        <f t="shared" si="217"/>
        <v>0</v>
      </c>
      <c r="DK171" s="161">
        <f t="shared" si="218"/>
        <v>0</v>
      </c>
      <c r="DL171" s="161">
        <f t="shared" si="219"/>
        <v>0</v>
      </c>
      <c r="DM171" s="161">
        <f t="shared" si="220"/>
        <v>0</v>
      </c>
      <c r="DN171" s="161">
        <f t="shared" si="221"/>
        <v>0</v>
      </c>
      <c r="DO171" s="161">
        <f t="shared" si="222"/>
        <v>0</v>
      </c>
      <c r="DP171" s="161">
        <f t="shared" si="223"/>
        <v>0</v>
      </c>
      <c r="DQ171" s="161">
        <f t="shared" si="224"/>
        <v>0</v>
      </c>
      <c r="DR171" s="161">
        <f t="shared" si="225"/>
        <v>0</v>
      </c>
      <c r="DS171" s="161">
        <f t="shared" si="226"/>
        <v>0</v>
      </c>
      <c r="DT171" s="161">
        <f t="shared" si="227"/>
        <v>0</v>
      </c>
      <c r="DU171" s="161">
        <f t="shared" si="228"/>
        <v>0</v>
      </c>
      <c r="DV171" s="161">
        <f t="shared" si="229"/>
        <v>0</v>
      </c>
      <c r="DW171" s="161">
        <f t="shared" si="230"/>
        <v>0</v>
      </c>
      <c r="DX171" s="161">
        <f t="shared" si="231"/>
        <v>0</v>
      </c>
      <c r="DY171" s="161">
        <f t="shared" si="232"/>
        <v>0</v>
      </c>
      <c r="DZ171" s="161">
        <f t="shared" si="233"/>
        <v>0</v>
      </c>
      <c r="EA171" s="161">
        <f t="shared" si="234"/>
        <v>0</v>
      </c>
      <c r="EB171" s="161">
        <f t="shared" si="235"/>
        <v>0</v>
      </c>
      <c r="EC171" s="161">
        <f t="shared" si="236"/>
        <v>0</v>
      </c>
      <c r="ED171" s="161">
        <f t="shared" si="237"/>
        <v>0</v>
      </c>
      <c r="EE171" s="161">
        <f t="shared" si="238"/>
        <v>0</v>
      </c>
      <c r="EF171" s="161">
        <f t="shared" si="239"/>
        <v>0</v>
      </c>
      <c r="EG171" s="161">
        <f t="shared" si="240"/>
        <v>0</v>
      </c>
      <c r="EH171" s="161">
        <f t="shared" si="241"/>
        <v>0</v>
      </c>
      <c r="EI171" s="161">
        <f t="shared" si="242"/>
        <v>0</v>
      </c>
      <c r="EJ171" s="161">
        <f t="shared" si="243"/>
        <v>0</v>
      </c>
      <c r="EK171" s="147">
        <f t="shared" si="175"/>
        <v>0</v>
      </c>
      <c r="EL171" s="149"/>
      <c r="EN171" s="146"/>
      <c r="EO171" s="146"/>
      <c r="EP171" s="139">
        <f t="shared" si="176"/>
        <v>0</v>
      </c>
      <c r="EQ171" s="139">
        <f t="shared" si="177"/>
        <v>0</v>
      </c>
      <c r="ER171" s="139">
        <f t="shared" si="178"/>
        <v>0</v>
      </c>
      <c r="ES171" s="139">
        <f t="shared" si="179"/>
        <v>0</v>
      </c>
      <c r="ET171" s="139">
        <f t="shared" si="180"/>
        <v>0</v>
      </c>
      <c r="EU171" s="139">
        <f t="shared" si="181"/>
        <v>0</v>
      </c>
      <c r="EV171" s="139">
        <f t="shared" si="182"/>
        <v>0</v>
      </c>
      <c r="EW171" s="139">
        <f t="shared" si="183"/>
        <v>0</v>
      </c>
      <c r="EX171" s="139">
        <f t="shared" si="184"/>
        <v>0</v>
      </c>
      <c r="EY171" s="139">
        <f t="shared" si="185"/>
        <v>0</v>
      </c>
      <c r="EZ171" s="139">
        <f t="shared" si="186"/>
        <v>0</v>
      </c>
      <c r="FA171" s="139">
        <f t="shared" si="187"/>
        <v>0</v>
      </c>
      <c r="FB171" s="139">
        <f t="shared" si="188"/>
        <v>0</v>
      </c>
      <c r="FC171" s="139">
        <f t="shared" si="189"/>
        <v>0</v>
      </c>
      <c r="FD171" s="139">
        <f t="shared" si="190"/>
        <v>0</v>
      </c>
      <c r="FE171" s="139">
        <f t="shared" si="191"/>
        <v>0</v>
      </c>
      <c r="FF171" s="139">
        <f t="shared" si="192"/>
        <v>0</v>
      </c>
      <c r="FG171" s="139">
        <f t="shared" si="193"/>
        <v>0</v>
      </c>
      <c r="FH171" s="139">
        <f t="shared" si="194"/>
        <v>0</v>
      </c>
      <c r="FI171" s="139">
        <f t="shared" si="195"/>
        <v>0</v>
      </c>
      <c r="FJ171" s="139">
        <f t="shared" si="196"/>
        <v>0</v>
      </c>
      <c r="FK171" s="139">
        <f t="shared" si="197"/>
        <v>0</v>
      </c>
      <c r="FL171" s="139">
        <f t="shared" si="198"/>
        <v>0</v>
      </c>
      <c r="FM171" s="139">
        <f t="shared" si="199"/>
        <v>0</v>
      </c>
      <c r="FN171" s="139">
        <f t="shared" si="200"/>
        <v>0</v>
      </c>
      <c r="FO171" s="139">
        <f t="shared" si="201"/>
        <v>0</v>
      </c>
      <c r="FP171" s="139">
        <f t="shared" si="202"/>
        <v>0</v>
      </c>
      <c r="FQ171" s="139">
        <f t="shared" si="203"/>
        <v>0</v>
      </c>
      <c r="FR171" s="139">
        <f t="shared" si="204"/>
        <v>0</v>
      </c>
      <c r="FS171" s="139">
        <f t="shared" si="205"/>
        <v>0</v>
      </c>
      <c r="FT171" s="139">
        <f t="shared" si="206"/>
        <v>0</v>
      </c>
      <c r="FU171" s="148">
        <f t="shared" si="207"/>
        <v>0</v>
      </c>
      <c r="FV171" s="149"/>
      <c r="FY171" s="212">
        <v>166</v>
      </c>
      <c r="FZ171">
        <v>6.5777348265127937</v>
      </c>
      <c r="GA171">
        <v>11.409911934051667</v>
      </c>
      <c r="GB171">
        <v>10.56588917405632</v>
      </c>
      <c r="GC171">
        <v>5.1802996587936647</v>
      </c>
      <c r="GD171">
        <v>1.3129452160098614</v>
      </c>
      <c r="GE171">
        <v>3.1370052418982781</v>
      </c>
      <c r="GF171">
        <v>9.2126399601539912</v>
      </c>
      <c r="GG171">
        <v>8.4314917081004435</v>
      </c>
      <c r="GH171">
        <v>4.2120685134506779</v>
      </c>
      <c r="GI171">
        <v>7.4651475433908123</v>
      </c>
      <c r="GJ171"/>
      <c r="GK171"/>
      <c r="GL171"/>
      <c r="GM171"/>
    </row>
    <row r="172" spans="1:195" s="7" customFormat="1">
      <c r="A172" s="1"/>
      <c r="B172" s="76">
        <f t="shared" ca="1" si="172"/>
        <v>0.52834477889451614</v>
      </c>
      <c r="C172">
        <v>3</v>
      </c>
      <c r="D172">
        <v>39949</v>
      </c>
      <c r="E172">
        <v>0</v>
      </c>
      <c r="F172">
        <v>0</v>
      </c>
      <c r="G172">
        <v>0</v>
      </c>
      <c r="H172">
        <v>10.416666666666666</v>
      </c>
      <c r="I172">
        <v>0</v>
      </c>
      <c r="J172">
        <v>0</v>
      </c>
      <c r="K172">
        <v>0</v>
      </c>
      <c r="L172">
        <v>10.416666666666666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23.518662886841483</v>
      </c>
      <c r="AO172">
        <v>13.253309745048725</v>
      </c>
      <c r="AP172">
        <v>106.16143093829305</v>
      </c>
      <c r="AQ172">
        <v>68.530083235299259</v>
      </c>
      <c r="AR172">
        <v>12.129032059151463</v>
      </c>
      <c r="AS172">
        <v>62.754421163894662</v>
      </c>
      <c r="AT172">
        <v>6.29921169043996</v>
      </c>
      <c r="AU172">
        <v>59.596249657606755</v>
      </c>
      <c r="AV172"/>
      <c r="AW172"/>
      <c r="AX172" s="146"/>
      <c r="AY172" s="76">
        <f t="shared" ca="1" si="173"/>
        <v>0.92293569462428593</v>
      </c>
      <c r="AZ172">
        <v>5</v>
      </c>
      <c r="BA172" s="129">
        <f t="shared" si="247"/>
        <v>39949</v>
      </c>
      <c r="BB172">
        <v>0</v>
      </c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8"/>
        <v>0.1671386908397412</v>
      </c>
      <c r="CL172" s="179">
        <f t="shared" si="209"/>
        <v>5</v>
      </c>
      <c r="CM172" s="180">
        <f t="shared" si="210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211"/>
        <v>9.6000000000000002E-2</v>
      </c>
      <c r="DB172" s="146"/>
      <c r="DC172" s="76">
        <f t="shared" ca="1" si="174"/>
        <v>0.77672106688552334</v>
      </c>
      <c r="DD172">
        <f t="shared" si="212"/>
        <v>5</v>
      </c>
      <c r="DE172" s="129">
        <f t="shared" si="246"/>
        <v>39949</v>
      </c>
      <c r="DF172" s="161">
        <f t="shared" si="213"/>
        <v>0</v>
      </c>
      <c r="DG172" s="161">
        <f t="shared" si="214"/>
        <v>0</v>
      </c>
      <c r="DH172" s="161">
        <f t="shared" si="215"/>
        <v>0</v>
      </c>
      <c r="DI172" s="161">
        <f t="shared" si="216"/>
        <v>0</v>
      </c>
      <c r="DJ172" s="161">
        <f t="shared" si="217"/>
        <v>0</v>
      </c>
      <c r="DK172" s="161">
        <f t="shared" si="218"/>
        <v>0</v>
      </c>
      <c r="DL172" s="161">
        <f t="shared" si="219"/>
        <v>0</v>
      </c>
      <c r="DM172" s="161">
        <f t="shared" si="220"/>
        <v>0</v>
      </c>
      <c r="DN172" s="161">
        <f t="shared" si="221"/>
        <v>0</v>
      </c>
      <c r="DO172" s="161">
        <f t="shared" si="222"/>
        <v>0</v>
      </c>
      <c r="DP172" s="161">
        <f t="shared" si="223"/>
        <v>0</v>
      </c>
      <c r="DQ172" s="161">
        <f t="shared" si="224"/>
        <v>0</v>
      </c>
      <c r="DR172" s="161">
        <f t="shared" si="225"/>
        <v>0</v>
      </c>
      <c r="DS172" s="161">
        <f t="shared" si="226"/>
        <v>0</v>
      </c>
      <c r="DT172" s="161">
        <f t="shared" si="227"/>
        <v>0</v>
      </c>
      <c r="DU172" s="161">
        <f t="shared" si="228"/>
        <v>0</v>
      </c>
      <c r="DV172" s="161">
        <f t="shared" si="229"/>
        <v>0</v>
      </c>
      <c r="DW172" s="161">
        <f t="shared" si="230"/>
        <v>0</v>
      </c>
      <c r="DX172" s="161">
        <f t="shared" si="231"/>
        <v>0</v>
      </c>
      <c r="DY172" s="161">
        <f t="shared" si="232"/>
        <v>0</v>
      </c>
      <c r="DZ172" s="161">
        <f t="shared" si="233"/>
        <v>0</v>
      </c>
      <c r="EA172" s="161">
        <f t="shared" si="234"/>
        <v>0</v>
      </c>
      <c r="EB172" s="161">
        <f t="shared" si="235"/>
        <v>0</v>
      </c>
      <c r="EC172" s="161">
        <f t="shared" si="236"/>
        <v>0</v>
      </c>
      <c r="ED172" s="161">
        <f t="shared" si="237"/>
        <v>0</v>
      </c>
      <c r="EE172" s="161">
        <f t="shared" si="238"/>
        <v>0</v>
      </c>
      <c r="EF172" s="161">
        <f t="shared" si="239"/>
        <v>0</v>
      </c>
      <c r="EG172" s="161">
        <f t="shared" si="240"/>
        <v>0</v>
      </c>
      <c r="EH172" s="161">
        <f t="shared" si="241"/>
        <v>0</v>
      </c>
      <c r="EI172" s="161">
        <f t="shared" si="242"/>
        <v>0</v>
      </c>
      <c r="EJ172" s="161">
        <f t="shared" si="243"/>
        <v>0</v>
      </c>
      <c r="EK172" s="147">
        <f t="shared" si="175"/>
        <v>0</v>
      </c>
      <c r="EL172" s="149"/>
      <c r="EN172" s="146"/>
      <c r="EO172" s="146"/>
      <c r="EP172" s="139">
        <f t="shared" si="176"/>
        <v>0</v>
      </c>
      <c r="EQ172" s="139">
        <f t="shared" si="177"/>
        <v>0</v>
      </c>
      <c r="ER172" s="139">
        <f t="shared" si="178"/>
        <v>0</v>
      </c>
      <c r="ES172" s="139">
        <f t="shared" si="179"/>
        <v>0</v>
      </c>
      <c r="ET172" s="139">
        <f t="shared" si="180"/>
        <v>0</v>
      </c>
      <c r="EU172" s="139">
        <f t="shared" si="181"/>
        <v>0</v>
      </c>
      <c r="EV172" s="139">
        <f t="shared" si="182"/>
        <v>0</v>
      </c>
      <c r="EW172" s="139">
        <f t="shared" si="183"/>
        <v>0</v>
      </c>
      <c r="EX172" s="139">
        <f t="shared" si="184"/>
        <v>0</v>
      </c>
      <c r="EY172" s="139">
        <f t="shared" si="185"/>
        <v>0</v>
      </c>
      <c r="EZ172" s="139">
        <f t="shared" si="186"/>
        <v>0</v>
      </c>
      <c r="FA172" s="139">
        <f t="shared" si="187"/>
        <v>0</v>
      </c>
      <c r="FB172" s="139">
        <f t="shared" si="188"/>
        <v>0</v>
      </c>
      <c r="FC172" s="139">
        <f t="shared" si="189"/>
        <v>0</v>
      </c>
      <c r="FD172" s="139">
        <f t="shared" si="190"/>
        <v>0</v>
      </c>
      <c r="FE172" s="139">
        <f t="shared" si="191"/>
        <v>0</v>
      </c>
      <c r="FF172" s="139">
        <f t="shared" si="192"/>
        <v>0</v>
      </c>
      <c r="FG172" s="139">
        <f t="shared" si="193"/>
        <v>0</v>
      </c>
      <c r="FH172" s="139">
        <f t="shared" si="194"/>
        <v>0</v>
      </c>
      <c r="FI172" s="139">
        <f t="shared" si="195"/>
        <v>0</v>
      </c>
      <c r="FJ172" s="139">
        <f t="shared" si="196"/>
        <v>0</v>
      </c>
      <c r="FK172" s="139">
        <f t="shared" si="197"/>
        <v>0</v>
      </c>
      <c r="FL172" s="139">
        <f t="shared" si="198"/>
        <v>0</v>
      </c>
      <c r="FM172" s="139">
        <f t="shared" si="199"/>
        <v>0</v>
      </c>
      <c r="FN172" s="139">
        <f t="shared" si="200"/>
        <v>0</v>
      </c>
      <c r="FO172" s="139">
        <f t="shared" si="201"/>
        <v>0</v>
      </c>
      <c r="FP172" s="139">
        <f t="shared" si="202"/>
        <v>0</v>
      </c>
      <c r="FQ172" s="139">
        <f t="shared" si="203"/>
        <v>0</v>
      </c>
      <c r="FR172" s="139">
        <f t="shared" si="204"/>
        <v>0</v>
      </c>
      <c r="FS172" s="139">
        <f t="shared" si="205"/>
        <v>0</v>
      </c>
      <c r="FT172" s="139">
        <f t="shared" si="206"/>
        <v>0</v>
      </c>
      <c r="FU172" s="148">
        <f t="shared" si="207"/>
        <v>0</v>
      </c>
      <c r="FV172" s="149"/>
      <c r="FY172" s="212">
        <v>167</v>
      </c>
      <c r="FZ172">
        <v>0.29827396493287434</v>
      </c>
      <c r="GA172">
        <v>3.1293457965108944</v>
      </c>
      <c r="GB172">
        <v>7.1013080171960761</v>
      </c>
      <c r="GC172">
        <v>4.0684603541689341</v>
      </c>
      <c r="GD172">
        <v>1.8097351966738997</v>
      </c>
      <c r="GE172">
        <v>5.1296821217579645</v>
      </c>
      <c r="GF172">
        <v>7.3156320458043353</v>
      </c>
      <c r="GG172">
        <v>3.3156613231155534</v>
      </c>
      <c r="GH172">
        <v>1.9933453490702078</v>
      </c>
      <c r="GI172">
        <v>5.0056039152014202</v>
      </c>
      <c r="GJ172"/>
      <c r="GK172"/>
      <c r="GL172"/>
      <c r="GM172"/>
    </row>
    <row r="173" spans="1:195" s="7" customFormat="1">
      <c r="A173" s="1"/>
      <c r="B173" s="76">
        <f t="shared" ca="1" si="172"/>
        <v>0.62944619371290322</v>
      </c>
      <c r="C173">
        <v>6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16.588439542483663</v>
      </c>
      <c r="AO173">
        <v>10.303503187581093</v>
      </c>
      <c r="AP173">
        <v>58.294822748511017</v>
      </c>
      <c r="AQ173">
        <v>50.14493421125033</v>
      </c>
      <c r="AR173">
        <v>9.4483090233670328</v>
      </c>
      <c r="AS173">
        <v>48.44918975647375</v>
      </c>
      <c r="AT173">
        <v>4.9360042986126338</v>
      </c>
      <c r="AU173">
        <v>13.65718302149676</v>
      </c>
      <c r="AV173"/>
      <c r="AW173"/>
      <c r="AX173" s="146"/>
      <c r="AY173" s="76">
        <f t="shared" ca="1" si="173"/>
        <v>0.68245966344551179</v>
      </c>
      <c r="AZ173">
        <v>6</v>
      </c>
      <c r="BA173" s="129">
        <f t="shared" si="247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8"/>
        <v>0.50459183411873587</v>
      </c>
      <c r="CL173" s="179">
        <f t="shared" si="209"/>
        <v>6</v>
      </c>
      <c r="CM173" s="180">
        <f t="shared" si="210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211"/>
        <v>9.6000000000000002E-2</v>
      </c>
      <c r="DB173" s="146"/>
      <c r="DC173" s="76">
        <f t="shared" ca="1" si="174"/>
        <v>0.17975518023179693</v>
      </c>
      <c r="DD173">
        <f t="shared" si="212"/>
        <v>6</v>
      </c>
      <c r="DE173" s="129">
        <f t="shared" si="246"/>
        <v>39949</v>
      </c>
      <c r="DF173" s="161">
        <f t="shared" si="213"/>
        <v>0</v>
      </c>
      <c r="DG173" s="161">
        <f t="shared" si="214"/>
        <v>0</v>
      </c>
      <c r="DH173" s="161">
        <f t="shared" si="215"/>
        <v>0</v>
      </c>
      <c r="DI173" s="161">
        <f t="shared" si="216"/>
        <v>0</v>
      </c>
      <c r="DJ173" s="161">
        <f t="shared" si="217"/>
        <v>0</v>
      </c>
      <c r="DK173" s="161">
        <f t="shared" si="218"/>
        <v>0</v>
      </c>
      <c r="DL173" s="161">
        <f t="shared" si="219"/>
        <v>0</v>
      </c>
      <c r="DM173" s="161">
        <f t="shared" si="220"/>
        <v>0</v>
      </c>
      <c r="DN173" s="161">
        <f t="shared" si="221"/>
        <v>0</v>
      </c>
      <c r="DO173" s="161">
        <f t="shared" si="222"/>
        <v>0</v>
      </c>
      <c r="DP173" s="161">
        <f t="shared" si="223"/>
        <v>0</v>
      </c>
      <c r="DQ173" s="161">
        <f t="shared" si="224"/>
        <v>0</v>
      </c>
      <c r="DR173" s="161">
        <f t="shared" si="225"/>
        <v>0</v>
      </c>
      <c r="DS173" s="161">
        <f t="shared" si="226"/>
        <v>0</v>
      </c>
      <c r="DT173" s="161">
        <f t="shared" si="227"/>
        <v>0</v>
      </c>
      <c r="DU173" s="161">
        <f t="shared" si="228"/>
        <v>0</v>
      </c>
      <c r="DV173" s="161">
        <f t="shared" si="229"/>
        <v>0</v>
      </c>
      <c r="DW173" s="161">
        <f t="shared" si="230"/>
        <v>0</v>
      </c>
      <c r="DX173" s="161">
        <f t="shared" si="231"/>
        <v>0</v>
      </c>
      <c r="DY173" s="161">
        <f t="shared" si="232"/>
        <v>0</v>
      </c>
      <c r="DZ173" s="161">
        <f t="shared" si="233"/>
        <v>0</v>
      </c>
      <c r="EA173" s="161">
        <f t="shared" si="234"/>
        <v>0</v>
      </c>
      <c r="EB173" s="161">
        <f t="shared" si="235"/>
        <v>0</v>
      </c>
      <c r="EC173" s="161">
        <f t="shared" si="236"/>
        <v>0</v>
      </c>
      <c r="ED173" s="161">
        <f t="shared" si="237"/>
        <v>0</v>
      </c>
      <c r="EE173" s="161">
        <f t="shared" si="238"/>
        <v>0</v>
      </c>
      <c r="EF173" s="161">
        <f t="shared" si="239"/>
        <v>0</v>
      </c>
      <c r="EG173" s="161">
        <f t="shared" si="240"/>
        <v>0</v>
      </c>
      <c r="EH173" s="161">
        <f t="shared" si="241"/>
        <v>0</v>
      </c>
      <c r="EI173" s="161">
        <f t="shared" si="242"/>
        <v>0</v>
      </c>
      <c r="EJ173" s="161">
        <f t="shared" si="243"/>
        <v>0</v>
      </c>
      <c r="EK173" s="147">
        <f t="shared" si="175"/>
        <v>0</v>
      </c>
      <c r="EL173" s="149"/>
      <c r="EN173" s="146"/>
      <c r="EO173" s="146"/>
      <c r="EP173" s="139">
        <f t="shared" si="176"/>
        <v>0</v>
      </c>
      <c r="EQ173" s="139">
        <f t="shared" si="177"/>
        <v>0</v>
      </c>
      <c r="ER173" s="139">
        <f t="shared" si="178"/>
        <v>0</v>
      </c>
      <c r="ES173" s="139">
        <f t="shared" si="179"/>
        <v>0</v>
      </c>
      <c r="ET173" s="139">
        <f t="shared" si="180"/>
        <v>0</v>
      </c>
      <c r="EU173" s="139">
        <f t="shared" si="181"/>
        <v>0</v>
      </c>
      <c r="EV173" s="139">
        <f t="shared" si="182"/>
        <v>0</v>
      </c>
      <c r="EW173" s="139">
        <f t="shared" si="183"/>
        <v>0</v>
      </c>
      <c r="EX173" s="139">
        <f t="shared" si="184"/>
        <v>0</v>
      </c>
      <c r="EY173" s="139">
        <f t="shared" si="185"/>
        <v>0</v>
      </c>
      <c r="EZ173" s="139">
        <f t="shared" si="186"/>
        <v>0</v>
      </c>
      <c r="FA173" s="139">
        <f t="shared" si="187"/>
        <v>0</v>
      </c>
      <c r="FB173" s="139">
        <f t="shared" si="188"/>
        <v>0</v>
      </c>
      <c r="FC173" s="139">
        <f t="shared" si="189"/>
        <v>0</v>
      </c>
      <c r="FD173" s="139">
        <f t="shared" si="190"/>
        <v>0</v>
      </c>
      <c r="FE173" s="139">
        <f t="shared" si="191"/>
        <v>0</v>
      </c>
      <c r="FF173" s="139">
        <f t="shared" si="192"/>
        <v>0</v>
      </c>
      <c r="FG173" s="139">
        <f t="shared" si="193"/>
        <v>0</v>
      </c>
      <c r="FH173" s="139">
        <f t="shared" si="194"/>
        <v>0</v>
      </c>
      <c r="FI173" s="139">
        <f t="shared" si="195"/>
        <v>0</v>
      </c>
      <c r="FJ173" s="139">
        <f t="shared" si="196"/>
        <v>0</v>
      </c>
      <c r="FK173" s="139">
        <f t="shared" si="197"/>
        <v>0</v>
      </c>
      <c r="FL173" s="139">
        <f t="shared" si="198"/>
        <v>0</v>
      </c>
      <c r="FM173" s="139">
        <f t="shared" si="199"/>
        <v>0</v>
      </c>
      <c r="FN173" s="139">
        <f t="shared" si="200"/>
        <v>0</v>
      </c>
      <c r="FO173" s="139">
        <f t="shared" si="201"/>
        <v>0</v>
      </c>
      <c r="FP173" s="139">
        <f t="shared" si="202"/>
        <v>0</v>
      </c>
      <c r="FQ173" s="139">
        <f t="shared" si="203"/>
        <v>0</v>
      </c>
      <c r="FR173" s="139">
        <f t="shared" si="204"/>
        <v>0</v>
      </c>
      <c r="FS173" s="139">
        <f t="shared" si="205"/>
        <v>0</v>
      </c>
      <c r="FT173" s="139">
        <f t="shared" si="206"/>
        <v>0</v>
      </c>
      <c r="FU173" s="148">
        <f t="shared" si="207"/>
        <v>0</v>
      </c>
      <c r="FV173" s="149"/>
      <c r="FY173" s="212">
        <v>168</v>
      </c>
      <c r="FZ173">
        <v>0.20598722119262586</v>
      </c>
      <c r="GA173">
        <v>2.9301072054335684</v>
      </c>
      <c r="GB173">
        <v>6.6300315368312157</v>
      </c>
      <c r="GC173">
        <v>3.2154085481925754</v>
      </c>
      <c r="GD173">
        <v>1.0468521970677749</v>
      </c>
      <c r="GE173">
        <v>2.4201876403453575</v>
      </c>
      <c r="GF173">
        <v>4.5522433381153586</v>
      </c>
      <c r="GG173">
        <v>3.4907740392865616</v>
      </c>
      <c r="GH173">
        <v>1.8200124915206213</v>
      </c>
      <c r="GI173">
        <v>3.8842188210718578</v>
      </c>
      <c r="GJ173"/>
      <c r="GK173"/>
      <c r="GL173"/>
      <c r="GM173"/>
    </row>
    <row r="174" spans="1:195" s="7" customFormat="1">
      <c r="A174" s="1"/>
      <c r="B174" s="76">
        <f t="shared" ca="1" si="172"/>
        <v>0.52033284923740863</v>
      </c>
      <c r="C174">
        <v>5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13.545138888888889</v>
      </c>
      <c r="AO174">
        <v>8.6634993887509246</v>
      </c>
      <c r="AP174">
        <v>41.709209602087022</v>
      </c>
      <c r="AQ174">
        <v>41.454452546426722</v>
      </c>
      <c r="AR174">
        <v>7.9613121784360157</v>
      </c>
      <c r="AS174">
        <v>43.740554739560764</v>
      </c>
      <c r="AT174">
        <v>4.9996349014820565</v>
      </c>
      <c r="AU174">
        <v>6.4632294061931237</v>
      </c>
      <c r="AV174"/>
      <c r="AW174"/>
      <c r="AX174" s="146"/>
      <c r="AY174" s="76">
        <f t="shared" ca="1" si="173"/>
        <v>0.13874438494804942</v>
      </c>
      <c r="AZ174">
        <v>7</v>
      </c>
      <c r="BA174" s="129">
        <f t="shared" si="247"/>
        <v>39949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1</v>
      </c>
      <c r="BH174">
        <v>1</v>
      </c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8"/>
        <v>0.55868748119228062</v>
      </c>
      <c r="CL174" s="179">
        <f t="shared" si="209"/>
        <v>7</v>
      </c>
      <c r="CM174" s="180">
        <f t="shared" si="210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211"/>
        <v>9.6000000000000002E-2</v>
      </c>
      <c r="DB174" s="146"/>
      <c r="DC174" s="76">
        <f t="shared" ca="1" si="174"/>
        <v>0.85644675113368884</v>
      </c>
      <c r="DD174">
        <f t="shared" si="212"/>
        <v>7</v>
      </c>
      <c r="DE174" s="129">
        <f t="shared" si="246"/>
        <v>39949</v>
      </c>
      <c r="DF174" s="161">
        <f t="shared" si="213"/>
        <v>0</v>
      </c>
      <c r="DG174" s="161">
        <f t="shared" si="214"/>
        <v>0</v>
      </c>
      <c r="DH174" s="161">
        <f t="shared" si="215"/>
        <v>0</v>
      </c>
      <c r="DI174" s="161">
        <f t="shared" si="216"/>
        <v>0</v>
      </c>
      <c r="DJ174" s="161">
        <f t="shared" si="217"/>
        <v>0</v>
      </c>
      <c r="DK174" s="161">
        <f t="shared" si="218"/>
        <v>10.416666666666666</v>
      </c>
      <c r="DL174" s="161">
        <f t="shared" si="219"/>
        <v>10.416666666666666</v>
      </c>
      <c r="DM174" s="161">
        <f t="shared" si="220"/>
        <v>0</v>
      </c>
      <c r="DN174" s="161">
        <f t="shared" si="221"/>
        <v>0</v>
      </c>
      <c r="DO174" s="161">
        <f t="shared" si="222"/>
        <v>0</v>
      </c>
      <c r="DP174" s="161">
        <f t="shared" si="223"/>
        <v>0</v>
      </c>
      <c r="DQ174" s="161">
        <f t="shared" si="224"/>
        <v>0</v>
      </c>
      <c r="DR174" s="161">
        <f t="shared" si="225"/>
        <v>0</v>
      </c>
      <c r="DS174" s="161">
        <f t="shared" si="226"/>
        <v>0</v>
      </c>
      <c r="DT174" s="161">
        <f t="shared" si="227"/>
        <v>0</v>
      </c>
      <c r="DU174" s="161">
        <f t="shared" si="228"/>
        <v>0</v>
      </c>
      <c r="DV174" s="161">
        <f t="shared" si="229"/>
        <v>0</v>
      </c>
      <c r="DW174" s="161">
        <f t="shared" si="230"/>
        <v>0</v>
      </c>
      <c r="DX174" s="161">
        <f t="shared" si="231"/>
        <v>0</v>
      </c>
      <c r="DY174" s="161">
        <f t="shared" si="232"/>
        <v>0</v>
      </c>
      <c r="DZ174" s="161">
        <f t="shared" si="233"/>
        <v>0</v>
      </c>
      <c r="EA174" s="161">
        <f t="shared" si="234"/>
        <v>0</v>
      </c>
      <c r="EB174" s="161">
        <f t="shared" si="235"/>
        <v>0</v>
      </c>
      <c r="EC174" s="161">
        <f t="shared" si="236"/>
        <v>0</v>
      </c>
      <c r="ED174" s="161">
        <f t="shared" si="237"/>
        <v>0</v>
      </c>
      <c r="EE174" s="161">
        <f t="shared" si="238"/>
        <v>0</v>
      </c>
      <c r="EF174" s="161">
        <f t="shared" si="239"/>
        <v>0</v>
      </c>
      <c r="EG174" s="161">
        <f t="shared" si="240"/>
        <v>0</v>
      </c>
      <c r="EH174" s="161">
        <f t="shared" si="241"/>
        <v>0</v>
      </c>
      <c r="EI174" s="161">
        <f t="shared" si="242"/>
        <v>0</v>
      </c>
      <c r="EJ174" s="161">
        <f t="shared" si="243"/>
        <v>0</v>
      </c>
      <c r="EK174" s="147">
        <f t="shared" si="175"/>
        <v>20.833333333333332</v>
      </c>
      <c r="EL174" s="149"/>
      <c r="EN174" s="146"/>
      <c r="EO174" s="146"/>
      <c r="EP174" s="139">
        <f t="shared" si="176"/>
        <v>0</v>
      </c>
      <c r="EQ174" s="139">
        <f t="shared" si="177"/>
        <v>0</v>
      </c>
      <c r="ER174" s="139">
        <f t="shared" si="178"/>
        <v>0</v>
      </c>
      <c r="ES174" s="139">
        <f t="shared" si="179"/>
        <v>0</v>
      </c>
      <c r="ET174" s="139">
        <f t="shared" si="180"/>
        <v>0</v>
      </c>
      <c r="EU174" s="139">
        <f t="shared" si="181"/>
        <v>4.8166740960912398</v>
      </c>
      <c r="EV174" s="139">
        <f t="shared" si="182"/>
        <v>9.0513711528458085</v>
      </c>
      <c r="EW174" s="139">
        <f t="shared" si="183"/>
        <v>0</v>
      </c>
      <c r="EX174" s="139">
        <f t="shared" si="184"/>
        <v>0</v>
      </c>
      <c r="EY174" s="139">
        <f t="shared" si="185"/>
        <v>0</v>
      </c>
      <c r="EZ174" s="139">
        <f t="shared" si="186"/>
        <v>0</v>
      </c>
      <c r="FA174" s="139">
        <f t="shared" si="187"/>
        <v>0</v>
      </c>
      <c r="FB174" s="139">
        <f t="shared" si="188"/>
        <v>0</v>
      </c>
      <c r="FC174" s="139">
        <f t="shared" si="189"/>
        <v>0</v>
      </c>
      <c r="FD174" s="139">
        <f t="shared" si="190"/>
        <v>0</v>
      </c>
      <c r="FE174" s="139">
        <f t="shared" si="191"/>
        <v>0</v>
      </c>
      <c r="FF174" s="139">
        <f t="shared" si="192"/>
        <v>0</v>
      </c>
      <c r="FG174" s="139">
        <f t="shared" si="193"/>
        <v>0</v>
      </c>
      <c r="FH174" s="139">
        <f t="shared" si="194"/>
        <v>0</v>
      </c>
      <c r="FI174" s="139">
        <f t="shared" si="195"/>
        <v>0</v>
      </c>
      <c r="FJ174" s="139">
        <f t="shared" si="196"/>
        <v>0</v>
      </c>
      <c r="FK174" s="139">
        <f t="shared" si="197"/>
        <v>0</v>
      </c>
      <c r="FL174" s="139">
        <f t="shared" si="198"/>
        <v>0</v>
      </c>
      <c r="FM174" s="139">
        <f t="shared" si="199"/>
        <v>0</v>
      </c>
      <c r="FN174" s="139">
        <f t="shared" si="200"/>
        <v>0</v>
      </c>
      <c r="FO174" s="139">
        <f t="shared" si="201"/>
        <v>0</v>
      </c>
      <c r="FP174" s="139">
        <f t="shared" si="202"/>
        <v>0</v>
      </c>
      <c r="FQ174" s="139">
        <f t="shared" si="203"/>
        <v>0</v>
      </c>
      <c r="FR174" s="139">
        <f t="shared" si="204"/>
        <v>0</v>
      </c>
      <c r="FS174" s="139">
        <f t="shared" si="205"/>
        <v>0</v>
      </c>
      <c r="FT174" s="139">
        <f t="shared" si="206"/>
        <v>0</v>
      </c>
      <c r="FU174" s="148">
        <f t="shared" si="207"/>
        <v>13.868045248937047</v>
      </c>
      <c r="FV174" s="149"/>
      <c r="FY174" s="212">
        <v>169</v>
      </c>
      <c r="FZ174">
        <v>3.1914112113965025</v>
      </c>
      <c r="GA174">
        <v>6.6810028540631681</v>
      </c>
      <c r="GB174">
        <v>6.909601265417991</v>
      </c>
      <c r="GC174">
        <v>3.5048076636824614</v>
      </c>
      <c r="GD174">
        <v>2.6977829352467402</v>
      </c>
      <c r="GE174">
        <v>8.959475435770786</v>
      </c>
      <c r="GF174">
        <v>14.323428637215354</v>
      </c>
      <c r="GG174">
        <v>9.1072738541722025</v>
      </c>
      <c r="GH174">
        <v>3.4757308050672484</v>
      </c>
      <c r="GI174">
        <v>8.1640411056041415</v>
      </c>
      <c r="GJ174"/>
      <c r="GK174"/>
      <c r="GL174"/>
      <c r="GM174"/>
    </row>
    <row r="175" spans="1:195" s="7" customFormat="1">
      <c r="A175" s="1"/>
      <c r="B175" s="76">
        <f t="shared" ca="1" si="172"/>
        <v>0.31815883369917985</v>
      </c>
      <c r="C175">
        <v>8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14.772467320261438</v>
      </c>
      <c r="AO175">
        <v>8.3195774443102373</v>
      </c>
      <c r="AP175">
        <v>62.054966358043274</v>
      </c>
      <c r="AQ175">
        <v>45.233214051772968</v>
      </c>
      <c r="AR175">
        <v>7.5980202285707179</v>
      </c>
      <c r="AS175">
        <v>38.629388133320013</v>
      </c>
      <c r="AT175">
        <v>3.6273809424022665</v>
      </c>
      <c r="AU175">
        <v>17.592458844723943</v>
      </c>
      <c r="AV175"/>
      <c r="AW175"/>
      <c r="AX175" s="146"/>
      <c r="AY175" s="76">
        <f t="shared" ca="1" si="173"/>
        <v>0.12486917797804709</v>
      </c>
      <c r="AZ175">
        <v>8</v>
      </c>
      <c r="BA175" s="129">
        <f t="shared" si="247"/>
        <v>39949</v>
      </c>
      <c r="BB175">
        <v>0</v>
      </c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8"/>
        <v>0.39590360523247714</v>
      </c>
      <c r="CL175" s="179">
        <f t="shared" si="209"/>
        <v>8</v>
      </c>
      <c r="CM175" s="180">
        <f t="shared" si="210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211"/>
        <v>9.6000000000000002E-2</v>
      </c>
      <c r="DB175" s="146"/>
      <c r="DC175" s="76">
        <f t="shared" ca="1" si="174"/>
        <v>0.54111354454385041</v>
      </c>
      <c r="DD175">
        <f t="shared" si="212"/>
        <v>8</v>
      </c>
      <c r="DE175" s="129">
        <f t="shared" si="246"/>
        <v>39949</v>
      </c>
      <c r="DF175" s="161">
        <f t="shared" si="213"/>
        <v>0</v>
      </c>
      <c r="DG175" s="161">
        <f t="shared" si="214"/>
        <v>0</v>
      </c>
      <c r="DH175" s="161">
        <f t="shared" si="215"/>
        <v>0</v>
      </c>
      <c r="DI175" s="161">
        <f t="shared" si="216"/>
        <v>0</v>
      </c>
      <c r="DJ175" s="161">
        <f t="shared" si="217"/>
        <v>0</v>
      </c>
      <c r="DK175" s="161">
        <f t="shared" si="218"/>
        <v>0</v>
      </c>
      <c r="DL175" s="161">
        <f t="shared" si="219"/>
        <v>0</v>
      </c>
      <c r="DM175" s="161">
        <f t="shared" si="220"/>
        <v>0</v>
      </c>
      <c r="DN175" s="161">
        <f t="shared" si="221"/>
        <v>0</v>
      </c>
      <c r="DO175" s="161">
        <f t="shared" si="222"/>
        <v>0</v>
      </c>
      <c r="DP175" s="161">
        <f t="shared" si="223"/>
        <v>0</v>
      </c>
      <c r="DQ175" s="161">
        <f t="shared" si="224"/>
        <v>0</v>
      </c>
      <c r="DR175" s="161">
        <f t="shared" si="225"/>
        <v>0</v>
      </c>
      <c r="DS175" s="161">
        <f t="shared" si="226"/>
        <v>0</v>
      </c>
      <c r="DT175" s="161">
        <f t="shared" si="227"/>
        <v>0</v>
      </c>
      <c r="DU175" s="161">
        <f t="shared" si="228"/>
        <v>0</v>
      </c>
      <c r="DV175" s="161">
        <f t="shared" si="229"/>
        <v>0</v>
      </c>
      <c r="DW175" s="161">
        <f t="shared" si="230"/>
        <v>0</v>
      </c>
      <c r="DX175" s="161">
        <f t="shared" si="231"/>
        <v>0</v>
      </c>
      <c r="DY175" s="161">
        <f t="shared" si="232"/>
        <v>0</v>
      </c>
      <c r="DZ175" s="161">
        <f t="shared" si="233"/>
        <v>0</v>
      </c>
      <c r="EA175" s="161">
        <f t="shared" si="234"/>
        <v>0</v>
      </c>
      <c r="EB175" s="161">
        <f t="shared" si="235"/>
        <v>0</v>
      </c>
      <c r="EC175" s="161">
        <f t="shared" si="236"/>
        <v>0</v>
      </c>
      <c r="ED175" s="161">
        <f t="shared" si="237"/>
        <v>0</v>
      </c>
      <c r="EE175" s="161">
        <f t="shared" si="238"/>
        <v>0</v>
      </c>
      <c r="EF175" s="161">
        <f t="shared" si="239"/>
        <v>0</v>
      </c>
      <c r="EG175" s="161">
        <f t="shared" si="240"/>
        <v>0</v>
      </c>
      <c r="EH175" s="161">
        <f t="shared" si="241"/>
        <v>0</v>
      </c>
      <c r="EI175" s="161">
        <f t="shared" si="242"/>
        <v>0</v>
      </c>
      <c r="EJ175" s="161">
        <f t="shared" si="243"/>
        <v>0</v>
      </c>
      <c r="EK175" s="147">
        <f t="shared" si="175"/>
        <v>0</v>
      </c>
      <c r="EL175" s="149"/>
      <c r="EN175" s="146"/>
      <c r="EO175" s="146"/>
      <c r="EP175" s="139">
        <f t="shared" si="176"/>
        <v>0</v>
      </c>
      <c r="EQ175" s="139">
        <f t="shared" si="177"/>
        <v>0</v>
      </c>
      <c r="ER175" s="139">
        <f t="shared" si="178"/>
        <v>0</v>
      </c>
      <c r="ES175" s="139">
        <f t="shared" si="179"/>
        <v>0</v>
      </c>
      <c r="ET175" s="139">
        <f t="shared" si="180"/>
        <v>0</v>
      </c>
      <c r="EU175" s="139">
        <f t="shared" si="181"/>
        <v>0</v>
      </c>
      <c r="EV175" s="139">
        <f t="shared" si="182"/>
        <v>0</v>
      </c>
      <c r="EW175" s="139">
        <f t="shared" si="183"/>
        <v>0</v>
      </c>
      <c r="EX175" s="139">
        <f t="shared" si="184"/>
        <v>0</v>
      </c>
      <c r="EY175" s="139">
        <f t="shared" si="185"/>
        <v>0</v>
      </c>
      <c r="EZ175" s="139">
        <f t="shared" si="186"/>
        <v>0</v>
      </c>
      <c r="FA175" s="139">
        <f t="shared" si="187"/>
        <v>0</v>
      </c>
      <c r="FB175" s="139">
        <f t="shared" si="188"/>
        <v>0</v>
      </c>
      <c r="FC175" s="139">
        <f t="shared" si="189"/>
        <v>0</v>
      </c>
      <c r="FD175" s="139">
        <f t="shared" si="190"/>
        <v>0</v>
      </c>
      <c r="FE175" s="139">
        <f t="shared" si="191"/>
        <v>0</v>
      </c>
      <c r="FF175" s="139">
        <f t="shared" si="192"/>
        <v>0</v>
      </c>
      <c r="FG175" s="139">
        <f t="shared" si="193"/>
        <v>0</v>
      </c>
      <c r="FH175" s="139">
        <f t="shared" si="194"/>
        <v>0</v>
      </c>
      <c r="FI175" s="139">
        <f t="shared" si="195"/>
        <v>0</v>
      </c>
      <c r="FJ175" s="139">
        <f t="shared" si="196"/>
        <v>0</v>
      </c>
      <c r="FK175" s="139">
        <f t="shared" si="197"/>
        <v>0</v>
      </c>
      <c r="FL175" s="139">
        <f t="shared" si="198"/>
        <v>0</v>
      </c>
      <c r="FM175" s="139">
        <f t="shared" si="199"/>
        <v>0</v>
      </c>
      <c r="FN175" s="139">
        <f t="shared" si="200"/>
        <v>0</v>
      </c>
      <c r="FO175" s="139">
        <f t="shared" si="201"/>
        <v>0</v>
      </c>
      <c r="FP175" s="139">
        <f t="shared" si="202"/>
        <v>0</v>
      </c>
      <c r="FQ175" s="139">
        <f t="shared" si="203"/>
        <v>0</v>
      </c>
      <c r="FR175" s="139">
        <f t="shared" si="204"/>
        <v>0</v>
      </c>
      <c r="FS175" s="139">
        <f t="shared" si="205"/>
        <v>0</v>
      </c>
      <c r="FT175" s="139">
        <f t="shared" si="206"/>
        <v>0</v>
      </c>
      <c r="FU175" s="148">
        <f t="shared" si="207"/>
        <v>0</v>
      </c>
      <c r="FV175" s="149"/>
      <c r="FY175" s="212">
        <v>170</v>
      </c>
      <c r="FZ175">
        <v>3.3161865063217175</v>
      </c>
      <c r="GA175">
        <v>7.522400611821273</v>
      </c>
      <c r="GB175">
        <v>5.8081716317951706</v>
      </c>
      <c r="GC175">
        <v>2.5574084653516165</v>
      </c>
      <c r="GD175">
        <v>0.78107985128709312</v>
      </c>
      <c r="GE175">
        <v>2.1863616902394312</v>
      </c>
      <c r="GF175">
        <v>4.6706711238866454</v>
      </c>
      <c r="GG175">
        <v>3.9328514419683369</v>
      </c>
      <c r="GH175">
        <v>2.9065516797894038</v>
      </c>
      <c r="GI175">
        <v>3.936408664535529</v>
      </c>
      <c r="GJ175"/>
      <c r="GK175"/>
      <c r="GL175"/>
      <c r="GM175"/>
    </row>
    <row r="176" spans="1:195" s="7" customFormat="1">
      <c r="A176" s="1"/>
      <c r="B176" s="76">
        <f t="shared" ca="1" si="172"/>
        <v>0.49118974776658342</v>
      </c>
      <c r="C176">
        <v>9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16.199550653594773</v>
      </c>
      <c r="AO176">
        <v>10.811121072936839</v>
      </c>
      <c r="AP176">
        <v>67.656961504882759</v>
      </c>
      <c r="AQ176">
        <v>54.092251635284669</v>
      </c>
      <c r="AR176">
        <v>10.003038869457457</v>
      </c>
      <c r="AS176">
        <v>49.596220237816595</v>
      </c>
      <c r="AT176">
        <v>6.2133605541277035</v>
      </c>
      <c r="AU176">
        <v>15.360656509419091</v>
      </c>
      <c r="AV176"/>
      <c r="AW176"/>
      <c r="AX176" s="146"/>
      <c r="AY176" s="76">
        <f t="shared" ca="1" si="173"/>
        <v>0.94539058122477893</v>
      </c>
      <c r="AZ176">
        <v>9</v>
      </c>
      <c r="BA176" s="129">
        <f t="shared" si="247"/>
        <v>39949</v>
      </c>
      <c r="BB176">
        <v>0</v>
      </c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 s="147"/>
      <c r="CH176" s="176"/>
      <c r="CJ176" s="146"/>
      <c r="CK176" s="76">
        <f t="shared" ca="1" si="208"/>
        <v>0.18076896365015482</v>
      </c>
      <c r="CL176" s="179">
        <f t="shared" si="209"/>
        <v>9</v>
      </c>
      <c r="CM176" s="180">
        <f t="shared" si="210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211"/>
        <v>9.6000000000000002E-2</v>
      </c>
      <c r="DB176" s="146"/>
      <c r="DC176" s="76">
        <f t="shared" ca="1" si="174"/>
        <v>0.98709568054808039</v>
      </c>
      <c r="DD176">
        <f t="shared" si="212"/>
        <v>9</v>
      </c>
      <c r="DE176" s="129">
        <f t="shared" si="246"/>
        <v>39949</v>
      </c>
      <c r="DF176" s="161">
        <f t="shared" si="213"/>
        <v>0</v>
      </c>
      <c r="DG176" s="161">
        <f t="shared" si="214"/>
        <v>0</v>
      </c>
      <c r="DH176" s="161">
        <f t="shared" si="215"/>
        <v>0</v>
      </c>
      <c r="DI176" s="161">
        <f t="shared" si="216"/>
        <v>0</v>
      </c>
      <c r="DJ176" s="161">
        <f t="shared" si="217"/>
        <v>0</v>
      </c>
      <c r="DK176" s="161">
        <f t="shared" si="218"/>
        <v>0</v>
      </c>
      <c r="DL176" s="161">
        <f t="shared" si="219"/>
        <v>0</v>
      </c>
      <c r="DM176" s="161">
        <f t="shared" si="220"/>
        <v>0</v>
      </c>
      <c r="DN176" s="161">
        <f t="shared" si="221"/>
        <v>0</v>
      </c>
      <c r="DO176" s="161">
        <f t="shared" si="222"/>
        <v>0</v>
      </c>
      <c r="DP176" s="161">
        <f t="shared" si="223"/>
        <v>0</v>
      </c>
      <c r="DQ176" s="161">
        <f t="shared" si="224"/>
        <v>0</v>
      </c>
      <c r="DR176" s="161">
        <f t="shared" si="225"/>
        <v>0</v>
      </c>
      <c r="DS176" s="161">
        <f t="shared" si="226"/>
        <v>0</v>
      </c>
      <c r="DT176" s="161">
        <f t="shared" si="227"/>
        <v>0</v>
      </c>
      <c r="DU176" s="161">
        <f t="shared" si="228"/>
        <v>0</v>
      </c>
      <c r="DV176" s="161">
        <f t="shared" si="229"/>
        <v>0</v>
      </c>
      <c r="DW176" s="161">
        <f t="shared" si="230"/>
        <v>0</v>
      </c>
      <c r="DX176" s="161">
        <f t="shared" si="231"/>
        <v>0</v>
      </c>
      <c r="DY176" s="161">
        <f t="shared" si="232"/>
        <v>0</v>
      </c>
      <c r="DZ176" s="161">
        <f t="shared" si="233"/>
        <v>0</v>
      </c>
      <c r="EA176" s="161">
        <f t="shared" si="234"/>
        <v>0</v>
      </c>
      <c r="EB176" s="161">
        <f t="shared" si="235"/>
        <v>0</v>
      </c>
      <c r="EC176" s="161">
        <f t="shared" si="236"/>
        <v>0</v>
      </c>
      <c r="ED176" s="161">
        <f t="shared" si="237"/>
        <v>0</v>
      </c>
      <c r="EE176" s="161">
        <f t="shared" si="238"/>
        <v>0</v>
      </c>
      <c r="EF176" s="161">
        <f t="shared" si="239"/>
        <v>0</v>
      </c>
      <c r="EG176" s="161">
        <f t="shared" si="240"/>
        <v>0</v>
      </c>
      <c r="EH176" s="161">
        <f t="shared" si="241"/>
        <v>0</v>
      </c>
      <c r="EI176" s="161">
        <f t="shared" si="242"/>
        <v>0</v>
      </c>
      <c r="EJ176" s="161">
        <f t="shared" si="243"/>
        <v>0</v>
      </c>
      <c r="EK176" s="147">
        <f t="shared" si="175"/>
        <v>0</v>
      </c>
      <c r="EL176" s="149"/>
      <c r="EN176" s="146"/>
      <c r="EO176" s="146"/>
      <c r="EP176" s="139">
        <f t="shared" si="176"/>
        <v>0</v>
      </c>
      <c r="EQ176" s="139">
        <f t="shared" si="177"/>
        <v>0</v>
      </c>
      <c r="ER176" s="139">
        <f t="shared" si="178"/>
        <v>0</v>
      </c>
      <c r="ES176" s="139">
        <f t="shared" si="179"/>
        <v>0</v>
      </c>
      <c r="ET176" s="139">
        <f t="shared" si="180"/>
        <v>0</v>
      </c>
      <c r="EU176" s="139">
        <f t="shared" si="181"/>
        <v>0</v>
      </c>
      <c r="EV176" s="139">
        <f t="shared" si="182"/>
        <v>0</v>
      </c>
      <c r="EW176" s="139">
        <f t="shared" si="183"/>
        <v>0</v>
      </c>
      <c r="EX176" s="139">
        <f t="shared" si="184"/>
        <v>0</v>
      </c>
      <c r="EY176" s="139">
        <f t="shared" si="185"/>
        <v>0</v>
      </c>
      <c r="EZ176" s="139">
        <f t="shared" si="186"/>
        <v>0</v>
      </c>
      <c r="FA176" s="139">
        <f t="shared" si="187"/>
        <v>0</v>
      </c>
      <c r="FB176" s="139">
        <f t="shared" si="188"/>
        <v>0</v>
      </c>
      <c r="FC176" s="139">
        <f t="shared" si="189"/>
        <v>0</v>
      </c>
      <c r="FD176" s="139">
        <f t="shared" si="190"/>
        <v>0</v>
      </c>
      <c r="FE176" s="139">
        <f t="shared" si="191"/>
        <v>0</v>
      </c>
      <c r="FF176" s="139">
        <f t="shared" si="192"/>
        <v>0</v>
      </c>
      <c r="FG176" s="139">
        <f t="shared" si="193"/>
        <v>0</v>
      </c>
      <c r="FH176" s="139">
        <f t="shared" si="194"/>
        <v>0</v>
      </c>
      <c r="FI176" s="139">
        <f t="shared" si="195"/>
        <v>0</v>
      </c>
      <c r="FJ176" s="139">
        <f t="shared" si="196"/>
        <v>0</v>
      </c>
      <c r="FK176" s="139">
        <f t="shared" si="197"/>
        <v>0</v>
      </c>
      <c r="FL176" s="139">
        <f t="shared" si="198"/>
        <v>0</v>
      </c>
      <c r="FM176" s="139">
        <f t="shared" si="199"/>
        <v>0</v>
      </c>
      <c r="FN176" s="139">
        <f t="shared" si="200"/>
        <v>0</v>
      </c>
      <c r="FO176" s="139">
        <f t="shared" si="201"/>
        <v>0</v>
      </c>
      <c r="FP176" s="139">
        <f t="shared" si="202"/>
        <v>0</v>
      </c>
      <c r="FQ176" s="139">
        <f t="shared" si="203"/>
        <v>0</v>
      </c>
      <c r="FR176" s="139">
        <f t="shared" si="204"/>
        <v>0</v>
      </c>
      <c r="FS176" s="139">
        <f t="shared" si="205"/>
        <v>0</v>
      </c>
      <c r="FT176" s="139">
        <f t="shared" si="206"/>
        <v>0</v>
      </c>
      <c r="FU176" s="148">
        <f t="shared" si="207"/>
        <v>0</v>
      </c>
      <c r="FV176" s="149"/>
      <c r="FY176" s="212">
        <v>171</v>
      </c>
      <c r="FZ176">
        <v>3.3141524274870298</v>
      </c>
      <c r="GA176">
        <v>6.2593616439563675</v>
      </c>
      <c r="GB176">
        <v>5.9159850972840102</v>
      </c>
      <c r="GC176">
        <v>2.693021495745838</v>
      </c>
      <c r="GD176">
        <v>1.3879313976419798</v>
      </c>
      <c r="GE176">
        <v>5.5449194731378704</v>
      </c>
      <c r="GF176">
        <v>7.592321980882236</v>
      </c>
      <c r="GG176">
        <v>3.4138432578577946</v>
      </c>
      <c r="GH176">
        <v>2.9472092771209382</v>
      </c>
      <c r="GI176">
        <v>5.0569789381624517</v>
      </c>
      <c r="GJ176"/>
      <c r="GK176"/>
      <c r="GL176"/>
      <c r="GM176"/>
    </row>
    <row r="177" spans="1:195" s="7" customFormat="1">
      <c r="A177" s="1"/>
      <c r="B177" s="76">
        <f t="shared" ca="1" si="172"/>
        <v>0.31587781587009545</v>
      </c>
      <c r="C177">
        <v>10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16.524305555555557</v>
      </c>
      <c r="AO177">
        <v>10.823080893984347</v>
      </c>
      <c r="AP177">
        <v>43.928243901861983</v>
      </c>
      <c r="AQ177">
        <v>53.486130411336177</v>
      </c>
      <c r="AR177">
        <v>9.8812867690363237</v>
      </c>
      <c r="AS177">
        <v>61.886006829300115</v>
      </c>
      <c r="AT177">
        <v>5.6950085120260185</v>
      </c>
      <c r="AU177">
        <v>-1.7562751250364546</v>
      </c>
      <c r="AV177"/>
      <c r="AW177"/>
      <c r="AX177" s="146"/>
      <c r="AY177" s="76">
        <f t="shared" ca="1" si="173"/>
        <v>0.87158312016746597</v>
      </c>
      <c r="AZ177">
        <v>10</v>
      </c>
      <c r="BA177" s="129">
        <f t="shared" si="247"/>
        <v>39949</v>
      </c>
      <c r="BB177">
        <v>0</v>
      </c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8"/>
        <v>0.448107162793419</v>
      </c>
      <c r="CL177" s="179">
        <f t="shared" si="209"/>
        <v>10</v>
      </c>
      <c r="CM177" s="180">
        <f t="shared" si="210"/>
        <v>39949</v>
      </c>
      <c r="CN177">
        <v>0</v>
      </c>
      <c r="CO177"/>
      <c r="CP177"/>
      <c r="CQ177"/>
      <c r="CR177"/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211"/>
        <v>9.6000000000000002E-2</v>
      </c>
      <c r="DB177" s="146"/>
      <c r="DC177" s="76">
        <f t="shared" ca="1" si="174"/>
        <v>0.8371997646111744</v>
      </c>
      <c r="DD177">
        <f t="shared" si="212"/>
        <v>10</v>
      </c>
      <c r="DE177" s="129">
        <f t="shared" si="246"/>
        <v>39949</v>
      </c>
      <c r="DF177" s="161">
        <f t="shared" si="213"/>
        <v>0</v>
      </c>
      <c r="DG177" s="161">
        <f t="shared" si="214"/>
        <v>0</v>
      </c>
      <c r="DH177" s="161">
        <f t="shared" si="215"/>
        <v>0</v>
      </c>
      <c r="DI177" s="161">
        <f t="shared" si="216"/>
        <v>0</v>
      </c>
      <c r="DJ177" s="161">
        <f t="shared" si="217"/>
        <v>0</v>
      </c>
      <c r="DK177" s="161">
        <f t="shared" si="218"/>
        <v>0</v>
      </c>
      <c r="DL177" s="161">
        <f t="shared" si="219"/>
        <v>0</v>
      </c>
      <c r="DM177" s="161">
        <f t="shared" si="220"/>
        <v>0</v>
      </c>
      <c r="DN177" s="161">
        <f t="shared" si="221"/>
        <v>0</v>
      </c>
      <c r="DO177" s="161">
        <f t="shared" si="222"/>
        <v>0</v>
      </c>
      <c r="DP177" s="161">
        <f t="shared" si="223"/>
        <v>0</v>
      </c>
      <c r="DQ177" s="161">
        <f t="shared" si="224"/>
        <v>0</v>
      </c>
      <c r="DR177" s="161">
        <f t="shared" si="225"/>
        <v>0</v>
      </c>
      <c r="DS177" s="161">
        <f t="shared" si="226"/>
        <v>0</v>
      </c>
      <c r="DT177" s="161">
        <f t="shared" si="227"/>
        <v>0</v>
      </c>
      <c r="DU177" s="161">
        <f t="shared" si="228"/>
        <v>0</v>
      </c>
      <c r="DV177" s="161">
        <f t="shared" si="229"/>
        <v>0</v>
      </c>
      <c r="DW177" s="161">
        <f t="shared" si="230"/>
        <v>0</v>
      </c>
      <c r="DX177" s="161">
        <f t="shared" si="231"/>
        <v>0</v>
      </c>
      <c r="DY177" s="161">
        <f t="shared" si="232"/>
        <v>0</v>
      </c>
      <c r="DZ177" s="161">
        <f t="shared" si="233"/>
        <v>0</v>
      </c>
      <c r="EA177" s="161">
        <f t="shared" si="234"/>
        <v>0</v>
      </c>
      <c r="EB177" s="161">
        <f t="shared" si="235"/>
        <v>0</v>
      </c>
      <c r="EC177" s="161">
        <f t="shared" si="236"/>
        <v>0</v>
      </c>
      <c r="ED177" s="161">
        <f t="shared" si="237"/>
        <v>0</v>
      </c>
      <c r="EE177" s="161">
        <f t="shared" si="238"/>
        <v>0</v>
      </c>
      <c r="EF177" s="161">
        <f t="shared" si="239"/>
        <v>0</v>
      </c>
      <c r="EG177" s="161">
        <f t="shared" si="240"/>
        <v>0</v>
      </c>
      <c r="EH177" s="161">
        <f t="shared" si="241"/>
        <v>0</v>
      </c>
      <c r="EI177" s="161">
        <f t="shared" si="242"/>
        <v>0</v>
      </c>
      <c r="EJ177" s="161">
        <f t="shared" si="243"/>
        <v>0</v>
      </c>
      <c r="EK177" s="147">
        <f t="shared" si="175"/>
        <v>0</v>
      </c>
      <c r="EL177" s="149"/>
      <c r="EN177" s="146"/>
      <c r="EO177" s="146"/>
      <c r="EP177" s="139">
        <f t="shared" si="176"/>
        <v>0</v>
      </c>
      <c r="EQ177" s="139">
        <f t="shared" si="177"/>
        <v>0</v>
      </c>
      <c r="ER177" s="139">
        <f t="shared" si="178"/>
        <v>0</v>
      </c>
      <c r="ES177" s="139">
        <f t="shared" si="179"/>
        <v>0</v>
      </c>
      <c r="ET177" s="139">
        <f t="shared" si="180"/>
        <v>0</v>
      </c>
      <c r="EU177" s="139">
        <f t="shared" si="181"/>
        <v>0</v>
      </c>
      <c r="EV177" s="139">
        <f t="shared" si="182"/>
        <v>0</v>
      </c>
      <c r="EW177" s="139">
        <f t="shared" si="183"/>
        <v>0</v>
      </c>
      <c r="EX177" s="139">
        <f t="shared" si="184"/>
        <v>0</v>
      </c>
      <c r="EY177" s="139">
        <f t="shared" si="185"/>
        <v>0</v>
      </c>
      <c r="EZ177" s="139">
        <f t="shared" si="186"/>
        <v>0</v>
      </c>
      <c r="FA177" s="139">
        <f t="shared" si="187"/>
        <v>0</v>
      </c>
      <c r="FB177" s="139">
        <f t="shared" si="188"/>
        <v>0</v>
      </c>
      <c r="FC177" s="139">
        <f t="shared" si="189"/>
        <v>0</v>
      </c>
      <c r="FD177" s="139">
        <f t="shared" si="190"/>
        <v>0</v>
      </c>
      <c r="FE177" s="139">
        <f t="shared" si="191"/>
        <v>0</v>
      </c>
      <c r="FF177" s="139">
        <f t="shared" si="192"/>
        <v>0</v>
      </c>
      <c r="FG177" s="139">
        <f t="shared" si="193"/>
        <v>0</v>
      </c>
      <c r="FH177" s="139">
        <f t="shared" si="194"/>
        <v>0</v>
      </c>
      <c r="FI177" s="139">
        <f t="shared" si="195"/>
        <v>0</v>
      </c>
      <c r="FJ177" s="139">
        <f t="shared" si="196"/>
        <v>0</v>
      </c>
      <c r="FK177" s="139">
        <f t="shared" si="197"/>
        <v>0</v>
      </c>
      <c r="FL177" s="139">
        <f t="shared" si="198"/>
        <v>0</v>
      </c>
      <c r="FM177" s="139">
        <f t="shared" si="199"/>
        <v>0</v>
      </c>
      <c r="FN177" s="139">
        <f t="shared" si="200"/>
        <v>0</v>
      </c>
      <c r="FO177" s="139">
        <f t="shared" si="201"/>
        <v>0</v>
      </c>
      <c r="FP177" s="139">
        <f t="shared" si="202"/>
        <v>0</v>
      </c>
      <c r="FQ177" s="139">
        <f t="shared" si="203"/>
        <v>0</v>
      </c>
      <c r="FR177" s="139">
        <f t="shared" si="204"/>
        <v>0</v>
      </c>
      <c r="FS177" s="139">
        <f t="shared" si="205"/>
        <v>0</v>
      </c>
      <c r="FT177" s="139">
        <f t="shared" si="206"/>
        <v>0</v>
      </c>
      <c r="FU177" s="148">
        <f t="shared" si="207"/>
        <v>0</v>
      </c>
      <c r="FV177" s="149"/>
      <c r="FY177" s="212">
        <v>172</v>
      </c>
      <c r="FZ177">
        <v>9.9336039692788063</v>
      </c>
      <c r="GA177">
        <v>13.553503594178979</v>
      </c>
      <c r="GB177">
        <v>3.3089328333490862</v>
      </c>
      <c r="GC177">
        <v>1.5075540819907625</v>
      </c>
      <c r="GD177">
        <v>0.78044709507000753</v>
      </c>
      <c r="GE177">
        <v>3.8205221310309652</v>
      </c>
      <c r="GF177">
        <v>11.619449073458055</v>
      </c>
      <c r="GG177">
        <v>8.2399826212817899</v>
      </c>
      <c r="GH177">
        <v>1.9868477692117408</v>
      </c>
      <c r="GI177">
        <v>5.937624657576138</v>
      </c>
      <c r="GJ177"/>
      <c r="GK177"/>
      <c r="GL177"/>
      <c r="GM177"/>
    </row>
    <row r="178" spans="1:195" s="7" customFormat="1">
      <c r="A178" s="128"/>
      <c r="B178" s="76">
        <f t="shared" ca="1" si="172"/>
        <v>9.9894222851403924E-2</v>
      </c>
      <c r="C178">
        <v>5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10.416666666666666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15.297525887865186</v>
      </c>
      <c r="AO178">
        <v>8.1667866433608189</v>
      </c>
      <c r="AP178">
        <v>54.370285978669379</v>
      </c>
      <c r="AQ178">
        <v>42.486639170760533</v>
      </c>
      <c r="AR178">
        <v>7.4977416003542379</v>
      </c>
      <c r="AS178">
        <v>43.23492254968577</v>
      </c>
      <c r="AT178">
        <v>4.984075459842944</v>
      </c>
      <c r="AU178">
        <v>8.7982600021083925</v>
      </c>
      <c r="AV178"/>
      <c r="AW178"/>
      <c r="AX178" s="128"/>
      <c r="AY178" s="76">
        <f t="shared" ca="1" si="173"/>
        <v>0.56306472888886194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0</v>
      </c>
      <c r="BF178">
        <v>1</v>
      </c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8"/>
        <v>8.9426926686893227E-2</v>
      </c>
      <c r="CL178" s="179">
        <f t="shared" si="209"/>
        <v>1</v>
      </c>
      <c r="CM178" s="180">
        <f t="shared" si="210"/>
        <v>39987</v>
      </c>
      <c r="CN178">
        <v>0</v>
      </c>
      <c r="CO178"/>
      <c r="CP178"/>
      <c r="CQ178"/>
      <c r="CR178"/>
      <c r="CS178"/>
      <c r="CT178"/>
      <c r="CU178"/>
      <c r="CV178" s="160"/>
      <c r="CW178">
        <v>1</v>
      </c>
      <c r="CX178">
        <f>350/47</f>
        <v>7.4468085106382977</v>
      </c>
      <c r="CY178" s="160"/>
      <c r="CZ178" s="177">
        <f t="shared" si="211"/>
        <v>9.6000000000000002E-2</v>
      </c>
      <c r="DB178" s="128"/>
      <c r="DC178" s="76">
        <f t="shared" ca="1" si="174"/>
        <v>0.14021385155059329</v>
      </c>
      <c r="DD178">
        <f t="shared" si="212"/>
        <v>1</v>
      </c>
      <c r="DE178" s="129">
        <f t="shared" ref="DE178:DE187" si="248">IF((DD178)="", "", $C$13)</f>
        <v>39987</v>
      </c>
      <c r="DF178" s="161">
        <f t="shared" si="213"/>
        <v>0</v>
      </c>
      <c r="DG178" s="161">
        <f t="shared" si="214"/>
        <v>0</v>
      </c>
      <c r="DH178" s="161">
        <f t="shared" si="215"/>
        <v>0</v>
      </c>
      <c r="DI178" s="161">
        <f t="shared" si="216"/>
        <v>0</v>
      </c>
      <c r="DJ178" s="161">
        <f t="shared" si="217"/>
        <v>10.416666666666666</v>
      </c>
      <c r="DK178" s="161">
        <f t="shared" si="218"/>
        <v>0</v>
      </c>
      <c r="DL178" s="161">
        <f t="shared" si="219"/>
        <v>0</v>
      </c>
      <c r="DM178" s="161">
        <f t="shared" si="220"/>
        <v>0</v>
      </c>
      <c r="DN178" s="161">
        <f t="shared" si="221"/>
        <v>0</v>
      </c>
      <c r="DO178" s="161">
        <f t="shared" si="222"/>
        <v>0</v>
      </c>
      <c r="DP178" s="161">
        <f t="shared" si="223"/>
        <v>0</v>
      </c>
      <c r="DQ178" s="161">
        <f t="shared" si="224"/>
        <v>0</v>
      </c>
      <c r="DR178" s="161">
        <f t="shared" si="225"/>
        <v>0</v>
      </c>
      <c r="DS178" s="161">
        <f t="shared" si="226"/>
        <v>0</v>
      </c>
      <c r="DT178" s="161">
        <f t="shared" si="227"/>
        <v>0</v>
      </c>
      <c r="DU178" s="161">
        <f t="shared" si="228"/>
        <v>0</v>
      </c>
      <c r="DV178" s="161">
        <f t="shared" si="229"/>
        <v>0</v>
      </c>
      <c r="DW178" s="161">
        <f t="shared" si="230"/>
        <v>0</v>
      </c>
      <c r="DX178" s="161">
        <f t="shared" si="231"/>
        <v>0</v>
      </c>
      <c r="DY178" s="161">
        <f t="shared" si="232"/>
        <v>0</v>
      </c>
      <c r="DZ178" s="161">
        <f t="shared" si="233"/>
        <v>0</v>
      </c>
      <c r="EA178" s="161">
        <f t="shared" si="234"/>
        <v>0</v>
      </c>
      <c r="EB178" s="161">
        <f t="shared" si="235"/>
        <v>0</v>
      </c>
      <c r="EC178" s="161">
        <f t="shared" si="236"/>
        <v>0</v>
      </c>
      <c r="ED178" s="161">
        <f t="shared" si="237"/>
        <v>0</v>
      </c>
      <c r="EE178" s="161">
        <f t="shared" si="238"/>
        <v>0</v>
      </c>
      <c r="EF178" s="161">
        <f t="shared" si="239"/>
        <v>0</v>
      </c>
      <c r="EG178" s="161">
        <f t="shared" si="240"/>
        <v>0</v>
      </c>
      <c r="EH178" s="161">
        <f t="shared" si="241"/>
        <v>0</v>
      </c>
      <c r="EI178" s="161">
        <f t="shared" si="242"/>
        <v>0</v>
      </c>
      <c r="EJ178" s="161">
        <f t="shared" si="243"/>
        <v>0</v>
      </c>
      <c r="EK178" s="147">
        <f t="shared" si="175"/>
        <v>10.416666666666666</v>
      </c>
      <c r="EL178" s="149"/>
      <c r="EN178" s="146"/>
      <c r="EO178" s="146"/>
      <c r="EP178" s="139">
        <f t="shared" si="176"/>
        <v>0</v>
      </c>
      <c r="EQ178" s="139">
        <f t="shared" si="177"/>
        <v>0</v>
      </c>
      <c r="ER178" s="139">
        <f t="shared" si="178"/>
        <v>0</v>
      </c>
      <c r="ES178" s="139">
        <f t="shared" si="179"/>
        <v>0</v>
      </c>
      <c r="ET178" s="139">
        <f t="shared" si="180"/>
        <v>2.2255564645651158</v>
      </c>
      <c r="EU178" s="139">
        <f t="shared" si="181"/>
        <v>0</v>
      </c>
      <c r="EV178" s="139">
        <f t="shared" si="182"/>
        <v>0</v>
      </c>
      <c r="EW178" s="139">
        <f t="shared" si="183"/>
        <v>0</v>
      </c>
      <c r="EX178" s="139">
        <f t="shared" si="184"/>
        <v>0</v>
      </c>
      <c r="EY178" s="139">
        <f t="shared" si="185"/>
        <v>0</v>
      </c>
      <c r="EZ178" s="139">
        <f t="shared" si="186"/>
        <v>0</v>
      </c>
      <c r="FA178" s="139">
        <f t="shared" si="187"/>
        <v>0</v>
      </c>
      <c r="FB178" s="139">
        <f t="shared" si="188"/>
        <v>0</v>
      </c>
      <c r="FC178" s="139">
        <f t="shared" si="189"/>
        <v>0</v>
      </c>
      <c r="FD178" s="139">
        <f t="shared" si="190"/>
        <v>0</v>
      </c>
      <c r="FE178" s="139">
        <f t="shared" si="191"/>
        <v>0</v>
      </c>
      <c r="FF178" s="139">
        <f t="shared" si="192"/>
        <v>0</v>
      </c>
      <c r="FG178" s="139">
        <f t="shared" si="193"/>
        <v>0</v>
      </c>
      <c r="FH178" s="139">
        <f t="shared" si="194"/>
        <v>0</v>
      </c>
      <c r="FI178" s="139">
        <f t="shared" si="195"/>
        <v>0</v>
      </c>
      <c r="FJ178" s="139">
        <f t="shared" si="196"/>
        <v>0</v>
      </c>
      <c r="FK178" s="139">
        <f t="shared" si="197"/>
        <v>0</v>
      </c>
      <c r="FL178" s="139">
        <f t="shared" si="198"/>
        <v>0</v>
      </c>
      <c r="FM178" s="139">
        <f t="shared" si="199"/>
        <v>0</v>
      </c>
      <c r="FN178" s="139">
        <f t="shared" si="200"/>
        <v>0</v>
      </c>
      <c r="FO178" s="139">
        <f t="shared" si="201"/>
        <v>0</v>
      </c>
      <c r="FP178" s="139">
        <f t="shared" si="202"/>
        <v>0</v>
      </c>
      <c r="FQ178" s="139">
        <f t="shared" si="203"/>
        <v>0</v>
      </c>
      <c r="FR178" s="139">
        <f t="shared" si="204"/>
        <v>0</v>
      </c>
      <c r="FS178" s="139">
        <f t="shared" si="205"/>
        <v>0</v>
      </c>
      <c r="FT178" s="139">
        <f t="shared" si="206"/>
        <v>0</v>
      </c>
      <c r="FU178" s="148">
        <f t="shared" si="207"/>
        <v>2.2255564645651158</v>
      </c>
      <c r="FV178" s="149"/>
      <c r="FY178" s="212">
        <v>173</v>
      </c>
      <c r="FZ178">
        <v>0.44076968681257339</v>
      </c>
      <c r="GA178">
        <v>6.0968557724938108</v>
      </c>
      <c r="GB178">
        <v>6.1030150258786371</v>
      </c>
      <c r="GC178">
        <v>2.0069564922760952</v>
      </c>
      <c r="GD178">
        <v>0.70208859046149397</v>
      </c>
      <c r="GE178">
        <v>1.9920290445000712</v>
      </c>
      <c r="GF178">
        <v>4.1172912537308433</v>
      </c>
      <c r="GG178">
        <v>3.8373734392910102</v>
      </c>
      <c r="GH178">
        <v>3.4499355401898719</v>
      </c>
      <c r="GI178">
        <v>3.5404547869694918</v>
      </c>
      <c r="GJ178"/>
      <c r="GK178"/>
      <c r="GL178"/>
      <c r="GM178"/>
    </row>
    <row r="179" spans="1:195" s="7" customFormat="1">
      <c r="A179" s="1"/>
      <c r="B179" s="76">
        <f t="shared" ca="1" si="172"/>
        <v>0.69545543770332019</v>
      </c>
      <c r="C179">
        <v>9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17.06835922119852</v>
      </c>
      <c r="AO179">
        <v>8.7079781289057614</v>
      </c>
      <c r="AP179">
        <v>47.608157570298559</v>
      </c>
      <c r="AQ179">
        <v>48.311365562444507</v>
      </c>
      <c r="AR179">
        <v>8.0290417743464193</v>
      </c>
      <c r="AS179">
        <v>45.919307622149162</v>
      </c>
      <c r="AT179">
        <v>4.3767587805627413</v>
      </c>
      <c r="AU179">
        <v>19.701331798343048</v>
      </c>
      <c r="AV179"/>
      <c r="AW179"/>
      <c r="AX179" s="146"/>
      <c r="AY179" s="76">
        <f t="shared" ca="1" si="173"/>
        <v>0.6792737313256616</v>
      </c>
      <c r="AZ179">
        <v>2</v>
      </c>
      <c r="BA179" s="129">
        <f t="shared" ref="BA179:BA187" si="249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1</v>
      </c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8"/>
        <v>0.16759655722034306</v>
      </c>
      <c r="CL179" s="179">
        <f t="shared" si="209"/>
        <v>2</v>
      </c>
      <c r="CM179" s="180">
        <f t="shared" si="210"/>
        <v>39987</v>
      </c>
      <c r="CN179">
        <v>0</v>
      </c>
      <c r="CO179"/>
      <c r="CP179"/>
      <c r="CQ179"/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211"/>
        <v>9.6000000000000002E-2</v>
      </c>
      <c r="DB179" s="146"/>
      <c r="DC179" s="76">
        <f t="shared" ca="1" si="174"/>
        <v>0.80783903179466021</v>
      </c>
      <c r="DD179">
        <f t="shared" si="212"/>
        <v>2</v>
      </c>
      <c r="DE179" s="129">
        <f t="shared" si="248"/>
        <v>39987</v>
      </c>
      <c r="DF179" s="161">
        <f t="shared" si="213"/>
        <v>0</v>
      </c>
      <c r="DG179" s="161">
        <f t="shared" si="214"/>
        <v>0</v>
      </c>
      <c r="DH179" s="161">
        <f t="shared" si="215"/>
        <v>0</v>
      </c>
      <c r="DI179" s="161">
        <f t="shared" si="216"/>
        <v>0</v>
      </c>
      <c r="DJ179" s="161">
        <f t="shared" si="217"/>
        <v>10.416666666666666</v>
      </c>
      <c r="DK179" s="161">
        <f t="shared" si="218"/>
        <v>0</v>
      </c>
      <c r="DL179" s="161">
        <f t="shared" si="219"/>
        <v>0</v>
      </c>
      <c r="DM179" s="161">
        <f t="shared" si="220"/>
        <v>0</v>
      </c>
      <c r="DN179" s="161">
        <f t="shared" si="221"/>
        <v>0</v>
      </c>
      <c r="DO179" s="161">
        <f t="shared" si="222"/>
        <v>0</v>
      </c>
      <c r="DP179" s="161">
        <f t="shared" si="223"/>
        <v>0</v>
      </c>
      <c r="DQ179" s="161">
        <f t="shared" si="224"/>
        <v>0</v>
      </c>
      <c r="DR179" s="161">
        <f t="shared" si="225"/>
        <v>0</v>
      </c>
      <c r="DS179" s="161">
        <f t="shared" si="226"/>
        <v>0</v>
      </c>
      <c r="DT179" s="161">
        <f t="shared" si="227"/>
        <v>0</v>
      </c>
      <c r="DU179" s="161">
        <f t="shared" si="228"/>
        <v>0</v>
      </c>
      <c r="DV179" s="161">
        <f t="shared" si="229"/>
        <v>0</v>
      </c>
      <c r="DW179" s="161">
        <f t="shared" si="230"/>
        <v>0</v>
      </c>
      <c r="DX179" s="161">
        <f t="shared" si="231"/>
        <v>0</v>
      </c>
      <c r="DY179" s="161">
        <f t="shared" si="232"/>
        <v>0</v>
      </c>
      <c r="DZ179" s="161">
        <f t="shared" si="233"/>
        <v>0</v>
      </c>
      <c r="EA179" s="161">
        <f t="shared" si="234"/>
        <v>0</v>
      </c>
      <c r="EB179" s="161">
        <f t="shared" si="235"/>
        <v>0</v>
      </c>
      <c r="EC179" s="161">
        <f t="shared" si="236"/>
        <v>0</v>
      </c>
      <c r="ED179" s="161">
        <f t="shared" si="237"/>
        <v>0</v>
      </c>
      <c r="EE179" s="161">
        <f t="shared" si="238"/>
        <v>0</v>
      </c>
      <c r="EF179" s="161">
        <f t="shared" si="239"/>
        <v>0</v>
      </c>
      <c r="EG179" s="161">
        <f t="shared" si="240"/>
        <v>0</v>
      </c>
      <c r="EH179" s="161">
        <f t="shared" si="241"/>
        <v>0</v>
      </c>
      <c r="EI179" s="161">
        <f t="shared" si="242"/>
        <v>0</v>
      </c>
      <c r="EJ179" s="161">
        <f t="shared" si="243"/>
        <v>0</v>
      </c>
      <c r="EK179" s="147">
        <f t="shared" si="175"/>
        <v>10.416666666666666</v>
      </c>
      <c r="EL179" s="149"/>
      <c r="EN179" s="146"/>
      <c r="EO179" s="146"/>
      <c r="EP179" s="139">
        <f t="shared" si="176"/>
        <v>0</v>
      </c>
      <c r="EQ179" s="139">
        <f t="shared" si="177"/>
        <v>0</v>
      </c>
      <c r="ER179" s="139">
        <f t="shared" si="178"/>
        <v>0</v>
      </c>
      <c r="ES179" s="139">
        <f t="shared" si="179"/>
        <v>0</v>
      </c>
      <c r="ET179" s="139">
        <f t="shared" si="180"/>
        <v>2.2255564645651158</v>
      </c>
      <c r="EU179" s="139">
        <f t="shared" si="181"/>
        <v>0</v>
      </c>
      <c r="EV179" s="139">
        <f t="shared" si="182"/>
        <v>0</v>
      </c>
      <c r="EW179" s="139">
        <f t="shared" si="183"/>
        <v>0</v>
      </c>
      <c r="EX179" s="139">
        <f t="shared" si="184"/>
        <v>0</v>
      </c>
      <c r="EY179" s="139">
        <f t="shared" si="185"/>
        <v>0</v>
      </c>
      <c r="EZ179" s="139">
        <f t="shared" si="186"/>
        <v>0</v>
      </c>
      <c r="FA179" s="139">
        <f t="shared" si="187"/>
        <v>0</v>
      </c>
      <c r="FB179" s="139">
        <f t="shared" si="188"/>
        <v>0</v>
      </c>
      <c r="FC179" s="139">
        <f t="shared" si="189"/>
        <v>0</v>
      </c>
      <c r="FD179" s="139">
        <f t="shared" si="190"/>
        <v>0</v>
      </c>
      <c r="FE179" s="139">
        <f t="shared" si="191"/>
        <v>0</v>
      </c>
      <c r="FF179" s="139">
        <f t="shared" si="192"/>
        <v>0</v>
      </c>
      <c r="FG179" s="139">
        <f t="shared" si="193"/>
        <v>0</v>
      </c>
      <c r="FH179" s="139">
        <f t="shared" si="194"/>
        <v>0</v>
      </c>
      <c r="FI179" s="139">
        <f t="shared" si="195"/>
        <v>0</v>
      </c>
      <c r="FJ179" s="139">
        <f t="shared" si="196"/>
        <v>0</v>
      </c>
      <c r="FK179" s="139">
        <f t="shared" si="197"/>
        <v>0</v>
      </c>
      <c r="FL179" s="139">
        <f t="shared" si="198"/>
        <v>0</v>
      </c>
      <c r="FM179" s="139">
        <f t="shared" si="199"/>
        <v>0</v>
      </c>
      <c r="FN179" s="139">
        <f t="shared" si="200"/>
        <v>0</v>
      </c>
      <c r="FO179" s="139">
        <f t="shared" si="201"/>
        <v>0</v>
      </c>
      <c r="FP179" s="139">
        <f t="shared" si="202"/>
        <v>0</v>
      </c>
      <c r="FQ179" s="139">
        <f t="shared" si="203"/>
        <v>0</v>
      </c>
      <c r="FR179" s="139">
        <f t="shared" si="204"/>
        <v>0</v>
      </c>
      <c r="FS179" s="139">
        <f t="shared" si="205"/>
        <v>0</v>
      </c>
      <c r="FT179" s="139">
        <f t="shared" si="206"/>
        <v>0</v>
      </c>
      <c r="FU179" s="148">
        <f t="shared" si="207"/>
        <v>2.2255564645651158</v>
      </c>
      <c r="FV179" s="149"/>
      <c r="FY179" s="212">
        <v>174</v>
      </c>
      <c r="FZ179">
        <v>3.3457176519825857</v>
      </c>
      <c r="GA179">
        <v>7.0221464039726555</v>
      </c>
      <c r="GB179">
        <v>6.044561854163824</v>
      </c>
      <c r="GC179">
        <v>2.6571235251189496</v>
      </c>
      <c r="GD179">
        <v>0.65514298079293609</v>
      </c>
      <c r="GE179">
        <v>2.2711662075309098</v>
      </c>
      <c r="GF179">
        <v>8.902417813013674</v>
      </c>
      <c r="GG179">
        <v>7.8427557784694386</v>
      </c>
      <c r="GH179">
        <v>2.0698970823529588</v>
      </c>
      <c r="GI179">
        <v>5.058542141336142</v>
      </c>
      <c r="GJ179"/>
      <c r="GK179"/>
      <c r="GL179"/>
      <c r="GM179"/>
    </row>
    <row r="180" spans="1:195" s="7" customFormat="1">
      <c r="A180" s="1"/>
      <c r="B180" s="76">
        <f t="shared" ca="1" si="172"/>
        <v>0.5597846005767404</v>
      </c>
      <c r="C180">
        <v>6</v>
      </c>
      <c r="D180">
        <v>39987</v>
      </c>
      <c r="E180">
        <v>0</v>
      </c>
      <c r="F180">
        <v>0</v>
      </c>
      <c r="G180">
        <v>0</v>
      </c>
      <c r="H180">
        <v>10.416666666666666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21.574346405228756</v>
      </c>
      <c r="AO180">
        <v>9.2567905883781272</v>
      </c>
      <c r="AP180">
        <v>51.229716111986605</v>
      </c>
      <c r="AQ180">
        <v>42.455216293102595</v>
      </c>
      <c r="AR180">
        <v>8.5331201571280069</v>
      </c>
      <c r="AS180">
        <v>45.698837803754685</v>
      </c>
      <c r="AT180">
        <v>5.0719545593937907</v>
      </c>
      <c r="AU180">
        <v>43.056790450030618</v>
      </c>
      <c r="AV180"/>
      <c r="AW180"/>
      <c r="AX180" s="146"/>
      <c r="AY180" s="76">
        <f t="shared" ca="1" si="173"/>
        <v>0.2554183032335211</v>
      </c>
      <c r="AZ180">
        <v>3</v>
      </c>
      <c r="BA180" s="129">
        <f t="shared" si="249"/>
        <v>39987</v>
      </c>
      <c r="BB180">
        <v>0</v>
      </c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8"/>
        <v>0.42232203159793436</v>
      </c>
      <c r="CL180" s="179">
        <f t="shared" si="209"/>
        <v>3</v>
      </c>
      <c r="CM180" s="180">
        <f t="shared" si="210"/>
        <v>39987</v>
      </c>
      <c r="CN180">
        <v>0</v>
      </c>
      <c r="CO180"/>
      <c r="CP180"/>
      <c r="CQ180"/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211"/>
        <v>9.6000000000000002E-2</v>
      </c>
      <c r="DB180" s="146"/>
      <c r="DC180" s="76">
        <f t="shared" ca="1" si="174"/>
        <v>0.46827130863007715</v>
      </c>
      <c r="DD180">
        <f t="shared" si="212"/>
        <v>3</v>
      </c>
      <c r="DE180" s="129">
        <f t="shared" si="248"/>
        <v>39987</v>
      </c>
      <c r="DF180" s="161">
        <f t="shared" si="213"/>
        <v>0</v>
      </c>
      <c r="DG180" s="161">
        <f t="shared" si="214"/>
        <v>0</v>
      </c>
      <c r="DH180" s="161">
        <f t="shared" si="215"/>
        <v>0</v>
      </c>
      <c r="DI180" s="161">
        <f t="shared" si="216"/>
        <v>0</v>
      </c>
      <c r="DJ180" s="161">
        <f t="shared" si="217"/>
        <v>0</v>
      </c>
      <c r="DK180" s="161">
        <f t="shared" si="218"/>
        <v>0</v>
      </c>
      <c r="DL180" s="161">
        <f t="shared" si="219"/>
        <v>0</v>
      </c>
      <c r="DM180" s="161">
        <f t="shared" si="220"/>
        <v>0</v>
      </c>
      <c r="DN180" s="161">
        <f t="shared" si="221"/>
        <v>0</v>
      </c>
      <c r="DO180" s="161">
        <f t="shared" si="222"/>
        <v>0</v>
      </c>
      <c r="DP180" s="161">
        <f t="shared" si="223"/>
        <v>0</v>
      </c>
      <c r="DQ180" s="161">
        <f t="shared" si="224"/>
        <v>0</v>
      </c>
      <c r="DR180" s="161">
        <f t="shared" si="225"/>
        <v>0</v>
      </c>
      <c r="DS180" s="161">
        <f t="shared" si="226"/>
        <v>0</v>
      </c>
      <c r="DT180" s="161">
        <f t="shared" si="227"/>
        <v>0</v>
      </c>
      <c r="DU180" s="161">
        <f t="shared" si="228"/>
        <v>0</v>
      </c>
      <c r="DV180" s="161">
        <f t="shared" si="229"/>
        <v>0</v>
      </c>
      <c r="DW180" s="161">
        <f t="shared" si="230"/>
        <v>0</v>
      </c>
      <c r="DX180" s="161">
        <f t="shared" si="231"/>
        <v>0</v>
      </c>
      <c r="DY180" s="161">
        <f t="shared" si="232"/>
        <v>0</v>
      </c>
      <c r="DZ180" s="161">
        <f t="shared" si="233"/>
        <v>0</v>
      </c>
      <c r="EA180" s="161">
        <f t="shared" si="234"/>
        <v>0</v>
      </c>
      <c r="EB180" s="161">
        <f t="shared" si="235"/>
        <v>0</v>
      </c>
      <c r="EC180" s="161">
        <f t="shared" si="236"/>
        <v>0</v>
      </c>
      <c r="ED180" s="161">
        <f t="shared" si="237"/>
        <v>0</v>
      </c>
      <c r="EE180" s="161">
        <f t="shared" si="238"/>
        <v>0</v>
      </c>
      <c r="EF180" s="161">
        <f t="shared" si="239"/>
        <v>0</v>
      </c>
      <c r="EG180" s="161">
        <f t="shared" si="240"/>
        <v>0</v>
      </c>
      <c r="EH180" s="161">
        <f t="shared" si="241"/>
        <v>0</v>
      </c>
      <c r="EI180" s="161">
        <f t="shared" si="242"/>
        <v>0</v>
      </c>
      <c r="EJ180" s="161">
        <f t="shared" si="243"/>
        <v>0</v>
      </c>
      <c r="EK180" s="147">
        <f t="shared" si="175"/>
        <v>0</v>
      </c>
      <c r="EL180" s="149"/>
      <c r="EN180" s="146"/>
      <c r="EO180" s="146"/>
      <c r="EP180" s="139">
        <f t="shared" si="176"/>
        <v>0</v>
      </c>
      <c r="EQ180" s="139">
        <f t="shared" si="177"/>
        <v>0</v>
      </c>
      <c r="ER180" s="139">
        <f t="shared" si="178"/>
        <v>0</v>
      </c>
      <c r="ES180" s="139">
        <f t="shared" si="179"/>
        <v>0</v>
      </c>
      <c r="ET180" s="139">
        <f t="shared" si="180"/>
        <v>0</v>
      </c>
      <c r="EU180" s="139">
        <f t="shared" si="181"/>
        <v>0</v>
      </c>
      <c r="EV180" s="139">
        <f t="shared" si="182"/>
        <v>0</v>
      </c>
      <c r="EW180" s="139">
        <f t="shared" si="183"/>
        <v>0</v>
      </c>
      <c r="EX180" s="139">
        <f t="shared" si="184"/>
        <v>0</v>
      </c>
      <c r="EY180" s="139">
        <f t="shared" si="185"/>
        <v>0</v>
      </c>
      <c r="EZ180" s="139">
        <f t="shared" si="186"/>
        <v>0</v>
      </c>
      <c r="FA180" s="139">
        <f t="shared" si="187"/>
        <v>0</v>
      </c>
      <c r="FB180" s="139">
        <f t="shared" si="188"/>
        <v>0</v>
      </c>
      <c r="FC180" s="139">
        <f t="shared" si="189"/>
        <v>0</v>
      </c>
      <c r="FD180" s="139">
        <f t="shared" si="190"/>
        <v>0</v>
      </c>
      <c r="FE180" s="139">
        <f t="shared" si="191"/>
        <v>0</v>
      </c>
      <c r="FF180" s="139">
        <f t="shared" si="192"/>
        <v>0</v>
      </c>
      <c r="FG180" s="139">
        <f t="shared" si="193"/>
        <v>0</v>
      </c>
      <c r="FH180" s="139">
        <f t="shared" si="194"/>
        <v>0</v>
      </c>
      <c r="FI180" s="139">
        <f t="shared" si="195"/>
        <v>0</v>
      </c>
      <c r="FJ180" s="139">
        <f t="shared" si="196"/>
        <v>0</v>
      </c>
      <c r="FK180" s="139">
        <f t="shared" si="197"/>
        <v>0</v>
      </c>
      <c r="FL180" s="139">
        <f t="shared" si="198"/>
        <v>0</v>
      </c>
      <c r="FM180" s="139">
        <f t="shared" si="199"/>
        <v>0</v>
      </c>
      <c r="FN180" s="139">
        <f t="shared" si="200"/>
        <v>0</v>
      </c>
      <c r="FO180" s="139">
        <f t="shared" si="201"/>
        <v>0</v>
      </c>
      <c r="FP180" s="139">
        <f t="shared" si="202"/>
        <v>0</v>
      </c>
      <c r="FQ180" s="139">
        <f t="shared" si="203"/>
        <v>0</v>
      </c>
      <c r="FR180" s="139">
        <f t="shared" si="204"/>
        <v>0</v>
      </c>
      <c r="FS180" s="139">
        <f t="shared" si="205"/>
        <v>0</v>
      </c>
      <c r="FT180" s="139">
        <f t="shared" si="206"/>
        <v>0</v>
      </c>
      <c r="FU180" s="148">
        <f t="shared" si="207"/>
        <v>0</v>
      </c>
      <c r="FV180" s="149"/>
      <c r="FY180" s="212">
        <v>175</v>
      </c>
      <c r="FZ180">
        <v>0.11277715076296616</v>
      </c>
      <c r="GA180">
        <v>7.1003558025815066</v>
      </c>
      <c r="GB180">
        <v>7.250630625717756</v>
      </c>
      <c r="GC180">
        <v>2.5724198760062178</v>
      </c>
      <c r="GD180">
        <v>1.0292246143388848</v>
      </c>
      <c r="GE180">
        <v>3.9059524785057649</v>
      </c>
      <c r="GF180">
        <v>8.3706379223774121</v>
      </c>
      <c r="GG180">
        <v>5.6835236283411916</v>
      </c>
      <c r="GH180">
        <v>3.4756540192861518</v>
      </c>
      <c r="GI180">
        <v>5.1678398100154972</v>
      </c>
      <c r="GJ180"/>
      <c r="GK180"/>
      <c r="GL180"/>
      <c r="GM180"/>
    </row>
    <row r="181" spans="1:195" s="7" customFormat="1">
      <c r="A181" s="1"/>
      <c r="B181" s="76">
        <f t="shared" ca="1" si="172"/>
        <v>0.91091216686002152</v>
      </c>
      <c r="C181">
        <v>7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22.610906862745097</v>
      </c>
      <c r="AO181">
        <v>13.066562995416154</v>
      </c>
      <c r="AP181">
        <v>116.28252275796817</v>
      </c>
      <c r="AQ181">
        <v>74.050687315446154</v>
      </c>
      <c r="AR181">
        <v>11.960361325962097</v>
      </c>
      <c r="AS181">
        <v>59.994194084344976</v>
      </c>
      <c r="AT181">
        <v>5.9133957295710688</v>
      </c>
      <c r="AU181">
        <v>60.66189082157566</v>
      </c>
      <c r="AV181"/>
      <c r="AW181"/>
      <c r="AX181" s="146"/>
      <c r="AY181" s="76">
        <f t="shared" ca="1" si="173"/>
        <v>0.17959415621450781</v>
      </c>
      <c r="AZ181">
        <v>4</v>
      </c>
      <c r="BA181" s="129">
        <f t="shared" si="249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1</v>
      </c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8"/>
        <v>0.78204337125567891</v>
      </c>
      <c r="CL181" s="179">
        <f t="shared" si="209"/>
        <v>4</v>
      </c>
      <c r="CM181" s="180">
        <f t="shared" si="210"/>
        <v>39987</v>
      </c>
      <c r="CN181">
        <v>0</v>
      </c>
      <c r="CO181"/>
      <c r="CP181"/>
      <c r="CQ181"/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211"/>
        <v>9.6000000000000002E-2</v>
      </c>
      <c r="DB181" s="146"/>
      <c r="DC181" s="76">
        <f t="shared" ca="1" si="174"/>
        <v>7.3460935139022965E-2</v>
      </c>
      <c r="DD181">
        <f t="shared" si="212"/>
        <v>4</v>
      </c>
      <c r="DE181" s="129">
        <f t="shared" si="248"/>
        <v>39987</v>
      </c>
      <c r="DF181" s="161">
        <f t="shared" si="213"/>
        <v>0</v>
      </c>
      <c r="DG181" s="161">
        <f t="shared" si="214"/>
        <v>0</v>
      </c>
      <c r="DH181" s="161">
        <f t="shared" si="215"/>
        <v>0</v>
      </c>
      <c r="DI181" s="161">
        <f t="shared" si="216"/>
        <v>0</v>
      </c>
      <c r="DJ181" s="161">
        <f t="shared" si="217"/>
        <v>0</v>
      </c>
      <c r="DK181" s="161">
        <f t="shared" si="218"/>
        <v>10.416666666666666</v>
      </c>
      <c r="DL181" s="161">
        <f t="shared" si="219"/>
        <v>0</v>
      </c>
      <c r="DM181" s="161">
        <f t="shared" si="220"/>
        <v>0</v>
      </c>
      <c r="DN181" s="161">
        <f t="shared" si="221"/>
        <v>0</v>
      </c>
      <c r="DO181" s="161">
        <f t="shared" si="222"/>
        <v>0</v>
      </c>
      <c r="DP181" s="161">
        <f t="shared" si="223"/>
        <v>0</v>
      </c>
      <c r="DQ181" s="161">
        <f t="shared" si="224"/>
        <v>0</v>
      </c>
      <c r="DR181" s="161">
        <f t="shared" si="225"/>
        <v>0</v>
      </c>
      <c r="DS181" s="161">
        <f t="shared" si="226"/>
        <v>0</v>
      </c>
      <c r="DT181" s="161">
        <f t="shared" si="227"/>
        <v>0</v>
      </c>
      <c r="DU181" s="161">
        <f t="shared" si="228"/>
        <v>0</v>
      </c>
      <c r="DV181" s="161">
        <f t="shared" si="229"/>
        <v>0</v>
      </c>
      <c r="DW181" s="161">
        <f t="shared" si="230"/>
        <v>0</v>
      </c>
      <c r="DX181" s="161">
        <f t="shared" si="231"/>
        <v>0</v>
      </c>
      <c r="DY181" s="161">
        <f t="shared" si="232"/>
        <v>0</v>
      </c>
      <c r="DZ181" s="161">
        <f t="shared" si="233"/>
        <v>0</v>
      </c>
      <c r="EA181" s="161">
        <f t="shared" si="234"/>
        <v>0</v>
      </c>
      <c r="EB181" s="161">
        <f t="shared" si="235"/>
        <v>0</v>
      </c>
      <c r="EC181" s="161">
        <f t="shared" si="236"/>
        <v>0</v>
      </c>
      <c r="ED181" s="161">
        <f t="shared" si="237"/>
        <v>0</v>
      </c>
      <c r="EE181" s="161">
        <f t="shared" si="238"/>
        <v>0</v>
      </c>
      <c r="EF181" s="161">
        <f t="shared" si="239"/>
        <v>0</v>
      </c>
      <c r="EG181" s="161">
        <f t="shared" si="240"/>
        <v>0</v>
      </c>
      <c r="EH181" s="161">
        <f t="shared" si="241"/>
        <v>0</v>
      </c>
      <c r="EI181" s="161">
        <f t="shared" si="242"/>
        <v>0</v>
      </c>
      <c r="EJ181" s="161">
        <f t="shared" si="243"/>
        <v>0</v>
      </c>
      <c r="EK181" s="147">
        <f t="shared" si="175"/>
        <v>10.416666666666666</v>
      </c>
      <c r="EL181" s="149"/>
      <c r="EN181" s="146"/>
      <c r="EO181" s="146"/>
      <c r="EP181" s="139">
        <f t="shared" si="176"/>
        <v>0</v>
      </c>
      <c r="EQ181" s="139">
        <f t="shared" si="177"/>
        <v>0</v>
      </c>
      <c r="ER181" s="139">
        <f t="shared" si="178"/>
        <v>0</v>
      </c>
      <c r="ES181" s="139">
        <f t="shared" si="179"/>
        <v>0</v>
      </c>
      <c r="ET181" s="139">
        <f t="shared" si="180"/>
        <v>0</v>
      </c>
      <c r="EU181" s="139">
        <f t="shared" si="181"/>
        <v>4.8166740960912398</v>
      </c>
      <c r="EV181" s="139">
        <f t="shared" si="182"/>
        <v>0</v>
      </c>
      <c r="EW181" s="139">
        <f t="shared" si="183"/>
        <v>0</v>
      </c>
      <c r="EX181" s="139">
        <f t="shared" si="184"/>
        <v>0</v>
      </c>
      <c r="EY181" s="139">
        <f t="shared" si="185"/>
        <v>0</v>
      </c>
      <c r="EZ181" s="139">
        <f t="shared" si="186"/>
        <v>0</v>
      </c>
      <c r="FA181" s="139">
        <f t="shared" si="187"/>
        <v>0</v>
      </c>
      <c r="FB181" s="139">
        <f t="shared" si="188"/>
        <v>0</v>
      </c>
      <c r="FC181" s="139">
        <f t="shared" si="189"/>
        <v>0</v>
      </c>
      <c r="FD181" s="139">
        <f t="shared" si="190"/>
        <v>0</v>
      </c>
      <c r="FE181" s="139">
        <f t="shared" si="191"/>
        <v>0</v>
      </c>
      <c r="FF181" s="139">
        <f t="shared" si="192"/>
        <v>0</v>
      </c>
      <c r="FG181" s="139">
        <f t="shared" si="193"/>
        <v>0</v>
      </c>
      <c r="FH181" s="139">
        <f t="shared" si="194"/>
        <v>0</v>
      </c>
      <c r="FI181" s="139">
        <f t="shared" si="195"/>
        <v>0</v>
      </c>
      <c r="FJ181" s="139">
        <f t="shared" si="196"/>
        <v>0</v>
      </c>
      <c r="FK181" s="139">
        <f t="shared" si="197"/>
        <v>0</v>
      </c>
      <c r="FL181" s="139">
        <f t="shared" si="198"/>
        <v>0</v>
      </c>
      <c r="FM181" s="139">
        <f t="shared" si="199"/>
        <v>0</v>
      </c>
      <c r="FN181" s="139">
        <f t="shared" si="200"/>
        <v>0</v>
      </c>
      <c r="FO181" s="139">
        <f t="shared" si="201"/>
        <v>0</v>
      </c>
      <c r="FP181" s="139">
        <f t="shared" si="202"/>
        <v>0</v>
      </c>
      <c r="FQ181" s="139">
        <f t="shared" si="203"/>
        <v>0</v>
      </c>
      <c r="FR181" s="139">
        <f t="shared" si="204"/>
        <v>0</v>
      </c>
      <c r="FS181" s="139">
        <f t="shared" si="205"/>
        <v>0</v>
      </c>
      <c r="FT181" s="139">
        <f t="shared" si="206"/>
        <v>0</v>
      </c>
      <c r="FU181" s="148">
        <f t="shared" si="207"/>
        <v>4.8166740960912398</v>
      </c>
      <c r="FV181" s="149"/>
      <c r="FY181" s="212">
        <v>176</v>
      </c>
      <c r="FZ181">
        <v>0.30768955448275442</v>
      </c>
      <c r="GA181">
        <v>4.4979419974341184</v>
      </c>
      <c r="GB181">
        <v>7.5274343405710127</v>
      </c>
      <c r="GC181">
        <v>3.3698650989408669</v>
      </c>
      <c r="GD181">
        <v>1.8240398689871173</v>
      </c>
      <c r="GE181">
        <v>5.9638073454019027</v>
      </c>
      <c r="GF181">
        <v>11.241554686189538</v>
      </c>
      <c r="GG181">
        <v>7.7171399377949115</v>
      </c>
      <c r="GH181">
        <v>2.8682950363074227</v>
      </c>
      <c r="GI181">
        <v>6.4760214776630338</v>
      </c>
      <c r="GJ181"/>
      <c r="GK181"/>
      <c r="GL181"/>
      <c r="GM181"/>
    </row>
    <row r="182" spans="1:195" s="7" customFormat="1">
      <c r="A182" s="1"/>
      <c r="B182" s="76">
        <f t="shared" ca="1" si="172"/>
        <v>0.27910506969116877</v>
      </c>
      <c r="C182">
        <v>3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19.16394745649264</v>
      </c>
      <c r="AO182">
        <v>12.300983804060884</v>
      </c>
      <c r="AP182">
        <v>65.79229024798795</v>
      </c>
      <c r="AQ182">
        <v>67.505133776418504</v>
      </c>
      <c r="AR182">
        <v>11.425092549359741</v>
      </c>
      <c r="AS182">
        <v>65.862933019633871</v>
      </c>
      <c r="AT182">
        <v>6.2416743395885774</v>
      </c>
      <c r="AU182">
        <v>1.3704992132592169</v>
      </c>
      <c r="AV182"/>
      <c r="AW182"/>
      <c r="AX182" s="146"/>
      <c r="AY182" s="76">
        <f t="shared" ca="1" si="173"/>
        <v>1.7515678242032928E-2</v>
      </c>
      <c r="AZ182">
        <v>5</v>
      </c>
      <c r="BA182" s="129">
        <f t="shared" si="249"/>
        <v>39987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1</v>
      </c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8"/>
        <v>0.13880840133023042</v>
      </c>
      <c r="CL182" s="179">
        <f t="shared" si="209"/>
        <v>5</v>
      </c>
      <c r="CM182" s="180">
        <f t="shared" si="210"/>
        <v>39987</v>
      </c>
      <c r="CN182">
        <v>0</v>
      </c>
      <c r="CO182"/>
      <c r="CP182"/>
      <c r="CQ182"/>
      <c r="CR182"/>
      <c r="CS182"/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211"/>
        <v>9.6000000000000002E-2</v>
      </c>
      <c r="DB182" s="146"/>
      <c r="DC182" s="76">
        <f t="shared" ca="1" si="174"/>
        <v>0.12805970038202164</v>
      </c>
      <c r="DD182">
        <f t="shared" si="212"/>
        <v>5</v>
      </c>
      <c r="DE182" s="129">
        <f t="shared" si="248"/>
        <v>39987</v>
      </c>
      <c r="DF182" s="161">
        <f t="shared" si="213"/>
        <v>0</v>
      </c>
      <c r="DG182" s="161">
        <f t="shared" si="214"/>
        <v>0</v>
      </c>
      <c r="DH182" s="161">
        <f t="shared" si="215"/>
        <v>0</v>
      </c>
      <c r="DI182" s="161">
        <f t="shared" si="216"/>
        <v>0</v>
      </c>
      <c r="DJ182" s="161">
        <f t="shared" si="217"/>
        <v>0</v>
      </c>
      <c r="DK182" s="161">
        <f t="shared" si="218"/>
        <v>0</v>
      </c>
      <c r="DL182" s="161">
        <f t="shared" si="219"/>
        <v>10.416666666666666</v>
      </c>
      <c r="DM182" s="161">
        <f t="shared" si="220"/>
        <v>0</v>
      </c>
      <c r="DN182" s="161">
        <f t="shared" si="221"/>
        <v>0</v>
      </c>
      <c r="DO182" s="161">
        <f t="shared" si="222"/>
        <v>0</v>
      </c>
      <c r="DP182" s="161">
        <f t="shared" si="223"/>
        <v>0</v>
      </c>
      <c r="DQ182" s="161">
        <f t="shared" si="224"/>
        <v>0</v>
      </c>
      <c r="DR182" s="161">
        <f t="shared" si="225"/>
        <v>0</v>
      </c>
      <c r="DS182" s="161">
        <f t="shared" si="226"/>
        <v>0</v>
      </c>
      <c r="DT182" s="161">
        <f t="shared" si="227"/>
        <v>0</v>
      </c>
      <c r="DU182" s="161">
        <f t="shared" si="228"/>
        <v>0</v>
      </c>
      <c r="DV182" s="161">
        <f t="shared" si="229"/>
        <v>0</v>
      </c>
      <c r="DW182" s="161">
        <f t="shared" si="230"/>
        <v>0</v>
      </c>
      <c r="DX182" s="161">
        <f t="shared" si="231"/>
        <v>0</v>
      </c>
      <c r="DY182" s="161">
        <f t="shared" si="232"/>
        <v>0</v>
      </c>
      <c r="DZ182" s="161">
        <f t="shared" si="233"/>
        <v>0</v>
      </c>
      <c r="EA182" s="161">
        <f t="shared" si="234"/>
        <v>0</v>
      </c>
      <c r="EB182" s="161">
        <f t="shared" si="235"/>
        <v>0</v>
      </c>
      <c r="EC182" s="161">
        <f t="shared" si="236"/>
        <v>0</v>
      </c>
      <c r="ED182" s="161">
        <f t="shared" si="237"/>
        <v>0</v>
      </c>
      <c r="EE182" s="161">
        <f t="shared" si="238"/>
        <v>0</v>
      </c>
      <c r="EF182" s="161">
        <f t="shared" si="239"/>
        <v>0</v>
      </c>
      <c r="EG182" s="161">
        <f t="shared" si="240"/>
        <v>0</v>
      </c>
      <c r="EH182" s="161">
        <f t="shared" si="241"/>
        <v>0</v>
      </c>
      <c r="EI182" s="161">
        <f t="shared" si="242"/>
        <v>0</v>
      </c>
      <c r="EJ182" s="161">
        <f t="shared" si="243"/>
        <v>0</v>
      </c>
      <c r="EK182" s="147">
        <f t="shared" si="175"/>
        <v>10.416666666666666</v>
      </c>
      <c r="EL182" s="149"/>
      <c r="EN182" s="146"/>
      <c r="EO182" s="146"/>
      <c r="EP182" s="139">
        <f t="shared" si="176"/>
        <v>0</v>
      </c>
      <c r="EQ182" s="139">
        <f t="shared" si="177"/>
        <v>0</v>
      </c>
      <c r="ER182" s="139">
        <f t="shared" si="178"/>
        <v>0</v>
      </c>
      <c r="ES182" s="139">
        <f t="shared" si="179"/>
        <v>0</v>
      </c>
      <c r="ET182" s="139">
        <f t="shared" si="180"/>
        <v>0</v>
      </c>
      <c r="EU182" s="139">
        <f t="shared" si="181"/>
        <v>0</v>
      </c>
      <c r="EV182" s="139">
        <f t="shared" si="182"/>
        <v>9.0513711528458085</v>
      </c>
      <c r="EW182" s="139">
        <f t="shared" si="183"/>
        <v>0</v>
      </c>
      <c r="EX182" s="139">
        <f t="shared" si="184"/>
        <v>0</v>
      </c>
      <c r="EY182" s="139">
        <f t="shared" si="185"/>
        <v>0</v>
      </c>
      <c r="EZ182" s="139">
        <f t="shared" si="186"/>
        <v>0</v>
      </c>
      <c r="FA182" s="139">
        <f t="shared" si="187"/>
        <v>0</v>
      </c>
      <c r="FB182" s="139">
        <f t="shared" si="188"/>
        <v>0</v>
      </c>
      <c r="FC182" s="139">
        <f t="shared" si="189"/>
        <v>0</v>
      </c>
      <c r="FD182" s="139">
        <f t="shared" si="190"/>
        <v>0</v>
      </c>
      <c r="FE182" s="139">
        <f t="shared" si="191"/>
        <v>0</v>
      </c>
      <c r="FF182" s="139">
        <f t="shared" si="192"/>
        <v>0</v>
      </c>
      <c r="FG182" s="139">
        <f t="shared" si="193"/>
        <v>0</v>
      </c>
      <c r="FH182" s="139">
        <f t="shared" si="194"/>
        <v>0</v>
      </c>
      <c r="FI182" s="139">
        <f t="shared" si="195"/>
        <v>0</v>
      </c>
      <c r="FJ182" s="139">
        <f t="shared" si="196"/>
        <v>0</v>
      </c>
      <c r="FK182" s="139">
        <f t="shared" si="197"/>
        <v>0</v>
      </c>
      <c r="FL182" s="139">
        <f t="shared" si="198"/>
        <v>0</v>
      </c>
      <c r="FM182" s="139">
        <f t="shared" si="199"/>
        <v>0</v>
      </c>
      <c r="FN182" s="139">
        <f t="shared" si="200"/>
        <v>0</v>
      </c>
      <c r="FO182" s="139">
        <f t="shared" si="201"/>
        <v>0</v>
      </c>
      <c r="FP182" s="139">
        <f t="shared" si="202"/>
        <v>0</v>
      </c>
      <c r="FQ182" s="139">
        <f t="shared" si="203"/>
        <v>0</v>
      </c>
      <c r="FR182" s="139">
        <f t="shared" si="204"/>
        <v>0</v>
      </c>
      <c r="FS182" s="139">
        <f t="shared" si="205"/>
        <v>0</v>
      </c>
      <c r="FT182" s="139">
        <f t="shared" si="206"/>
        <v>0</v>
      </c>
      <c r="FU182" s="148">
        <f t="shared" si="207"/>
        <v>9.0513711528458085</v>
      </c>
      <c r="FV182" s="149"/>
      <c r="FY182" s="212">
        <v>177</v>
      </c>
      <c r="FZ182">
        <v>3.3964751058997171</v>
      </c>
      <c r="GA182">
        <v>7.3667634126636479</v>
      </c>
      <c r="GB182">
        <v>4.7194053059251688</v>
      </c>
      <c r="GC182">
        <v>1.9767630243288323</v>
      </c>
      <c r="GD182">
        <v>0.75950432976111015</v>
      </c>
      <c r="GE182">
        <v>3.4678518463146766</v>
      </c>
      <c r="GF182">
        <v>8.7788693975130716</v>
      </c>
      <c r="GG182">
        <v>5.8152119376125979</v>
      </c>
      <c r="GH182">
        <v>1.6027418844958758</v>
      </c>
      <c r="GI182">
        <v>4.4856478342206909</v>
      </c>
      <c r="GJ182"/>
      <c r="GK182"/>
      <c r="GL182"/>
      <c r="GM182"/>
    </row>
    <row r="183" spans="1:195" s="7" customFormat="1">
      <c r="A183" s="1"/>
      <c r="B183" s="76">
        <f t="shared" ca="1" si="172"/>
        <v>0.50199251448837945</v>
      </c>
      <c r="C183">
        <v>2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10.416666666666666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19.795687652571068</v>
      </c>
      <c r="AO183">
        <v>7.9899359715639449</v>
      </c>
      <c r="AP183">
        <v>50.31490491404309</v>
      </c>
      <c r="AQ183">
        <v>39.167048084432167</v>
      </c>
      <c r="AR183">
        <v>7.3350103685912567</v>
      </c>
      <c r="AS183">
        <v>41.736886957608505</v>
      </c>
      <c r="AT183">
        <v>4.2376915096011434</v>
      </c>
      <c r="AU183">
        <v>38.575466771712243</v>
      </c>
      <c r="AV183"/>
      <c r="AW183"/>
      <c r="AX183" s="146"/>
      <c r="AY183" s="76">
        <f t="shared" ca="1" si="173"/>
        <v>0.75339137821425739</v>
      </c>
      <c r="AZ183">
        <v>6</v>
      </c>
      <c r="BA183" s="129">
        <f t="shared" si="249"/>
        <v>39987</v>
      </c>
      <c r="BB183">
        <v>0</v>
      </c>
      <c r="BC183">
        <v>0</v>
      </c>
      <c r="BD183">
        <v>0</v>
      </c>
      <c r="BE183">
        <v>1</v>
      </c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8"/>
        <v>0.48677297746524895</v>
      </c>
      <c r="CL183" s="179">
        <f t="shared" si="209"/>
        <v>6</v>
      </c>
      <c r="CM183" s="180">
        <f t="shared" si="210"/>
        <v>39987</v>
      </c>
      <c r="CN183">
        <v>0</v>
      </c>
      <c r="CO183"/>
      <c r="CP183"/>
      <c r="CQ183"/>
      <c r="CR183"/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211"/>
        <v>9.6000000000000002E-2</v>
      </c>
      <c r="DB183" s="146"/>
      <c r="DC183" s="76">
        <f t="shared" ca="1" si="174"/>
        <v>0.81016152799560559</v>
      </c>
      <c r="DD183">
        <f t="shared" si="212"/>
        <v>6</v>
      </c>
      <c r="DE183" s="129">
        <f t="shared" si="248"/>
        <v>39987</v>
      </c>
      <c r="DF183" s="161">
        <f t="shared" si="213"/>
        <v>0</v>
      </c>
      <c r="DG183" s="161">
        <f t="shared" si="214"/>
        <v>0</v>
      </c>
      <c r="DH183" s="161">
        <f t="shared" si="215"/>
        <v>0</v>
      </c>
      <c r="DI183" s="161">
        <f t="shared" si="216"/>
        <v>10.416666666666666</v>
      </c>
      <c r="DJ183" s="161">
        <f t="shared" si="217"/>
        <v>0</v>
      </c>
      <c r="DK183" s="161">
        <f t="shared" si="218"/>
        <v>0</v>
      </c>
      <c r="DL183" s="161">
        <f t="shared" si="219"/>
        <v>0</v>
      </c>
      <c r="DM183" s="161">
        <f t="shared" si="220"/>
        <v>0</v>
      </c>
      <c r="DN183" s="161">
        <f t="shared" si="221"/>
        <v>0</v>
      </c>
      <c r="DO183" s="161">
        <f t="shared" si="222"/>
        <v>0</v>
      </c>
      <c r="DP183" s="161">
        <f t="shared" si="223"/>
        <v>0</v>
      </c>
      <c r="DQ183" s="161">
        <f t="shared" si="224"/>
        <v>0</v>
      </c>
      <c r="DR183" s="161">
        <f t="shared" si="225"/>
        <v>0</v>
      </c>
      <c r="DS183" s="161">
        <f t="shared" si="226"/>
        <v>0</v>
      </c>
      <c r="DT183" s="161">
        <f t="shared" si="227"/>
        <v>0</v>
      </c>
      <c r="DU183" s="161">
        <f t="shared" si="228"/>
        <v>0</v>
      </c>
      <c r="DV183" s="161">
        <f t="shared" si="229"/>
        <v>0</v>
      </c>
      <c r="DW183" s="161">
        <f t="shared" si="230"/>
        <v>0</v>
      </c>
      <c r="DX183" s="161">
        <f t="shared" si="231"/>
        <v>0</v>
      </c>
      <c r="DY183" s="161">
        <f t="shared" si="232"/>
        <v>0</v>
      </c>
      <c r="DZ183" s="161">
        <f t="shared" si="233"/>
        <v>0</v>
      </c>
      <c r="EA183" s="161">
        <f t="shared" si="234"/>
        <v>0</v>
      </c>
      <c r="EB183" s="161">
        <f t="shared" si="235"/>
        <v>0</v>
      </c>
      <c r="EC183" s="161">
        <f t="shared" si="236"/>
        <v>0</v>
      </c>
      <c r="ED183" s="161">
        <f t="shared" si="237"/>
        <v>0</v>
      </c>
      <c r="EE183" s="161">
        <f t="shared" si="238"/>
        <v>0</v>
      </c>
      <c r="EF183" s="161">
        <f t="shared" si="239"/>
        <v>0</v>
      </c>
      <c r="EG183" s="161">
        <f t="shared" si="240"/>
        <v>0</v>
      </c>
      <c r="EH183" s="161">
        <f t="shared" si="241"/>
        <v>0</v>
      </c>
      <c r="EI183" s="161">
        <f t="shared" si="242"/>
        <v>0</v>
      </c>
      <c r="EJ183" s="161">
        <f t="shared" si="243"/>
        <v>0</v>
      </c>
      <c r="EK183" s="147">
        <f t="shared" si="175"/>
        <v>10.416666666666666</v>
      </c>
      <c r="EL183" s="149"/>
      <c r="EN183" s="146"/>
      <c r="EO183" s="146"/>
      <c r="EP183" s="139">
        <f t="shared" si="176"/>
        <v>0</v>
      </c>
      <c r="EQ183" s="139">
        <f t="shared" si="177"/>
        <v>0</v>
      </c>
      <c r="ER183" s="139">
        <f t="shared" si="178"/>
        <v>0</v>
      </c>
      <c r="ES183" s="139">
        <f t="shared" si="179"/>
        <v>0.82252780626897948</v>
      </c>
      <c r="ET183" s="139">
        <f t="shared" si="180"/>
        <v>0</v>
      </c>
      <c r="EU183" s="139">
        <f t="shared" si="181"/>
        <v>0</v>
      </c>
      <c r="EV183" s="139">
        <f t="shared" si="182"/>
        <v>0</v>
      </c>
      <c r="EW183" s="139">
        <f t="shared" si="183"/>
        <v>0</v>
      </c>
      <c r="EX183" s="139">
        <f t="shared" si="184"/>
        <v>0</v>
      </c>
      <c r="EY183" s="139">
        <f t="shared" si="185"/>
        <v>0</v>
      </c>
      <c r="EZ183" s="139">
        <f t="shared" si="186"/>
        <v>0</v>
      </c>
      <c r="FA183" s="139">
        <f t="shared" si="187"/>
        <v>0</v>
      </c>
      <c r="FB183" s="139">
        <f t="shared" si="188"/>
        <v>0</v>
      </c>
      <c r="FC183" s="139">
        <f t="shared" si="189"/>
        <v>0</v>
      </c>
      <c r="FD183" s="139">
        <f t="shared" si="190"/>
        <v>0</v>
      </c>
      <c r="FE183" s="139">
        <f t="shared" si="191"/>
        <v>0</v>
      </c>
      <c r="FF183" s="139">
        <f t="shared" si="192"/>
        <v>0</v>
      </c>
      <c r="FG183" s="139">
        <f t="shared" si="193"/>
        <v>0</v>
      </c>
      <c r="FH183" s="139">
        <f t="shared" si="194"/>
        <v>0</v>
      </c>
      <c r="FI183" s="139">
        <f t="shared" si="195"/>
        <v>0</v>
      </c>
      <c r="FJ183" s="139">
        <f t="shared" si="196"/>
        <v>0</v>
      </c>
      <c r="FK183" s="139">
        <f t="shared" si="197"/>
        <v>0</v>
      </c>
      <c r="FL183" s="139">
        <f t="shared" si="198"/>
        <v>0</v>
      </c>
      <c r="FM183" s="139">
        <f t="shared" si="199"/>
        <v>0</v>
      </c>
      <c r="FN183" s="139">
        <f t="shared" si="200"/>
        <v>0</v>
      </c>
      <c r="FO183" s="139">
        <f t="shared" si="201"/>
        <v>0</v>
      </c>
      <c r="FP183" s="139">
        <f t="shared" si="202"/>
        <v>0</v>
      </c>
      <c r="FQ183" s="139">
        <f t="shared" si="203"/>
        <v>0</v>
      </c>
      <c r="FR183" s="139">
        <f t="shared" si="204"/>
        <v>0</v>
      </c>
      <c r="FS183" s="139">
        <f t="shared" si="205"/>
        <v>0</v>
      </c>
      <c r="FT183" s="139">
        <f t="shared" si="206"/>
        <v>0</v>
      </c>
      <c r="FU183" s="148">
        <f t="shared" si="207"/>
        <v>0.82252780626897948</v>
      </c>
      <c r="FV183" s="149"/>
      <c r="FY183" s="212">
        <v>178</v>
      </c>
      <c r="FZ183">
        <v>3.3973984325891284</v>
      </c>
      <c r="GA183">
        <v>5.4815254931205031</v>
      </c>
      <c r="GB183">
        <v>8.8953821736774366</v>
      </c>
      <c r="GC183">
        <v>4.9087953183109754</v>
      </c>
      <c r="GD183">
        <v>1.82307132780235</v>
      </c>
      <c r="GE183">
        <v>3.8684500677195777</v>
      </c>
      <c r="GF183">
        <v>4.8955018797698768</v>
      </c>
      <c r="GG183">
        <v>4.570272430845101</v>
      </c>
      <c r="GH183">
        <v>3.6714835317526084</v>
      </c>
      <c r="GI183">
        <v>5.7946966428745821</v>
      </c>
      <c r="GJ183"/>
      <c r="GK183"/>
      <c r="GL183"/>
      <c r="GM183"/>
    </row>
    <row r="184" spans="1:195" s="7" customFormat="1">
      <c r="A184" s="1"/>
      <c r="B184" s="76">
        <f t="shared" ref="B184:B207" ca="1" si="250">IF(C184="", "", RAND())</f>
        <v>0.5842900915243685</v>
      </c>
      <c r="C184">
        <v>1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10.416666666666666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14.182942554531852</v>
      </c>
      <c r="AO184">
        <v>6.2435366701344686</v>
      </c>
      <c r="AP184">
        <v>35.483318127900205</v>
      </c>
      <c r="AQ184">
        <v>30.195823039057519</v>
      </c>
      <c r="AR184">
        <v>5.7994922564782678</v>
      </c>
      <c r="AS184">
        <v>32.652476089595403</v>
      </c>
      <c r="AT184">
        <v>3.3727446427804808</v>
      </c>
      <c r="AU184">
        <v>29.152938776761339</v>
      </c>
      <c r="AV184"/>
      <c r="AW184"/>
      <c r="AX184" s="146"/>
      <c r="AY184" s="76">
        <f t="shared" ca="1" si="173"/>
        <v>0.97368233307066365</v>
      </c>
      <c r="AZ184">
        <v>7</v>
      </c>
      <c r="BA184" s="129">
        <f t="shared" si="249"/>
        <v>39987</v>
      </c>
      <c r="BB184">
        <v>0</v>
      </c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8"/>
        <v>0.41919393223052048</v>
      </c>
      <c r="CL184" s="179">
        <f t="shared" si="209"/>
        <v>7</v>
      </c>
      <c r="CM184" s="180">
        <f t="shared" si="210"/>
        <v>39987</v>
      </c>
      <c r="CN184">
        <v>0</v>
      </c>
      <c r="CO184"/>
      <c r="CP184"/>
      <c r="CQ184"/>
      <c r="CR184"/>
      <c r="CS184"/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211"/>
        <v>9.6000000000000002E-2</v>
      </c>
      <c r="DB184" s="146"/>
      <c r="DC184" s="76">
        <f t="shared" ca="1" si="174"/>
        <v>0.79449098903951754</v>
      </c>
      <c r="DD184">
        <f t="shared" si="212"/>
        <v>7</v>
      </c>
      <c r="DE184" s="129">
        <f t="shared" si="248"/>
        <v>39987</v>
      </c>
      <c r="DF184" s="161">
        <f t="shared" si="213"/>
        <v>0</v>
      </c>
      <c r="DG184" s="161">
        <f t="shared" si="214"/>
        <v>0</v>
      </c>
      <c r="DH184" s="161">
        <f t="shared" si="215"/>
        <v>0</v>
      </c>
      <c r="DI184" s="161">
        <f t="shared" si="216"/>
        <v>0</v>
      </c>
      <c r="DJ184" s="161">
        <f t="shared" si="217"/>
        <v>0</v>
      </c>
      <c r="DK184" s="161">
        <f t="shared" si="218"/>
        <v>0</v>
      </c>
      <c r="DL184" s="161">
        <f t="shared" si="219"/>
        <v>0</v>
      </c>
      <c r="DM184" s="161">
        <f t="shared" si="220"/>
        <v>0</v>
      </c>
      <c r="DN184" s="161">
        <f t="shared" si="221"/>
        <v>0</v>
      </c>
      <c r="DO184" s="161">
        <f t="shared" si="222"/>
        <v>0</v>
      </c>
      <c r="DP184" s="161">
        <f t="shared" si="223"/>
        <v>0</v>
      </c>
      <c r="DQ184" s="161">
        <f t="shared" si="224"/>
        <v>0</v>
      </c>
      <c r="DR184" s="161">
        <f t="shared" si="225"/>
        <v>0</v>
      </c>
      <c r="DS184" s="161">
        <f t="shared" si="226"/>
        <v>0</v>
      </c>
      <c r="DT184" s="161">
        <f t="shared" si="227"/>
        <v>0</v>
      </c>
      <c r="DU184" s="161">
        <f t="shared" si="228"/>
        <v>0</v>
      </c>
      <c r="DV184" s="161">
        <f t="shared" si="229"/>
        <v>0</v>
      </c>
      <c r="DW184" s="161">
        <f t="shared" si="230"/>
        <v>0</v>
      </c>
      <c r="DX184" s="161">
        <f t="shared" si="231"/>
        <v>0</v>
      </c>
      <c r="DY184" s="161">
        <f t="shared" si="232"/>
        <v>0</v>
      </c>
      <c r="DZ184" s="161">
        <f t="shared" si="233"/>
        <v>0</v>
      </c>
      <c r="EA184" s="161">
        <f t="shared" si="234"/>
        <v>0</v>
      </c>
      <c r="EB184" s="161">
        <f t="shared" si="235"/>
        <v>0</v>
      </c>
      <c r="EC184" s="161">
        <f t="shared" si="236"/>
        <v>0</v>
      </c>
      <c r="ED184" s="161">
        <f t="shared" si="237"/>
        <v>0</v>
      </c>
      <c r="EE184" s="161">
        <f t="shared" si="238"/>
        <v>0</v>
      </c>
      <c r="EF184" s="161">
        <f t="shared" si="239"/>
        <v>0</v>
      </c>
      <c r="EG184" s="161">
        <f t="shared" si="240"/>
        <v>0</v>
      </c>
      <c r="EH184" s="161">
        <f t="shared" si="241"/>
        <v>0</v>
      </c>
      <c r="EI184" s="161">
        <f t="shared" si="242"/>
        <v>0</v>
      </c>
      <c r="EJ184" s="161">
        <f t="shared" si="243"/>
        <v>0</v>
      </c>
      <c r="EK184" s="147">
        <f t="shared" ref="EK184:EK207" si="251">IF(DF184="", "", SUM(DF184:EJ184))</f>
        <v>0</v>
      </c>
      <c r="EL184" s="149"/>
      <c r="EN184" s="146"/>
      <c r="EO184" s="146"/>
      <c r="EP184" s="139">
        <f t="shared" ref="EP184:EP207" si="252">IF(DF184="", "", DF184*G$36)</f>
        <v>0</v>
      </c>
      <c r="EQ184" s="139">
        <f t="shared" ref="EQ184:EQ207" si="253">IF(DG184="", "", DG184*H$36)</f>
        <v>0</v>
      </c>
      <c r="ER184" s="139">
        <f t="shared" ref="ER184:ER207" si="254">IF(DH184="", "", DH184*I$36)</f>
        <v>0</v>
      </c>
      <c r="ES184" s="139">
        <f t="shared" ref="ES184:ES207" si="255">IF(DI184="", "", DI184*J$36)</f>
        <v>0</v>
      </c>
      <c r="ET184" s="139">
        <f t="shared" ref="ET184:ET207" si="256">IF(DJ184="", "", DJ184*K$36)</f>
        <v>0</v>
      </c>
      <c r="EU184" s="139">
        <f t="shared" ref="EU184:EU207" si="257">IF(DK184="", "", DK184*L$36)</f>
        <v>0</v>
      </c>
      <c r="EV184" s="139">
        <f t="shared" ref="EV184:EV207" si="258">IF(DL184="", "", DL184*M$36)</f>
        <v>0</v>
      </c>
      <c r="EW184" s="139">
        <f t="shared" ref="EW184:EW207" si="259">IF(DM184="", "", DM184*N$36)</f>
        <v>0</v>
      </c>
      <c r="EX184" s="139">
        <f t="shared" ref="EX184:EX207" si="260">IF(DN184="", "", DN184*O$36)</f>
        <v>0</v>
      </c>
      <c r="EY184" s="139">
        <f t="shared" ref="EY184:EY207" si="261">IF(DO184="", "", DO184*P$36)</f>
        <v>0</v>
      </c>
      <c r="EZ184" s="139">
        <f t="shared" ref="EZ184:EZ207" si="262">IF(DP184="", "", DP184*Q$36)</f>
        <v>0</v>
      </c>
      <c r="FA184" s="139">
        <f t="shared" ref="FA184:FA207" si="263">IF(DQ184="", "", DQ184*R$36)</f>
        <v>0</v>
      </c>
      <c r="FB184" s="139">
        <f t="shared" ref="FB184:FB207" si="264">IF(DR184="", "", DR184*S$36)</f>
        <v>0</v>
      </c>
      <c r="FC184" s="139">
        <f t="shared" ref="FC184:FC207" si="265">IF(DS184="", "", DS184*T$36)</f>
        <v>0</v>
      </c>
      <c r="FD184" s="139">
        <f t="shared" ref="FD184:FD207" si="266">IF(DT184="", "", DT184*U$36)</f>
        <v>0</v>
      </c>
      <c r="FE184" s="139">
        <f t="shared" ref="FE184:FE207" si="267">IF(DU184="", "", DU184*V$36)</f>
        <v>0</v>
      </c>
      <c r="FF184" s="139">
        <f t="shared" ref="FF184:FF207" si="268">IF(DV184="", "", DV184*W$36)</f>
        <v>0</v>
      </c>
      <c r="FG184" s="139">
        <f t="shared" ref="FG184:FG207" si="269">IF(DW184="", "", DW184*X$36)</f>
        <v>0</v>
      </c>
      <c r="FH184" s="139">
        <f t="shared" ref="FH184:FH207" si="270">IF(DX184="", "", DX184*Y$36)</f>
        <v>0</v>
      </c>
      <c r="FI184" s="139">
        <f t="shared" ref="FI184:FI207" si="271">IF(DY184="", "", DY184*Z$36)</f>
        <v>0</v>
      </c>
      <c r="FJ184" s="139">
        <f t="shared" ref="FJ184:FJ207" si="272">IF(DZ184="", "", DZ184*AA$36)</f>
        <v>0</v>
      </c>
      <c r="FK184" s="139">
        <f t="shared" ref="FK184:FK207" si="273">IF(EA184="", "", EA184*AB$36)</f>
        <v>0</v>
      </c>
      <c r="FL184" s="139">
        <f t="shared" ref="FL184:FL207" si="274">IF(EB184="", "", EB184*AC$36)</f>
        <v>0</v>
      </c>
      <c r="FM184" s="139">
        <f t="shared" ref="FM184:FM207" si="275">IF(EC184="", "", EC184*AD$36)</f>
        <v>0</v>
      </c>
      <c r="FN184" s="139">
        <f t="shared" ref="FN184:FN207" si="276">IF(ED184="", "", ED184*AE$36)</f>
        <v>0</v>
      </c>
      <c r="FO184" s="139">
        <f t="shared" ref="FO184:FO207" si="277">IF(EE184="", "", EE184*AF$36)</f>
        <v>0</v>
      </c>
      <c r="FP184" s="139">
        <f t="shared" ref="FP184:FP207" si="278">IF(EF184="", "", EF184*AG$36)</f>
        <v>0</v>
      </c>
      <c r="FQ184" s="139">
        <f t="shared" ref="FQ184:FQ207" si="279">IF(EG184="", "", EG184*AH$36)</f>
        <v>0</v>
      </c>
      <c r="FR184" s="139">
        <f t="shared" ref="FR184:FR207" si="280">IF(EH184="", "", EH184*AI$36)</f>
        <v>0</v>
      </c>
      <c r="FS184" s="139">
        <f t="shared" ref="FS184:FS207" si="281">IF(EI184="", "", EI184*AJ$36)</f>
        <v>0</v>
      </c>
      <c r="FT184" s="139">
        <f t="shared" ref="FT184:FT207" si="282">IF(EJ184="", "", EJ184*AK$36)</f>
        <v>0</v>
      </c>
      <c r="FU184" s="148">
        <f t="shared" ref="FU184:FU207" si="283">IF(EP184="","",SUM(EP184:FT184))</f>
        <v>0</v>
      </c>
      <c r="FV184" s="149"/>
      <c r="FY184" s="212">
        <v>179</v>
      </c>
      <c r="FZ184">
        <v>0.2345950401640825</v>
      </c>
      <c r="GA184">
        <v>2.1334118369850792</v>
      </c>
      <c r="GB184">
        <v>3.6543111772924224</v>
      </c>
      <c r="GC184">
        <v>2.001174554588351</v>
      </c>
      <c r="GD184">
        <v>1.3585906197342297</v>
      </c>
      <c r="GE184">
        <v>4.4952119409474047</v>
      </c>
      <c r="GF184">
        <v>11.837571345183679</v>
      </c>
      <c r="GG184">
        <v>8.1596722389238412</v>
      </c>
      <c r="GH184">
        <v>1.4113817744483925</v>
      </c>
      <c r="GI184">
        <v>5.2358686032749535</v>
      </c>
      <c r="GJ184"/>
      <c r="GK184"/>
      <c r="GL184"/>
      <c r="GM184"/>
    </row>
    <row r="185" spans="1:195" s="7" customFormat="1">
      <c r="A185" s="1"/>
      <c r="B185" s="76">
        <f t="shared" ca="1" si="250"/>
        <v>3.1492122629648289E-2</v>
      </c>
      <c r="C185">
        <v>10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19.773220332309627</v>
      </c>
      <c r="AO185">
        <v>13.68224132899565</v>
      </c>
      <c r="AP185">
        <v>79.180712402699214</v>
      </c>
      <c r="AQ185">
        <v>67.014555767636608</v>
      </c>
      <c r="AR185">
        <v>12.535527850804511</v>
      </c>
      <c r="AS185">
        <v>67.266699836072732</v>
      </c>
      <c r="AT185">
        <v>7.0710745311492866</v>
      </c>
      <c r="AU185">
        <v>29.402105368890723</v>
      </c>
      <c r="AV185"/>
      <c r="AW185"/>
      <c r="AX185" s="146"/>
      <c r="AY185" s="76">
        <f t="shared" ca="1" si="173"/>
        <v>0.82237497720995645</v>
      </c>
      <c r="AZ185">
        <v>8</v>
      </c>
      <c r="BA185" s="129">
        <f t="shared" si="249"/>
        <v>39987</v>
      </c>
      <c r="BB185">
        <v>0</v>
      </c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8"/>
        <v>0.55814596033071595</v>
      </c>
      <c r="CL185" s="179">
        <f t="shared" si="209"/>
        <v>8</v>
      </c>
      <c r="CM185" s="180">
        <f t="shared" si="210"/>
        <v>39987</v>
      </c>
      <c r="CN185">
        <v>0</v>
      </c>
      <c r="CO185"/>
      <c r="CP185"/>
      <c r="CQ185"/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211"/>
        <v>9.6000000000000002E-2</v>
      </c>
      <c r="DB185" s="146"/>
      <c r="DC185" s="76">
        <f t="shared" ca="1" si="174"/>
        <v>0.88674680809629791</v>
      </c>
      <c r="DD185">
        <f t="shared" si="212"/>
        <v>8</v>
      </c>
      <c r="DE185" s="129">
        <f t="shared" si="248"/>
        <v>39987</v>
      </c>
      <c r="DF185" s="161">
        <f t="shared" si="213"/>
        <v>0</v>
      </c>
      <c r="DG185" s="161">
        <f t="shared" si="214"/>
        <v>0</v>
      </c>
      <c r="DH185" s="161">
        <f t="shared" si="215"/>
        <v>0</v>
      </c>
      <c r="DI185" s="161">
        <f t="shared" si="216"/>
        <v>0</v>
      </c>
      <c r="DJ185" s="161">
        <f t="shared" si="217"/>
        <v>0</v>
      </c>
      <c r="DK185" s="161">
        <f t="shared" si="218"/>
        <v>0</v>
      </c>
      <c r="DL185" s="161">
        <f t="shared" si="219"/>
        <v>0</v>
      </c>
      <c r="DM185" s="161">
        <f t="shared" si="220"/>
        <v>0</v>
      </c>
      <c r="DN185" s="161">
        <f t="shared" si="221"/>
        <v>0</v>
      </c>
      <c r="DO185" s="161">
        <f t="shared" si="222"/>
        <v>0</v>
      </c>
      <c r="DP185" s="161">
        <f t="shared" si="223"/>
        <v>0</v>
      </c>
      <c r="DQ185" s="161">
        <f t="shared" si="224"/>
        <v>0</v>
      </c>
      <c r="DR185" s="161">
        <f t="shared" si="225"/>
        <v>0</v>
      </c>
      <c r="DS185" s="161">
        <f t="shared" si="226"/>
        <v>0</v>
      </c>
      <c r="DT185" s="161">
        <f t="shared" si="227"/>
        <v>0</v>
      </c>
      <c r="DU185" s="161">
        <f t="shared" si="228"/>
        <v>0</v>
      </c>
      <c r="DV185" s="161">
        <f t="shared" si="229"/>
        <v>0</v>
      </c>
      <c r="DW185" s="161">
        <f t="shared" si="230"/>
        <v>0</v>
      </c>
      <c r="DX185" s="161">
        <f t="shared" si="231"/>
        <v>0</v>
      </c>
      <c r="DY185" s="161">
        <f t="shared" si="232"/>
        <v>0</v>
      </c>
      <c r="DZ185" s="161">
        <f t="shared" si="233"/>
        <v>0</v>
      </c>
      <c r="EA185" s="161">
        <f t="shared" si="234"/>
        <v>0</v>
      </c>
      <c r="EB185" s="161">
        <f t="shared" si="235"/>
        <v>0</v>
      </c>
      <c r="EC185" s="161">
        <f t="shared" si="236"/>
        <v>0</v>
      </c>
      <c r="ED185" s="161">
        <f t="shared" si="237"/>
        <v>0</v>
      </c>
      <c r="EE185" s="161">
        <f t="shared" si="238"/>
        <v>0</v>
      </c>
      <c r="EF185" s="161">
        <f t="shared" si="239"/>
        <v>0</v>
      </c>
      <c r="EG185" s="161">
        <f t="shared" si="240"/>
        <v>0</v>
      </c>
      <c r="EH185" s="161">
        <f t="shared" si="241"/>
        <v>0</v>
      </c>
      <c r="EI185" s="161">
        <f t="shared" si="242"/>
        <v>0</v>
      </c>
      <c r="EJ185" s="161">
        <f t="shared" si="243"/>
        <v>0</v>
      </c>
      <c r="EK185" s="147">
        <f t="shared" si="251"/>
        <v>0</v>
      </c>
      <c r="EL185" s="149"/>
      <c r="EN185" s="146"/>
      <c r="EO185" s="146"/>
      <c r="EP185" s="139">
        <f t="shared" si="252"/>
        <v>0</v>
      </c>
      <c r="EQ185" s="139">
        <f t="shared" si="253"/>
        <v>0</v>
      </c>
      <c r="ER185" s="139">
        <f t="shared" si="254"/>
        <v>0</v>
      </c>
      <c r="ES185" s="139">
        <f t="shared" si="255"/>
        <v>0</v>
      </c>
      <c r="ET185" s="139">
        <f t="shared" si="256"/>
        <v>0</v>
      </c>
      <c r="EU185" s="139">
        <f t="shared" si="257"/>
        <v>0</v>
      </c>
      <c r="EV185" s="139">
        <f t="shared" si="258"/>
        <v>0</v>
      </c>
      <c r="EW185" s="139">
        <f t="shared" si="259"/>
        <v>0</v>
      </c>
      <c r="EX185" s="139">
        <f t="shared" si="260"/>
        <v>0</v>
      </c>
      <c r="EY185" s="139">
        <f t="shared" si="261"/>
        <v>0</v>
      </c>
      <c r="EZ185" s="139">
        <f t="shared" si="262"/>
        <v>0</v>
      </c>
      <c r="FA185" s="139">
        <f t="shared" si="263"/>
        <v>0</v>
      </c>
      <c r="FB185" s="139">
        <f t="shared" si="264"/>
        <v>0</v>
      </c>
      <c r="FC185" s="139">
        <f t="shared" si="265"/>
        <v>0</v>
      </c>
      <c r="FD185" s="139">
        <f t="shared" si="266"/>
        <v>0</v>
      </c>
      <c r="FE185" s="139">
        <f t="shared" si="267"/>
        <v>0</v>
      </c>
      <c r="FF185" s="139">
        <f t="shared" si="268"/>
        <v>0</v>
      </c>
      <c r="FG185" s="139">
        <f t="shared" si="269"/>
        <v>0</v>
      </c>
      <c r="FH185" s="139">
        <f t="shared" si="270"/>
        <v>0</v>
      </c>
      <c r="FI185" s="139">
        <f t="shared" si="271"/>
        <v>0</v>
      </c>
      <c r="FJ185" s="139">
        <f t="shared" si="272"/>
        <v>0</v>
      </c>
      <c r="FK185" s="139">
        <f t="shared" si="273"/>
        <v>0</v>
      </c>
      <c r="FL185" s="139">
        <f t="shared" si="274"/>
        <v>0</v>
      </c>
      <c r="FM185" s="139">
        <f t="shared" si="275"/>
        <v>0</v>
      </c>
      <c r="FN185" s="139">
        <f t="shared" si="276"/>
        <v>0</v>
      </c>
      <c r="FO185" s="139">
        <f t="shared" si="277"/>
        <v>0</v>
      </c>
      <c r="FP185" s="139">
        <f t="shared" si="278"/>
        <v>0</v>
      </c>
      <c r="FQ185" s="139">
        <f t="shared" si="279"/>
        <v>0</v>
      </c>
      <c r="FR185" s="139">
        <f t="shared" si="280"/>
        <v>0</v>
      </c>
      <c r="FS185" s="139">
        <f t="shared" si="281"/>
        <v>0</v>
      </c>
      <c r="FT185" s="139">
        <f t="shared" si="282"/>
        <v>0</v>
      </c>
      <c r="FU185" s="148">
        <f t="shared" si="283"/>
        <v>0</v>
      </c>
      <c r="FV185" s="149"/>
      <c r="FY185" s="212">
        <v>180</v>
      </c>
      <c r="FZ185">
        <v>3.4686462935289777</v>
      </c>
      <c r="GA185">
        <v>5.019242053877691</v>
      </c>
      <c r="GB185">
        <v>5.2525837302899303</v>
      </c>
      <c r="GC185">
        <v>3.299403641094762</v>
      </c>
      <c r="GD185">
        <v>2.1097606801359325</v>
      </c>
      <c r="GE185">
        <v>3.9747141804113442</v>
      </c>
      <c r="GF185">
        <v>6.0599456806657725</v>
      </c>
      <c r="GG185">
        <v>5.1293143565288446</v>
      </c>
      <c r="GH185">
        <v>1.2275792010825253</v>
      </c>
      <c r="GI185">
        <v>4.9293226920578981</v>
      </c>
      <c r="GJ185"/>
      <c r="GK185"/>
      <c r="GL185"/>
      <c r="GM185"/>
    </row>
    <row r="186" spans="1:195" s="7" customFormat="1">
      <c r="A186" s="1"/>
      <c r="B186" s="76">
        <f t="shared" ca="1" si="250"/>
        <v>0.84795608850963067</v>
      </c>
      <c r="C186">
        <v>8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14.166334455468933</v>
      </c>
      <c r="AO186">
        <v>6.3525281141920029</v>
      </c>
      <c r="AP186">
        <v>40.604101900236785</v>
      </c>
      <c r="AQ186">
        <v>37.618091666996214</v>
      </c>
      <c r="AR186">
        <v>5.8666912738634434</v>
      </c>
      <c r="AS186">
        <v>39.061175756625445</v>
      </c>
      <c r="AT186">
        <v>3.3975422705495446</v>
      </c>
      <c r="AU186">
        <v>7.7040842481215543</v>
      </c>
      <c r="AV186"/>
      <c r="AW186"/>
      <c r="AX186" s="146"/>
      <c r="AY186" s="76">
        <f t="shared" ca="1" si="173"/>
        <v>0.18803798021622442</v>
      </c>
      <c r="AZ186">
        <v>9</v>
      </c>
      <c r="BA186" s="129">
        <f t="shared" si="249"/>
        <v>39987</v>
      </c>
      <c r="BB186">
        <v>0</v>
      </c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8"/>
        <v>0.63212373490500617</v>
      </c>
      <c r="CL186" s="179">
        <f t="shared" si="209"/>
        <v>9</v>
      </c>
      <c r="CM186" s="180">
        <f t="shared" si="210"/>
        <v>39987</v>
      </c>
      <c r="CN186">
        <v>0</v>
      </c>
      <c r="CO186"/>
      <c r="CP186"/>
      <c r="CQ186"/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211"/>
        <v>9.6000000000000002E-2</v>
      </c>
      <c r="DB186" s="146"/>
      <c r="DC186" s="76">
        <f t="shared" ca="1" si="174"/>
        <v>0.51599779348227326</v>
      </c>
      <c r="DD186">
        <f t="shared" si="212"/>
        <v>9</v>
      </c>
      <c r="DE186" s="129">
        <f t="shared" si="248"/>
        <v>39987</v>
      </c>
      <c r="DF186" s="161">
        <f t="shared" si="213"/>
        <v>0</v>
      </c>
      <c r="DG186" s="161">
        <f t="shared" si="214"/>
        <v>0</v>
      </c>
      <c r="DH186" s="161">
        <f t="shared" si="215"/>
        <v>0</v>
      </c>
      <c r="DI186" s="161">
        <f t="shared" si="216"/>
        <v>0</v>
      </c>
      <c r="DJ186" s="161">
        <f t="shared" si="217"/>
        <v>0</v>
      </c>
      <c r="DK186" s="161">
        <f t="shared" si="218"/>
        <v>0</v>
      </c>
      <c r="DL186" s="161">
        <f t="shared" si="219"/>
        <v>0</v>
      </c>
      <c r="DM186" s="161">
        <f t="shared" si="220"/>
        <v>0</v>
      </c>
      <c r="DN186" s="161">
        <f t="shared" si="221"/>
        <v>0</v>
      </c>
      <c r="DO186" s="161">
        <f t="shared" si="222"/>
        <v>0</v>
      </c>
      <c r="DP186" s="161">
        <f t="shared" si="223"/>
        <v>0</v>
      </c>
      <c r="DQ186" s="161">
        <f t="shared" si="224"/>
        <v>0</v>
      </c>
      <c r="DR186" s="161">
        <f t="shared" si="225"/>
        <v>0</v>
      </c>
      <c r="DS186" s="161">
        <f t="shared" si="226"/>
        <v>0</v>
      </c>
      <c r="DT186" s="161">
        <f t="shared" si="227"/>
        <v>0</v>
      </c>
      <c r="DU186" s="161">
        <f t="shared" si="228"/>
        <v>0</v>
      </c>
      <c r="DV186" s="161">
        <f t="shared" si="229"/>
        <v>0</v>
      </c>
      <c r="DW186" s="161">
        <f t="shared" si="230"/>
        <v>0</v>
      </c>
      <c r="DX186" s="161">
        <f t="shared" si="231"/>
        <v>0</v>
      </c>
      <c r="DY186" s="161">
        <f t="shared" si="232"/>
        <v>0</v>
      </c>
      <c r="DZ186" s="161">
        <f t="shared" si="233"/>
        <v>0</v>
      </c>
      <c r="EA186" s="161">
        <f t="shared" si="234"/>
        <v>0</v>
      </c>
      <c r="EB186" s="161">
        <f t="shared" si="235"/>
        <v>0</v>
      </c>
      <c r="EC186" s="161">
        <f t="shared" si="236"/>
        <v>0</v>
      </c>
      <c r="ED186" s="161">
        <f t="shared" si="237"/>
        <v>0</v>
      </c>
      <c r="EE186" s="161">
        <f t="shared" si="238"/>
        <v>0</v>
      </c>
      <c r="EF186" s="161">
        <f t="shared" si="239"/>
        <v>0</v>
      </c>
      <c r="EG186" s="161">
        <f t="shared" si="240"/>
        <v>0</v>
      </c>
      <c r="EH186" s="161">
        <f t="shared" si="241"/>
        <v>0</v>
      </c>
      <c r="EI186" s="161">
        <f t="shared" si="242"/>
        <v>0</v>
      </c>
      <c r="EJ186" s="161">
        <f t="shared" si="243"/>
        <v>0</v>
      </c>
      <c r="EK186" s="147">
        <f t="shared" si="251"/>
        <v>0</v>
      </c>
      <c r="EL186" s="149"/>
      <c r="EN186" s="146"/>
      <c r="EO186" s="146"/>
      <c r="EP186" s="139">
        <f t="shared" si="252"/>
        <v>0</v>
      </c>
      <c r="EQ186" s="139">
        <f t="shared" si="253"/>
        <v>0</v>
      </c>
      <c r="ER186" s="139">
        <f t="shared" si="254"/>
        <v>0</v>
      </c>
      <c r="ES186" s="139">
        <f t="shared" si="255"/>
        <v>0</v>
      </c>
      <c r="ET186" s="139">
        <f t="shared" si="256"/>
        <v>0</v>
      </c>
      <c r="EU186" s="139">
        <f t="shared" si="257"/>
        <v>0</v>
      </c>
      <c r="EV186" s="139">
        <f t="shared" si="258"/>
        <v>0</v>
      </c>
      <c r="EW186" s="139">
        <f t="shared" si="259"/>
        <v>0</v>
      </c>
      <c r="EX186" s="139">
        <f t="shared" si="260"/>
        <v>0</v>
      </c>
      <c r="EY186" s="139">
        <f t="shared" si="261"/>
        <v>0</v>
      </c>
      <c r="EZ186" s="139">
        <f t="shared" si="262"/>
        <v>0</v>
      </c>
      <c r="FA186" s="139">
        <f t="shared" si="263"/>
        <v>0</v>
      </c>
      <c r="FB186" s="139">
        <f t="shared" si="264"/>
        <v>0</v>
      </c>
      <c r="FC186" s="139">
        <f t="shared" si="265"/>
        <v>0</v>
      </c>
      <c r="FD186" s="139">
        <f t="shared" si="266"/>
        <v>0</v>
      </c>
      <c r="FE186" s="139">
        <f t="shared" si="267"/>
        <v>0</v>
      </c>
      <c r="FF186" s="139">
        <f t="shared" si="268"/>
        <v>0</v>
      </c>
      <c r="FG186" s="139">
        <f t="shared" si="269"/>
        <v>0</v>
      </c>
      <c r="FH186" s="139">
        <f t="shared" si="270"/>
        <v>0</v>
      </c>
      <c r="FI186" s="139">
        <f t="shared" si="271"/>
        <v>0</v>
      </c>
      <c r="FJ186" s="139">
        <f t="shared" si="272"/>
        <v>0</v>
      </c>
      <c r="FK186" s="139">
        <f t="shared" si="273"/>
        <v>0</v>
      </c>
      <c r="FL186" s="139">
        <f t="shared" si="274"/>
        <v>0</v>
      </c>
      <c r="FM186" s="139">
        <f t="shared" si="275"/>
        <v>0</v>
      </c>
      <c r="FN186" s="139">
        <f t="shared" si="276"/>
        <v>0</v>
      </c>
      <c r="FO186" s="139">
        <f t="shared" si="277"/>
        <v>0</v>
      </c>
      <c r="FP186" s="139">
        <f t="shared" si="278"/>
        <v>0</v>
      </c>
      <c r="FQ186" s="139">
        <f t="shared" si="279"/>
        <v>0</v>
      </c>
      <c r="FR186" s="139">
        <f t="shared" si="280"/>
        <v>0</v>
      </c>
      <c r="FS186" s="139">
        <f t="shared" si="281"/>
        <v>0</v>
      </c>
      <c r="FT186" s="139">
        <f t="shared" si="282"/>
        <v>0</v>
      </c>
      <c r="FU186" s="148">
        <f t="shared" si="283"/>
        <v>0</v>
      </c>
      <c r="FV186" s="149"/>
      <c r="FY186" s="212">
        <v>181</v>
      </c>
      <c r="FZ186">
        <v>0.18568423962577313</v>
      </c>
      <c r="GA186">
        <v>4.9598149143865999</v>
      </c>
      <c r="GB186">
        <v>9.6479611636427975</v>
      </c>
      <c r="GC186">
        <v>4.5306808594564014</v>
      </c>
      <c r="GD186">
        <v>1.7635461965953763</v>
      </c>
      <c r="GE186">
        <v>5.7288772193786173</v>
      </c>
      <c r="GF186">
        <v>10.909334238770423</v>
      </c>
      <c r="GG186">
        <v>8.7580687051196833</v>
      </c>
      <c r="GH186">
        <v>5.9461879108580895</v>
      </c>
      <c r="GI186">
        <v>7.3865251054700281</v>
      </c>
      <c r="GJ186"/>
      <c r="GK186"/>
      <c r="GL186"/>
      <c r="GM186"/>
    </row>
    <row r="187" spans="1:195" s="7" customFormat="1">
      <c r="A187" s="1"/>
      <c r="B187" s="76">
        <f t="shared" ca="1" si="250"/>
        <v>0.81196387934695569</v>
      </c>
      <c r="C187">
        <v>4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10.416666666666666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17.61785130718954</v>
      </c>
      <c r="AO187">
        <v>8.1187192234044225</v>
      </c>
      <c r="AP187">
        <v>53.114132189617266</v>
      </c>
      <c r="AQ187">
        <v>44.12572498927652</v>
      </c>
      <c r="AR187">
        <v>7.5589010444682785</v>
      </c>
      <c r="AS187">
        <v>41.889013719164268</v>
      </c>
      <c r="AT187">
        <v>4.1538658860359119</v>
      </c>
      <c r="AU187">
        <v>37.398589402345557</v>
      </c>
      <c r="AV187"/>
      <c r="AW187"/>
      <c r="AX187" s="146"/>
      <c r="AY187" s="76">
        <f t="shared" ca="1" si="173"/>
        <v>0.24445407480594206</v>
      </c>
      <c r="AZ187">
        <v>10</v>
      </c>
      <c r="BA187" s="129">
        <f t="shared" si="249"/>
        <v>39987</v>
      </c>
      <c r="BB187">
        <v>0</v>
      </c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8"/>
        <v>0.46069205557248605</v>
      </c>
      <c r="CL187" s="179">
        <f t="shared" si="209"/>
        <v>10</v>
      </c>
      <c r="CM187" s="180">
        <f t="shared" si="210"/>
        <v>39987</v>
      </c>
      <c r="CN187">
        <v>0</v>
      </c>
      <c r="CO187"/>
      <c r="CP187"/>
      <c r="CQ187"/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211"/>
        <v>9.6000000000000002E-2</v>
      </c>
      <c r="DB187" s="146"/>
      <c r="DC187" s="76">
        <f t="shared" ca="1" si="174"/>
        <v>0.88740827248267085</v>
      </c>
      <c r="DD187">
        <f t="shared" si="212"/>
        <v>10</v>
      </c>
      <c r="DE187" s="129">
        <f t="shared" si="248"/>
        <v>39987</v>
      </c>
      <c r="DF187" s="161">
        <f t="shared" si="213"/>
        <v>0</v>
      </c>
      <c r="DG187" s="161">
        <f t="shared" si="214"/>
        <v>0</v>
      </c>
      <c r="DH187" s="161">
        <f t="shared" si="215"/>
        <v>0</v>
      </c>
      <c r="DI187" s="161">
        <f t="shared" si="216"/>
        <v>0</v>
      </c>
      <c r="DJ187" s="161">
        <f t="shared" si="217"/>
        <v>0</v>
      </c>
      <c r="DK187" s="161">
        <f t="shared" si="218"/>
        <v>0</v>
      </c>
      <c r="DL187" s="161">
        <f t="shared" si="219"/>
        <v>0</v>
      </c>
      <c r="DM187" s="161">
        <f t="shared" si="220"/>
        <v>0</v>
      </c>
      <c r="DN187" s="161">
        <f t="shared" si="221"/>
        <v>0</v>
      </c>
      <c r="DO187" s="161">
        <f t="shared" si="222"/>
        <v>0</v>
      </c>
      <c r="DP187" s="161">
        <f t="shared" si="223"/>
        <v>0</v>
      </c>
      <c r="DQ187" s="161">
        <f t="shared" si="224"/>
        <v>0</v>
      </c>
      <c r="DR187" s="161">
        <f t="shared" si="225"/>
        <v>0</v>
      </c>
      <c r="DS187" s="161">
        <f t="shared" si="226"/>
        <v>0</v>
      </c>
      <c r="DT187" s="161">
        <f t="shared" si="227"/>
        <v>0</v>
      </c>
      <c r="DU187" s="161">
        <f t="shared" si="228"/>
        <v>0</v>
      </c>
      <c r="DV187" s="161">
        <f t="shared" si="229"/>
        <v>0</v>
      </c>
      <c r="DW187" s="161">
        <f t="shared" si="230"/>
        <v>0</v>
      </c>
      <c r="DX187" s="161">
        <f t="shared" si="231"/>
        <v>0</v>
      </c>
      <c r="DY187" s="161">
        <f t="shared" si="232"/>
        <v>0</v>
      </c>
      <c r="DZ187" s="161">
        <f t="shared" si="233"/>
        <v>0</v>
      </c>
      <c r="EA187" s="161">
        <f t="shared" si="234"/>
        <v>0</v>
      </c>
      <c r="EB187" s="161">
        <f t="shared" si="235"/>
        <v>0</v>
      </c>
      <c r="EC187" s="161">
        <f t="shared" si="236"/>
        <v>0</v>
      </c>
      <c r="ED187" s="161">
        <f t="shared" si="237"/>
        <v>0</v>
      </c>
      <c r="EE187" s="161">
        <f t="shared" si="238"/>
        <v>0</v>
      </c>
      <c r="EF187" s="161">
        <f t="shared" si="239"/>
        <v>0</v>
      </c>
      <c r="EG187" s="161">
        <f t="shared" si="240"/>
        <v>0</v>
      </c>
      <c r="EH187" s="161">
        <f t="shared" si="241"/>
        <v>0</v>
      </c>
      <c r="EI187" s="161">
        <f t="shared" si="242"/>
        <v>0</v>
      </c>
      <c r="EJ187" s="161">
        <f t="shared" si="243"/>
        <v>0</v>
      </c>
      <c r="EK187" s="147">
        <f t="shared" si="251"/>
        <v>0</v>
      </c>
      <c r="EL187" s="149"/>
      <c r="EN187" s="146"/>
      <c r="EO187" s="146"/>
      <c r="EP187" s="139">
        <f t="shared" si="252"/>
        <v>0</v>
      </c>
      <c r="EQ187" s="139">
        <f t="shared" si="253"/>
        <v>0</v>
      </c>
      <c r="ER187" s="139">
        <f t="shared" si="254"/>
        <v>0</v>
      </c>
      <c r="ES187" s="139">
        <f t="shared" si="255"/>
        <v>0</v>
      </c>
      <c r="ET187" s="139">
        <f t="shared" si="256"/>
        <v>0</v>
      </c>
      <c r="EU187" s="139">
        <f t="shared" si="257"/>
        <v>0</v>
      </c>
      <c r="EV187" s="139">
        <f t="shared" si="258"/>
        <v>0</v>
      </c>
      <c r="EW187" s="139">
        <f t="shared" si="259"/>
        <v>0</v>
      </c>
      <c r="EX187" s="139">
        <f t="shared" si="260"/>
        <v>0</v>
      </c>
      <c r="EY187" s="139">
        <f t="shared" si="261"/>
        <v>0</v>
      </c>
      <c r="EZ187" s="139">
        <f t="shared" si="262"/>
        <v>0</v>
      </c>
      <c r="FA187" s="139">
        <f t="shared" si="263"/>
        <v>0</v>
      </c>
      <c r="FB187" s="139">
        <f t="shared" si="264"/>
        <v>0</v>
      </c>
      <c r="FC187" s="139">
        <f t="shared" si="265"/>
        <v>0</v>
      </c>
      <c r="FD187" s="139">
        <f t="shared" si="266"/>
        <v>0</v>
      </c>
      <c r="FE187" s="139">
        <f t="shared" si="267"/>
        <v>0</v>
      </c>
      <c r="FF187" s="139">
        <f t="shared" si="268"/>
        <v>0</v>
      </c>
      <c r="FG187" s="139">
        <f t="shared" si="269"/>
        <v>0</v>
      </c>
      <c r="FH187" s="139">
        <f t="shared" si="270"/>
        <v>0</v>
      </c>
      <c r="FI187" s="139">
        <f t="shared" si="271"/>
        <v>0</v>
      </c>
      <c r="FJ187" s="139">
        <f t="shared" si="272"/>
        <v>0</v>
      </c>
      <c r="FK187" s="139">
        <f t="shared" si="273"/>
        <v>0</v>
      </c>
      <c r="FL187" s="139">
        <f t="shared" si="274"/>
        <v>0</v>
      </c>
      <c r="FM187" s="139">
        <f t="shared" si="275"/>
        <v>0</v>
      </c>
      <c r="FN187" s="139">
        <f t="shared" si="276"/>
        <v>0</v>
      </c>
      <c r="FO187" s="139">
        <f t="shared" si="277"/>
        <v>0</v>
      </c>
      <c r="FP187" s="139">
        <f t="shared" si="278"/>
        <v>0</v>
      </c>
      <c r="FQ187" s="139">
        <f t="shared" si="279"/>
        <v>0</v>
      </c>
      <c r="FR187" s="139">
        <f t="shared" si="280"/>
        <v>0</v>
      </c>
      <c r="FS187" s="139">
        <f t="shared" si="281"/>
        <v>0</v>
      </c>
      <c r="FT187" s="139">
        <f t="shared" si="282"/>
        <v>0</v>
      </c>
      <c r="FU187" s="148">
        <f t="shared" si="283"/>
        <v>0</v>
      </c>
      <c r="FV187" s="149"/>
      <c r="FY187" s="212">
        <v>182</v>
      </c>
      <c r="FZ187">
        <v>6.7922143105658881</v>
      </c>
      <c r="GA187">
        <v>13.473452974791133</v>
      </c>
      <c r="GB187">
        <v>9.070869420514267</v>
      </c>
      <c r="GC187">
        <v>3.5884435906408636</v>
      </c>
      <c r="GD187">
        <v>0.74516249151081881</v>
      </c>
      <c r="GE187">
        <v>3.9868845304725298</v>
      </c>
      <c r="GF187">
        <v>10.504295691029849</v>
      </c>
      <c r="GG187">
        <v>6.1121059950817935</v>
      </c>
      <c r="GH187">
        <v>0.94397096394875368</v>
      </c>
      <c r="GI187">
        <v>6.3100812268939031</v>
      </c>
      <c r="GJ187"/>
      <c r="GK187"/>
      <c r="GL187"/>
      <c r="GM187"/>
    </row>
    <row r="188" spans="1:195" s="7" customFormat="1">
      <c r="A188" s="128"/>
      <c r="B188" s="76" t="str">
        <f t="shared" ca="1" si="250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15.495314591700131</v>
      </c>
      <c r="AO188">
        <v>10.318321317121317</v>
      </c>
      <c r="AP188">
        <v>76.17120394281875</v>
      </c>
      <c r="AQ188">
        <v>60.688467826426326</v>
      </c>
      <c r="AR188">
        <v>9.4647136830974929</v>
      </c>
      <c r="AS188">
        <v>47.938374552319047</v>
      </c>
      <c r="AT188">
        <v>5.2894421151576472</v>
      </c>
      <c r="AU188">
        <v>1.5552587152401374</v>
      </c>
      <c r="AV188"/>
      <c r="AW188"/>
      <c r="AX188" s="128"/>
      <c r="AY188" s="76" t="str">
        <f t="shared" ca="1" si="173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8"/>
        <v/>
      </c>
      <c r="CL188" s="179" t="str">
        <f t="shared" si="209"/>
        <v/>
      </c>
      <c r="CM188" s="180" t="str">
        <f t="shared" si="210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1"/>
        <v/>
      </c>
      <c r="DB188" s="128"/>
      <c r="DC188" s="76" t="str">
        <f t="shared" ca="1" si="174"/>
        <v/>
      </c>
      <c r="DD188" t="str">
        <f t="shared" si="212"/>
        <v/>
      </c>
      <c r="DE188" s="129" t="str">
        <f t="shared" ref="DE188:DE197" si="284">IF((DD188)="", "", $C$14)</f>
        <v/>
      </c>
      <c r="DF188" s="161" t="str">
        <f t="shared" ref="DF188:DF207" si="285">IF($AZ188="", "", ((BB188*$CW188)+(CN188*$CX188))/$CZ188)</f>
        <v/>
      </c>
      <c r="DG188" s="161" t="str">
        <f t="shared" ref="DG188:DG207" si="286">IF($AZ188="", "", ((BC188*$CW188)+(CO188*$CX188))/$CZ188)</f>
        <v/>
      </c>
      <c r="DH188" s="161" t="str">
        <f t="shared" ref="DH188:DH207" si="287">IF($AZ188="", "", ((BD188*$CW188)+(CP188*$CX188))/$CZ188)</f>
        <v/>
      </c>
      <c r="DI188" s="161" t="str">
        <f t="shared" ref="DI188:DI207" si="288">IF($AZ188="", "", ((BE188*$CW188)+(CQ188*$CX188))/$CZ188)</f>
        <v/>
      </c>
      <c r="DJ188" s="161" t="str">
        <f t="shared" ref="DJ188:DJ207" si="289">IF($AZ188="", "", ((BF188*$CW188)+(CR188*$CX188))/$CZ188)</f>
        <v/>
      </c>
      <c r="DK188" s="161" t="str">
        <f t="shared" ref="DK188:DK207" si="290">IF($AZ188="", "", ((BG188*$CW188)+(CS188*$CX188))/$CZ188)</f>
        <v/>
      </c>
      <c r="DL188" s="161" t="str">
        <f t="shared" ref="DL188:DL207" si="291">IF($AZ188="", "", ((BH188*$CW188)+(CT188*$CX188))/$CZ188)</f>
        <v/>
      </c>
      <c r="DM188" s="161" t="str">
        <f t="shared" ref="DM188:DM207" si="292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3">IF($AZ188="", "", (BK187*$CW188)/$CZ188)</f>
        <v/>
      </c>
      <c r="DP188" s="161" t="str">
        <f t="shared" ref="DP188:DP193" si="294">IF($AZ188="", "", (BL187*$CW188)/$CZ188)</f>
        <v/>
      </c>
      <c r="DQ188" s="161" t="str">
        <f t="shared" ref="DQ188:DQ193" si="295">IF($AZ188="", "", (BM187*$CW188)/$CZ188)</f>
        <v/>
      </c>
      <c r="DR188" s="161" t="str">
        <f t="shared" ref="DR188:DR193" si="296">IF($AZ188="", "", (BN187*$CW188)/$CZ188)</f>
        <v/>
      </c>
      <c r="DS188" s="161" t="str">
        <f t="shared" ref="DS188:DS193" si="297">IF($AZ188="", "", (BO187*$CW188)/$CZ188)</f>
        <v/>
      </c>
      <c r="DT188" s="161" t="str">
        <f t="shared" ref="DT188:DT193" si="298">IF($AZ188="", "", (BP187*$CW188)/$CZ188)</f>
        <v/>
      </c>
      <c r="DU188" s="161" t="str">
        <f t="shared" ref="DU188:DU193" si="299">IF($AZ188="", "", (BQ187*$CW188)/$CZ188)</f>
        <v/>
      </c>
      <c r="DV188" s="161" t="str">
        <f t="shared" ref="DV188:DV193" si="300">IF($AZ188="", "", (BR187*$CW188)/$CZ188)</f>
        <v/>
      </c>
      <c r="DW188" s="161" t="str">
        <f t="shared" ref="DW188:DW193" si="301">IF($AZ188="", "", (BS187*$CW188)/$CZ188)</f>
        <v/>
      </c>
      <c r="DX188" s="161" t="str">
        <f t="shared" ref="DX188:DX193" si="302">IF($AZ188="", "", (BT187*$CW188)/$CZ188)</f>
        <v/>
      </c>
      <c r="DY188" s="161" t="str">
        <f t="shared" ref="DY188:DY193" si="303">IF($AZ188="", "", (BU187*$CW188)/$CZ188)</f>
        <v/>
      </c>
      <c r="DZ188" s="161" t="str">
        <f t="shared" ref="DZ188:DZ193" si="304">IF($AZ188="", "", (BV187*$CW188)/$CZ188)</f>
        <v/>
      </c>
      <c r="EA188" s="161" t="str">
        <f t="shared" ref="EA188:EA193" si="305">IF($AZ188="", "", (BW187*$CW188)/$CZ188)</f>
        <v/>
      </c>
      <c r="EB188" s="161" t="str">
        <f t="shared" ref="EB188:EB193" si="306">IF($AZ188="", "", (BX187*$CW188)/$CZ188)</f>
        <v/>
      </c>
      <c r="EC188" s="161" t="str">
        <f t="shared" ref="EC188:EC193" si="307">IF($AZ188="", "", (BY187*$CW188)/$CZ188)</f>
        <v/>
      </c>
      <c r="ED188" s="161" t="str">
        <f t="shared" ref="ED188:ED193" si="308">IF($AZ188="", "", (BZ187*$CW188)/$CZ188)</f>
        <v/>
      </c>
      <c r="EE188" s="161" t="str">
        <f t="shared" ref="EE188:EE193" si="309">IF($AZ188="", "", (CA187*$CW188)/$CZ188)</f>
        <v/>
      </c>
      <c r="EF188" s="161" t="str">
        <f t="shared" ref="EF188:EF193" si="310">IF($AZ188="", "", (CB187*$CW188)/$CZ188)</f>
        <v/>
      </c>
      <c r="EG188" s="161" t="str">
        <f t="shared" ref="EG188:EG193" si="311">IF($AZ188="", "", (CC187*$CW188)/$CZ188)</f>
        <v/>
      </c>
      <c r="EH188" s="161" t="str">
        <f t="shared" ref="EH188:EH193" si="312">IF($AZ188="", "", (CD187*$CW188)/$CZ188)</f>
        <v/>
      </c>
      <c r="EI188" s="161" t="str">
        <f t="shared" ref="EI188:EI193" si="313">IF($AZ188="", "", (CE187*$CW188)/$CZ188)</f>
        <v/>
      </c>
      <c r="EJ188" s="161" t="str">
        <f t="shared" ref="EJ188:EJ193" si="314">IF($AZ188="", "", (CF187*$CW188)/$CZ188)</f>
        <v/>
      </c>
      <c r="EK188" s="147" t="str">
        <f t="shared" si="251"/>
        <v/>
      </c>
      <c r="EL188" s="149"/>
      <c r="EN188" s="146"/>
      <c r="EO188" s="146"/>
      <c r="EP188" s="139" t="str">
        <f t="shared" si="252"/>
        <v/>
      </c>
      <c r="EQ188" s="139" t="str">
        <f t="shared" si="253"/>
        <v/>
      </c>
      <c r="ER188" s="139" t="str">
        <f t="shared" si="254"/>
        <v/>
      </c>
      <c r="ES188" s="139" t="str">
        <f t="shared" si="255"/>
        <v/>
      </c>
      <c r="ET188" s="139" t="str">
        <f t="shared" si="256"/>
        <v/>
      </c>
      <c r="EU188" s="139" t="str">
        <f t="shared" si="257"/>
        <v/>
      </c>
      <c r="EV188" s="139" t="str">
        <f t="shared" si="258"/>
        <v/>
      </c>
      <c r="EW188" s="139" t="str">
        <f t="shared" si="259"/>
        <v/>
      </c>
      <c r="EX188" s="139" t="str">
        <f t="shared" si="260"/>
        <v/>
      </c>
      <c r="EY188" s="139" t="str">
        <f t="shared" si="261"/>
        <v/>
      </c>
      <c r="EZ188" s="139" t="str">
        <f t="shared" si="262"/>
        <v/>
      </c>
      <c r="FA188" s="139" t="str">
        <f t="shared" si="263"/>
        <v/>
      </c>
      <c r="FB188" s="139" t="str">
        <f t="shared" si="264"/>
        <v/>
      </c>
      <c r="FC188" s="139" t="str">
        <f t="shared" si="265"/>
        <v/>
      </c>
      <c r="FD188" s="139" t="str">
        <f t="shared" si="266"/>
        <v/>
      </c>
      <c r="FE188" s="139" t="str">
        <f t="shared" si="267"/>
        <v/>
      </c>
      <c r="FF188" s="139" t="str">
        <f t="shared" si="268"/>
        <v/>
      </c>
      <c r="FG188" s="139" t="str">
        <f t="shared" si="269"/>
        <v/>
      </c>
      <c r="FH188" s="139" t="str">
        <f t="shared" si="270"/>
        <v/>
      </c>
      <c r="FI188" s="139" t="str">
        <f t="shared" si="271"/>
        <v/>
      </c>
      <c r="FJ188" s="139" t="str">
        <f t="shared" si="272"/>
        <v/>
      </c>
      <c r="FK188" s="139" t="str">
        <f t="shared" si="273"/>
        <v/>
      </c>
      <c r="FL188" s="139" t="str">
        <f t="shared" si="274"/>
        <v/>
      </c>
      <c r="FM188" s="139" t="str">
        <f t="shared" si="275"/>
        <v/>
      </c>
      <c r="FN188" s="139" t="str">
        <f t="shared" si="276"/>
        <v/>
      </c>
      <c r="FO188" s="139" t="str">
        <f t="shared" si="277"/>
        <v/>
      </c>
      <c r="FP188" s="139" t="str">
        <f t="shared" si="278"/>
        <v/>
      </c>
      <c r="FQ188" s="139" t="str">
        <f t="shared" si="279"/>
        <v/>
      </c>
      <c r="FR188" s="139" t="str">
        <f t="shared" si="280"/>
        <v/>
      </c>
      <c r="FS188" s="139" t="str">
        <f t="shared" si="281"/>
        <v/>
      </c>
      <c r="FT188" s="139" t="str">
        <f t="shared" si="282"/>
        <v/>
      </c>
      <c r="FU188" s="148" t="str">
        <f t="shared" si="283"/>
        <v/>
      </c>
      <c r="FV188" s="149"/>
      <c r="FY188" s="212">
        <v>183</v>
      </c>
      <c r="FZ188">
        <v>3.355681717310147</v>
      </c>
      <c r="GA188">
        <v>7.1623025774614062</v>
      </c>
      <c r="GB188">
        <v>7.9404746005508322</v>
      </c>
      <c r="GC188">
        <v>3.772885361278588</v>
      </c>
      <c r="GD188">
        <v>2.0614265838861674</v>
      </c>
      <c r="GE188">
        <v>5.2175191764367463</v>
      </c>
      <c r="GF188">
        <v>12.091552045323461</v>
      </c>
      <c r="GG188">
        <v>10.953424043222384</v>
      </c>
      <c r="GH188">
        <v>3.0480280637747796</v>
      </c>
      <c r="GI188">
        <v>7.5160321429997197</v>
      </c>
      <c r="GJ188"/>
      <c r="GK188"/>
      <c r="GL188"/>
      <c r="GM188"/>
    </row>
    <row r="189" spans="1:195" s="7" customFormat="1">
      <c r="A189" s="1"/>
      <c r="B189" s="76" t="str">
        <f t="shared" ca="1" si="250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11.520833333333334</v>
      </c>
      <c r="AO189">
        <v>5.444885815789168</v>
      </c>
      <c r="AP189">
        <v>31.457898800248607</v>
      </c>
      <c r="AQ189">
        <v>32.2867696326039</v>
      </c>
      <c r="AR189">
        <v>5.1247652217767934</v>
      </c>
      <c r="AS189">
        <v>35.956816185004897</v>
      </c>
      <c r="AT189">
        <v>3.5957702725836298</v>
      </c>
      <c r="AU189">
        <v>7.7704052451836771</v>
      </c>
      <c r="AV189"/>
      <c r="AW189"/>
      <c r="AX189" s="146"/>
      <c r="AY189" s="76" t="str">
        <f t="shared" ca="1" si="173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8"/>
        <v/>
      </c>
      <c r="CL189" s="179" t="str">
        <f t="shared" si="209"/>
        <v/>
      </c>
      <c r="CM189" s="180" t="str">
        <f t="shared" si="210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1"/>
        <v/>
      </c>
      <c r="DB189" s="146"/>
      <c r="DC189" s="76" t="str">
        <f t="shared" ca="1" si="174"/>
        <v/>
      </c>
      <c r="DD189" t="str">
        <f t="shared" si="212"/>
        <v/>
      </c>
      <c r="DE189" s="129" t="str">
        <f t="shared" si="284"/>
        <v/>
      </c>
      <c r="DF189" s="161" t="str">
        <f t="shared" si="285"/>
        <v/>
      </c>
      <c r="DG189" s="161" t="str">
        <f t="shared" si="286"/>
        <v/>
      </c>
      <c r="DH189" s="161" t="str">
        <f t="shared" si="287"/>
        <v/>
      </c>
      <c r="DI189" s="161" t="str">
        <f t="shared" si="288"/>
        <v/>
      </c>
      <c r="DJ189" s="161" t="str">
        <f t="shared" si="289"/>
        <v/>
      </c>
      <c r="DK189" s="161" t="str">
        <f t="shared" si="290"/>
        <v/>
      </c>
      <c r="DL189" s="161" t="str">
        <f t="shared" si="291"/>
        <v/>
      </c>
      <c r="DM189" s="161" t="str">
        <f t="shared" si="292"/>
        <v/>
      </c>
      <c r="DN189" s="161" t="str">
        <f>IF($AZ189="", "", (BJ189*$CW189)/$CZ189)</f>
        <v/>
      </c>
      <c r="DO189" s="161" t="str">
        <f t="shared" si="293"/>
        <v/>
      </c>
      <c r="DP189" s="161" t="str">
        <f t="shared" si="294"/>
        <v/>
      </c>
      <c r="DQ189" s="161" t="str">
        <f t="shared" si="295"/>
        <v/>
      </c>
      <c r="DR189" s="161" t="str">
        <f t="shared" si="296"/>
        <v/>
      </c>
      <c r="DS189" s="161" t="str">
        <f t="shared" si="297"/>
        <v/>
      </c>
      <c r="DT189" s="161" t="str">
        <f t="shared" si="298"/>
        <v/>
      </c>
      <c r="DU189" s="161" t="str">
        <f t="shared" si="299"/>
        <v/>
      </c>
      <c r="DV189" s="161" t="str">
        <f t="shared" si="300"/>
        <v/>
      </c>
      <c r="DW189" s="161" t="str">
        <f t="shared" si="301"/>
        <v/>
      </c>
      <c r="DX189" s="161" t="str">
        <f t="shared" si="302"/>
        <v/>
      </c>
      <c r="DY189" s="161" t="str">
        <f t="shared" si="303"/>
        <v/>
      </c>
      <c r="DZ189" s="161" t="str">
        <f t="shared" si="304"/>
        <v/>
      </c>
      <c r="EA189" s="161" t="str">
        <f t="shared" si="305"/>
        <v/>
      </c>
      <c r="EB189" s="161" t="str">
        <f t="shared" si="306"/>
        <v/>
      </c>
      <c r="EC189" s="161" t="str">
        <f t="shared" si="307"/>
        <v/>
      </c>
      <c r="ED189" s="161" t="str">
        <f t="shared" si="308"/>
        <v/>
      </c>
      <c r="EE189" s="161" t="str">
        <f t="shared" si="309"/>
        <v/>
      </c>
      <c r="EF189" s="161" t="str">
        <f t="shared" si="310"/>
        <v/>
      </c>
      <c r="EG189" s="161" t="str">
        <f t="shared" si="311"/>
        <v/>
      </c>
      <c r="EH189" s="161" t="str">
        <f t="shared" si="312"/>
        <v/>
      </c>
      <c r="EI189" s="161" t="str">
        <f t="shared" si="313"/>
        <v/>
      </c>
      <c r="EJ189" s="161" t="str">
        <f t="shared" si="314"/>
        <v/>
      </c>
      <c r="EK189" s="147" t="str">
        <f t="shared" si="251"/>
        <v/>
      </c>
      <c r="EL189" s="149"/>
      <c r="EN189" s="146"/>
      <c r="EO189" s="146"/>
      <c r="EP189" s="139" t="str">
        <f t="shared" si="252"/>
        <v/>
      </c>
      <c r="EQ189" s="139" t="str">
        <f t="shared" si="253"/>
        <v/>
      </c>
      <c r="ER189" s="139" t="str">
        <f t="shared" si="254"/>
        <v/>
      </c>
      <c r="ES189" s="139" t="str">
        <f t="shared" si="255"/>
        <v/>
      </c>
      <c r="ET189" s="139" t="str">
        <f t="shared" si="256"/>
        <v/>
      </c>
      <c r="EU189" s="139" t="str">
        <f t="shared" si="257"/>
        <v/>
      </c>
      <c r="EV189" s="139" t="str">
        <f t="shared" si="258"/>
        <v/>
      </c>
      <c r="EW189" s="139" t="str">
        <f t="shared" si="259"/>
        <v/>
      </c>
      <c r="EX189" s="139" t="str">
        <f t="shared" si="260"/>
        <v/>
      </c>
      <c r="EY189" s="139" t="str">
        <f t="shared" si="261"/>
        <v/>
      </c>
      <c r="EZ189" s="139" t="str">
        <f t="shared" si="262"/>
        <v/>
      </c>
      <c r="FA189" s="139" t="str">
        <f t="shared" si="263"/>
        <v/>
      </c>
      <c r="FB189" s="139" t="str">
        <f t="shared" si="264"/>
        <v/>
      </c>
      <c r="FC189" s="139" t="str">
        <f t="shared" si="265"/>
        <v/>
      </c>
      <c r="FD189" s="139" t="str">
        <f t="shared" si="266"/>
        <v/>
      </c>
      <c r="FE189" s="139" t="str">
        <f t="shared" si="267"/>
        <v/>
      </c>
      <c r="FF189" s="139" t="str">
        <f t="shared" si="268"/>
        <v/>
      </c>
      <c r="FG189" s="139" t="str">
        <f t="shared" si="269"/>
        <v/>
      </c>
      <c r="FH189" s="139" t="str">
        <f t="shared" si="270"/>
        <v/>
      </c>
      <c r="FI189" s="139" t="str">
        <f t="shared" si="271"/>
        <v/>
      </c>
      <c r="FJ189" s="139" t="str">
        <f t="shared" si="272"/>
        <v/>
      </c>
      <c r="FK189" s="139" t="str">
        <f t="shared" si="273"/>
        <v/>
      </c>
      <c r="FL189" s="139" t="str">
        <f t="shared" si="274"/>
        <v/>
      </c>
      <c r="FM189" s="139" t="str">
        <f t="shared" si="275"/>
        <v/>
      </c>
      <c r="FN189" s="139" t="str">
        <f t="shared" si="276"/>
        <v/>
      </c>
      <c r="FO189" s="139" t="str">
        <f t="shared" si="277"/>
        <v/>
      </c>
      <c r="FP189" s="139" t="str">
        <f t="shared" si="278"/>
        <v/>
      </c>
      <c r="FQ189" s="139" t="str">
        <f t="shared" si="279"/>
        <v/>
      </c>
      <c r="FR189" s="139" t="str">
        <f t="shared" si="280"/>
        <v/>
      </c>
      <c r="FS189" s="139" t="str">
        <f t="shared" si="281"/>
        <v/>
      </c>
      <c r="FT189" s="139" t="str">
        <f t="shared" si="282"/>
        <v/>
      </c>
      <c r="FU189" s="148" t="str">
        <f t="shared" si="283"/>
        <v/>
      </c>
      <c r="FV189" s="149"/>
      <c r="FY189" s="212">
        <v>184</v>
      </c>
      <c r="FZ189">
        <v>0.17442199669707059</v>
      </c>
      <c r="GA189">
        <v>2.2534881746731701</v>
      </c>
      <c r="GB189">
        <v>10.824366608463162</v>
      </c>
      <c r="GC189">
        <v>5.5077398549597554</v>
      </c>
      <c r="GD189">
        <v>0.66133703917653164</v>
      </c>
      <c r="GE189">
        <v>2.9953767754247114</v>
      </c>
      <c r="GF189">
        <v>9.3775579358901453</v>
      </c>
      <c r="GG189">
        <v>8.1832827098770071</v>
      </c>
      <c r="GH189">
        <v>3.1852092410629762</v>
      </c>
      <c r="GI189">
        <v>6.0450459211209218</v>
      </c>
      <c r="GJ189"/>
      <c r="GK189"/>
      <c r="GL189"/>
      <c r="GM189"/>
    </row>
    <row r="190" spans="1:195" s="7" customFormat="1">
      <c r="A190" s="1"/>
      <c r="B190" s="76" t="str">
        <f t="shared" ca="1" si="250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10.445197456492634</v>
      </c>
      <c r="AO190">
        <v>8.575874911943826</v>
      </c>
      <c r="AP190">
        <v>43.26920370354798</v>
      </c>
      <c r="AQ190">
        <v>45.869471438734074</v>
      </c>
      <c r="AR190">
        <v>7.8685409871349075</v>
      </c>
      <c r="AS190">
        <v>40.192892660628701</v>
      </c>
      <c r="AT190">
        <v>5.0889904559105874</v>
      </c>
      <c r="AU190">
        <v>2.4857688585387607</v>
      </c>
      <c r="AV190"/>
      <c r="AW190"/>
      <c r="AX190" s="146"/>
      <c r="AY190" s="76" t="str">
        <f t="shared" ca="1" si="173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8"/>
        <v/>
      </c>
      <c r="CL190" s="179" t="str">
        <f t="shared" si="209"/>
        <v/>
      </c>
      <c r="CM190" s="180" t="str">
        <f t="shared" si="210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1"/>
        <v/>
      </c>
      <c r="DB190" s="146"/>
      <c r="DC190" s="76" t="str">
        <f t="shared" ca="1" si="174"/>
        <v/>
      </c>
      <c r="DD190" t="str">
        <f t="shared" si="212"/>
        <v/>
      </c>
      <c r="DE190" s="129" t="str">
        <f t="shared" si="284"/>
        <v/>
      </c>
      <c r="DF190" s="161" t="str">
        <f t="shared" si="285"/>
        <v/>
      </c>
      <c r="DG190" s="161" t="str">
        <f t="shared" si="286"/>
        <v/>
      </c>
      <c r="DH190" s="161" t="str">
        <f t="shared" si="287"/>
        <v/>
      </c>
      <c r="DI190" s="161" t="str">
        <f t="shared" si="288"/>
        <v/>
      </c>
      <c r="DJ190" s="161" t="str">
        <f t="shared" si="289"/>
        <v/>
      </c>
      <c r="DK190" s="161" t="str">
        <f t="shared" si="290"/>
        <v/>
      </c>
      <c r="DL190" s="161" t="str">
        <f t="shared" si="291"/>
        <v/>
      </c>
      <c r="DM190" s="161" t="str">
        <f t="shared" si="292"/>
        <v/>
      </c>
      <c r="DN190" s="161" t="str">
        <f>IF($AZ190="", "", (BJ190*$CW190)/$CZ190)</f>
        <v/>
      </c>
      <c r="DO190" s="161" t="str">
        <f t="shared" si="293"/>
        <v/>
      </c>
      <c r="DP190" s="161" t="str">
        <f t="shared" si="294"/>
        <v/>
      </c>
      <c r="DQ190" s="161" t="str">
        <f t="shared" si="295"/>
        <v/>
      </c>
      <c r="DR190" s="161" t="str">
        <f t="shared" si="296"/>
        <v/>
      </c>
      <c r="DS190" s="161" t="str">
        <f t="shared" si="297"/>
        <v/>
      </c>
      <c r="DT190" s="161" t="str">
        <f t="shared" si="298"/>
        <v/>
      </c>
      <c r="DU190" s="161" t="str">
        <f t="shared" si="299"/>
        <v/>
      </c>
      <c r="DV190" s="161" t="str">
        <f t="shared" si="300"/>
        <v/>
      </c>
      <c r="DW190" s="161" t="str">
        <f t="shared" si="301"/>
        <v/>
      </c>
      <c r="DX190" s="161" t="str">
        <f t="shared" si="302"/>
        <v/>
      </c>
      <c r="DY190" s="161" t="str">
        <f t="shared" si="303"/>
        <v/>
      </c>
      <c r="DZ190" s="161" t="str">
        <f t="shared" si="304"/>
        <v/>
      </c>
      <c r="EA190" s="161" t="str">
        <f t="shared" si="305"/>
        <v/>
      </c>
      <c r="EB190" s="161" t="str">
        <f t="shared" si="306"/>
        <v/>
      </c>
      <c r="EC190" s="161" t="str">
        <f t="shared" si="307"/>
        <v/>
      </c>
      <c r="ED190" s="161" t="str">
        <f t="shared" si="308"/>
        <v/>
      </c>
      <c r="EE190" s="161" t="str">
        <f t="shared" si="309"/>
        <v/>
      </c>
      <c r="EF190" s="161" t="str">
        <f t="shared" si="310"/>
        <v/>
      </c>
      <c r="EG190" s="161" t="str">
        <f t="shared" si="311"/>
        <v/>
      </c>
      <c r="EH190" s="161" t="str">
        <f t="shared" si="312"/>
        <v/>
      </c>
      <c r="EI190" s="161" t="str">
        <f t="shared" si="313"/>
        <v/>
      </c>
      <c r="EJ190" s="161" t="str">
        <f t="shared" si="314"/>
        <v/>
      </c>
      <c r="EK190" s="147" t="str">
        <f t="shared" si="251"/>
        <v/>
      </c>
      <c r="EL190" s="149"/>
      <c r="EN190" s="146"/>
      <c r="EO190" s="146"/>
      <c r="EP190" s="139" t="str">
        <f t="shared" si="252"/>
        <v/>
      </c>
      <c r="EQ190" s="139" t="str">
        <f t="shared" si="253"/>
        <v/>
      </c>
      <c r="ER190" s="139" t="str">
        <f t="shared" si="254"/>
        <v/>
      </c>
      <c r="ES190" s="139" t="str">
        <f t="shared" si="255"/>
        <v/>
      </c>
      <c r="ET190" s="139" t="str">
        <f t="shared" si="256"/>
        <v/>
      </c>
      <c r="EU190" s="139" t="str">
        <f t="shared" si="257"/>
        <v/>
      </c>
      <c r="EV190" s="139" t="str">
        <f t="shared" si="258"/>
        <v/>
      </c>
      <c r="EW190" s="139" t="str">
        <f t="shared" si="259"/>
        <v/>
      </c>
      <c r="EX190" s="139" t="str">
        <f t="shared" si="260"/>
        <v/>
      </c>
      <c r="EY190" s="139" t="str">
        <f t="shared" si="261"/>
        <v/>
      </c>
      <c r="EZ190" s="139" t="str">
        <f t="shared" si="262"/>
        <v/>
      </c>
      <c r="FA190" s="139" t="str">
        <f t="shared" si="263"/>
        <v/>
      </c>
      <c r="FB190" s="139" t="str">
        <f t="shared" si="264"/>
        <v/>
      </c>
      <c r="FC190" s="139" t="str">
        <f t="shared" si="265"/>
        <v/>
      </c>
      <c r="FD190" s="139" t="str">
        <f t="shared" si="266"/>
        <v/>
      </c>
      <c r="FE190" s="139" t="str">
        <f t="shared" si="267"/>
        <v/>
      </c>
      <c r="FF190" s="139" t="str">
        <f t="shared" si="268"/>
        <v/>
      </c>
      <c r="FG190" s="139" t="str">
        <f t="shared" si="269"/>
        <v/>
      </c>
      <c r="FH190" s="139" t="str">
        <f t="shared" si="270"/>
        <v/>
      </c>
      <c r="FI190" s="139" t="str">
        <f t="shared" si="271"/>
        <v/>
      </c>
      <c r="FJ190" s="139" t="str">
        <f t="shared" si="272"/>
        <v/>
      </c>
      <c r="FK190" s="139" t="str">
        <f t="shared" si="273"/>
        <v/>
      </c>
      <c r="FL190" s="139" t="str">
        <f t="shared" si="274"/>
        <v/>
      </c>
      <c r="FM190" s="139" t="str">
        <f t="shared" si="275"/>
        <v/>
      </c>
      <c r="FN190" s="139" t="str">
        <f t="shared" si="276"/>
        <v/>
      </c>
      <c r="FO190" s="139" t="str">
        <f t="shared" si="277"/>
        <v/>
      </c>
      <c r="FP190" s="139" t="str">
        <f t="shared" si="278"/>
        <v/>
      </c>
      <c r="FQ190" s="139" t="str">
        <f t="shared" si="279"/>
        <v/>
      </c>
      <c r="FR190" s="139" t="str">
        <f t="shared" si="280"/>
        <v/>
      </c>
      <c r="FS190" s="139" t="str">
        <f t="shared" si="281"/>
        <v/>
      </c>
      <c r="FT190" s="139" t="str">
        <f t="shared" si="282"/>
        <v/>
      </c>
      <c r="FU190" s="148" t="str">
        <f t="shared" si="283"/>
        <v/>
      </c>
      <c r="FV190" s="149"/>
      <c r="FY190" s="212">
        <v>185</v>
      </c>
      <c r="FZ190">
        <v>3.4271170037058614</v>
      </c>
      <c r="GA190">
        <v>7.1150988859486999</v>
      </c>
      <c r="GB190">
        <v>4.4325626232699813</v>
      </c>
      <c r="GC190">
        <v>1.9646274961539998</v>
      </c>
      <c r="GD190">
        <v>0.92045454321377329</v>
      </c>
      <c r="GE190">
        <v>4.4447825440973272</v>
      </c>
      <c r="GF190">
        <v>8.3903800758292917</v>
      </c>
      <c r="GG190">
        <v>3.3986645731412</v>
      </c>
      <c r="GH190">
        <v>1.0182369754818368</v>
      </c>
      <c r="GI190">
        <v>4.1788450689512677</v>
      </c>
      <c r="GJ190"/>
      <c r="GK190"/>
      <c r="GL190"/>
      <c r="GM190"/>
    </row>
    <row r="191" spans="1:195" s="7" customFormat="1">
      <c r="A191" s="1"/>
      <c r="B191" s="76" t="str">
        <f t="shared" ca="1" si="250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12.115336345381525</v>
      </c>
      <c r="AO191">
        <v>8.3516511137794929</v>
      </c>
      <c r="AP191">
        <v>43.971430897580085</v>
      </c>
      <c r="AQ191">
        <v>44.669015927933344</v>
      </c>
      <c r="AR191">
        <v>7.7471056783140115</v>
      </c>
      <c r="AS191">
        <v>41.373454829401993</v>
      </c>
      <c r="AT191">
        <v>5.2383792935833506</v>
      </c>
      <c r="AU191">
        <v>6.0067953732304193</v>
      </c>
      <c r="AV191"/>
      <c r="AW191"/>
      <c r="AX191" s="146"/>
      <c r="AY191" s="76" t="str">
        <f t="shared" ca="1" si="173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8"/>
        <v/>
      </c>
      <c r="CL191" s="179" t="str">
        <f t="shared" si="209"/>
        <v/>
      </c>
      <c r="CM191" s="180" t="str">
        <f t="shared" si="210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1"/>
        <v/>
      </c>
      <c r="DB191" s="146"/>
      <c r="DC191" s="76" t="str">
        <f t="shared" ca="1" si="174"/>
        <v/>
      </c>
      <c r="DD191" t="str">
        <f t="shared" si="212"/>
        <v/>
      </c>
      <c r="DE191" s="129" t="str">
        <f t="shared" si="284"/>
        <v/>
      </c>
      <c r="DF191" s="161" t="str">
        <f t="shared" si="285"/>
        <v/>
      </c>
      <c r="DG191" s="161" t="str">
        <f t="shared" si="286"/>
        <v/>
      </c>
      <c r="DH191" s="161" t="str">
        <f t="shared" si="287"/>
        <v/>
      </c>
      <c r="DI191" s="161" t="str">
        <f t="shared" si="288"/>
        <v/>
      </c>
      <c r="DJ191" s="161" t="str">
        <f t="shared" si="289"/>
        <v/>
      </c>
      <c r="DK191" s="161" t="str">
        <f t="shared" si="290"/>
        <v/>
      </c>
      <c r="DL191" s="161" t="str">
        <f t="shared" si="291"/>
        <v/>
      </c>
      <c r="DM191" s="161" t="str">
        <f t="shared" si="292"/>
        <v/>
      </c>
      <c r="DN191" s="161" t="str">
        <f>IF($AZ191="", "", (BJ191*$CW191)/$CZ191)</f>
        <v/>
      </c>
      <c r="DO191" s="161" t="str">
        <f t="shared" si="293"/>
        <v/>
      </c>
      <c r="DP191" s="161" t="str">
        <f t="shared" si="294"/>
        <v/>
      </c>
      <c r="DQ191" s="161" t="str">
        <f t="shared" si="295"/>
        <v/>
      </c>
      <c r="DR191" s="161" t="str">
        <f t="shared" si="296"/>
        <v/>
      </c>
      <c r="DS191" s="161" t="str">
        <f t="shared" si="297"/>
        <v/>
      </c>
      <c r="DT191" s="161" t="str">
        <f t="shared" si="298"/>
        <v/>
      </c>
      <c r="DU191" s="161" t="str">
        <f t="shared" si="299"/>
        <v/>
      </c>
      <c r="DV191" s="161" t="str">
        <f t="shared" si="300"/>
        <v/>
      </c>
      <c r="DW191" s="161" t="str">
        <f t="shared" si="301"/>
        <v/>
      </c>
      <c r="DX191" s="161" t="str">
        <f t="shared" si="302"/>
        <v/>
      </c>
      <c r="DY191" s="161" t="str">
        <f t="shared" si="303"/>
        <v/>
      </c>
      <c r="DZ191" s="161" t="str">
        <f t="shared" si="304"/>
        <v/>
      </c>
      <c r="EA191" s="161" t="str">
        <f t="shared" si="305"/>
        <v/>
      </c>
      <c r="EB191" s="161" t="str">
        <f t="shared" si="306"/>
        <v/>
      </c>
      <c r="EC191" s="161" t="str">
        <f t="shared" si="307"/>
        <v/>
      </c>
      <c r="ED191" s="161" t="str">
        <f t="shared" si="308"/>
        <v/>
      </c>
      <c r="EE191" s="161" t="str">
        <f t="shared" si="309"/>
        <v/>
      </c>
      <c r="EF191" s="161" t="str">
        <f t="shared" si="310"/>
        <v/>
      </c>
      <c r="EG191" s="161" t="str">
        <f t="shared" si="311"/>
        <v/>
      </c>
      <c r="EH191" s="161" t="str">
        <f t="shared" si="312"/>
        <v/>
      </c>
      <c r="EI191" s="161" t="str">
        <f t="shared" si="313"/>
        <v/>
      </c>
      <c r="EJ191" s="161" t="str">
        <f t="shared" si="314"/>
        <v/>
      </c>
      <c r="EK191" s="147" t="str">
        <f t="shared" si="251"/>
        <v/>
      </c>
      <c r="EL191" s="149"/>
      <c r="EN191" s="146"/>
      <c r="EO191" s="146"/>
      <c r="EP191" s="139" t="str">
        <f t="shared" si="252"/>
        <v/>
      </c>
      <c r="EQ191" s="139" t="str">
        <f t="shared" si="253"/>
        <v/>
      </c>
      <c r="ER191" s="139" t="str">
        <f t="shared" si="254"/>
        <v/>
      </c>
      <c r="ES191" s="139" t="str">
        <f t="shared" si="255"/>
        <v/>
      </c>
      <c r="ET191" s="139" t="str">
        <f t="shared" si="256"/>
        <v/>
      </c>
      <c r="EU191" s="139" t="str">
        <f t="shared" si="257"/>
        <v/>
      </c>
      <c r="EV191" s="139" t="str">
        <f t="shared" si="258"/>
        <v/>
      </c>
      <c r="EW191" s="139" t="str">
        <f t="shared" si="259"/>
        <v/>
      </c>
      <c r="EX191" s="139" t="str">
        <f t="shared" si="260"/>
        <v/>
      </c>
      <c r="EY191" s="139" t="str">
        <f t="shared" si="261"/>
        <v/>
      </c>
      <c r="EZ191" s="139" t="str">
        <f t="shared" si="262"/>
        <v/>
      </c>
      <c r="FA191" s="139" t="str">
        <f t="shared" si="263"/>
        <v/>
      </c>
      <c r="FB191" s="139" t="str">
        <f t="shared" si="264"/>
        <v/>
      </c>
      <c r="FC191" s="139" t="str">
        <f t="shared" si="265"/>
        <v/>
      </c>
      <c r="FD191" s="139" t="str">
        <f t="shared" si="266"/>
        <v/>
      </c>
      <c r="FE191" s="139" t="str">
        <f t="shared" si="267"/>
        <v/>
      </c>
      <c r="FF191" s="139" t="str">
        <f t="shared" si="268"/>
        <v/>
      </c>
      <c r="FG191" s="139" t="str">
        <f t="shared" si="269"/>
        <v/>
      </c>
      <c r="FH191" s="139" t="str">
        <f t="shared" si="270"/>
        <v/>
      </c>
      <c r="FI191" s="139" t="str">
        <f t="shared" si="271"/>
        <v/>
      </c>
      <c r="FJ191" s="139" t="str">
        <f t="shared" si="272"/>
        <v/>
      </c>
      <c r="FK191" s="139" t="str">
        <f t="shared" si="273"/>
        <v/>
      </c>
      <c r="FL191" s="139" t="str">
        <f t="shared" si="274"/>
        <v/>
      </c>
      <c r="FM191" s="139" t="str">
        <f t="shared" si="275"/>
        <v/>
      </c>
      <c r="FN191" s="139" t="str">
        <f t="shared" si="276"/>
        <v/>
      </c>
      <c r="FO191" s="139" t="str">
        <f t="shared" si="277"/>
        <v/>
      </c>
      <c r="FP191" s="139" t="str">
        <f t="shared" si="278"/>
        <v/>
      </c>
      <c r="FQ191" s="139" t="str">
        <f t="shared" si="279"/>
        <v/>
      </c>
      <c r="FR191" s="139" t="str">
        <f t="shared" si="280"/>
        <v/>
      </c>
      <c r="FS191" s="139" t="str">
        <f t="shared" si="281"/>
        <v/>
      </c>
      <c r="FT191" s="139" t="str">
        <f t="shared" si="282"/>
        <v/>
      </c>
      <c r="FU191" s="148" t="str">
        <f t="shared" si="283"/>
        <v/>
      </c>
      <c r="FV191" s="149"/>
      <c r="FY191" s="212">
        <v>186</v>
      </c>
      <c r="FZ191">
        <v>3.5509689719416651</v>
      </c>
      <c r="GA191">
        <v>7.8492704152021133</v>
      </c>
      <c r="GB191">
        <v>9.9475777918443384</v>
      </c>
      <c r="GC191">
        <v>4.659335862496981</v>
      </c>
      <c r="GD191">
        <v>0.59330756578916377</v>
      </c>
      <c r="GE191">
        <v>2.7386421947761508</v>
      </c>
      <c r="GF191">
        <v>10.212558484205996</v>
      </c>
      <c r="GG191">
        <v>7.5842228781952379</v>
      </c>
      <c r="GH191">
        <v>1.1480862768870872</v>
      </c>
      <c r="GI191">
        <v>6.1674830862015941</v>
      </c>
      <c r="GJ191"/>
      <c r="GK191"/>
      <c r="GL191"/>
      <c r="GM191"/>
    </row>
    <row r="192" spans="1:195" s="7" customFormat="1">
      <c r="A192" s="1"/>
      <c r="B192" s="76" t="str">
        <f t="shared" ca="1" si="250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17.783636998976295</v>
      </c>
      <c r="AO192">
        <v>10.6979572132848</v>
      </c>
      <c r="AP192">
        <v>58.243877061502332</v>
      </c>
      <c r="AQ192">
        <v>51.793789343772673</v>
      </c>
      <c r="AR192">
        <v>9.8279291875349184</v>
      </c>
      <c r="AS192">
        <v>50.82122823908945</v>
      </c>
      <c r="AT192">
        <v>5.7098788545970001</v>
      </c>
      <c r="AU192">
        <v>21.772792081161189</v>
      </c>
      <c r="AV192"/>
      <c r="AW192"/>
      <c r="AX192" s="146"/>
      <c r="AY192" s="76" t="str">
        <f t="shared" ca="1" si="173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8"/>
        <v/>
      </c>
      <c r="CL192" s="179" t="str">
        <f t="shared" si="209"/>
        <v/>
      </c>
      <c r="CM192" s="180" t="str">
        <f t="shared" si="210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1"/>
        <v/>
      </c>
      <c r="DB192" s="146"/>
      <c r="DC192" s="76" t="str">
        <f t="shared" ca="1" si="174"/>
        <v/>
      </c>
      <c r="DD192" t="str">
        <f t="shared" si="212"/>
        <v/>
      </c>
      <c r="DE192" s="129" t="str">
        <f t="shared" si="284"/>
        <v/>
      </c>
      <c r="DF192" s="161" t="str">
        <f t="shared" si="285"/>
        <v/>
      </c>
      <c r="DG192" s="161" t="str">
        <f t="shared" si="286"/>
        <v/>
      </c>
      <c r="DH192" s="161" t="str">
        <f t="shared" si="287"/>
        <v/>
      </c>
      <c r="DI192" s="161" t="str">
        <f t="shared" si="288"/>
        <v/>
      </c>
      <c r="DJ192" s="161" t="str">
        <f t="shared" si="289"/>
        <v/>
      </c>
      <c r="DK192" s="161" t="str">
        <f t="shared" si="290"/>
        <v/>
      </c>
      <c r="DL192" s="161" t="str">
        <f t="shared" si="291"/>
        <v/>
      </c>
      <c r="DM192" s="161" t="str">
        <f t="shared" si="292"/>
        <v/>
      </c>
      <c r="DN192" s="161" t="str">
        <f>IF($AZ192="", "", (BJ192*$CW192)/$CZ192)</f>
        <v/>
      </c>
      <c r="DO192" s="161" t="str">
        <f t="shared" si="293"/>
        <v/>
      </c>
      <c r="DP192" s="161" t="str">
        <f t="shared" si="294"/>
        <v/>
      </c>
      <c r="DQ192" s="161" t="str">
        <f t="shared" si="295"/>
        <v/>
      </c>
      <c r="DR192" s="161" t="str">
        <f t="shared" si="296"/>
        <v/>
      </c>
      <c r="DS192" s="161" t="str">
        <f t="shared" si="297"/>
        <v/>
      </c>
      <c r="DT192" s="161" t="str">
        <f t="shared" si="298"/>
        <v/>
      </c>
      <c r="DU192" s="161" t="str">
        <f t="shared" si="299"/>
        <v/>
      </c>
      <c r="DV192" s="161" t="str">
        <f t="shared" si="300"/>
        <v/>
      </c>
      <c r="DW192" s="161" t="str">
        <f t="shared" si="301"/>
        <v/>
      </c>
      <c r="DX192" s="161" t="str">
        <f t="shared" si="302"/>
        <v/>
      </c>
      <c r="DY192" s="161" t="str">
        <f t="shared" si="303"/>
        <v/>
      </c>
      <c r="DZ192" s="161" t="str">
        <f t="shared" si="304"/>
        <v/>
      </c>
      <c r="EA192" s="161" t="str">
        <f t="shared" si="305"/>
        <v/>
      </c>
      <c r="EB192" s="161" t="str">
        <f t="shared" si="306"/>
        <v/>
      </c>
      <c r="EC192" s="161" t="str">
        <f t="shared" si="307"/>
        <v/>
      </c>
      <c r="ED192" s="161" t="str">
        <f t="shared" si="308"/>
        <v/>
      </c>
      <c r="EE192" s="161" t="str">
        <f t="shared" si="309"/>
        <v/>
      </c>
      <c r="EF192" s="161" t="str">
        <f t="shared" si="310"/>
        <v/>
      </c>
      <c r="EG192" s="161" t="str">
        <f t="shared" si="311"/>
        <v/>
      </c>
      <c r="EH192" s="161" t="str">
        <f t="shared" si="312"/>
        <v/>
      </c>
      <c r="EI192" s="161" t="str">
        <f t="shared" si="313"/>
        <v/>
      </c>
      <c r="EJ192" s="161" t="str">
        <f t="shared" si="314"/>
        <v/>
      </c>
      <c r="EK192" s="147" t="str">
        <f t="shared" si="251"/>
        <v/>
      </c>
      <c r="EL192" s="149"/>
      <c r="EN192" s="146"/>
      <c r="EO192" s="146"/>
      <c r="EP192" s="139" t="str">
        <f t="shared" si="252"/>
        <v/>
      </c>
      <c r="EQ192" s="139" t="str">
        <f t="shared" si="253"/>
        <v/>
      </c>
      <c r="ER192" s="139" t="str">
        <f t="shared" si="254"/>
        <v/>
      </c>
      <c r="ES192" s="139" t="str">
        <f t="shared" si="255"/>
        <v/>
      </c>
      <c r="ET192" s="139" t="str">
        <f t="shared" si="256"/>
        <v/>
      </c>
      <c r="EU192" s="139" t="str">
        <f t="shared" si="257"/>
        <v/>
      </c>
      <c r="EV192" s="139" t="str">
        <f t="shared" si="258"/>
        <v/>
      </c>
      <c r="EW192" s="139" t="str">
        <f t="shared" si="259"/>
        <v/>
      </c>
      <c r="EX192" s="139" t="str">
        <f t="shared" si="260"/>
        <v/>
      </c>
      <c r="EY192" s="139" t="str">
        <f t="shared" si="261"/>
        <v/>
      </c>
      <c r="EZ192" s="139" t="str">
        <f t="shared" si="262"/>
        <v/>
      </c>
      <c r="FA192" s="139" t="str">
        <f t="shared" si="263"/>
        <v/>
      </c>
      <c r="FB192" s="139" t="str">
        <f t="shared" si="264"/>
        <v/>
      </c>
      <c r="FC192" s="139" t="str">
        <f t="shared" si="265"/>
        <v/>
      </c>
      <c r="FD192" s="139" t="str">
        <f t="shared" si="266"/>
        <v/>
      </c>
      <c r="FE192" s="139" t="str">
        <f t="shared" si="267"/>
        <v/>
      </c>
      <c r="FF192" s="139" t="str">
        <f t="shared" si="268"/>
        <v/>
      </c>
      <c r="FG192" s="139" t="str">
        <f t="shared" si="269"/>
        <v/>
      </c>
      <c r="FH192" s="139" t="str">
        <f t="shared" si="270"/>
        <v/>
      </c>
      <c r="FI192" s="139" t="str">
        <f t="shared" si="271"/>
        <v/>
      </c>
      <c r="FJ192" s="139" t="str">
        <f t="shared" si="272"/>
        <v/>
      </c>
      <c r="FK192" s="139" t="str">
        <f t="shared" si="273"/>
        <v/>
      </c>
      <c r="FL192" s="139" t="str">
        <f t="shared" si="274"/>
        <v/>
      </c>
      <c r="FM192" s="139" t="str">
        <f t="shared" si="275"/>
        <v/>
      </c>
      <c r="FN192" s="139" t="str">
        <f t="shared" si="276"/>
        <v/>
      </c>
      <c r="FO192" s="139" t="str">
        <f t="shared" si="277"/>
        <v/>
      </c>
      <c r="FP192" s="139" t="str">
        <f t="shared" si="278"/>
        <v/>
      </c>
      <c r="FQ192" s="139" t="str">
        <f t="shared" si="279"/>
        <v/>
      </c>
      <c r="FR192" s="139" t="str">
        <f t="shared" si="280"/>
        <v/>
      </c>
      <c r="FS192" s="139" t="str">
        <f t="shared" si="281"/>
        <v/>
      </c>
      <c r="FT192" s="139" t="str">
        <f t="shared" si="282"/>
        <v/>
      </c>
      <c r="FU192" s="148" t="str">
        <f t="shared" si="283"/>
        <v/>
      </c>
      <c r="FV192" s="149"/>
      <c r="FY192" s="212">
        <v>187</v>
      </c>
      <c r="FZ192">
        <v>6.5675833357293669</v>
      </c>
      <c r="GA192">
        <v>9.3616655043399941</v>
      </c>
      <c r="GB192">
        <v>7.9801696452094575</v>
      </c>
      <c r="GC192">
        <v>3.9329116649627576</v>
      </c>
      <c r="GD192">
        <v>0.40705372664797812</v>
      </c>
      <c r="GE192">
        <v>2.9200760384527813</v>
      </c>
      <c r="GF192">
        <v>7.1562936902102674</v>
      </c>
      <c r="GG192">
        <v>3.8759430635247796</v>
      </c>
      <c r="GH192">
        <v>2.0043937482684111</v>
      </c>
      <c r="GI192">
        <v>5.073753240497652</v>
      </c>
      <c r="GJ192"/>
      <c r="GK192"/>
      <c r="GL192"/>
      <c r="GM192"/>
    </row>
    <row r="193" spans="1:195" s="7" customFormat="1">
      <c r="A193" s="1"/>
      <c r="B193" s="76" t="str">
        <f t="shared" ca="1" si="250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20.60982163949917</v>
      </c>
      <c r="AO193">
        <v>7.5010967785048335</v>
      </c>
      <c r="AP193">
        <v>60.678316856823855</v>
      </c>
      <c r="AQ193">
        <v>42.369234078735388</v>
      </c>
      <c r="AR193">
        <v>6.8543622873685139</v>
      </c>
      <c r="AS193">
        <v>36.420240647444885</v>
      </c>
      <c r="AT193">
        <v>4.1593667674218784</v>
      </c>
      <c r="AU193">
        <v>37.041201987791375</v>
      </c>
      <c r="AV193"/>
      <c r="AW193"/>
      <c r="AX193" s="146"/>
      <c r="AY193" s="76" t="str">
        <f t="shared" ca="1" si="173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8"/>
        <v/>
      </c>
      <c r="CL193" s="179" t="str">
        <f t="shared" si="209"/>
        <v/>
      </c>
      <c r="CM193" s="180" t="str">
        <f t="shared" si="210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1"/>
        <v/>
      </c>
      <c r="DB193" s="146"/>
      <c r="DC193" s="76" t="str">
        <f t="shared" ca="1" si="174"/>
        <v/>
      </c>
      <c r="DD193" t="str">
        <f t="shared" si="212"/>
        <v/>
      </c>
      <c r="DE193" s="129" t="str">
        <f t="shared" si="284"/>
        <v/>
      </c>
      <c r="DF193" s="161" t="str">
        <f t="shared" si="285"/>
        <v/>
      </c>
      <c r="DG193" s="161" t="str">
        <f t="shared" si="286"/>
        <v/>
      </c>
      <c r="DH193" s="161" t="str">
        <f t="shared" si="287"/>
        <v/>
      </c>
      <c r="DI193" s="161" t="str">
        <f t="shared" si="288"/>
        <v/>
      </c>
      <c r="DJ193" s="161" t="str">
        <f t="shared" si="289"/>
        <v/>
      </c>
      <c r="DK193" s="161" t="str">
        <f t="shared" si="290"/>
        <v/>
      </c>
      <c r="DL193" s="161" t="str">
        <f t="shared" si="291"/>
        <v/>
      </c>
      <c r="DM193" s="161" t="str">
        <f t="shared" si="292"/>
        <v/>
      </c>
      <c r="DN193" s="161" t="str">
        <f t="shared" ref="DN193:DN207" si="315">IF($AZ193="", "", (BJ193*$CW193)/$CZ193)</f>
        <v/>
      </c>
      <c r="DO193" s="161" t="str">
        <f t="shared" si="293"/>
        <v/>
      </c>
      <c r="DP193" s="161" t="str">
        <f t="shared" si="294"/>
        <v/>
      </c>
      <c r="DQ193" s="161" t="str">
        <f t="shared" si="295"/>
        <v/>
      </c>
      <c r="DR193" s="161" t="str">
        <f t="shared" si="296"/>
        <v/>
      </c>
      <c r="DS193" s="161" t="str">
        <f t="shared" si="297"/>
        <v/>
      </c>
      <c r="DT193" s="161" t="str">
        <f t="shared" si="298"/>
        <v/>
      </c>
      <c r="DU193" s="161" t="str">
        <f t="shared" si="299"/>
        <v/>
      </c>
      <c r="DV193" s="161" t="str">
        <f t="shared" si="300"/>
        <v/>
      </c>
      <c r="DW193" s="161" t="str">
        <f t="shared" si="301"/>
        <v/>
      </c>
      <c r="DX193" s="161" t="str">
        <f t="shared" si="302"/>
        <v/>
      </c>
      <c r="DY193" s="161" t="str">
        <f t="shared" si="303"/>
        <v/>
      </c>
      <c r="DZ193" s="161" t="str">
        <f t="shared" si="304"/>
        <v/>
      </c>
      <c r="EA193" s="161" t="str">
        <f t="shared" si="305"/>
        <v/>
      </c>
      <c r="EB193" s="161" t="str">
        <f t="shared" si="306"/>
        <v/>
      </c>
      <c r="EC193" s="161" t="str">
        <f t="shared" si="307"/>
        <v/>
      </c>
      <c r="ED193" s="161" t="str">
        <f t="shared" si="308"/>
        <v/>
      </c>
      <c r="EE193" s="161" t="str">
        <f t="shared" si="309"/>
        <v/>
      </c>
      <c r="EF193" s="161" t="str">
        <f t="shared" si="310"/>
        <v/>
      </c>
      <c r="EG193" s="161" t="str">
        <f t="shared" si="311"/>
        <v/>
      </c>
      <c r="EH193" s="161" t="str">
        <f t="shared" si="312"/>
        <v/>
      </c>
      <c r="EI193" s="161" t="str">
        <f t="shared" si="313"/>
        <v/>
      </c>
      <c r="EJ193" s="161" t="str">
        <f t="shared" si="314"/>
        <v/>
      </c>
      <c r="EK193" s="147" t="str">
        <f t="shared" si="251"/>
        <v/>
      </c>
      <c r="EL193" s="149"/>
      <c r="EN193" s="146"/>
      <c r="EO193" s="146"/>
      <c r="EP193" s="139" t="str">
        <f t="shared" si="252"/>
        <v/>
      </c>
      <c r="EQ193" s="139" t="str">
        <f t="shared" si="253"/>
        <v/>
      </c>
      <c r="ER193" s="139" t="str">
        <f t="shared" si="254"/>
        <v/>
      </c>
      <c r="ES193" s="139" t="str">
        <f t="shared" si="255"/>
        <v/>
      </c>
      <c r="ET193" s="139" t="str">
        <f t="shared" si="256"/>
        <v/>
      </c>
      <c r="EU193" s="139" t="str">
        <f t="shared" si="257"/>
        <v/>
      </c>
      <c r="EV193" s="139" t="str">
        <f t="shared" si="258"/>
        <v/>
      </c>
      <c r="EW193" s="139" t="str">
        <f t="shared" si="259"/>
        <v/>
      </c>
      <c r="EX193" s="139" t="str">
        <f t="shared" si="260"/>
        <v/>
      </c>
      <c r="EY193" s="139" t="str">
        <f t="shared" si="261"/>
        <v/>
      </c>
      <c r="EZ193" s="139" t="str">
        <f t="shared" si="262"/>
        <v/>
      </c>
      <c r="FA193" s="139" t="str">
        <f t="shared" si="263"/>
        <v/>
      </c>
      <c r="FB193" s="139" t="str">
        <f t="shared" si="264"/>
        <v/>
      </c>
      <c r="FC193" s="139" t="str">
        <f t="shared" si="265"/>
        <v/>
      </c>
      <c r="FD193" s="139" t="str">
        <f t="shared" si="266"/>
        <v/>
      </c>
      <c r="FE193" s="139" t="str">
        <f t="shared" si="267"/>
        <v/>
      </c>
      <c r="FF193" s="139" t="str">
        <f t="shared" si="268"/>
        <v/>
      </c>
      <c r="FG193" s="139" t="str">
        <f t="shared" si="269"/>
        <v/>
      </c>
      <c r="FH193" s="139" t="str">
        <f t="shared" si="270"/>
        <v/>
      </c>
      <c r="FI193" s="139" t="str">
        <f t="shared" si="271"/>
        <v/>
      </c>
      <c r="FJ193" s="139" t="str">
        <f t="shared" si="272"/>
        <v/>
      </c>
      <c r="FK193" s="139" t="str">
        <f t="shared" si="273"/>
        <v/>
      </c>
      <c r="FL193" s="139" t="str">
        <f t="shared" si="274"/>
        <v/>
      </c>
      <c r="FM193" s="139" t="str">
        <f t="shared" si="275"/>
        <v/>
      </c>
      <c r="FN193" s="139" t="str">
        <f t="shared" si="276"/>
        <v/>
      </c>
      <c r="FO193" s="139" t="str">
        <f t="shared" si="277"/>
        <v/>
      </c>
      <c r="FP193" s="139" t="str">
        <f t="shared" si="278"/>
        <v/>
      </c>
      <c r="FQ193" s="139" t="str">
        <f t="shared" si="279"/>
        <v/>
      </c>
      <c r="FR193" s="139" t="str">
        <f t="shared" si="280"/>
        <v/>
      </c>
      <c r="FS193" s="139" t="str">
        <f t="shared" si="281"/>
        <v/>
      </c>
      <c r="FT193" s="139" t="str">
        <f t="shared" si="282"/>
        <v/>
      </c>
      <c r="FU193" s="148" t="str">
        <f t="shared" si="283"/>
        <v/>
      </c>
      <c r="FV193" s="149"/>
      <c r="FY193" s="212">
        <v>188</v>
      </c>
      <c r="FZ193">
        <v>0.3093487824057119</v>
      </c>
      <c r="GA193">
        <v>2.2016068435387837</v>
      </c>
      <c r="GB193">
        <v>4.5148691991963537</v>
      </c>
      <c r="GC193">
        <v>2.7055469301515993</v>
      </c>
      <c r="GD193">
        <v>1.7127549056102818</v>
      </c>
      <c r="GE193">
        <v>3.1712546385505247</v>
      </c>
      <c r="GF193">
        <v>6.8947377948695339</v>
      </c>
      <c r="GG193">
        <v>6.6663152668941388</v>
      </c>
      <c r="GH193">
        <v>1.8764300774172669</v>
      </c>
      <c r="GI193">
        <v>4.3750047919229136</v>
      </c>
      <c r="GJ193"/>
      <c r="GK193"/>
      <c r="GL193"/>
      <c r="GM193"/>
    </row>
    <row r="194" spans="1:195" s="7" customFormat="1">
      <c r="A194" s="1"/>
      <c r="B194" s="76" t="str">
        <f t="shared" ca="1" si="250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17.950303665642966</v>
      </c>
      <c r="AO194">
        <v>9.466295516720665</v>
      </c>
      <c r="AP194">
        <v>51.129387745013126</v>
      </c>
      <c r="AQ194">
        <v>47.306577298462138</v>
      </c>
      <c r="AR194">
        <v>8.7190952543428608</v>
      </c>
      <c r="AS194">
        <v>48.527577003907297</v>
      </c>
      <c r="AT194">
        <v>4.2260379068574165</v>
      </c>
      <c r="AU194">
        <v>16.680226091049864</v>
      </c>
      <c r="AV194"/>
      <c r="AW194"/>
      <c r="AX194" s="146"/>
      <c r="AY194" s="76" t="str">
        <f t="shared" ca="1" si="173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8"/>
        <v/>
      </c>
      <c r="CL194" s="179" t="str">
        <f t="shared" si="209"/>
        <v/>
      </c>
      <c r="CM194" s="180" t="str">
        <f t="shared" si="210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1"/>
        <v/>
      </c>
      <c r="DB194" s="146"/>
      <c r="DC194" s="76" t="str">
        <f t="shared" ca="1" si="174"/>
        <v/>
      </c>
      <c r="DD194" t="str">
        <f t="shared" si="212"/>
        <v/>
      </c>
      <c r="DE194" s="129" t="str">
        <f t="shared" si="284"/>
        <v/>
      </c>
      <c r="DF194" s="161" t="str">
        <f t="shared" si="285"/>
        <v/>
      </c>
      <c r="DG194" s="161" t="str">
        <f t="shared" si="286"/>
        <v/>
      </c>
      <c r="DH194" s="161" t="str">
        <f t="shared" si="287"/>
        <v/>
      </c>
      <c r="DI194" s="161" t="str">
        <f t="shared" si="288"/>
        <v/>
      </c>
      <c r="DJ194" s="161" t="str">
        <f t="shared" si="289"/>
        <v/>
      </c>
      <c r="DK194" s="161" t="str">
        <f t="shared" si="290"/>
        <v/>
      </c>
      <c r="DL194" s="161" t="str">
        <f t="shared" si="291"/>
        <v/>
      </c>
      <c r="DM194" s="161" t="str">
        <f t="shared" si="292"/>
        <v/>
      </c>
      <c r="DN194" s="161" t="str">
        <f t="shared" si="315"/>
        <v/>
      </c>
      <c r="DO194" s="161" t="str">
        <f t="shared" ref="DO194:DO206" si="316">IF($AZ194="", "", (BK193*$CW194)/$CZ194)</f>
        <v/>
      </c>
      <c r="DP194" s="161" t="str">
        <f t="shared" ref="DP194:DP206" si="317">IF($AZ194="", "", (BL193*$CW194)/$CZ194)</f>
        <v/>
      </c>
      <c r="DQ194" s="161" t="str">
        <f t="shared" ref="DQ194:DQ206" si="318">IF($AZ194="", "", (BM193*$CW194)/$CZ194)</f>
        <v/>
      </c>
      <c r="DR194" s="161" t="str">
        <f t="shared" ref="DR194:DR206" si="319">IF($AZ194="", "", (BN193*$CW194)/$CZ194)</f>
        <v/>
      </c>
      <c r="DS194" s="161" t="str">
        <f t="shared" ref="DS194:DS206" si="320">IF($AZ194="", "", (BO193*$CW194)/$CZ194)</f>
        <v/>
      </c>
      <c r="DT194" s="161" t="str">
        <f t="shared" ref="DT194:DT206" si="321">IF($AZ194="", "", (BP193*$CW194)/$CZ194)</f>
        <v/>
      </c>
      <c r="DU194" s="161" t="str">
        <f t="shared" ref="DU194:DU206" si="322">IF($AZ194="", "", (BQ193*$CW194)/$CZ194)</f>
        <v/>
      </c>
      <c r="DV194" s="161" t="str">
        <f t="shared" ref="DV194:DV206" si="323">IF($AZ194="", "", (BR193*$CW194)/$CZ194)</f>
        <v/>
      </c>
      <c r="DW194" s="161" t="str">
        <f t="shared" ref="DW194:DW206" si="324">IF($AZ194="", "", (BS193*$CW194)/$CZ194)</f>
        <v/>
      </c>
      <c r="DX194" s="161" t="str">
        <f t="shared" ref="DX194:DX206" si="325">IF($AZ194="", "", (BT193*$CW194)/$CZ194)</f>
        <v/>
      </c>
      <c r="DY194" s="161" t="str">
        <f t="shared" ref="DY194:DY206" si="326">IF($AZ194="", "", (BU193*$CW194)/$CZ194)</f>
        <v/>
      </c>
      <c r="DZ194" s="161" t="str">
        <f t="shared" ref="DZ194:DZ206" si="327">IF($AZ194="", "", (BV193*$CW194)/$CZ194)</f>
        <v/>
      </c>
      <c r="EA194" s="161" t="str">
        <f t="shared" ref="EA194:EA206" si="328">IF($AZ194="", "", (BW193*$CW194)/$CZ194)</f>
        <v/>
      </c>
      <c r="EB194" s="161" t="str">
        <f t="shared" ref="EB194:EB206" si="329">IF($AZ194="", "", (BX193*$CW194)/$CZ194)</f>
        <v/>
      </c>
      <c r="EC194" s="161" t="str">
        <f t="shared" ref="EC194:EC206" si="330">IF($AZ194="", "", (BY193*$CW194)/$CZ194)</f>
        <v/>
      </c>
      <c r="ED194" s="161" t="str">
        <f t="shared" ref="ED194:ED206" si="331">IF($AZ194="", "", (BZ193*$CW194)/$CZ194)</f>
        <v/>
      </c>
      <c r="EE194" s="161" t="str">
        <f t="shared" ref="EE194:EE206" si="332">IF($AZ194="", "", (CA193*$CW194)/$CZ194)</f>
        <v/>
      </c>
      <c r="EF194" s="161" t="str">
        <f t="shared" ref="EF194:EF206" si="333">IF($AZ194="", "", (CB193*$CW194)/$CZ194)</f>
        <v/>
      </c>
      <c r="EG194" s="161" t="str">
        <f t="shared" ref="EG194:EG206" si="334">IF($AZ194="", "", (CC193*$CW194)/$CZ194)</f>
        <v/>
      </c>
      <c r="EH194" s="161" t="str">
        <f t="shared" ref="EH194:EH206" si="335">IF($AZ194="", "", (CD193*$CW194)/$CZ194)</f>
        <v/>
      </c>
      <c r="EI194" s="161" t="str">
        <f t="shared" ref="EI194:EI206" si="336">IF($AZ194="", "", (CE193*$CW194)/$CZ194)</f>
        <v/>
      </c>
      <c r="EJ194" s="161" t="str">
        <f t="shared" ref="EJ194:EJ206" si="337">IF($AZ194="", "", (CF193*$CW194)/$CZ194)</f>
        <v/>
      </c>
      <c r="EK194" s="147" t="str">
        <f t="shared" si="251"/>
        <v/>
      </c>
      <c r="EL194" s="149"/>
      <c r="EN194" s="146"/>
      <c r="EO194" s="146"/>
      <c r="EP194" s="139" t="str">
        <f t="shared" si="252"/>
        <v/>
      </c>
      <c r="EQ194" s="139" t="str">
        <f t="shared" si="253"/>
        <v/>
      </c>
      <c r="ER194" s="139" t="str">
        <f t="shared" si="254"/>
        <v/>
      </c>
      <c r="ES194" s="139" t="str">
        <f t="shared" si="255"/>
        <v/>
      </c>
      <c r="ET194" s="139" t="str">
        <f t="shared" si="256"/>
        <v/>
      </c>
      <c r="EU194" s="139" t="str">
        <f t="shared" si="257"/>
        <v/>
      </c>
      <c r="EV194" s="139" t="str">
        <f t="shared" si="258"/>
        <v/>
      </c>
      <c r="EW194" s="139" t="str">
        <f t="shared" si="259"/>
        <v/>
      </c>
      <c r="EX194" s="139" t="str">
        <f t="shared" si="260"/>
        <v/>
      </c>
      <c r="EY194" s="139" t="str">
        <f t="shared" si="261"/>
        <v/>
      </c>
      <c r="EZ194" s="139" t="str">
        <f t="shared" si="262"/>
        <v/>
      </c>
      <c r="FA194" s="139" t="str">
        <f t="shared" si="263"/>
        <v/>
      </c>
      <c r="FB194" s="139" t="str">
        <f t="shared" si="264"/>
        <v/>
      </c>
      <c r="FC194" s="139" t="str">
        <f t="shared" si="265"/>
        <v/>
      </c>
      <c r="FD194" s="139" t="str">
        <f t="shared" si="266"/>
        <v/>
      </c>
      <c r="FE194" s="139" t="str">
        <f t="shared" si="267"/>
        <v/>
      </c>
      <c r="FF194" s="139" t="str">
        <f t="shared" si="268"/>
        <v/>
      </c>
      <c r="FG194" s="139" t="str">
        <f t="shared" si="269"/>
        <v/>
      </c>
      <c r="FH194" s="139" t="str">
        <f t="shared" si="270"/>
        <v/>
      </c>
      <c r="FI194" s="139" t="str">
        <f t="shared" si="271"/>
        <v/>
      </c>
      <c r="FJ194" s="139" t="str">
        <f t="shared" si="272"/>
        <v/>
      </c>
      <c r="FK194" s="139" t="str">
        <f t="shared" si="273"/>
        <v/>
      </c>
      <c r="FL194" s="139" t="str">
        <f t="shared" si="274"/>
        <v/>
      </c>
      <c r="FM194" s="139" t="str">
        <f t="shared" si="275"/>
        <v/>
      </c>
      <c r="FN194" s="139" t="str">
        <f t="shared" si="276"/>
        <v/>
      </c>
      <c r="FO194" s="139" t="str">
        <f t="shared" si="277"/>
        <v/>
      </c>
      <c r="FP194" s="139" t="str">
        <f t="shared" si="278"/>
        <v/>
      </c>
      <c r="FQ194" s="139" t="str">
        <f t="shared" si="279"/>
        <v/>
      </c>
      <c r="FR194" s="139" t="str">
        <f t="shared" si="280"/>
        <v/>
      </c>
      <c r="FS194" s="139" t="str">
        <f t="shared" si="281"/>
        <v/>
      </c>
      <c r="FT194" s="139" t="str">
        <f t="shared" si="282"/>
        <v/>
      </c>
      <c r="FU194" s="148" t="str">
        <f t="shared" si="283"/>
        <v/>
      </c>
      <c r="FV194" s="149"/>
      <c r="FY194" s="212">
        <v>189</v>
      </c>
      <c r="FZ194">
        <v>3.3650973068600267</v>
      </c>
      <c r="GA194">
        <v>5.5665923680878304</v>
      </c>
      <c r="GB194">
        <v>6.699626579683148</v>
      </c>
      <c r="GC194">
        <v>3.8695415781067455</v>
      </c>
      <c r="GD194">
        <v>1.65000808981813</v>
      </c>
      <c r="GE194">
        <v>3.6842518552803964</v>
      </c>
      <c r="GF194">
        <v>8.6406972614897146</v>
      </c>
      <c r="GG194">
        <v>7.2550401321279265</v>
      </c>
      <c r="GH194">
        <v>2.7151915697419207</v>
      </c>
      <c r="GI194">
        <v>5.7978780236884848</v>
      </c>
      <c r="GJ194"/>
      <c r="GK194"/>
      <c r="GL194"/>
      <c r="GM194"/>
    </row>
    <row r="195" spans="1:195" s="7" customFormat="1">
      <c r="A195" s="1"/>
      <c r="B195" s="76" t="str">
        <f t="shared" ca="1" si="250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12.869689542483659</v>
      </c>
      <c r="AO195">
        <v>8.9457894911668685</v>
      </c>
      <c r="AP195">
        <v>47.008533425101902</v>
      </c>
      <c r="AQ195">
        <v>40.521789131542434</v>
      </c>
      <c r="AR195">
        <v>8.2169037530024731</v>
      </c>
      <c r="AS195">
        <v>39.553046744535976</v>
      </c>
      <c r="AT195">
        <v>5.3218768222990329</v>
      </c>
      <c r="AU195">
        <v>34.438955952795574</v>
      </c>
      <c r="AV195"/>
      <c r="AW195"/>
      <c r="AX195" s="146"/>
      <c r="AY195" s="76" t="str">
        <f t="shared" ca="1" si="173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8"/>
        <v/>
      </c>
      <c r="CL195" s="179" t="str">
        <f t="shared" si="209"/>
        <v/>
      </c>
      <c r="CM195" s="180" t="str">
        <f t="shared" si="210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1"/>
        <v/>
      </c>
      <c r="DB195" s="146"/>
      <c r="DC195" s="76" t="str">
        <f t="shared" ca="1" si="174"/>
        <v/>
      </c>
      <c r="DD195" t="str">
        <f t="shared" si="212"/>
        <v/>
      </c>
      <c r="DE195" s="129" t="str">
        <f t="shared" si="284"/>
        <v/>
      </c>
      <c r="DF195" s="161" t="str">
        <f t="shared" si="285"/>
        <v/>
      </c>
      <c r="DG195" s="161" t="str">
        <f t="shared" si="286"/>
        <v/>
      </c>
      <c r="DH195" s="161" t="str">
        <f t="shared" si="287"/>
        <v/>
      </c>
      <c r="DI195" s="161" t="str">
        <f t="shared" si="288"/>
        <v/>
      </c>
      <c r="DJ195" s="161" t="str">
        <f t="shared" si="289"/>
        <v/>
      </c>
      <c r="DK195" s="161" t="str">
        <f t="shared" si="290"/>
        <v/>
      </c>
      <c r="DL195" s="161" t="str">
        <f t="shared" si="291"/>
        <v/>
      </c>
      <c r="DM195" s="161" t="str">
        <f t="shared" si="292"/>
        <v/>
      </c>
      <c r="DN195" s="161" t="str">
        <f t="shared" si="315"/>
        <v/>
      </c>
      <c r="DO195" s="161" t="str">
        <f t="shared" si="316"/>
        <v/>
      </c>
      <c r="DP195" s="161" t="str">
        <f t="shared" si="317"/>
        <v/>
      </c>
      <c r="DQ195" s="161" t="str">
        <f t="shared" si="318"/>
        <v/>
      </c>
      <c r="DR195" s="161" t="str">
        <f t="shared" si="319"/>
        <v/>
      </c>
      <c r="DS195" s="161" t="str">
        <f t="shared" si="320"/>
        <v/>
      </c>
      <c r="DT195" s="161" t="str">
        <f t="shared" si="321"/>
        <v/>
      </c>
      <c r="DU195" s="161" t="str">
        <f t="shared" si="322"/>
        <v/>
      </c>
      <c r="DV195" s="161" t="str">
        <f t="shared" si="323"/>
        <v/>
      </c>
      <c r="DW195" s="161" t="str">
        <f t="shared" si="324"/>
        <v/>
      </c>
      <c r="DX195" s="161" t="str">
        <f t="shared" si="325"/>
        <v/>
      </c>
      <c r="DY195" s="161" t="str">
        <f t="shared" si="326"/>
        <v/>
      </c>
      <c r="DZ195" s="161" t="str">
        <f t="shared" si="327"/>
        <v/>
      </c>
      <c r="EA195" s="161" t="str">
        <f t="shared" si="328"/>
        <v/>
      </c>
      <c r="EB195" s="161" t="str">
        <f t="shared" si="329"/>
        <v/>
      </c>
      <c r="EC195" s="161" t="str">
        <f t="shared" si="330"/>
        <v/>
      </c>
      <c r="ED195" s="161" t="str">
        <f t="shared" si="331"/>
        <v/>
      </c>
      <c r="EE195" s="161" t="str">
        <f t="shared" si="332"/>
        <v/>
      </c>
      <c r="EF195" s="161" t="str">
        <f t="shared" si="333"/>
        <v/>
      </c>
      <c r="EG195" s="161" t="str">
        <f t="shared" si="334"/>
        <v/>
      </c>
      <c r="EH195" s="161" t="str">
        <f t="shared" si="335"/>
        <v/>
      </c>
      <c r="EI195" s="161" t="str">
        <f t="shared" si="336"/>
        <v/>
      </c>
      <c r="EJ195" s="161" t="str">
        <f t="shared" si="337"/>
        <v/>
      </c>
      <c r="EK195" s="147" t="str">
        <f t="shared" si="251"/>
        <v/>
      </c>
      <c r="EL195" s="149"/>
      <c r="EN195" s="146"/>
      <c r="EO195" s="146"/>
      <c r="EP195" s="139" t="str">
        <f t="shared" si="252"/>
        <v/>
      </c>
      <c r="EQ195" s="139" t="str">
        <f t="shared" si="253"/>
        <v/>
      </c>
      <c r="ER195" s="139" t="str">
        <f t="shared" si="254"/>
        <v/>
      </c>
      <c r="ES195" s="139" t="str">
        <f t="shared" si="255"/>
        <v/>
      </c>
      <c r="ET195" s="139" t="str">
        <f t="shared" si="256"/>
        <v/>
      </c>
      <c r="EU195" s="139" t="str">
        <f t="shared" si="257"/>
        <v/>
      </c>
      <c r="EV195" s="139" t="str">
        <f t="shared" si="258"/>
        <v/>
      </c>
      <c r="EW195" s="139" t="str">
        <f t="shared" si="259"/>
        <v/>
      </c>
      <c r="EX195" s="139" t="str">
        <f t="shared" si="260"/>
        <v/>
      </c>
      <c r="EY195" s="139" t="str">
        <f t="shared" si="261"/>
        <v/>
      </c>
      <c r="EZ195" s="139" t="str">
        <f t="shared" si="262"/>
        <v/>
      </c>
      <c r="FA195" s="139" t="str">
        <f t="shared" si="263"/>
        <v/>
      </c>
      <c r="FB195" s="139" t="str">
        <f t="shared" si="264"/>
        <v/>
      </c>
      <c r="FC195" s="139" t="str">
        <f t="shared" si="265"/>
        <v/>
      </c>
      <c r="FD195" s="139" t="str">
        <f t="shared" si="266"/>
        <v/>
      </c>
      <c r="FE195" s="139" t="str">
        <f t="shared" si="267"/>
        <v/>
      </c>
      <c r="FF195" s="139" t="str">
        <f t="shared" si="268"/>
        <v/>
      </c>
      <c r="FG195" s="139" t="str">
        <f t="shared" si="269"/>
        <v/>
      </c>
      <c r="FH195" s="139" t="str">
        <f t="shared" si="270"/>
        <v/>
      </c>
      <c r="FI195" s="139" t="str">
        <f t="shared" si="271"/>
        <v/>
      </c>
      <c r="FJ195" s="139" t="str">
        <f t="shared" si="272"/>
        <v/>
      </c>
      <c r="FK195" s="139" t="str">
        <f t="shared" si="273"/>
        <v/>
      </c>
      <c r="FL195" s="139" t="str">
        <f t="shared" si="274"/>
        <v/>
      </c>
      <c r="FM195" s="139" t="str">
        <f t="shared" si="275"/>
        <v/>
      </c>
      <c r="FN195" s="139" t="str">
        <f t="shared" si="276"/>
        <v/>
      </c>
      <c r="FO195" s="139" t="str">
        <f t="shared" si="277"/>
        <v/>
      </c>
      <c r="FP195" s="139" t="str">
        <f t="shared" si="278"/>
        <v/>
      </c>
      <c r="FQ195" s="139" t="str">
        <f t="shared" si="279"/>
        <v/>
      </c>
      <c r="FR195" s="139" t="str">
        <f t="shared" si="280"/>
        <v/>
      </c>
      <c r="FS195" s="139" t="str">
        <f t="shared" si="281"/>
        <v/>
      </c>
      <c r="FT195" s="139" t="str">
        <f t="shared" si="282"/>
        <v/>
      </c>
      <c r="FU195" s="148" t="str">
        <f t="shared" si="283"/>
        <v/>
      </c>
      <c r="FV195" s="149"/>
      <c r="FY195" s="212">
        <v>190</v>
      </c>
      <c r="FZ195">
        <v>9.8728824500341137</v>
      </c>
      <c r="GA195">
        <v>14.198187047392747</v>
      </c>
      <c r="GB195">
        <v>11.595549517512817</v>
      </c>
      <c r="GC195">
        <v>6.0179801006153282</v>
      </c>
      <c r="GD195">
        <v>1.7459249762435116</v>
      </c>
      <c r="GE195">
        <v>4.9387108313950341</v>
      </c>
      <c r="GF195">
        <v>17.347965326356238</v>
      </c>
      <c r="GG195">
        <v>16.084422048526648</v>
      </c>
      <c r="GH195">
        <v>3.0135469072299643</v>
      </c>
      <c r="GI195">
        <v>10.591805460597959</v>
      </c>
      <c r="GJ195"/>
      <c r="GK195"/>
      <c r="GL195"/>
      <c r="GM195"/>
    </row>
    <row r="196" spans="1:195" s="7" customFormat="1">
      <c r="A196" s="1"/>
      <c r="B196" s="76" t="str">
        <f t="shared" ca="1" si="250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13.102200468540829</v>
      </c>
      <c r="AO196">
        <v>8.1857398736784024</v>
      </c>
      <c r="AP196">
        <v>51.260455984286423</v>
      </c>
      <c r="AQ196">
        <v>40.470512509673682</v>
      </c>
      <c r="AR196">
        <v>7.4984782409935802</v>
      </c>
      <c r="AS196">
        <v>39.884151908667462</v>
      </c>
      <c r="AT196">
        <v>4.2212622453594317</v>
      </c>
      <c r="AU196">
        <v>2.8829720131390904</v>
      </c>
      <c r="AV196"/>
      <c r="AW196"/>
      <c r="AX196" s="146"/>
      <c r="AY196" s="76" t="str">
        <f t="shared" ca="1" si="173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8"/>
        <v/>
      </c>
      <c r="CL196" s="179" t="str">
        <f t="shared" si="209"/>
        <v/>
      </c>
      <c r="CM196" s="180" t="str">
        <f t="shared" si="210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1"/>
        <v/>
      </c>
      <c r="DB196" s="146"/>
      <c r="DC196" s="76" t="str">
        <f t="shared" ca="1" si="174"/>
        <v/>
      </c>
      <c r="DD196" t="str">
        <f t="shared" si="212"/>
        <v/>
      </c>
      <c r="DE196" s="129" t="str">
        <f t="shared" si="284"/>
        <v/>
      </c>
      <c r="DF196" s="161" t="str">
        <f t="shared" si="285"/>
        <v/>
      </c>
      <c r="DG196" s="161" t="str">
        <f t="shared" si="286"/>
        <v/>
      </c>
      <c r="DH196" s="161" t="str">
        <f t="shared" si="287"/>
        <v/>
      </c>
      <c r="DI196" s="161" t="str">
        <f t="shared" si="288"/>
        <v/>
      </c>
      <c r="DJ196" s="161" t="str">
        <f t="shared" si="289"/>
        <v/>
      </c>
      <c r="DK196" s="161" t="str">
        <f t="shared" si="290"/>
        <v/>
      </c>
      <c r="DL196" s="161" t="str">
        <f t="shared" si="291"/>
        <v/>
      </c>
      <c r="DM196" s="161" t="str">
        <f t="shared" si="292"/>
        <v/>
      </c>
      <c r="DN196" s="161" t="str">
        <f t="shared" si="315"/>
        <v/>
      </c>
      <c r="DO196" s="161" t="str">
        <f t="shared" si="316"/>
        <v/>
      </c>
      <c r="DP196" s="161" t="str">
        <f t="shared" si="317"/>
        <v/>
      </c>
      <c r="DQ196" s="161" t="str">
        <f t="shared" si="318"/>
        <v/>
      </c>
      <c r="DR196" s="161" t="str">
        <f t="shared" si="319"/>
        <v/>
      </c>
      <c r="DS196" s="161" t="str">
        <f t="shared" si="320"/>
        <v/>
      </c>
      <c r="DT196" s="161" t="str">
        <f t="shared" si="321"/>
        <v/>
      </c>
      <c r="DU196" s="161" t="str">
        <f t="shared" si="322"/>
        <v/>
      </c>
      <c r="DV196" s="161" t="str">
        <f t="shared" si="323"/>
        <v/>
      </c>
      <c r="DW196" s="161" t="str">
        <f t="shared" si="324"/>
        <v/>
      </c>
      <c r="DX196" s="161" t="str">
        <f t="shared" si="325"/>
        <v/>
      </c>
      <c r="DY196" s="161" t="str">
        <f t="shared" si="326"/>
        <v/>
      </c>
      <c r="DZ196" s="161" t="str">
        <f t="shared" si="327"/>
        <v/>
      </c>
      <c r="EA196" s="161" t="str">
        <f t="shared" si="328"/>
        <v/>
      </c>
      <c r="EB196" s="161" t="str">
        <f t="shared" si="329"/>
        <v/>
      </c>
      <c r="EC196" s="161" t="str">
        <f t="shared" si="330"/>
        <v/>
      </c>
      <c r="ED196" s="161" t="str">
        <f t="shared" si="331"/>
        <v/>
      </c>
      <c r="EE196" s="161" t="str">
        <f t="shared" si="332"/>
        <v/>
      </c>
      <c r="EF196" s="161" t="str">
        <f t="shared" si="333"/>
        <v/>
      </c>
      <c r="EG196" s="161" t="str">
        <f t="shared" si="334"/>
        <v/>
      </c>
      <c r="EH196" s="161" t="str">
        <f t="shared" si="335"/>
        <v/>
      </c>
      <c r="EI196" s="161" t="str">
        <f t="shared" si="336"/>
        <v/>
      </c>
      <c r="EJ196" s="161" t="str">
        <f t="shared" si="337"/>
        <v/>
      </c>
      <c r="EK196" s="147" t="str">
        <f t="shared" si="251"/>
        <v/>
      </c>
      <c r="EL196" s="149"/>
      <c r="EN196" s="146"/>
      <c r="EO196" s="146"/>
      <c r="EP196" s="139" t="str">
        <f t="shared" si="252"/>
        <v/>
      </c>
      <c r="EQ196" s="139" t="str">
        <f t="shared" si="253"/>
        <v/>
      </c>
      <c r="ER196" s="139" t="str">
        <f t="shared" si="254"/>
        <v/>
      </c>
      <c r="ES196" s="139" t="str">
        <f t="shared" si="255"/>
        <v/>
      </c>
      <c r="ET196" s="139" t="str">
        <f t="shared" si="256"/>
        <v/>
      </c>
      <c r="EU196" s="139" t="str">
        <f t="shared" si="257"/>
        <v/>
      </c>
      <c r="EV196" s="139" t="str">
        <f t="shared" si="258"/>
        <v/>
      </c>
      <c r="EW196" s="139" t="str">
        <f t="shared" si="259"/>
        <v/>
      </c>
      <c r="EX196" s="139" t="str">
        <f t="shared" si="260"/>
        <v/>
      </c>
      <c r="EY196" s="139" t="str">
        <f t="shared" si="261"/>
        <v/>
      </c>
      <c r="EZ196" s="139" t="str">
        <f t="shared" si="262"/>
        <v/>
      </c>
      <c r="FA196" s="139" t="str">
        <f t="shared" si="263"/>
        <v/>
      </c>
      <c r="FB196" s="139" t="str">
        <f t="shared" si="264"/>
        <v/>
      </c>
      <c r="FC196" s="139" t="str">
        <f t="shared" si="265"/>
        <v/>
      </c>
      <c r="FD196" s="139" t="str">
        <f t="shared" si="266"/>
        <v/>
      </c>
      <c r="FE196" s="139" t="str">
        <f t="shared" si="267"/>
        <v/>
      </c>
      <c r="FF196" s="139" t="str">
        <f t="shared" si="268"/>
        <v/>
      </c>
      <c r="FG196" s="139" t="str">
        <f t="shared" si="269"/>
        <v/>
      </c>
      <c r="FH196" s="139" t="str">
        <f t="shared" si="270"/>
        <v/>
      </c>
      <c r="FI196" s="139" t="str">
        <f t="shared" si="271"/>
        <v/>
      </c>
      <c r="FJ196" s="139" t="str">
        <f t="shared" si="272"/>
        <v/>
      </c>
      <c r="FK196" s="139" t="str">
        <f t="shared" si="273"/>
        <v/>
      </c>
      <c r="FL196" s="139" t="str">
        <f t="shared" si="274"/>
        <v/>
      </c>
      <c r="FM196" s="139" t="str">
        <f t="shared" si="275"/>
        <v/>
      </c>
      <c r="FN196" s="139" t="str">
        <f t="shared" si="276"/>
        <v/>
      </c>
      <c r="FO196" s="139" t="str">
        <f t="shared" si="277"/>
        <v/>
      </c>
      <c r="FP196" s="139" t="str">
        <f t="shared" si="278"/>
        <v/>
      </c>
      <c r="FQ196" s="139" t="str">
        <f t="shared" si="279"/>
        <v/>
      </c>
      <c r="FR196" s="139" t="str">
        <f t="shared" si="280"/>
        <v/>
      </c>
      <c r="FS196" s="139" t="str">
        <f t="shared" si="281"/>
        <v/>
      </c>
      <c r="FT196" s="139" t="str">
        <f t="shared" si="282"/>
        <v/>
      </c>
      <c r="FU196" s="148" t="str">
        <f t="shared" si="283"/>
        <v/>
      </c>
      <c r="FV196" s="149"/>
      <c r="FY196" s="212">
        <v>191</v>
      </c>
      <c r="FZ196">
        <v>9.3210070429659689E-2</v>
      </c>
      <c r="GA196">
        <v>3.4074053028949267</v>
      </c>
      <c r="GB196">
        <v>9.5953284008560917</v>
      </c>
      <c r="GC196">
        <v>4.5608828361330289</v>
      </c>
      <c r="GD196">
        <v>1.1578669687615446</v>
      </c>
      <c r="GE196">
        <v>3.6205986972309123</v>
      </c>
      <c r="GF196">
        <v>4.8734256912990688</v>
      </c>
      <c r="GG196">
        <v>3.116949200388599</v>
      </c>
      <c r="GH196">
        <v>2.1729360643272759</v>
      </c>
      <c r="GI196">
        <v>4.8215188026511786</v>
      </c>
      <c r="GJ196"/>
      <c r="GK196"/>
      <c r="GL196"/>
      <c r="GM196"/>
    </row>
    <row r="197" spans="1:195" s="7" customFormat="1">
      <c r="A197" s="1"/>
      <c r="B197" s="76" t="str">
        <f t="shared" ca="1" si="250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19.300998110087409</v>
      </c>
      <c r="AO197">
        <v>12.073575023174602</v>
      </c>
      <c r="AP197">
        <v>57.494851171082779</v>
      </c>
      <c r="AQ197">
        <v>59.816680553303783</v>
      </c>
      <c r="AR197">
        <v>11.124298278994406</v>
      </c>
      <c r="AS197">
        <v>61.41069624225328</v>
      </c>
      <c r="AT197">
        <v>6.625047856391344</v>
      </c>
      <c r="AU197">
        <v>21.89704260329847</v>
      </c>
      <c r="AV197"/>
      <c r="AW197"/>
      <c r="AX197" s="146"/>
      <c r="AY197" s="76" t="str">
        <f t="shared" ca="1" si="173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8"/>
        <v/>
      </c>
      <c r="CL197" s="179" t="str">
        <f t="shared" si="209"/>
        <v/>
      </c>
      <c r="CM197" s="180" t="str">
        <f t="shared" si="210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1"/>
        <v/>
      </c>
      <c r="DB197" s="146"/>
      <c r="DC197" s="76" t="str">
        <f t="shared" ca="1" si="174"/>
        <v/>
      </c>
      <c r="DD197" t="str">
        <f t="shared" si="212"/>
        <v/>
      </c>
      <c r="DE197" s="129" t="str">
        <f t="shared" si="284"/>
        <v/>
      </c>
      <c r="DF197" s="161" t="str">
        <f t="shared" si="285"/>
        <v/>
      </c>
      <c r="DG197" s="161" t="str">
        <f t="shared" si="286"/>
        <v/>
      </c>
      <c r="DH197" s="161" t="str">
        <f t="shared" si="287"/>
        <v/>
      </c>
      <c r="DI197" s="161" t="str">
        <f t="shared" si="288"/>
        <v/>
      </c>
      <c r="DJ197" s="161" t="str">
        <f t="shared" si="289"/>
        <v/>
      </c>
      <c r="DK197" s="161" t="str">
        <f t="shared" si="290"/>
        <v/>
      </c>
      <c r="DL197" s="161" t="str">
        <f t="shared" si="291"/>
        <v/>
      </c>
      <c r="DM197" s="161" t="str">
        <f t="shared" si="292"/>
        <v/>
      </c>
      <c r="DN197" s="161" t="str">
        <f t="shared" si="315"/>
        <v/>
      </c>
      <c r="DO197" s="161" t="str">
        <f t="shared" si="316"/>
        <v/>
      </c>
      <c r="DP197" s="161" t="str">
        <f t="shared" si="317"/>
        <v/>
      </c>
      <c r="DQ197" s="161" t="str">
        <f t="shared" si="318"/>
        <v/>
      </c>
      <c r="DR197" s="161" t="str">
        <f t="shared" si="319"/>
        <v/>
      </c>
      <c r="DS197" s="161" t="str">
        <f t="shared" si="320"/>
        <v/>
      </c>
      <c r="DT197" s="161" t="str">
        <f t="shared" si="321"/>
        <v/>
      </c>
      <c r="DU197" s="161" t="str">
        <f t="shared" si="322"/>
        <v/>
      </c>
      <c r="DV197" s="161" t="str">
        <f t="shared" si="323"/>
        <v/>
      </c>
      <c r="DW197" s="161" t="str">
        <f t="shared" si="324"/>
        <v/>
      </c>
      <c r="DX197" s="161" t="str">
        <f t="shared" si="325"/>
        <v/>
      </c>
      <c r="DY197" s="161" t="str">
        <f t="shared" si="326"/>
        <v/>
      </c>
      <c r="DZ197" s="161" t="str">
        <f t="shared" si="327"/>
        <v/>
      </c>
      <c r="EA197" s="161" t="str">
        <f t="shared" si="328"/>
        <v/>
      </c>
      <c r="EB197" s="161" t="str">
        <f t="shared" si="329"/>
        <v/>
      </c>
      <c r="EC197" s="161" t="str">
        <f t="shared" si="330"/>
        <v/>
      </c>
      <c r="ED197" s="161" t="str">
        <f t="shared" si="331"/>
        <v/>
      </c>
      <c r="EE197" s="161" t="str">
        <f t="shared" si="332"/>
        <v/>
      </c>
      <c r="EF197" s="161" t="str">
        <f t="shared" si="333"/>
        <v/>
      </c>
      <c r="EG197" s="161" t="str">
        <f t="shared" si="334"/>
        <v/>
      </c>
      <c r="EH197" s="161" t="str">
        <f t="shared" si="335"/>
        <v/>
      </c>
      <c r="EI197" s="161" t="str">
        <f t="shared" si="336"/>
        <v/>
      </c>
      <c r="EJ197" s="161" t="str">
        <f t="shared" si="337"/>
        <v/>
      </c>
      <c r="EK197" s="147" t="str">
        <f t="shared" si="251"/>
        <v/>
      </c>
      <c r="EL197" s="149"/>
      <c r="EN197" s="146"/>
      <c r="EO197" s="146"/>
      <c r="EP197" s="139" t="str">
        <f t="shared" si="252"/>
        <v/>
      </c>
      <c r="EQ197" s="139" t="str">
        <f t="shared" si="253"/>
        <v/>
      </c>
      <c r="ER197" s="139" t="str">
        <f t="shared" si="254"/>
        <v/>
      </c>
      <c r="ES197" s="139" t="str">
        <f t="shared" si="255"/>
        <v/>
      </c>
      <c r="ET197" s="139" t="str">
        <f t="shared" si="256"/>
        <v/>
      </c>
      <c r="EU197" s="139" t="str">
        <f t="shared" si="257"/>
        <v/>
      </c>
      <c r="EV197" s="139" t="str">
        <f t="shared" si="258"/>
        <v/>
      </c>
      <c r="EW197" s="139" t="str">
        <f t="shared" si="259"/>
        <v/>
      </c>
      <c r="EX197" s="139" t="str">
        <f t="shared" si="260"/>
        <v/>
      </c>
      <c r="EY197" s="139" t="str">
        <f t="shared" si="261"/>
        <v/>
      </c>
      <c r="EZ197" s="139" t="str">
        <f t="shared" si="262"/>
        <v/>
      </c>
      <c r="FA197" s="139" t="str">
        <f t="shared" si="263"/>
        <v/>
      </c>
      <c r="FB197" s="139" t="str">
        <f t="shared" si="264"/>
        <v/>
      </c>
      <c r="FC197" s="139" t="str">
        <f t="shared" si="265"/>
        <v/>
      </c>
      <c r="FD197" s="139" t="str">
        <f t="shared" si="266"/>
        <v/>
      </c>
      <c r="FE197" s="139" t="str">
        <f t="shared" si="267"/>
        <v/>
      </c>
      <c r="FF197" s="139" t="str">
        <f t="shared" si="268"/>
        <v/>
      </c>
      <c r="FG197" s="139" t="str">
        <f t="shared" si="269"/>
        <v/>
      </c>
      <c r="FH197" s="139" t="str">
        <f t="shared" si="270"/>
        <v/>
      </c>
      <c r="FI197" s="139" t="str">
        <f t="shared" si="271"/>
        <v/>
      </c>
      <c r="FJ197" s="139" t="str">
        <f t="shared" si="272"/>
        <v/>
      </c>
      <c r="FK197" s="139" t="str">
        <f t="shared" si="273"/>
        <v/>
      </c>
      <c r="FL197" s="139" t="str">
        <f t="shared" si="274"/>
        <v/>
      </c>
      <c r="FM197" s="139" t="str">
        <f t="shared" si="275"/>
        <v/>
      </c>
      <c r="FN197" s="139" t="str">
        <f t="shared" si="276"/>
        <v/>
      </c>
      <c r="FO197" s="139" t="str">
        <f t="shared" si="277"/>
        <v/>
      </c>
      <c r="FP197" s="139" t="str">
        <f t="shared" si="278"/>
        <v/>
      </c>
      <c r="FQ197" s="139" t="str">
        <f t="shared" si="279"/>
        <v/>
      </c>
      <c r="FR197" s="139" t="str">
        <f t="shared" si="280"/>
        <v/>
      </c>
      <c r="FS197" s="139" t="str">
        <f t="shared" si="281"/>
        <v/>
      </c>
      <c r="FT197" s="139" t="str">
        <f t="shared" si="282"/>
        <v/>
      </c>
      <c r="FU197" s="148" t="str">
        <f t="shared" si="283"/>
        <v/>
      </c>
      <c r="FV197" s="149"/>
      <c r="FY197" s="212">
        <v>192</v>
      </c>
      <c r="FZ197">
        <v>0.29827396493287434</v>
      </c>
      <c r="GA197">
        <v>3.6651608658290451</v>
      </c>
      <c r="GB197">
        <v>5.6832736017024743</v>
      </c>
      <c r="GC197">
        <v>2.6312005291349769</v>
      </c>
      <c r="GD197">
        <v>0.74230173997010684</v>
      </c>
      <c r="GE197">
        <v>2.6492587875089537</v>
      </c>
      <c r="GF197">
        <v>6.8090259710452017</v>
      </c>
      <c r="GG197">
        <v>4.6672256152590768</v>
      </c>
      <c r="GH197">
        <v>2.8924197774682248</v>
      </c>
      <c r="GI197">
        <v>4.0827431744271703</v>
      </c>
      <c r="GJ197"/>
      <c r="GK197"/>
      <c r="GL197"/>
      <c r="GM197"/>
    </row>
    <row r="198" spans="1:195" s="7" customFormat="1">
      <c r="A198" s="128"/>
      <c r="B198" s="76" t="str">
        <f t="shared" ca="1" si="250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17.1118641231593</v>
      </c>
      <c r="AO198">
        <v>10.547595345670954</v>
      </c>
      <c r="AP198">
        <v>55.575993865719816</v>
      </c>
      <c r="AQ198">
        <v>61.527481195449795</v>
      </c>
      <c r="AR198">
        <v>9.6293605684433707</v>
      </c>
      <c r="AS198">
        <v>49.681945093758486</v>
      </c>
      <c r="AT198">
        <v>5.4630426801801226</v>
      </c>
      <c r="AU198">
        <v>6.1283578403614394</v>
      </c>
      <c r="AV198"/>
      <c r="AW198"/>
      <c r="AX198" s="128"/>
      <c r="AY198" s="76" t="str">
        <f t="shared" ca="1" si="173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8"/>
        <v/>
      </c>
      <c r="CL198" s="179" t="str">
        <f t="shared" si="209"/>
        <v/>
      </c>
      <c r="CM198" s="180" t="str">
        <f t="shared" si="210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1"/>
        <v/>
      </c>
      <c r="DB198" s="128"/>
      <c r="DC198" s="76" t="str">
        <f t="shared" ca="1" si="174"/>
        <v/>
      </c>
      <c r="DD198" t="str">
        <f t="shared" si="212"/>
        <v/>
      </c>
      <c r="DE198" s="129" t="str">
        <f t="shared" ref="DE198:DE207" si="338">IF((DD198)="", "", $C$15)</f>
        <v/>
      </c>
      <c r="DF198" s="161" t="str">
        <f t="shared" si="285"/>
        <v/>
      </c>
      <c r="DG198" s="161" t="str">
        <f t="shared" si="286"/>
        <v/>
      </c>
      <c r="DH198" s="161" t="str">
        <f t="shared" si="287"/>
        <v/>
      </c>
      <c r="DI198" s="161" t="str">
        <f t="shared" si="288"/>
        <v/>
      </c>
      <c r="DJ198" s="161" t="str">
        <f t="shared" si="289"/>
        <v/>
      </c>
      <c r="DK198" s="161" t="str">
        <f t="shared" si="290"/>
        <v/>
      </c>
      <c r="DL198" s="161" t="str">
        <f t="shared" si="291"/>
        <v/>
      </c>
      <c r="DM198" s="161" t="str">
        <f t="shared" si="292"/>
        <v/>
      </c>
      <c r="DN198" s="161" t="str">
        <f t="shared" si="315"/>
        <v/>
      </c>
      <c r="DO198" s="161" t="str">
        <f t="shared" si="316"/>
        <v/>
      </c>
      <c r="DP198" s="161" t="str">
        <f t="shared" si="317"/>
        <v/>
      </c>
      <c r="DQ198" s="161" t="str">
        <f t="shared" si="318"/>
        <v/>
      </c>
      <c r="DR198" s="161" t="str">
        <f t="shared" si="319"/>
        <v/>
      </c>
      <c r="DS198" s="161" t="str">
        <f t="shared" si="320"/>
        <v/>
      </c>
      <c r="DT198" s="161" t="str">
        <f t="shared" si="321"/>
        <v/>
      </c>
      <c r="DU198" s="161" t="str">
        <f t="shared" si="322"/>
        <v/>
      </c>
      <c r="DV198" s="161" t="str">
        <f t="shared" si="323"/>
        <v/>
      </c>
      <c r="DW198" s="161" t="str">
        <f t="shared" si="324"/>
        <v/>
      </c>
      <c r="DX198" s="161" t="str">
        <f t="shared" si="325"/>
        <v/>
      </c>
      <c r="DY198" s="161" t="str">
        <f t="shared" si="326"/>
        <v/>
      </c>
      <c r="DZ198" s="161" t="str">
        <f t="shared" si="327"/>
        <v/>
      </c>
      <c r="EA198" s="161" t="str">
        <f t="shared" si="328"/>
        <v/>
      </c>
      <c r="EB198" s="161" t="str">
        <f t="shared" si="329"/>
        <v/>
      </c>
      <c r="EC198" s="161" t="str">
        <f t="shared" si="330"/>
        <v/>
      </c>
      <c r="ED198" s="161" t="str">
        <f t="shared" si="331"/>
        <v/>
      </c>
      <c r="EE198" s="161" t="str">
        <f t="shared" si="332"/>
        <v/>
      </c>
      <c r="EF198" s="161" t="str">
        <f t="shared" si="333"/>
        <v/>
      </c>
      <c r="EG198" s="161" t="str">
        <f t="shared" si="334"/>
        <v/>
      </c>
      <c r="EH198" s="161" t="str">
        <f t="shared" si="335"/>
        <v/>
      </c>
      <c r="EI198" s="161" t="str">
        <f t="shared" si="336"/>
        <v/>
      </c>
      <c r="EJ198" s="161" t="str">
        <f t="shared" si="337"/>
        <v/>
      </c>
      <c r="EK198" s="147" t="str">
        <f t="shared" si="251"/>
        <v/>
      </c>
      <c r="EL198" s="149"/>
      <c r="EN198" s="146"/>
      <c r="EO198" s="146"/>
      <c r="EP198" s="139" t="str">
        <f t="shared" si="252"/>
        <v/>
      </c>
      <c r="EQ198" s="139" t="str">
        <f t="shared" si="253"/>
        <v/>
      </c>
      <c r="ER198" s="139" t="str">
        <f t="shared" si="254"/>
        <v/>
      </c>
      <c r="ES198" s="139" t="str">
        <f t="shared" si="255"/>
        <v/>
      </c>
      <c r="ET198" s="139" t="str">
        <f t="shared" si="256"/>
        <v/>
      </c>
      <c r="EU198" s="139" t="str">
        <f t="shared" si="257"/>
        <v/>
      </c>
      <c r="EV198" s="139" t="str">
        <f t="shared" si="258"/>
        <v/>
      </c>
      <c r="EW198" s="139" t="str">
        <f t="shared" si="259"/>
        <v/>
      </c>
      <c r="EX198" s="139" t="str">
        <f t="shared" si="260"/>
        <v/>
      </c>
      <c r="EY198" s="139" t="str">
        <f t="shared" si="261"/>
        <v/>
      </c>
      <c r="EZ198" s="139" t="str">
        <f t="shared" si="262"/>
        <v/>
      </c>
      <c r="FA198" s="139" t="str">
        <f t="shared" si="263"/>
        <v/>
      </c>
      <c r="FB198" s="139" t="str">
        <f t="shared" si="264"/>
        <v/>
      </c>
      <c r="FC198" s="139" t="str">
        <f t="shared" si="265"/>
        <v/>
      </c>
      <c r="FD198" s="139" t="str">
        <f t="shared" si="266"/>
        <v/>
      </c>
      <c r="FE198" s="139" t="str">
        <f t="shared" si="267"/>
        <v/>
      </c>
      <c r="FF198" s="139" t="str">
        <f t="shared" si="268"/>
        <v/>
      </c>
      <c r="FG198" s="139" t="str">
        <f t="shared" si="269"/>
        <v/>
      </c>
      <c r="FH198" s="139" t="str">
        <f t="shared" si="270"/>
        <v/>
      </c>
      <c r="FI198" s="139" t="str">
        <f t="shared" si="271"/>
        <v/>
      </c>
      <c r="FJ198" s="139" t="str">
        <f t="shared" si="272"/>
        <v/>
      </c>
      <c r="FK198" s="139" t="str">
        <f t="shared" si="273"/>
        <v/>
      </c>
      <c r="FL198" s="139" t="str">
        <f t="shared" si="274"/>
        <v/>
      </c>
      <c r="FM198" s="139" t="str">
        <f t="shared" si="275"/>
        <v/>
      </c>
      <c r="FN198" s="139" t="str">
        <f t="shared" si="276"/>
        <v/>
      </c>
      <c r="FO198" s="139" t="str">
        <f t="shared" si="277"/>
        <v/>
      </c>
      <c r="FP198" s="139" t="str">
        <f t="shared" si="278"/>
        <v/>
      </c>
      <c r="FQ198" s="139" t="str">
        <f t="shared" si="279"/>
        <v/>
      </c>
      <c r="FR198" s="139" t="str">
        <f t="shared" si="280"/>
        <v/>
      </c>
      <c r="FS198" s="139" t="str">
        <f t="shared" si="281"/>
        <v/>
      </c>
      <c r="FT198" s="139" t="str">
        <f t="shared" si="282"/>
        <v/>
      </c>
      <c r="FU198" s="148" t="str">
        <f t="shared" si="283"/>
        <v/>
      </c>
      <c r="FV198" s="149"/>
      <c r="FY198" s="212">
        <v>193</v>
      </c>
      <c r="FZ198">
        <v>0.24548243218105512</v>
      </c>
      <c r="GA198">
        <v>3.579362971717404</v>
      </c>
      <c r="GB198">
        <v>7.3146373045454771</v>
      </c>
      <c r="GC198">
        <v>3.4256486642993575</v>
      </c>
      <c r="GD198">
        <v>1.3759632924026957</v>
      </c>
      <c r="GE198">
        <v>6.0031531431449432</v>
      </c>
      <c r="GF198">
        <v>13.027599072645721</v>
      </c>
      <c r="GG198">
        <v>7.0652146940846956</v>
      </c>
      <c r="GH198">
        <v>0.94255798454235284</v>
      </c>
      <c r="GI198">
        <v>6.1676129030523681</v>
      </c>
      <c r="GJ198"/>
      <c r="GK198"/>
      <c r="GL198"/>
      <c r="GM198"/>
    </row>
    <row r="199" spans="1:195" s="7" customFormat="1">
      <c r="A199" s="1"/>
      <c r="B199" s="76" t="str">
        <f t="shared" ca="1" si="250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21.558695566580045</v>
      </c>
      <c r="AO199">
        <v>12.566297869003733</v>
      </c>
      <c r="AP199">
        <v>66.977378926692779</v>
      </c>
      <c r="AQ199">
        <v>63.119326312244233</v>
      </c>
      <c r="AR199">
        <v>11.605150768923378</v>
      </c>
      <c r="AS199">
        <v>61.508751550931876</v>
      </c>
      <c r="AT199">
        <v>6.4667588812757861</v>
      </c>
      <c r="AU199">
        <v>11.279424041552975</v>
      </c>
      <c r="AV199"/>
      <c r="AW199"/>
      <c r="AX199" s="146"/>
      <c r="AY199" s="76" t="str">
        <f t="shared" ca="1" si="173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8"/>
        <v/>
      </c>
      <c r="CL199" s="179" t="str">
        <f t="shared" si="209"/>
        <v/>
      </c>
      <c r="CM199" s="180" t="str">
        <f t="shared" si="210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1"/>
        <v/>
      </c>
      <c r="DB199" s="146"/>
      <c r="DC199" s="76" t="str">
        <f t="shared" ca="1" si="174"/>
        <v/>
      </c>
      <c r="DD199" t="str">
        <f t="shared" si="212"/>
        <v/>
      </c>
      <c r="DE199" s="129" t="str">
        <f t="shared" si="338"/>
        <v/>
      </c>
      <c r="DF199" s="161" t="str">
        <f t="shared" si="285"/>
        <v/>
      </c>
      <c r="DG199" s="161" t="str">
        <f t="shared" si="286"/>
        <v/>
      </c>
      <c r="DH199" s="161" t="str">
        <f t="shared" si="287"/>
        <v/>
      </c>
      <c r="DI199" s="161" t="str">
        <f t="shared" si="288"/>
        <v/>
      </c>
      <c r="DJ199" s="161" t="str">
        <f t="shared" si="289"/>
        <v/>
      </c>
      <c r="DK199" s="161" t="str">
        <f t="shared" si="290"/>
        <v/>
      </c>
      <c r="DL199" s="161" t="str">
        <f t="shared" si="291"/>
        <v/>
      </c>
      <c r="DM199" s="161" t="str">
        <f t="shared" si="292"/>
        <v/>
      </c>
      <c r="DN199" s="161" t="str">
        <f t="shared" si="315"/>
        <v/>
      </c>
      <c r="DO199" s="161" t="str">
        <f t="shared" si="316"/>
        <v/>
      </c>
      <c r="DP199" s="161" t="str">
        <f t="shared" si="317"/>
        <v/>
      </c>
      <c r="DQ199" s="161" t="str">
        <f t="shared" si="318"/>
        <v/>
      </c>
      <c r="DR199" s="161" t="str">
        <f t="shared" si="319"/>
        <v/>
      </c>
      <c r="DS199" s="161" t="str">
        <f t="shared" si="320"/>
        <v/>
      </c>
      <c r="DT199" s="161" t="str">
        <f t="shared" si="321"/>
        <v/>
      </c>
      <c r="DU199" s="161" t="str">
        <f t="shared" si="322"/>
        <v/>
      </c>
      <c r="DV199" s="161" t="str">
        <f t="shared" si="323"/>
        <v/>
      </c>
      <c r="DW199" s="161" t="str">
        <f t="shared" si="324"/>
        <v/>
      </c>
      <c r="DX199" s="161" t="str">
        <f t="shared" si="325"/>
        <v/>
      </c>
      <c r="DY199" s="161" t="str">
        <f t="shared" si="326"/>
        <v/>
      </c>
      <c r="DZ199" s="161" t="str">
        <f t="shared" si="327"/>
        <v/>
      </c>
      <c r="EA199" s="161" t="str">
        <f t="shared" si="328"/>
        <v/>
      </c>
      <c r="EB199" s="161" t="str">
        <f t="shared" si="329"/>
        <v/>
      </c>
      <c r="EC199" s="161" t="str">
        <f t="shared" si="330"/>
        <v/>
      </c>
      <c r="ED199" s="161" t="str">
        <f t="shared" si="331"/>
        <v/>
      </c>
      <c r="EE199" s="161" t="str">
        <f t="shared" si="332"/>
        <v/>
      </c>
      <c r="EF199" s="161" t="str">
        <f t="shared" si="333"/>
        <v/>
      </c>
      <c r="EG199" s="161" t="str">
        <f t="shared" si="334"/>
        <v/>
      </c>
      <c r="EH199" s="161" t="str">
        <f t="shared" si="335"/>
        <v/>
      </c>
      <c r="EI199" s="161" t="str">
        <f t="shared" si="336"/>
        <v/>
      </c>
      <c r="EJ199" s="161" t="str">
        <f t="shared" si="337"/>
        <v/>
      </c>
      <c r="EK199" s="147" t="str">
        <f t="shared" si="251"/>
        <v/>
      </c>
      <c r="EL199" s="149"/>
      <c r="EN199" s="146"/>
      <c r="EO199" s="146"/>
      <c r="EP199" s="139" t="str">
        <f t="shared" si="252"/>
        <v/>
      </c>
      <c r="EQ199" s="139" t="str">
        <f t="shared" si="253"/>
        <v/>
      </c>
      <c r="ER199" s="139" t="str">
        <f t="shared" si="254"/>
        <v/>
      </c>
      <c r="ES199" s="139" t="str">
        <f t="shared" si="255"/>
        <v/>
      </c>
      <c r="ET199" s="139" t="str">
        <f t="shared" si="256"/>
        <v/>
      </c>
      <c r="EU199" s="139" t="str">
        <f t="shared" si="257"/>
        <v/>
      </c>
      <c r="EV199" s="139" t="str">
        <f t="shared" si="258"/>
        <v/>
      </c>
      <c r="EW199" s="139" t="str">
        <f t="shared" si="259"/>
        <v/>
      </c>
      <c r="EX199" s="139" t="str">
        <f t="shared" si="260"/>
        <v/>
      </c>
      <c r="EY199" s="139" t="str">
        <f t="shared" si="261"/>
        <v/>
      </c>
      <c r="EZ199" s="139" t="str">
        <f t="shared" si="262"/>
        <v/>
      </c>
      <c r="FA199" s="139" t="str">
        <f t="shared" si="263"/>
        <v/>
      </c>
      <c r="FB199" s="139" t="str">
        <f t="shared" si="264"/>
        <v/>
      </c>
      <c r="FC199" s="139" t="str">
        <f t="shared" si="265"/>
        <v/>
      </c>
      <c r="FD199" s="139" t="str">
        <f t="shared" si="266"/>
        <v/>
      </c>
      <c r="FE199" s="139" t="str">
        <f t="shared" si="267"/>
        <v/>
      </c>
      <c r="FF199" s="139" t="str">
        <f t="shared" si="268"/>
        <v/>
      </c>
      <c r="FG199" s="139" t="str">
        <f t="shared" si="269"/>
        <v/>
      </c>
      <c r="FH199" s="139" t="str">
        <f t="shared" si="270"/>
        <v/>
      </c>
      <c r="FI199" s="139" t="str">
        <f t="shared" si="271"/>
        <v/>
      </c>
      <c r="FJ199" s="139" t="str">
        <f t="shared" si="272"/>
        <v/>
      </c>
      <c r="FK199" s="139" t="str">
        <f t="shared" si="273"/>
        <v/>
      </c>
      <c r="FL199" s="139" t="str">
        <f t="shared" si="274"/>
        <v/>
      </c>
      <c r="FM199" s="139" t="str">
        <f t="shared" si="275"/>
        <v/>
      </c>
      <c r="FN199" s="139" t="str">
        <f t="shared" si="276"/>
        <v/>
      </c>
      <c r="FO199" s="139" t="str">
        <f t="shared" si="277"/>
        <v/>
      </c>
      <c r="FP199" s="139" t="str">
        <f t="shared" si="278"/>
        <v/>
      </c>
      <c r="FQ199" s="139" t="str">
        <f t="shared" si="279"/>
        <v/>
      </c>
      <c r="FR199" s="139" t="str">
        <f t="shared" si="280"/>
        <v/>
      </c>
      <c r="FS199" s="139" t="str">
        <f t="shared" si="281"/>
        <v/>
      </c>
      <c r="FT199" s="139" t="str">
        <f t="shared" si="282"/>
        <v/>
      </c>
      <c r="FU199" s="148" t="str">
        <f t="shared" si="283"/>
        <v/>
      </c>
      <c r="FV199" s="149"/>
      <c r="FY199" s="212">
        <v>194</v>
      </c>
      <c r="FZ199">
        <v>3.2643183002593092</v>
      </c>
      <c r="GA199">
        <v>6.5795484683245355</v>
      </c>
      <c r="GB199">
        <v>4.848128133455833</v>
      </c>
      <c r="GC199">
        <v>2.1127879233709859</v>
      </c>
      <c r="GD199">
        <v>1.1212249862629096</v>
      </c>
      <c r="GE199">
        <v>4.2644064076377237</v>
      </c>
      <c r="GF199">
        <v>7.831678960499266</v>
      </c>
      <c r="GG199">
        <v>3.5940081593361892</v>
      </c>
      <c r="GH199">
        <v>1.2661299035258509</v>
      </c>
      <c r="GI199">
        <v>4.5254235933265505</v>
      </c>
      <c r="GJ199"/>
      <c r="GK199"/>
      <c r="GL199"/>
      <c r="GM199"/>
    </row>
    <row r="200" spans="1:195" s="7" customFormat="1">
      <c r="A200" s="1"/>
      <c r="B200" s="76" t="str">
        <f t="shared" ca="1" si="250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24.043096405228756</v>
      </c>
      <c r="AO200">
        <v>9.9208900151488688</v>
      </c>
      <c r="AP200">
        <v>69.042847058386684</v>
      </c>
      <c r="AQ200">
        <v>49.207826257345452</v>
      </c>
      <c r="AR200">
        <v>9.0805455124540959</v>
      </c>
      <c r="AS200">
        <v>50.994970971215707</v>
      </c>
      <c r="AT200">
        <v>5.8404413058030755</v>
      </c>
      <c r="AU200">
        <v>35.027362803452142</v>
      </c>
      <c r="AV200"/>
      <c r="AW200"/>
      <c r="AX200" s="146"/>
      <c r="AY200" s="76" t="str">
        <f t="shared" ca="1" si="173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8"/>
        <v/>
      </c>
      <c r="CL200" s="179" t="str">
        <f t="shared" si="209"/>
        <v/>
      </c>
      <c r="CM200" s="180" t="str">
        <f t="shared" si="210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1"/>
        <v/>
      </c>
      <c r="DB200" s="146"/>
      <c r="DC200" s="76" t="str">
        <f t="shared" ca="1" si="174"/>
        <v/>
      </c>
      <c r="DD200" t="str">
        <f t="shared" si="212"/>
        <v/>
      </c>
      <c r="DE200" s="129" t="str">
        <f t="shared" si="338"/>
        <v/>
      </c>
      <c r="DF200" s="161" t="str">
        <f t="shared" si="285"/>
        <v/>
      </c>
      <c r="DG200" s="161" t="str">
        <f t="shared" si="286"/>
        <v/>
      </c>
      <c r="DH200" s="161" t="str">
        <f t="shared" si="287"/>
        <v/>
      </c>
      <c r="DI200" s="161" t="str">
        <f t="shared" si="288"/>
        <v/>
      </c>
      <c r="DJ200" s="161" t="str">
        <f t="shared" si="289"/>
        <v/>
      </c>
      <c r="DK200" s="161" t="str">
        <f t="shared" si="290"/>
        <v/>
      </c>
      <c r="DL200" s="161" t="str">
        <f t="shared" si="291"/>
        <v/>
      </c>
      <c r="DM200" s="161" t="str">
        <f t="shared" si="292"/>
        <v/>
      </c>
      <c r="DN200" s="161" t="str">
        <f t="shared" si="315"/>
        <v/>
      </c>
      <c r="DO200" s="161" t="str">
        <f t="shared" si="316"/>
        <v/>
      </c>
      <c r="DP200" s="161" t="str">
        <f t="shared" si="317"/>
        <v/>
      </c>
      <c r="DQ200" s="161" t="str">
        <f t="shared" si="318"/>
        <v/>
      </c>
      <c r="DR200" s="161" t="str">
        <f t="shared" si="319"/>
        <v/>
      </c>
      <c r="DS200" s="161" t="str">
        <f t="shared" si="320"/>
        <v/>
      </c>
      <c r="DT200" s="161" t="str">
        <f t="shared" si="321"/>
        <v/>
      </c>
      <c r="DU200" s="161" t="str">
        <f t="shared" si="322"/>
        <v/>
      </c>
      <c r="DV200" s="161" t="str">
        <f t="shared" si="323"/>
        <v/>
      </c>
      <c r="DW200" s="161" t="str">
        <f t="shared" si="324"/>
        <v/>
      </c>
      <c r="DX200" s="161" t="str">
        <f t="shared" si="325"/>
        <v/>
      </c>
      <c r="DY200" s="161" t="str">
        <f t="shared" si="326"/>
        <v/>
      </c>
      <c r="DZ200" s="161" t="str">
        <f t="shared" si="327"/>
        <v/>
      </c>
      <c r="EA200" s="161" t="str">
        <f t="shared" si="328"/>
        <v/>
      </c>
      <c r="EB200" s="161" t="str">
        <f t="shared" si="329"/>
        <v/>
      </c>
      <c r="EC200" s="161" t="str">
        <f t="shared" si="330"/>
        <v/>
      </c>
      <c r="ED200" s="161" t="str">
        <f t="shared" si="331"/>
        <v/>
      </c>
      <c r="EE200" s="161" t="str">
        <f t="shared" si="332"/>
        <v/>
      </c>
      <c r="EF200" s="161" t="str">
        <f t="shared" si="333"/>
        <v/>
      </c>
      <c r="EG200" s="161" t="str">
        <f t="shared" si="334"/>
        <v/>
      </c>
      <c r="EH200" s="161" t="str">
        <f t="shared" si="335"/>
        <v/>
      </c>
      <c r="EI200" s="161" t="str">
        <f t="shared" si="336"/>
        <v/>
      </c>
      <c r="EJ200" s="161" t="str">
        <f t="shared" si="337"/>
        <v/>
      </c>
      <c r="EK200" s="147" t="str">
        <f t="shared" si="251"/>
        <v/>
      </c>
      <c r="EL200" s="149"/>
      <c r="EN200" s="146"/>
      <c r="EO200" s="146"/>
      <c r="EP200" s="139" t="str">
        <f t="shared" si="252"/>
        <v/>
      </c>
      <c r="EQ200" s="139" t="str">
        <f t="shared" si="253"/>
        <v/>
      </c>
      <c r="ER200" s="139" t="str">
        <f t="shared" si="254"/>
        <v/>
      </c>
      <c r="ES200" s="139" t="str">
        <f t="shared" si="255"/>
        <v/>
      </c>
      <c r="ET200" s="139" t="str">
        <f t="shared" si="256"/>
        <v/>
      </c>
      <c r="EU200" s="139" t="str">
        <f t="shared" si="257"/>
        <v/>
      </c>
      <c r="EV200" s="139" t="str">
        <f t="shared" si="258"/>
        <v/>
      </c>
      <c r="EW200" s="139" t="str">
        <f t="shared" si="259"/>
        <v/>
      </c>
      <c r="EX200" s="139" t="str">
        <f t="shared" si="260"/>
        <v/>
      </c>
      <c r="EY200" s="139" t="str">
        <f t="shared" si="261"/>
        <v/>
      </c>
      <c r="EZ200" s="139" t="str">
        <f t="shared" si="262"/>
        <v/>
      </c>
      <c r="FA200" s="139" t="str">
        <f t="shared" si="263"/>
        <v/>
      </c>
      <c r="FB200" s="139" t="str">
        <f t="shared" si="264"/>
        <v/>
      </c>
      <c r="FC200" s="139" t="str">
        <f t="shared" si="265"/>
        <v/>
      </c>
      <c r="FD200" s="139" t="str">
        <f t="shared" si="266"/>
        <v/>
      </c>
      <c r="FE200" s="139" t="str">
        <f t="shared" si="267"/>
        <v/>
      </c>
      <c r="FF200" s="139" t="str">
        <f t="shared" si="268"/>
        <v/>
      </c>
      <c r="FG200" s="139" t="str">
        <f t="shared" si="269"/>
        <v/>
      </c>
      <c r="FH200" s="139" t="str">
        <f t="shared" si="270"/>
        <v/>
      </c>
      <c r="FI200" s="139" t="str">
        <f t="shared" si="271"/>
        <v/>
      </c>
      <c r="FJ200" s="139" t="str">
        <f t="shared" si="272"/>
        <v/>
      </c>
      <c r="FK200" s="139" t="str">
        <f t="shared" si="273"/>
        <v/>
      </c>
      <c r="FL200" s="139" t="str">
        <f t="shared" si="274"/>
        <v/>
      </c>
      <c r="FM200" s="139" t="str">
        <f t="shared" si="275"/>
        <v/>
      </c>
      <c r="FN200" s="139" t="str">
        <f t="shared" si="276"/>
        <v/>
      </c>
      <c r="FO200" s="139" t="str">
        <f t="shared" si="277"/>
        <v/>
      </c>
      <c r="FP200" s="139" t="str">
        <f t="shared" si="278"/>
        <v/>
      </c>
      <c r="FQ200" s="139" t="str">
        <f t="shared" si="279"/>
        <v/>
      </c>
      <c r="FR200" s="139" t="str">
        <f t="shared" si="280"/>
        <v/>
      </c>
      <c r="FS200" s="139" t="str">
        <f t="shared" si="281"/>
        <v/>
      </c>
      <c r="FT200" s="139" t="str">
        <f t="shared" si="282"/>
        <v/>
      </c>
      <c r="FU200" s="148" t="str">
        <f t="shared" si="283"/>
        <v/>
      </c>
      <c r="FV200" s="149"/>
      <c r="FY200" s="212">
        <v>195</v>
      </c>
      <c r="FZ200">
        <v>3.4361577423440117</v>
      </c>
      <c r="GA200">
        <v>9.0839467570151164</v>
      </c>
      <c r="GB200">
        <v>9.1891286988825325</v>
      </c>
      <c r="GC200">
        <v>4.2845410888102338</v>
      </c>
      <c r="GD200">
        <v>0.92644048361339593</v>
      </c>
      <c r="GE200">
        <v>2.3886737467119747</v>
      </c>
      <c r="GF200">
        <v>5.2856411134813346</v>
      </c>
      <c r="GG200">
        <v>3.3106091378081666</v>
      </c>
      <c r="GH200">
        <v>2.3526690917946333</v>
      </c>
      <c r="GI200">
        <v>4.9595627807515932</v>
      </c>
      <c r="GJ200"/>
      <c r="GK200"/>
      <c r="GL200"/>
      <c r="GM200"/>
    </row>
    <row r="201" spans="1:195" s="7" customFormat="1">
      <c r="A201" s="1"/>
      <c r="B201" s="76" t="str">
        <f t="shared" ca="1" si="250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15.339945566580042</v>
      </c>
      <c r="AO201">
        <v>6.8335972045657769</v>
      </c>
      <c r="AP201">
        <v>44.390547389961007</v>
      </c>
      <c r="AQ201">
        <v>39.290769789793231</v>
      </c>
      <c r="AR201">
        <v>6.2520833174984318</v>
      </c>
      <c r="AS201">
        <v>35.334899610842101</v>
      </c>
      <c r="AT201">
        <v>3.6868553731678873</v>
      </c>
      <c r="AU201">
        <v>21.410589533662829</v>
      </c>
      <c r="AV201"/>
      <c r="AW201"/>
      <c r="AX201" s="146"/>
      <c r="AY201" s="76" t="str">
        <f t="shared" ca="1" si="173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8"/>
        <v/>
      </c>
      <c r="CL201" s="179" t="str">
        <f t="shared" si="209"/>
        <v/>
      </c>
      <c r="CM201" s="180" t="str">
        <f t="shared" si="210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1"/>
        <v/>
      </c>
      <c r="DB201" s="146"/>
      <c r="DC201" s="76" t="str">
        <f t="shared" ca="1" si="174"/>
        <v/>
      </c>
      <c r="DD201" t="str">
        <f t="shared" si="212"/>
        <v/>
      </c>
      <c r="DE201" s="129" t="str">
        <f t="shared" si="338"/>
        <v/>
      </c>
      <c r="DF201" s="161" t="str">
        <f t="shared" si="285"/>
        <v/>
      </c>
      <c r="DG201" s="161" t="str">
        <f t="shared" si="286"/>
        <v/>
      </c>
      <c r="DH201" s="161" t="str">
        <f t="shared" si="287"/>
        <v/>
      </c>
      <c r="DI201" s="161" t="str">
        <f t="shared" si="288"/>
        <v/>
      </c>
      <c r="DJ201" s="161" t="str">
        <f t="shared" si="289"/>
        <v/>
      </c>
      <c r="DK201" s="161" t="str">
        <f t="shared" si="290"/>
        <v/>
      </c>
      <c r="DL201" s="161" t="str">
        <f t="shared" si="291"/>
        <v/>
      </c>
      <c r="DM201" s="161" t="str">
        <f t="shared" si="292"/>
        <v/>
      </c>
      <c r="DN201" s="161" t="str">
        <f t="shared" si="315"/>
        <v/>
      </c>
      <c r="DO201" s="161" t="str">
        <f t="shared" si="316"/>
        <v/>
      </c>
      <c r="DP201" s="161" t="str">
        <f t="shared" si="317"/>
        <v/>
      </c>
      <c r="DQ201" s="161" t="str">
        <f t="shared" si="318"/>
        <v/>
      </c>
      <c r="DR201" s="161" t="str">
        <f t="shared" si="319"/>
        <v/>
      </c>
      <c r="DS201" s="161" t="str">
        <f t="shared" si="320"/>
        <v/>
      </c>
      <c r="DT201" s="161" t="str">
        <f t="shared" si="321"/>
        <v/>
      </c>
      <c r="DU201" s="161" t="str">
        <f t="shared" si="322"/>
        <v/>
      </c>
      <c r="DV201" s="161" t="str">
        <f t="shared" si="323"/>
        <v/>
      </c>
      <c r="DW201" s="161" t="str">
        <f t="shared" si="324"/>
        <v/>
      </c>
      <c r="DX201" s="161" t="str">
        <f t="shared" si="325"/>
        <v/>
      </c>
      <c r="DY201" s="161" t="str">
        <f t="shared" si="326"/>
        <v/>
      </c>
      <c r="DZ201" s="161" t="str">
        <f t="shared" si="327"/>
        <v/>
      </c>
      <c r="EA201" s="161" t="str">
        <f t="shared" si="328"/>
        <v/>
      </c>
      <c r="EB201" s="161" t="str">
        <f t="shared" si="329"/>
        <v/>
      </c>
      <c r="EC201" s="161" t="str">
        <f t="shared" si="330"/>
        <v/>
      </c>
      <c r="ED201" s="161" t="str">
        <f t="shared" si="331"/>
        <v/>
      </c>
      <c r="EE201" s="161" t="str">
        <f t="shared" si="332"/>
        <v/>
      </c>
      <c r="EF201" s="161" t="str">
        <f t="shared" si="333"/>
        <v/>
      </c>
      <c r="EG201" s="161" t="str">
        <f t="shared" si="334"/>
        <v/>
      </c>
      <c r="EH201" s="161" t="str">
        <f t="shared" si="335"/>
        <v/>
      </c>
      <c r="EI201" s="161" t="str">
        <f t="shared" si="336"/>
        <v/>
      </c>
      <c r="EJ201" s="161" t="str">
        <f t="shared" si="337"/>
        <v/>
      </c>
      <c r="EK201" s="147" t="str">
        <f t="shared" si="251"/>
        <v/>
      </c>
      <c r="EL201" s="149"/>
      <c r="EN201" s="146"/>
      <c r="EO201" s="146"/>
      <c r="EP201" s="139" t="str">
        <f t="shared" si="252"/>
        <v/>
      </c>
      <c r="EQ201" s="139" t="str">
        <f t="shared" si="253"/>
        <v/>
      </c>
      <c r="ER201" s="139" t="str">
        <f t="shared" si="254"/>
        <v/>
      </c>
      <c r="ES201" s="139" t="str">
        <f t="shared" si="255"/>
        <v/>
      </c>
      <c r="ET201" s="139" t="str">
        <f t="shared" si="256"/>
        <v/>
      </c>
      <c r="EU201" s="139" t="str">
        <f t="shared" si="257"/>
        <v/>
      </c>
      <c r="EV201" s="139" t="str">
        <f t="shared" si="258"/>
        <v/>
      </c>
      <c r="EW201" s="139" t="str">
        <f t="shared" si="259"/>
        <v/>
      </c>
      <c r="EX201" s="139" t="str">
        <f t="shared" si="260"/>
        <v/>
      </c>
      <c r="EY201" s="139" t="str">
        <f t="shared" si="261"/>
        <v/>
      </c>
      <c r="EZ201" s="139" t="str">
        <f t="shared" si="262"/>
        <v/>
      </c>
      <c r="FA201" s="139" t="str">
        <f t="shared" si="263"/>
        <v/>
      </c>
      <c r="FB201" s="139" t="str">
        <f t="shared" si="264"/>
        <v/>
      </c>
      <c r="FC201" s="139" t="str">
        <f t="shared" si="265"/>
        <v/>
      </c>
      <c r="FD201" s="139" t="str">
        <f t="shared" si="266"/>
        <v/>
      </c>
      <c r="FE201" s="139" t="str">
        <f t="shared" si="267"/>
        <v/>
      </c>
      <c r="FF201" s="139" t="str">
        <f t="shared" si="268"/>
        <v/>
      </c>
      <c r="FG201" s="139" t="str">
        <f t="shared" si="269"/>
        <v/>
      </c>
      <c r="FH201" s="139" t="str">
        <f t="shared" si="270"/>
        <v/>
      </c>
      <c r="FI201" s="139" t="str">
        <f t="shared" si="271"/>
        <v/>
      </c>
      <c r="FJ201" s="139" t="str">
        <f t="shared" si="272"/>
        <v/>
      </c>
      <c r="FK201" s="139" t="str">
        <f t="shared" si="273"/>
        <v/>
      </c>
      <c r="FL201" s="139" t="str">
        <f t="shared" si="274"/>
        <v/>
      </c>
      <c r="FM201" s="139" t="str">
        <f t="shared" si="275"/>
        <v/>
      </c>
      <c r="FN201" s="139" t="str">
        <f t="shared" si="276"/>
        <v/>
      </c>
      <c r="FO201" s="139" t="str">
        <f t="shared" si="277"/>
        <v/>
      </c>
      <c r="FP201" s="139" t="str">
        <f t="shared" si="278"/>
        <v/>
      </c>
      <c r="FQ201" s="139" t="str">
        <f t="shared" si="279"/>
        <v/>
      </c>
      <c r="FR201" s="139" t="str">
        <f t="shared" si="280"/>
        <v/>
      </c>
      <c r="FS201" s="139" t="str">
        <f t="shared" si="281"/>
        <v/>
      </c>
      <c r="FT201" s="139" t="str">
        <f t="shared" si="282"/>
        <v/>
      </c>
      <c r="FU201" s="148" t="str">
        <f t="shared" si="283"/>
        <v/>
      </c>
      <c r="FV201" s="149"/>
      <c r="FY201" s="212">
        <v>196</v>
      </c>
      <c r="FZ201">
        <v>3.6312575715196647</v>
      </c>
      <c r="GA201">
        <v>5.5454196325436618</v>
      </c>
      <c r="GB201">
        <v>6.2512289345625369</v>
      </c>
      <c r="GC201">
        <v>3.2362719872892693</v>
      </c>
      <c r="GD201">
        <v>0.78603410788523886</v>
      </c>
      <c r="GE201">
        <v>1.8307683283472103</v>
      </c>
      <c r="GF201">
        <v>8.4182784288174215</v>
      </c>
      <c r="GG201">
        <v>8.4314917081004435</v>
      </c>
      <c r="GH201">
        <v>2.3256031597211448</v>
      </c>
      <c r="GI201">
        <v>5.0880683869405949</v>
      </c>
      <c r="GJ201"/>
      <c r="GK201"/>
      <c r="GL201"/>
      <c r="GM201"/>
    </row>
    <row r="202" spans="1:195" s="7" customFormat="1">
      <c r="A202" s="1"/>
      <c r="B202" s="76" t="str">
        <f t="shared" ca="1" si="250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17.541334455468935</v>
      </c>
      <c r="AO202">
        <v>10.349649303914637</v>
      </c>
      <c r="AP202">
        <v>66.89032240911925</v>
      </c>
      <c r="AQ202">
        <v>54.451453527540316</v>
      </c>
      <c r="AR202">
        <v>9.4640069904494268</v>
      </c>
      <c r="AS202">
        <v>49.079026104321805</v>
      </c>
      <c r="AT202">
        <v>6.0883866873457428</v>
      </c>
      <c r="AU202">
        <v>9.888887511956213</v>
      </c>
      <c r="AV202"/>
      <c r="AW202"/>
      <c r="AX202" s="146"/>
      <c r="AY202" s="76" t="str">
        <f t="shared" ca="1" si="173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8"/>
        <v/>
      </c>
      <c r="CL202" s="179" t="str">
        <f t="shared" si="209"/>
        <v/>
      </c>
      <c r="CM202" s="180" t="str">
        <f t="shared" si="210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1"/>
        <v/>
      </c>
      <c r="DB202" s="146"/>
      <c r="DC202" s="76" t="str">
        <f t="shared" ca="1" si="174"/>
        <v/>
      </c>
      <c r="DD202" t="str">
        <f t="shared" si="212"/>
        <v/>
      </c>
      <c r="DE202" s="129" t="str">
        <f t="shared" si="338"/>
        <v/>
      </c>
      <c r="DF202" s="161" t="str">
        <f t="shared" si="285"/>
        <v/>
      </c>
      <c r="DG202" s="161" t="str">
        <f t="shared" si="286"/>
        <v/>
      </c>
      <c r="DH202" s="161" t="str">
        <f t="shared" si="287"/>
        <v/>
      </c>
      <c r="DI202" s="161" t="str">
        <f t="shared" si="288"/>
        <v/>
      </c>
      <c r="DJ202" s="161" t="str">
        <f t="shared" si="289"/>
        <v/>
      </c>
      <c r="DK202" s="161" t="str">
        <f t="shared" si="290"/>
        <v/>
      </c>
      <c r="DL202" s="161" t="str">
        <f t="shared" si="291"/>
        <v/>
      </c>
      <c r="DM202" s="161" t="str">
        <f t="shared" si="292"/>
        <v/>
      </c>
      <c r="DN202" s="161" t="str">
        <f t="shared" si="315"/>
        <v/>
      </c>
      <c r="DO202" s="161" t="str">
        <f t="shared" si="316"/>
        <v/>
      </c>
      <c r="DP202" s="161" t="str">
        <f t="shared" si="317"/>
        <v/>
      </c>
      <c r="DQ202" s="161" t="str">
        <f t="shared" si="318"/>
        <v/>
      </c>
      <c r="DR202" s="161" t="str">
        <f t="shared" si="319"/>
        <v/>
      </c>
      <c r="DS202" s="161" t="str">
        <f t="shared" si="320"/>
        <v/>
      </c>
      <c r="DT202" s="161" t="str">
        <f t="shared" si="321"/>
        <v/>
      </c>
      <c r="DU202" s="161" t="str">
        <f t="shared" si="322"/>
        <v/>
      </c>
      <c r="DV202" s="161" t="str">
        <f t="shared" si="323"/>
        <v/>
      </c>
      <c r="DW202" s="161" t="str">
        <f t="shared" si="324"/>
        <v/>
      </c>
      <c r="DX202" s="161" t="str">
        <f t="shared" si="325"/>
        <v/>
      </c>
      <c r="DY202" s="161" t="str">
        <f t="shared" si="326"/>
        <v/>
      </c>
      <c r="DZ202" s="161" t="str">
        <f t="shared" si="327"/>
        <v/>
      </c>
      <c r="EA202" s="161" t="str">
        <f t="shared" si="328"/>
        <v/>
      </c>
      <c r="EB202" s="161" t="str">
        <f t="shared" si="329"/>
        <v/>
      </c>
      <c r="EC202" s="161" t="str">
        <f t="shared" si="330"/>
        <v/>
      </c>
      <c r="ED202" s="161" t="str">
        <f t="shared" si="331"/>
        <v/>
      </c>
      <c r="EE202" s="161" t="str">
        <f t="shared" si="332"/>
        <v/>
      </c>
      <c r="EF202" s="161" t="str">
        <f t="shared" si="333"/>
        <v/>
      </c>
      <c r="EG202" s="161" t="str">
        <f t="shared" si="334"/>
        <v/>
      </c>
      <c r="EH202" s="161" t="str">
        <f t="shared" si="335"/>
        <v/>
      </c>
      <c r="EI202" s="161" t="str">
        <f t="shared" si="336"/>
        <v/>
      </c>
      <c r="EJ202" s="161" t="str">
        <f t="shared" si="337"/>
        <v/>
      </c>
      <c r="EK202" s="147" t="str">
        <f t="shared" si="251"/>
        <v/>
      </c>
      <c r="EL202" s="149"/>
      <c r="EN202" s="146"/>
      <c r="EO202" s="146"/>
      <c r="EP202" s="139" t="str">
        <f t="shared" si="252"/>
        <v/>
      </c>
      <c r="EQ202" s="139" t="str">
        <f t="shared" si="253"/>
        <v/>
      </c>
      <c r="ER202" s="139" t="str">
        <f t="shared" si="254"/>
        <v/>
      </c>
      <c r="ES202" s="139" t="str">
        <f t="shared" si="255"/>
        <v/>
      </c>
      <c r="ET202" s="139" t="str">
        <f t="shared" si="256"/>
        <v/>
      </c>
      <c r="EU202" s="139" t="str">
        <f t="shared" si="257"/>
        <v/>
      </c>
      <c r="EV202" s="139" t="str">
        <f t="shared" si="258"/>
        <v/>
      </c>
      <c r="EW202" s="139" t="str">
        <f t="shared" si="259"/>
        <v/>
      </c>
      <c r="EX202" s="139" t="str">
        <f t="shared" si="260"/>
        <v/>
      </c>
      <c r="EY202" s="139" t="str">
        <f t="shared" si="261"/>
        <v/>
      </c>
      <c r="EZ202" s="139" t="str">
        <f t="shared" si="262"/>
        <v/>
      </c>
      <c r="FA202" s="139" t="str">
        <f t="shared" si="263"/>
        <v/>
      </c>
      <c r="FB202" s="139" t="str">
        <f t="shared" si="264"/>
        <v/>
      </c>
      <c r="FC202" s="139" t="str">
        <f t="shared" si="265"/>
        <v/>
      </c>
      <c r="FD202" s="139" t="str">
        <f t="shared" si="266"/>
        <v/>
      </c>
      <c r="FE202" s="139" t="str">
        <f t="shared" si="267"/>
        <v/>
      </c>
      <c r="FF202" s="139" t="str">
        <f t="shared" si="268"/>
        <v/>
      </c>
      <c r="FG202" s="139" t="str">
        <f t="shared" si="269"/>
        <v/>
      </c>
      <c r="FH202" s="139" t="str">
        <f t="shared" si="270"/>
        <v/>
      </c>
      <c r="FI202" s="139" t="str">
        <f t="shared" si="271"/>
        <v/>
      </c>
      <c r="FJ202" s="139" t="str">
        <f t="shared" si="272"/>
        <v/>
      </c>
      <c r="FK202" s="139" t="str">
        <f t="shared" si="273"/>
        <v/>
      </c>
      <c r="FL202" s="139" t="str">
        <f t="shared" si="274"/>
        <v/>
      </c>
      <c r="FM202" s="139" t="str">
        <f t="shared" si="275"/>
        <v/>
      </c>
      <c r="FN202" s="139" t="str">
        <f t="shared" si="276"/>
        <v/>
      </c>
      <c r="FO202" s="139" t="str">
        <f t="shared" si="277"/>
        <v/>
      </c>
      <c r="FP202" s="139" t="str">
        <f t="shared" si="278"/>
        <v/>
      </c>
      <c r="FQ202" s="139" t="str">
        <f t="shared" si="279"/>
        <v/>
      </c>
      <c r="FR202" s="139" t="str">
        <f t="shared" si="280"/>
        <v/>
      </c>
      <c r="FS202" s="139" t="str">
        <f t="shared" si="281"/>
        <v/>
      </c>
      <c r="FT202" s="139" t="str">
        <f t="shared" si="282"/>
        <v/>
      </c>
      <c r="FU202" s="148" t="str">
        <f t="shared" si="283"/>
        <v/>
      </c>
      <c r="FV202" s="149"/>
      <c r="FY202" s="212">
        <v>197</v>
      </c>
      <c r="FZ202">
        <v>6.5673959102735022</v>
      </c>
      <c r="GA202">
        <v>9.7663272608819867</v>
      </c>
      <c r="GB202">
        <v>6.8733131136778036</v>
      </c>
      <c r="GC202">
        <v>3.0605893271581501</v>
      </c>
      <c r="GD202">
        <v>0.54639862031654651</v>
      </c>
      <c r="GE202">
        <v>2.4981276818589628</v>
      </c>
      <c r="GF202">
        <v>9.8004209502157398</v>
      </c>
      <c r="GG202">
        <v>8.0178684946404442</v>
      </c>
      <c r="GH202">
        <v>2.3624468237967249</v>
      </c>
      <c r="GI202">
        <v>5.9348978231608438</v>
      </c>
      <c r="GJ202"/>
      <c r="GK202"/>
      <c r="GL202"/>
      <c r="GM202"/>
    </row>
    <row r="203" spans="1:195" s="7" customFormat="1">
      <c r="A203" s="1"/>
      <c r="B203" s="76" t="str">
        <f t="shared" ca="1" si="250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17.584967320261434</v>
      </c>
      <c r="AO203">
        <v>8.3564098575164749</v>
      </c>
      <c r="AP203">
        <v>66.603121845669946</v>
      </c>
      <c r="AQ203">
        <v>49.27984365784345</v>
      </c>
      <c r="AR203">
        <v>7.679201088350629</v>
      </c>
      <c r="AS203">
        <v>43.050694674290035</v>
      </c>
      <c r="AT203">
        <v>4.1156400384284009</v>
      </c>
      <c r="AU203">
        <v>12.283050525794177</v>
      </c>
      <c r="AV203"/>
      <c r="AW203"/>
      <c r="AX203" s="146"/>
      <c r="AY203" s="76" t="str">
        <f t="shared" ca="1" si="173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8"/>
        <v/>
      </c>
      <c r="CL203" s="179" t="str">
        <f t="shared" si="209"/>
        <v/>
      </c>
      <c r="CM203" s="180" t="str">
        <f t="shared" si="210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1"/>
        <v/>
      </c>
      <c r="DB203" s="146"/>
      <c r="DC203" s="76" t="str">
        <f t="shared" ca="1" si="174"/>
        <v/>
      </c>
      <c r="DD203" t="str">
        <f t="shared" si="212"/>
        <v/>
      </c>
      <c r="DE203" s="129" t="str">
        <f t="shared" si="338"/>
        <v/>
      </c>
      <c r="DF203" s="161" t="str">
        <f t="shared" si="285"/>
        <v/>
      </c>
      <c r="DG203" s="161" t="str">
        <f t="shared" si="286"/>
        <v/>
      </c>
      <c r="DH203" s="161" t="str">
        <f t="shared" si="287"/>
        <v/>
      </c>
      <c r="DI203" s="161" t="str">
        <f t="shared" si="288"/>
        <v/>
      </c>
      <c r="DJ203" s="161" t="str">
        <f t="shared" si="289"/>
        <v/>
      </c>
      <c r="DK203" s="161" t="str">
        <f t="shared" si="290"/>
        <v/>
      </c>
      <c r="DL203" s="161" t="str">
        <f t="shared" si="291"/>
        <v/>
      </c>
      <c r="DM203" s="161" t="str">
        <f t="shared" si="292"/>
        <v/>
      </c>
      <c r="DN203" s="161" t="str">
        <f t="shared" si="315"/>
        <v/>
      </c>
      <c r="DO203" s="161" t="str">
        <f t="shared" si="316"/>
        <v/>
      </c>
      <c r="DP203" s="161" t="str">
        <f t="shared" si="317"/>
        <v/>
      </c>
      <c r="DQ203" s="161" t="str">
        <f t="shared" si="318"/>
        <v/>
      </c>
      <c r="DR203" s="161" t="str">
        <f t="shared" si="319"/>
        <v/>
      </c>
      <c r="DS203" s="161" t="str">
        <f t="shared" si="320"/>
        <v/>
      </c>
      <c r="DT203" s="161" t="str">
        <f t="shared" si="321"/>
        <v/>
      </c>
      <c r="DU203" s="161" t="str">
        <f t="shared" si="322"/>
        <v/>
      </c>
      <c r="DV203" s="161" t="str">
        <f t="shared" si="323"/>
        <v/>
      </c>
      <c r="DW203" s="161" t="str">
        <f t="shared" si="324"/>
        <v/>
      </c>
      <c r="DX203" s="161" t="str">
        <f t="shared" si="325"/>
        <v/>
      </c>
      <c r="DY203" s="161" t="str">
        <f t="shared" si="326"/>
        <v/>
      </c>
      <c r="DZ203" s="161" t="str">
        <f t="shared" si="327"/>
        <v/>
      </c>
      <c r="EA203" s="161" t="str">
        <f t="shared" si="328"/>
        <v/>
      </c>
      <c r="EB203" s="161" t="str">
        <f t="shared" si="329"/>
        <v/>
      </c>
      <c r="EC203" s="161" t="str">
        <f t="shared" si="330"/>
        <v/>
      </c>
      <c r="ED203" s="161" t="str">
        <f t="shared" si="331"/>
        <v/>
      </c>
      <c r="EE203" s="161" t="str">
        <f t="shared" si="332"/>
        <v/>
      </c>
      <c r="EF203" s="161" t="str">
        <f t="shared" si="333"/>
        <v/>
      </c>
      <c r="EG203" s="161" t="str">
        <f t="shared" si="334"/>
        <v/>
      </c>
      <c r="EH203" s="161" t="str">
        <f t="shared" si="335"/>
        <v/>
      </c>
      <c r="EI203" s="161" t="str">
        <f t="shared" si="336"/>
        <v/>
      </c>
      <c r="EJ203" s="161" t="str">
        <f t="shared" si="337"/>
        <v/>
      </c>
      <c r="EK203" s="147" t="str">
        <f t="shared" si="251"/>
        <v/>
      </c>
      <c r="EL203" s="149"/>
      <c r="EN203" s="146"/>
      <c r="EO203" s="146"/>
      <c r="EP203" s="139" t="str">
        <f t="shared" si="252"/>
        <v/>
      </c>
      <c r="EQ203" s="139" t="str">
        <f t="shared" si="253"/>
        <v/>
      </c>
      <c r="ER203" s="139" t="str">
        <f t="shared" si="254"/>
        <v/>
      </c>
      <c r="ES203" s="139" t="str">
        <f t="shared" si="255"/>
        <v/>
      </c>
      <c r="ET203" s="139" t="str">
        <f t="shared" si="256"/>
        <v/>
      </c>
      <c r="EU203" s="139" t="str">
        <f t="shared" si="257"/>
        <v/>
      </c>
      <c r="EV203" s="139" t="str">
        <f t="shared" si="258"/>
        <v/>
      </c>
      <c r="EW203" s="139" t="str">
        <f t="shared" si="259"/>
        <v/>
      </c>
      <c r="EX203" s="139" t="str">
        <f t="shared" si="260"/>
        <v/>
      </c>
      <c r="EY203" s="139" t="str">
        <f t="shared" si="261"/>
        <v/>
      </c>
      <c r="EZ203" s="139" t="str">
        <f t="shared" si="262"/>
        <v/>
      </c>
      <c r="FA203" s="139" t="str">
        <f t="shared" si="263"/>
        <v/>
      </c>
      <c r="FB203" s="139" t="str">
        <f t="shared" si="264"/>
        <v/>
      </c>
      <c r="FC203" s="139" t="str">
        <f t="shared" si="265"/>
        <v/>
      </c>
      <c r="FD203" s="139" t="str">
        <f t="shared" si="266"/>
        <v/>
      </c>
      <c r="FE203" s="139" t="str">
        <f t="shared" si="267"/>
        <v/>
      </c>
      <c r="FF203" s="139" t="str">
        <f t="shared" si="268"/>
        <v/>
      </c>
      <c r="FG203" s="139" t="str">
        <f t="shared" si="269"/>
        <v/>
      </c>
      <c r="FH203" s="139" t="str">
        <f t="shared" si="270"/>
        <v/>
      </c>
      <c r="FI203" s="139" t="str">
        <f t="shared" si="271"/>
        <v/>
      </c>
      <c r="FJ203" s="139" t="str">
        <f t="shared" si="272"/>
        <v/>
      </c>
      <c r="FK203" s="139" t="str">
        <f t="shared" si="273"/>
        <v/>
      </c>
      <c r="FL203" s="139" t="str">
        <f t="shared" si="274"/>
        <v/>
      </c>
      <c r="FM203" s="139" t="str">
        <f t="shared" si="275"/>
        <v/>
      </c>
      <c r="FN203" s="139" t="str">
        <f t="shared" si="276"/>
        <v/>
      </c>
      <c r="FO203" s="139" t="str">
        <f t="shared" si="277"/>
        <v/>
      </c>
      <c r="FP203" s="139" t="str">
        <f t="shared" si="278"/>
        <v/>
      </c>
      <c r="FQ203" s="139" t="str">
        <f t="shared" si="279"/>
        <v/>
      </c>
      <c r="FR203" s="139" t="str">
        <f t="shared" si="280"/>
        <v/>
      </c>
      <c r="FS203" s="139" t="str">
        <f t="shared" si="281"/>
        <v/>
      </c>
      <c r="FT203" s="139" t="str">
        <f t="shared" si="282"/>
        <v/>
      </c>
      <c r="FU203" s="148" t="str">
        <f t="shared" si="283"/>
        <v/>
      </c>
      <c r="FV203" s="149"/>
      <c r="FY203" s="212">
        <v>198</v>
      </c>
      <c r="FZ203">
        <v>3.4596055548908278</v>
      </c>
      <c r="GA203">
        <v>7.502901522867659</v>
      </c>
      <c r="GB203">
        <v>7.5845740436926121</v>
      </c>
      <c r="GC203">
        <v>3.7084095739291891</v>
      </c>
      <c r="GD203">
        <v>1.9140905354540361</v>
      </c>
      <c r="GE203">
        <v>4.0970893600237126</v>
      </c>
      <c r="GF203">
        <v>6.2209323670833889</v>
      </c>
      <c r="GG203">
        <v>4.6337081763326946</v>
      </c>
      <c r="GH203">
        <v>1.6398430928816303</v>
      </c>
      <c r="GI203">
        <v>5.5885855036054597</v>
      </c>
      <c r="GJ203"/>
      <c r="GK203"/>
      <c r="GL203"/>
      <c r="GM203"/>
    </row>
    <row r="204" spans="1:195" s="7" customFormat="1">
      <c r="A204" s="1"/>
      <c r="B204" s="76" t="str">
        <f t="shared" ca="1" si="250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14.859272875816989</v>
      </c>
      <c r="AO204">
        <v>7.2001849785096299</v>
      </c>
      <c r="AP204">
        <v>36.854248654098313</v>
      </c>
      <c r="AQ204">
        <v>34.427869230557107</v>
      </c>
      <c r="AR204">
        <v>6.6135547003197708</v>
      </c>
      <c r="AS204">
        <v>37.813237603058916</v>
      </c>
      <c r="AT204">
        <v>3.8798503623705183</v>
      </c>
      <c r="AU204">
        <v>9.107428448996373</v>
      </c>
      <c r="AV204"/>
      <c r="AW204"/>
      <c r="AX204" s="146"/>
      <c r="AY204" s="76" t="str">
        <f t="shared" ca="1" si="173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8"/>
        <v/>
      </c>
      <c r="CL204" s="179" t="str">
        <f t="shared" si="209"/>
        <v/>
      </c>
      <c r="CM204" s="180" t="str">
        <f t="shared" si="210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1"/>
        <v/>
      </c>
      <c r="DB204" s="146"/>
      <c r="DC204" s="76" t="str">
        <f t="shared" ca="1" si="174"/>
        <v/>
      </c>
      <c r="DD204" t="str">
        <f t="shared" si="212"/>
        <v/>
      </c>
      <c r="DE204" s="129" t="str">
        <f t="shared" si="338"/>
        <v/>
      </c>
      <c r="DF204" s="161" t="str">
        <f t="shared" si="285"/>
        <v/>
      </c>
      <c r="DG204" s="161" t="str">
        <f t="shared" si="286"/>
        <v/>
      </c>
      <c r="DH204" s="161" t="str">
        <f t="shared" si="287"/>
        <v/>
      </c>
      <c r="DI204" s="161" t="str">
        <f t="shared" si="288"/>
        <v/>
      </c>
      <c r="DJ204" s="161" t="str">
        <f t="shared" si="289"/>
        <v/>
      </c>
      <c r="DK204" s="161" t="str">
        <f t="shared" si="290"/>
        <v/>
      </c>
      <c r="DL204" s="161" t="str">
        <f t="shared" si="291"/>
        <v/>
      </c>
      <c r="DM204" s="161" t="str">
        <f t="shared" si="292"/>
        <v/>
      </c>
      <c r="DN204" s="161" t="str">
        <f t="shared" si="315"/>
        <v/>
      </c>
      <c r="DO204" s="161" t="str">
        <f t="shared" si="316"/>
        <v/>
      </c>
      <c r="DP204" s="161" t="str">
        <f t="shared" si="317"/>
        <v/>
      </c>
      <c r="DQ204" s="161" t="str">
        <f t="shared" si="318"/>
        <v/>
      </c>
      <c r="DR204" s="161" t="str">
        <f t="shared" si="319"/>
        <v/>
      </c>
      <c r="DS204" s="161" t="str">
        <f t="shared" si="320"/>
        <v/>
      </c>
      <c r="DT204" s="161" t="str">
        <f t="shared" si="321"/>
        <v/>
      </c>
      <c r="DU204" s="161" t="str">
        <f t="shared" si="322"/>
        <v/>
      </c>
      <c r="DV204" s="161" t="str">
        <f t="shared" si="323"/>
        <v/>
      </c>
      <c r="DW204" s="161" t="str">
        <f t="shared" si="324"/>
        <v/>
      </c>
      <c r="DX204" s="161" t="str">
        <f t="shared" si="325"/>
        <v/>
      </c>
      <c r="DY204" s="161" t="str">
        <f t="shared" si="326"/>
        <v/>
      </c>
      <c r="DZ204" s="161" t="str">
        <f t="shared" si="327"/>
        <v/>
      </c>
      <c r="EA204" s="161" t="str">
        <f t="shared" si="328"/>
        <v/>
      </c>
      <c r="EB204" s="161" t="str">
        <f t="shared" si="329"/>
        <v/>
      </c>
      <c r="EC204" s="161" t="str">
        <f t="shared" si="330"/>
        <v/>
      </c>
      <c r="ED204" s="161" t="str">
        <f t="shared" si="331"/>
        <v/>
      </c>
      <c r="EE204" s="161" t="str">
        <f t="shared" si="332"/>
        <v/>
      </c>
      <c r="EF204" s="161" t="str">
        <f t="shared" si="333"/>
        <v/>
      </c>
      <c r="EG204" s="161" t="str">
        <f t="shared" si="334"/>
        <v/>
      </c>
      <c r="EH204" s="161" t="str">
        <f t="shared" si="335"/>
        <v/>
      </c>
      <c r="EI204" s="161" t="str">
        <f t="shared" si="336"/>
        <v/>
      </c>
      <c r="EJ204" s="161" t="str">
        <f t="shared" si="337"/>
        <v/>
      </c>
      <c r="EK204" s="147" t="str">
        <f t="shared" si="251"/>
        <v/>
      </c>
      <c r="EL204" s="149"/>
      <c r="EN204" s="146"/>
      <c r="EO204" s="146"/>
      <c r="EP204" s="139" t="str">
        <f t="shared" si="252"/>
        <v/>
      </c>
      <c r="EQ204" s="139" t="str">
        <f t="shared" si="253"/>
        <v/>
      </c>
      <c r="ER204" s="139" t="str">
        <f t="shared" si="254"/>
        <v/>
      </c>
      <c r="ES204" s="139" t="str">
        <f t="shared" si="255"/>
        <v/>
      </c>
      <c r="ET204" s="139" t="str">
        <f t="shared" si="256"/>
        <v/>
      </c>
      <c r="EU204" s="139" t="str">
        <f t="shared" si="257"/>
        <v/>
      </c>
      <c r="EV204" s="139" t="str">
        <f t="shared" si="258"/>
        <v/>
      </c>
      <c r="EW204" s="139" t="str">
        <f t="shared" si="259"/>
        <v/>
      </c>
      <c r="EX204" s="139" t="str">
        <f t="shared" si="260"/>
        <v/>
      </c>
      <c r="EY204" s="139" t="str">
        <f t="shared" si="261"/>
        <v/>
      </c>
      <c r="EZ204" s="139" t="str">
        <f t="shared" si="262"/>
        <v/>
      </c>
      <c r="FA204" s="139" t="str">
        <f t="shared" si="263"/>
        <v/>
      </c>
      <c r="FB204" s="139" t="str">
        <f t="shared" si="264"/>
        <v/>
      </c>
      <c r="FC204" s="139" t="str">
        <f t="shared" si="265"/>
        <v/>
      </c>
      <c r="FD204" s="139" t="str">
        <f t="shared" si="266"/>
        <v/>
      </c>
      <c r="FE204" s="139" t="str">
        <f t="shared" si="267"/>
        <v/>
      </c>
      <c r="FF204" s="139" t="str">
        <f t="shared" si="268"/>
        <v/>
      </c>
      <c r="FG204" s="139" t="str">
        <f t="shared" si="269"/>
        <v/>
      </c>
      <c r="FH204" s="139" t="str">
        <f t="shared" si="270"/>
        <v/>
      </c>
      <c r="FI204" s="139" t="str">
        <f t="shared" si="271"/>
        <v/>
      </c>
      <c r="FJ204" s="139" t="str">
        <f t="shared" si="272"/>
        <v/>
      </c>
      <c r="FK204" s="139" t="str">
        <f t="shared" si="273"/>
        <v/>
      </c>
      <c r="FL204" s="139" t="str">
        <f t="shared" si="274"/>
        <v/>
      </c>
      <c r="FM204" s="139" t="str">
        <f t="shared" si="275"/>
        <v/>
      </c>
      <c r="FN204" s="139" t="str">
        <f t="shared" si="276"/>
        <v/>
      </c>
      <c r="FO204" s="139" t="str">
        <f t="shared" si="277"/>
        <v/>
      </c>
      <c r="FP204" s="139" t="str">
        <f t="shared" si="278"/>
        <v/>
      </c>
      <c r="FQ204" s="139" t="str">
        <f t="shared" si="279"/>
        <v/>
      </c>
      <c r="FR204" s="139" t="str">
        <f t="shared" si="280"/>
        <v/>
      </c>
      <c r="FS204" s="139" t="str">
        <f t="shared" si="281"/>
        <v/>
      </c>
      <c r="FT204" s="139" t="str">
        <f t="shared" si="282"/>
        <v/>
      </c>
      <c r="FU204" s="148" t="str">
        <f t="shared" si="283"/>
        <v/>
      </c>
      <c r="FV204" s="149"/>
      <c r="FY204" s="212">
        <v>199</v>
      </c>
      <c r="FZ204">
        <v>6.4031254043598578</v>
      </c>
      <c r="GA204">
        <v>9.6139718644633856</v>
      </c>
      <c r="GB204">
        <v>7.0259970875862017</v>
      </c>
      <c r="GC204">
        <v>3.4305171121762394</v>
      </c>
      <c r="GD204">
        <v>1.1849056171309413</v>
      </c>
      <c r="GE204">
        <v>4.3666826530272154</v>
      </c>
      <c r="GF204">
        <v>12.049784164328653</v>
      </c>
      <c r="GG204">
        <v>9.2613438840685109</v>
      </c>
      <c r="GH204">
        <v>2.209087744588667</v>
      </c>
      <c r="GI204">
        <v>6.9280790391470672</v>
      </c>
      <c r="GJ204"/>
      <c r="GK204"/>
      <c r="GL204"/>
      <c r="GM204"/>
    </row>
    <row r="205" spans="1:195" s="7" customFormat="1">
      <c r="A205" s="1"/>
      <c r="B205" s="76" t="str">
        <f t="shared" ca="1" si="250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24.333677848649504</v>
      </c>
      <c r="AO205">
        <v>9.5314068918108568</v>
      </c>
      <c r="AP205">
        <v>67.908033461316023</v>
      </c>
      <c r="AQ205">
        <v>49.243924764884319</v>
      </c>
      <c r="AR205">
        <v>8.8131198393109234</v>
      </c>
      <c r="AS205">
        <v>47.920744784606754</v>
      </c>
      <c r="AT205">
        <v>5.5220200770176033</v>
      </c>
      <c r="AU205">
        <v>45.261022652276267</v>
      </c>
      <c r="AV205"/>
      <c r="AW205"/>
      <c r="AX205" s="146"/>
      <c r="AY205" s="76" t="str">
        <f t="shared" ca="1" si="173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8"/>
        <v/>
      </c>
      <c r="CL205" s="179" t="str">
        <f t="shared" si="209"/>
        <v/>
      </c>
      <c r="CM205" s="180" t="str">
        <f t="shared" si="210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1"/>
        <v/>
      </c>
      <c r="DB205" s="146"/>
      <c r="DC205" s="76" t="str">
        <f t="shared" ca="1" si="174"/>
        <v/>
      </c>
      <c r="DD205" t="str">
        <f t="shared" si="212"/>
        <v/>
      </c>
      <c r="DE205" s="129" t="str">
        <f t="shared" si="338"/>
        <v/>
      </c>
      <c r="DF205" s="161" t="str">
        <f t="shared" si="285"/>
        <v/>
      </c>
      <c r="DG205" s="161" t="str">
        <f t="shared" si="286"/>
        <v/>
      </c>
      <c r="DH205" s="161" t="str">
        <f t="shared" si="287"/>
        <v/>
      </c>
      <c r="DI205" s="161" t="str">
        <f t="shared" si="288"/>
        <v/>
      </c>
      <c r="DJ205" s="161" t="str">
        <f t="shared" si="289"/>
        <v/>
      </c>
      <c r="DK205" s="161" t="str">
        <f t="shared" si="290"/>
        <v/>
      </c>
      <c r="DL205" s="161" t="str">
        <f t="shared" si="291"/>
        <v/>
      </c>
      <c r="DM205" s="161" t="str">
        <f t="shared" si="292"/>
        <v/>
      </c>
      <c r="DN205" s="161" t="str">
        <f t="shared" si="315"/>
        <v/>
      </c>
      <c r="DO205" s="161" t="str">
        <f t="shared" si="316"/>
        <v/>
      </c>
      <c r="DP205" s="161" t="str">
        <f t="shared" si="317"/>
        <v/>
      </c>
      <c r="DQ205" s="161" t="str">
        <f t="shared" si="318"/>
        <v/>
      </c>
      <c r="DR205" s="161" t="str">
        <f t="shared" si="319"/>
        <v/>
      </c>
      <c r="DS205" s="161" t="str">
        <f t="shared" si="320"/>
        <v/>
      </c>
      <c r="DT205" s="161" t="str">
        <f t="shared" si="321"/>
        <v/>
      </c>
      <c r="DU205" s="161" t="str">
        <f t="shared" si="322"/>
        <v/>
      </c>
      <c r="DV205" s="161" t="str">
        <f t="shared" si="323"/>
        <v/>
      </c>
      <c r="DW205" s="161" t="str">
        <f t="shared" si="324"/>
        <v/>
      </c>
      <c r="DX205" s="161" t="str">
        <f t="shared" si="325"/>
        <v/>
      </c>
      <c r="DY205" s="161" t="str">
        <f t="shared" si="326"/>
        <v/>
      </c>
      <c r="DZ205" s="161" t="str">
        <f t="shared" si="327"/>
        <v/>
      </c>
      <c r="EA205" s="161" t="str">
        <f t="shared" si="328"/>
        <v/>
      </c>
      <c r="EB205" s="161" t="str">
        <f t="shared" si="329"/>
        <v/>
      </c>
      <c r="EC205" s="161" t="str">
        <f t="shared" si="330"/>
        <v/>
      </c>
      <c r="ED205" s="161" t="str">
        <f t="shared" si="331"/>
        <v/>
      </c>
      <c r="EE205" s="161" t="str">
        <f t="shared" si="332"/>
        <v/>
      </c>
      <c r="EF205" s="161" t="str">
        <f t="shared" si="333"/>
        <v/>
      </c>
      <c r="EG205" s="161" t="str">
        <f t="shared" si="334"/>
        <v/>
      </c>
      <c r="EH205" s="161" t="str">
        <f t="shared" si="335"/>
        <v/>
      </c>
      <c r="EI205" s="161" t="str">
        <f t="shared" si="336"/>
        <v/>
      </c>
      <c r="EJ205" s="161" t="str">
        <f t="shared" si="337"/>
        <v/>
      </c>
      <c r="EK205" s="147" t="str">
        <f t="shared" si="251"/>
        <v/>
      </c>
      <c r="EL205" s="149"/>
      <c r="EN205" s="146"/>
      <c r="EO205" s="146"/>
      <c r="EP205" s="139" t="str">
        <f t="shared" si="252"/>
        <v/>
      </c>
      <c r="EQ205" s="139" t="str">
        <f t="shared" si="253"/>
        <v/>
      </c>
      <c r="ER205" s="139" t="str">
        <f t="shared" si="254"/>
        <v/>
      </c>
      <c r="ES205" s="139" t="str">
        <f t="shared" si="255"/>
        <v/>
      </c>
      <c r="ET205" s="139" t="str">
        <f t="shared" si="256"/>
        <v/>
      </c>
      <c r="EU205" s="139" t="str">
        <f t="shared" si="257"/>
        <v/>
      </c>
      <c r="EV205" s="139" t="str">
        <f t="shared" si="258"/>
        <v/>
      </c>
      <c r="EW205" s="139" t="str">
        <f t="shared" si="259"/>
        <v/>
      </c>
      <c r="EX205" s="139" t="str">
        <f t="shared" si="260"/>
        <v/>
      </c>
      <c r="EY205" s="139" t="str">
        <f t="shared" si="261"/>
        <v/>
      </c>
      <c r="EZ205" s="139" t="str">
        <f t="shared" si="262"/>
        <v/>
      </c>
      <c r="FA205" s="139" t="str">
        <f t="shared" si="263"/>
        <v/>
      </c>
      <c r="FB205" s="139" t="str">
        <f t="shared" si="264"/>
        <v/>
      </c>
      <c r="FC205" s="139" t="str">
        <f t="shared" si="265"/>
        <v/>
      </c>
      <c r="FD205" s="139" t="str">
        <f t="shared" si="266"/>
        <v/>
      </c>
      <c r="FE205" s="139" t="str">
        <f t="shared" si="267"/>
        <v/>
      </c>
      <c r="FF205" s="139" t="str">
        <f t="shared" si="268"/>
        <v/>
      </c>
      <c r="FG205" s="139" t="str">
        <f t="shared" si="269"/>
        <v/>
      </c>
      <c r="FH205" s="139" t="str">
        <f t="shared" si="270"/>
        <v/>
      </c>
      <c r="FI205" s="139" t="str">
        <f t="shared" si="271"/>
        <v/>
      </c>
      <c r="FJ205" s="139" t="str">
        <f t="shared" si="272"/>
        <v/>
      </c>
      <c r="FK205" s="139" t="str">
        <f t="shared" si="273"/>
        <v/>
      </c>
      <c r="FL205" s="139" t="str">
        <f t="shared" si="274"/>
        <v/>
      </c>
      <c r="FM205" s="139" t="str">
        <f t="shared" si="275"/>
        <v/>
      </c>
      <c r="FN205" s="139" t="str">
        <f t="shared" si="276"/>
        <v/>
      </c>
      <c r="FO205" s="139" t="str">
        <f t="shared" si="277"/>
        <v/>
      </c>
      <c r="FP205" s="139" t="str">
        <f t="shared" si="278"/>
        <v/>
      </c>
      <c r="FQ205" s="139" t="str">
        <f t="shared" si="279"/>
        <v/>
      </c>
      <c r="FR205" s="139" t="str">
        <f t="shared" si="280"/>
        <v/>
      </c>
      <c r="FS205" s="139" t="str">
        <f t="shared" si="281"/>
        <v/>
      </c>
      <c r="FT205" s="139" t="str">
        <f t="shared" si="282"/>
        <v/>
      </c>
      <c r="FU205" s="148" t="str">
        <f t="shared" si="283"/>
        <v/>
      </c>
      <c r="FV205" s="149"/>
      <c r="FY205" s="212">
        <v>200</v>
      </c>
      <c r="FZ205">
        <v>3.5083289299732723</v>
      </c>
      <c r="GA205">
        <v>8.5943558984557384</v>
      </c>
      <c r="GB205">
        <v>7.7659993253543371</v>
      </c>
      <c r="GC205">
        <v>3.2470442508395641</v>
      </c>
      <c r="GD205">
        <v>1.6174762712766289</v>
      </c>
      <c r="GE205">
        <v>3.2820511725176766</v>
      </c>
      <c r="GF205">
        <v>7.7564841828981823</v>
      </c>
      <c r="GG205">
        <v>9.1945285376517312</v>
      </c>
      <c r="GH205">
        <v>3.4430222133193702</v>
      </c>
      <c r="GI205">
        <v>6.1880193727663713</v>
      </c>
      <c r="GJ205"/>
      <c r="GK205"/>
      <c r="GL205"/>
      <c r="GM205"/>
    </row>
    <row r="206" spans="1:195" s="7" customFormat="1">
      <c r="A206" s="1"/>
      <c r="B206" s="76" t="str">
        <f t="shared" ca="1" si="250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24.606553665642963</v>
      </c>
      <c r="AO206">
        <v>18.32458301637087</v>
      </c>
      <c r="AP206">
        <v>110.45511646846123</v>
      </c>
      <c r="AQ206">
        <v>95.406974665904357</v>
      </c>
      <c r="AR206">
        <v>16.705492204965982</v>
      </c>
      <c r="AS206">
        <v>80.572911310388861</v>
      </c>
      <c r="AT206">
        <v>9.5176393918097535</v>
      </c>
      <c r="AU206">
        <v>11.658546292067181</v>
      </c>
      <c r="AV206"/>
      <c r="AW206"/>
      <c r="AX206" s="146"/>
      <c r="AY206" s="76" t="str">
        <f t="shared" ca="1" si="173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8"/>
        <v/>
      </c>
      <c r="CL206" s="179" t="str">
        <f t="shared" si="209"/>
        <v/>
      </c>
      <c r="CM206" s="180" t="str">
        <f t="shared" si="210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1"/>
        <v/>
      </c>
      <c r="DB206" s="146"/>
      <c r="DC206" s="76" t="str">
        <f t="shared" ca="1" si="174"/>
        <v/>
      </c>
      <c r="DD206" t="str">
        <f t="shared" si="212"/>
        <v/>
      </c>
      <c r="DE206" s="129" t="str">
        <f t="shared" si="338"/>
        <v/>
      </c>
      <c r="DF206" s="161" t="str">
        <f t="shared" si="285"/>
        <v/>
      </c>
      <c r="DG206" s="161" t="str">
        <f t="shared" si="286"/>
        <v/>
      </c>
      <c r="DH206" s="161" t="str">
        <f t="shared" si="287"/>
        <v/>
      </c>
      <c r="DI206" s="161" t="str">
        <f t="shared" si="288"/>
        <v/>
      </c>
      <c r="DJ206" s="161" t="str">
        <f t="shared" si="289"/>
        <v/>
      </c>
      <c r="DK206" s="161" t="str">
        <f t="shared" si="290"/>
        <v/>
      </c>
      <c r="DL206" s="161" t="str">
        <f t="shared" si="291"/>
        <v/>
      </c>
      <c r="DM206" s="161" t="str">
        <f t="shared" si="292"/>
        <v/>
      </c>
      <c r="DN206" s="161" t="str">
        <f t="shared" si="315"/>
        <v/>
      </c>
      <c r="DO206" s="161" t="str">
        <f t="shared" si="316"/>
        <v/>
      </c>
      <c r="DP206" s="161" t="str">
        <f t="shared" si="317"/>
        <v/>
      </c>
      <c r="DQ206" s="161" t="str">
        <f t="shared" si="318"/>
        <v/>
      </c>
      <c r="DR206" s="161" t="str">
        <f t="shared" si="319"/>
        <v/>
      </c>
      <c r="DS206" s="161" t="str">
        <f t="shared" si="320"/>
        <v/>
      </c>
      <c r="DT206" s="161" t="str">
        <f t="shared" si="321"/>
        <v/>
      </c>
      <c r="DU206" s="161" t="str">
        <f t="shared" si="322"/>
        <v/>
      </c>
      <c r="DV206" s="161" t="str">
        <f t="shared" si="323"/>
        <v/>
      </c>
      <c r="DW206" s="161" t="str">
        <f t="shared" si="324"/>
        <v/>
      </c>
      <c r="DX206" s="161" t="str">
        <f t="shared" si="325"/>
        <v/>
      </c>
      <c r="DY206" s="161" t="str">
        <f t="shared" si="326"/>
        <v/>
      </c>
      <c r="DZ206" s="161" t="str">
        <f t="shared" si="327"/>
        <v/>
      </c>
      <c r="EA206" s="161" t="str">
        <f t="shared" si="328"/>
        <v/>
      </c>
      <c r="EB206" s="161" t="str">
        <f t="shared" si="329"/>
        <v/>
      </c>
      <c r="EC206" s="161" t="str">
        <f t="shared" si="330"/>
        <v/>
      </c>
      <c r="ED206" s="161" t="str">
        <f t="shared" si="331"/>
        <v/>
      </c>
      <c r="EE206" s="161" t="str">
        <f t="shared" si="332"/>
        <v/>
      </c>
      <c r="EF206" s="161" t="str">
        <f t="shared" si="333"/>
        <v/>
      </c>
      <c r="EG206" s="161" t="str">
        <f t="shared" si="334"/>
        <v/>
      </c>
      <c r="EH206" s="161" t="str">
        <f t="shared" si="335"/>
        <v/>
      </c>
      <c r="EI206" s="161" t="str">
        <f t="shared" si="336"/>
        <v/>
      </c>
      <c r="EJ206" s="161" t="str">
        <f t="shared" si="337"/>
        <v/>
      </c>
      <c r="EK206" s="147" t="str">
        <f t="shared" si="251"/>
        <v/>
      </c>
      <c r="EL206" s="149"/>
      <c r="EN206" s="146"/>
      <c r="EO206" s="146"/>
      <c r="EP206" s="139" t="str">
        <f t="shared" si="252"/>
        <v/>
      </c>
      <c r="EQ206" s="139" t="str">
        <f t="shared" si="253"/>
        <v/>
      </c>
      <c r="ER206" s="139" t="str">
        <f t="shared" si="254"/>
        <v/>
      </c>
      <c r="ES206" s="139" t="str">
        <f t="shared" si="255"/>
        <v/>
      </c>
      <c r="ET206" s="139" t="str">
        <f t="shared" si="256"/>
        <v/>
      </c>
      <c r="EU206" s="139" t="str">
        <f t="shared" si="257"/>
        <v/>
      </c>
      <c r="EV206" s="139" t="str">
        <f t="shared" si="258"/>
        <v/>
      </c>
      <c r="EW206" s="139" t="str">
        <f t="shared" si="259"/>
        <v/>
      </c>
      <c r="EX206" s="139" t="str">
        <f t="shared" si="260"/>
        <v/>
      </c>
      <c r="EY206" s="139" t="str">
        <f t="shared" si="261"/>
        <v/>
      </c>
      <c r="EZ206" s="139" t="str">
        <f t="shared" si="262"/>
        <v/>
      </c>
      <c r="FA206" s="139" t="str">
        <f t="shared" si="263"/>
        <v/>
      </c>
      <c r="FB206" s="139" t="str">
        <f t="shared" si="264"/>
        <v/>
      </c>
      <c r="FC206" s="139" t="str">
        <f t="shared" si="265"/>
        <v/>
      </c>
      <c r="FD206" s="139" t="str">
        <f t="shared" si="266"/>
        <v/>
      </c>
      <c r="FE206" s="139" t="str">
        <f t="shared" si="267"/>
        <v/>
      </c>
      <c r="FF206" s="139" t="str">
        <f t="shared" si="268"/>
        <v/>
      </c>
      <c r="FG206" s="139" t="str">
        <f t="shared" si="269"/>
        <v/>
      </c>
      <c r="FH206" s="139" t="str">
        <f t="shared" si="270"/>
        <v/>
      </c>
      <c r="FI206" s="139" t="str">
        <f t="shared" si="271"/>
        <v/>
      </c>
      <c r="FJ206" s="139" t="str">
        <f t="shared" si="272"/>
        <v/>
      </c>
      <c r="FK206" s="139" t="str">
        <f t="shared" si="273"/>
        <v/>
      </c>
      <c r="FL206" s="139" t="str">
        <f t="shared" si="274"/>
        <v/>
      </c>
      <c r="FM206" s="139" t="str">
        <f t="shared" si="275"/>
        <v/>
      </c>
      <c r="FN206" s="139" t="str">
        <f t="shared" si="276"/>
        <v/>
      </c>
      <c r="FO206" s="139" t="str">
        <f t="shared" si="277"/>
        <v/>
      </c>
      <c r="FP206" s="139" t="str">
        <f t="shared" si="278"/>
        <v/>
      </c>
      <c r="FQ206" s="139" t="str">
        <f t="shared" si="279"/>
        <v/>
      </c>
      <c r="FR206" s="139" t="str">
        <f t="shared" si="280"/>
        <v/>
      </c>
      <c r="FS206" s="139" t="str">
        <f t="shared" si="281"/>
        <v/>
      </c>
      <c r="FT206" s="139" t="str">
        <f t="shared" si="282"/>
        <v/>
      </c>
      <c r="FU206" s="148" t="str">
        <f t="shared" si="283"/>
        <v/>
      </c>
      <c r="FV206" s="149"/>
      <c r="FY206" s="212">
        <v>201</v>
      </c>
      <c r="FZ206">
        <v>3.6626353705593551</v>
      </c>
      <c r="GA206">
        <v>5.2736924205195628</v>
      </c>
      <c r="GB206">
        <v>7.1787507321099966</v>
      </c>
      <c r="GC206">
        <v>4.286411773579399</v>
      </c>
      <c r="GD206">
        <v>1.3941852976123779</v>
      </c>
      <c r="GE206">
        <v>2.0129189406606844</v>
      </c>
      <c r="GF206">
        <v>8.1490353398205819</v>
      </c>
      <c r="GG206">
        <v>8.907541448155758</v>
      </c>
      <c r="GH206">
        <v>2.3287594574713624</v>
      </c>
      <c r="GI206">
        <v>5.842346851358327</v>
      </c>
      <c r="GJ206"/>
      <c r="GK206"/>
      <c r="GL206"/>
      <c r="GM206"/>
    </row>
    <row r="207" spans="1:195" s="7" customFormat="1">
      <c r="A207" s="1"/>
      <c r="B207" s="76" t="str">
        <f t="shared" ca="1" si="250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11.569444444444446</v>
      </c>
      <c r="AO207">
        <v>7.8472957509562749</v>
      </c>
      <c r="AP207">
        <v>44.133921584656868</v>
      </c>
      <c r="AQ207">
        <v>37.420122034972287</v>
      </c>
      <c r="AR207">
        <v>7.1606341899523107</v>
      </c>
      <c r="AS207">
        <v>43.148666318674543</v>
      </c>
      <c r="AT207">
        <v>4.6703413276662102</v>
      </c>
      <c r="AU207">
        <v>8.2579044334512322</v>
      </c>
      <c r="AV207"/>
      <c r="AW207"/>
      <c r="AX207" s="146"/>
      <c r="AY207" s="76" t="str">
        <f t="shared" ca="1" si="173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8"/>
        <v/>
      </c>
      <c r="CL207" s="179" t="str">
        <f t="shared" si="209"/>
        <v/>
      </c>
      <c r="CM207" s="180" t="str">
        <f t="shared" si="210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1"/>
        <v/>
      </c>
      <c r="DB207" s="146"/>
      <c r="DC207" s="76" t="str">
        <f t="shared" ca="1" si="174"/>
        <v/>
      </c>
      <c r="DD207" t="str">
        <f t="shared" si="212"/>
        <v/>
      </c>
      <c r="DE207" s="129" t="str">
        <f t="shared" si="338"/>
        <v/>
      </c>
      <c r="DF207" s="161" t="str">
        <f t="shared" si="285"/>
        <v/>
      </c>
      <c r="DG207" s="161" t="str">
        <f t="shared" si="286"/>
        <v/>
      </c>
      <c r="DH207" s="161" t="str">
        <f t="shared" si="287"/>
        <v/>
      </c>
      <c r="DI207" s="161" t="str">
        <f t="shared" si="288"/>
        <v/>
      </c>
      <c r="DJ207" s="161" t="str">
        <f t="shared" si="289"/>
        <v/>
      </c>
      <c r="DK207" s="161" t="str">
        <f t="shared" si="290"/>
        <v/>
      </c>
      <c r="DL207" s="161" t="str">
        <f t="shared" si="291"/>
        <v/>
      </c>
      <c r="DM207" s="161" t="str">
        <f t="shared" si="292"/>
        <v/>
      </c>
      <c r="DN207" s="161" t="str">
        <f t="shared" si="315"/>
        <v/>
      </c>
      <c r="DO207" s="161" t="str">
        <f t="shared" ref="DO207:EJ207" si="339">IF($AZ207="", "", (BK207*$CW207)/$CZ207)</f>
        <v/>
      </c>
      <c r="DP207" s="161" t="str">
        <f t="shared" si="339"/>
        <v/>
      </c>
      <c r="DQ207" s="161" t="str">
        <f t="shared" si="339"/>
        <v/>
      </c>
      <c r="DR207" s="161" t="str">
        <f t="shared" si="339"/>
        <v/>
      </c>
      <c r="DS207" s="161" t="str">
        <f t="shared" si="339"/>
        <v/>
      </c>
      <c r="DT207" s="161" t="str">
        <f t="shared" si="339"/>
        <v/>
      </c>
      <c r="DU207" s="161" t="str">
        <f t="shared" si="339"/>
        <v/>
      </c>
      <c r="DV207" s="161" t="str">
        <f t="shared" si="339"/>
        <v/>
      </c>
      <c r="DW207" s="161" t="str">
        <f t="shared" si="339"/>
        <v/>
      </c>
      <c r="DX207" s="161" t="str">
        <f t="shared" si="339"/>
        <v/>
      </c>
      <c r="DY207" s="161" t="str">
        <f t="shared" si="339"/>
        <v/>
      </c>
      <c r="DZ207" s="161" t="str">
        <f t="shared" si="339"/>
        <v/>
      </c>
      <c r="EA207" s="161" t="str">
        <f t="shared" si="339"/>
        <v/>
      </c>
      <c r="EB207" s="161" t="str">
        <f t="shared" si="339"/>
        <v/>
      </c>
      <c r="EC207" s="161" t="str">
        <f t="shared" si="339"/>
        <v/>
      </c>
      <c r="ED207" s="161" t="str">
        <f t="shared" si="339"/>
        <v/>
      </c>
      <c r="EE207" s="161" t="str">
        <f t="shared" si="339"/>
        <v/>
      </c>
      <c r="EF207" s="161" t="str">
        <f t="shared" si="339"/>
        <v/>
      </c>
      <c r="EG207" s="161" t="str">
        <f t="shared" si="339"/>
        <v/>
      </c>
      <c r="EH207" s="161" t="str">
        <f t="shared" si="339"/>
        <v/>
      </c>
      <c r="EI207" s="161" t="str">
        <f t="shared" si="339"/>
        <v/>
      </c>
      <c r="EJ207" s="161" t="str">
        <f t="shared" si="339"/>
        <v/>
      </c>
      <c r="EK207" s="147" t="str">
        <f t="shared" si="251"/>
        <v/>
      </c>
      <c r="EL207" s="149"/>
      <c r="EN207" s="146"/>
      <c r="EO207" s="146"/>
      <c r="EP207" s="139" t="str">
        <f t="shared" si="252"/>
        <v/>
      </c>
      <c r="EQ207" s="139" t="str">
        <f t="shared" si="253"/>
        <v/>
      </c>
      <c r="ER207" s="139" t="str">
        <f t="shared" si="254"/>
        <v/>
      </c>
      <c r="ES207" s="139" t="str">
        <f t="shared" si="255"/>
        <v/>
      </c>
      <c r="ET207" s="139" t="str">
        <f t="shared" si="256"/>
        <v/>
      </c>
      <c r="EU207" s="139" t="str">
        <f t="shared" si="257"/>
        <v/>
      </c>
      <c r="EV207" s="139" t="str">
        <f t="shared" si="258"/>
        <v/>
      </c>
      <c r="EW207" s="139" t="str">
        <f t="shared" si="259"/>
        <v/>
      </c>
      <c r="EX207" s="139" t="str">
        <f t="shared" si="260"/>
        <v/>
      </c>
      <c r="EY207" s="139" t="str">
        <f t="shared" si="261"/>
        <v/>
      </c>
      <c r="EZ207" s="139" t="str">
        <f t="shared" si="262"/>
        <v/>
      </c>
      <c r="FA207" s="139" t="str">
        <f t="shared" si="263"/>
        <v/>
      </c>
      <c r="FB207" s="139" t="str">
        <f t="shared" si="264"/>
        <v/>
      </c>
      <c r="FC207" s="139" t="str">
        <f t="shared" si="265"/>
        <v/>
      </c>
      <c r="FD207" s="139" t="str">
        <f t="shared" si="266"/>
        <v/>
      </c>
      <c r="FE207" s="139" t="str">
        <f t="shared" si="267"/>
        <v/>
      </c>
      <c r="FF207" s="139" t="str">
        <f t="shared" si="268"/>
        <v/>
      </c>
      <c r="FG207" s="139" t="str">
        <f t="shared" si="269"/>
        <v/>
      </c>
      <c r="FH207" s="139" t="str">
        <f t="shared" si="270"/>
        <v/>
      </c>
      <c r="FI207" s="139" t="str">
        <f t="shared" si="271"/>
        <v/>
      </c>
      <c r="FJ207" s="139" t="str">
        <f t="shared" si="272"/>
        <v/>
      </c>
      <c r="FK207" s="139" t="str">
        <f t="shared" si="273"/>
        <v/>
      </c>
      <c r="FL207" s="139" t="str">
        <f t="shared" si="274"/>
        <v/>
      </c>
      <c r="FM207" s="139" t="str">
        <f t="shared" si="275"/>
        <v/>
      </c>
      <c r="FN207" s="139" t="str">
        <f t="shared" si="276"/>
        <v/>
      </c>
      <c r="FO207" s="139" t="str">
        <f t="shared" si="277"/>
        <v/>
      </c>
      <c r="FP207" s="139" t="str">
        <f t="shared" si="278"/>
        <v/>
      </c>
      <c r="FQ207" s="139" t="str">
        <f t="shared" si="279"/>
        <v/>
      </c>
      <c r="FR207" s="139" t="str">
        <f t="shared" si="280"/>
        <v/>
      </c>
      <c r="FS207" s="139" t="str">
        <f t="shared" si="281"/>
        <v/>
      </c>
      <c r="FT207" s="139" t="str">
        <f t="shared" si="282"/>
        <v/>
      </c>
      <c r="FU207" s="148" t="str">
        <f t="shared" si="283"/>
        <v/>
      </c>
      <c r="FV207" s="149"/>
      <c r="FY207" s="212">
        <v>202</v>
      </c>
      <c r="FZ207">
        <v>9.6766718687131839</v>
      </c>
      <c r="GA207">
        <v>13.410785688412556</v>
      </c>
      <c r="GB207">
        <v>8.3812876888545453</v>
      </c>
      <c r="GC207">
        <v>4.2850419755177809</v>
      </c>
      <c r="GD207">
        <v>1.245191123431435</v>
      </c>
      <c r="GE207">
        <v>3.562797657473725</v>
      </c>
      <c r="GF207">
        <v>5.8582947468049325</v>
      </c>
      <c r="GG207">
        <v>3.4524128820915641</v>
      </c>
      <c r="GH207">
        <v>1.826867490426908</v>
      </c>
      <c r="GI207">
        <v>5.9905068426308219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13.953775887865183</v>
      </c>
      <c r="AO208">
        <v>6.5140351601464488</v>
      </c>
      <c r="AP208">
        <v>48.180382340104956</v>
      </c>
      <c r="AQ208">
        <v>34.120884027278102</v>
      </c>
      <c r="AR208">
        <v>6.0986126456336684</v>
      </c>
      <c r="AS208">
        <v>37.434924601291598</v>
      </c>
      <c r="AT208">
        <v>4.0904163622184937</v>
      </c>
      <c r="AU208">
        <v>16.529409890434518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2">
        <v>203</v>
      </c>
      <c r="FZ208">
        <v>0.10262565997953979</v>
      </c>
      <c r="GA208">
        <v>1.5790580469082856</v>
      </c>
      <c r="GB208">
        <v>7.669285667421649</v>
      </c>
      <c r="GC208">
        <v>3.8859941184142164</v>
      </c>
      <c r="GD208">
        <v>0.60303560973725778</v>
      </c>
      <c r="GE208">
        <v>3.0055063859275806</v>
      </c>
      <c r="GF208">
        <v>9.3851605583552242</v>
      </c>
      <c r="GG208">
        <v>7.933181595839379</v>
      </c>
      <c r="GH208">
        <v>2.7521007602466936</v>
      </c>
      <c r="GI208">
        <v>5.1441353580989206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11.697916666666666</v>
      </c>
      <c r="AO209">
        <v>10.208417056803878</v>
      </c>
      <c r="AP209">
        <v>70.029028255241457</v>
      </c>
      <c r="AQ209">
        <v>49.147232462616067</v>
      </c>
      <c r="AR209">
        <v>9.3949050470742215</v>
      </c>
      <c r="AS209">
        <v>50.537152293100505</v>
      </c>
      <c r="AT209" t="e">
        <v>#DIV/0!</v>
      </c>
      <c r="AU209" t="e">
        <v>#DIV/0!</v>
      </c>
      <c r="AV209"/>
      <c r="AW209"/>
      <c r="FY209" s="212">
        <v>204</v>
      </c>
      <c r="FZ209">
        <v>3.2534309082423372</v>
      </c>
      <c r="GA209">
        <v>4.8817198951744665</v>
      </c>
      <c r="GB209">
        <v>3.4643395473465128</v>
      </c>
      <c r="GC209">
        <v>1.8938441753657189</v>
      </c>
      <c r="GD209">
        <v>2.2982125139273988</v>
      </c>
      <c r="GE209">
        <v>5.7083929211708551</v>
      </c>
      <c r="GF209">
        <v>6.0830728449600944</v>
      </c>
      <c r="GG209">
        <v>4.4585954601616873</v>
      </c>
      <c r="GH209">
        <v>2.5744726959999262</v>
      </c>
      <c r="GI209">
        <v>4.8080560323549335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13.720383986928104</v>
      </c>
      <c r="AO210">
        <v>7.4791131873697569</v>
      </c>
      <c r="AP210">
        <v>62.858474112315491</v>
      </c>
      <c r="AQ210">
        <v>39.407654835999153</v>
      </c>
      <c r="AR210">
        <v>6.9319405123449584</v>
      </c>
      <c r="AS210">
        <v>38.664086406924937</v>
      </c>
      <c r="AT210" t="e">
        <v>#DIV/0!</v>
      </c>
      <c r="AU210" t="e">
        <v>#DIV/0!</v>
      </c>
      <c r="AV210"/>
      <c r="AW210"/>
      <c r="FY210" s="212">
        <v>205</v>
      </c>
      <c r="FZ210">
        <v>3.3772828764781408</v>
      </c>
      <c r="GA210">
        <v>7.6532871298020915</v>
      </c>
      <c r="GB210">
        <v>4.2914596459809147</v>
      </c>
      <c r="GC210">
        <v>1.4159680444011504</v>
      </c>
      <c r="GD210">
        <v>1.5043253707645077</v>
      </c>
      <c r="GE210">
        <v>4.8037997934764149</v>
      </c>
      <c r="GF210">
        <v>9.1524145661068488</v>
      </c>
      <c r="GG210">
        <v>7.0485718920286704</v>
      </c>
      <c r="GH210">
        <v>1.5615075354500374</v>
      </c>
      <c r="GI210">
        <v>5.1741757143805565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17.300998110087406</v>
      </c>
      <c r="AO211">
        <v>7.9426476383448064</v>
      </c>
      <c r="AP211">
        <v>39.321476637763432</v>
      </c>
      <c r="AQ211">
        <v>45.21737064121298</v>
      </c>
      <c r="AR211">
        <v>7.3352406919927367</v>
      </c>
      <c r="AS211">
        <v>41.234110542679765</v>
      </c>
      <c r="AT211">
        <v>4.1652329110929491</v>
      </c>
      <c r="AU211">
        <v>14.246859342298395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2">
        <v>206</v>
      </c>
      <c r="FZ211">
        <v>0.22444354938065614</v>
      </c>
      <c r="GA211">
        <v>2.2851032553658186</v>
      </c>
      <c r="GB211">
        <v>5.1461115908453134</v>
      </c>
      <c r="GC211">
        <v>2.9385376984448222</v>
      </c>
      <c r="GD211">
        <v>1.1111595258575799</v>
      </c>
      <c r="GE211">
        <v>4.0740268216907625</v>
      </c>
      <c r="GF211">
        <v>13.503137516281448</v>
      </c>
      <c r="GG211">
        <v>10.67271788936206</v>
      </c>
      <c r="GH211">
        <v>2.2490514264383936</v>
      </c>
      <c r="GI211">
        <v>5.8858747545624395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16.151692554531852</v>
      </c>
      <c r="AO212">
        <v>8.4777791834672644</v>
      </c>
      <c r="AP212">
        <v>55.593694685920831</v>
      </c>
      <c r="AQ212">
        <v>45.544422245727191</v>
      </c>
      <c r="AR212">
        <v>7.8262559414373944</v>
      </c>
      <c r="AS212">
        <v>42.359284014962078</v>
      </c>
      <c r="AT212">
        <v>4.4071524989008601</v>
      </c>
      <c r="AU212">
        <v>4.9814922521923206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40">AVERAGE(DF88:DF97)</f>
        <v>0</v>
      </c>
      <c r="DG212" s="182">
        <f t="shared" ref="DG212:DP212" si="341">AVERAGE(DG88:DG97)</f>
        <v>0</v>
      </c>
      <c r="DH212" s="182">
        <f t="shared" si="341"/>
        <v>10.416666666666666</v>
      </c>
      <c r="DI212" s="182">
        <f t="shared" si="341"/>
        <v>0</v>
      </c>
      <c r="DJ212" s="182">
        <f t="shared" si="341"/>
        <v>0</v>
      </c>
      <c r="DK212" s="182">
        <f t="shared" si="341"/>
        <v>0</v>
      </c>
      <c r="DL212" s="182">
        <f t="shared" si="341"/>
        <v>0</v>
      </c>
      <c r="DM212" s="182">
        <f t="shared" si="341"/>
        <v>0</v>
      </c>
      <c r="DN212" s="182">
        <f t="shared" si="341"/>
        <v>0</v>
      </c>
      <c r="DO212" s="182">
        <f t="shared" si="341"/>
        <v>0</v>
      </c>
      <c r="DP212" s="182">
        <f t="shared" si="341"/>
        <v>0</v>
      </c>
      <c r="DQ212" s="182">
        <f t="shared" ref="DQ212" si="342">AVERAGE(DQ88:DQ97)</f>
        <v>0</v>
      </c>
      <c r="DR212" s="182">
        <f t="shared" si="340"/>
        <v>0</v>
      </c>
      <c r="DS212" s="182">
        <f t="shared" si="340"/>
        <v>0</v>
      </c>
      <c r="DT212" s="182">
        <f t="shared" si="340"/>
        <v>0</v>
      </c>
      <c r="DU212" s="182">
        <f t="shared" si="340"/>
        <v>0</v>
      </c>
      <c r="DV212" s="182">
        <f t="shared" si="340"/>
        <v>0</v>
      </c>
      <c r="DW212" s="182">
        <f t="shared" si="340"/>
        <v>0</v>
      </c>
      <c r="DX212" s="182">
        <f t="shared" si="340"/>
        <v>0</v>
      </c>
      <c r="DY212" s="182">
        <f t="shared" si="340"/>
        <v>0</v>
      </c>
      <c r="DZ212" s="182">
        <f t="shared" si="340"/>
        <v>0</v>
      </c>
      <c r="EA212" s="182">
        <f t="shared" si="340"/>
        <v>0</v>
      </c>
      <c r="EB212" s="182">
        <f t="shared" si="340"/>
        <v>0</v>
      </c>
      <c r="EC212" s="182">
        <f t="shared" si="340"/>
        <v>0</v>
      </c>
      <c r="ED212" s="182">
        <f t="shared" si="340"/>
        <v>0</v>
      </c>
      <c r="EE212" s="182">
        <f t="shared" si="340"/>
        <v>0</v>
      </c>
      <c r="EF212" s="182">
        <f t="shared" si="340"/>
        <v>0</v>
      </c>
      <c r="EG212" s="182">
        <f t="shared" si="340"/>
        <v>0</v>
      </c>
      <c r="EH212" s="182">
        <f t="shared" si="340"/>
        <v>0</v>
      </c>
      <c r="EI212" s="182">
        <f t="shared" si="340"/>
        <v>0</v>
      </c>
      <c r="EJ212" s="182">
        <f t="shared" si="340"/>
        <v>0</v>
      </c>
      <c r="FY212" s="212">
        <v>207</v>
      </c>
      <c r="FZ212">
        <v>3.5915749350753705</v>
      </c>
      <c r="GA212">
        <v>7.9904848989346942</v>
      </c>
      <c r="GB212">
        <v>7.97856520392014</v>
      </c>
      <c r="GC212">
        <v>3.3838408467555041</v>
      </c>
      <c r="GD212">
        <v>1.5210562717557226</v>
      </c>
      <c r="GE212">
        <v>3.3984036870356444</v>
      </c>
      <c r="GF212">
        <v>4.3680515992114106</v>
      </c>
      <c r="GG212">
        <v>4.7788915215452743</v>
      </c>
      <c r="GH212">
        <v>2.7255479851259348</v>
      </c>
      <c r="GI212">
        <v>5.0486417103259953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12.591030789825973</v>
      </c>
      <c r="AO213">
        <v>10.054321485925794</v>
      </c>
      <c r="AP213">
        <v>66.63838787034814</v>
      </c>
      <c r="AQ213">
        <v>55.427786005980714</v>
      </c>
      <c r="AR213">
        <v>9.3317096622749265</v>
      </c>
      <c r="AS213">
        <v>51.796998752671911</v>
      </c>
      <c r="AT213">
        <v>5.7328524443749167</v>
      </c>
      <c r="AU213">
        <v>6.2156234992551616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43">AVERAGE(DF98:DF107)</f>
        <v>0</v>
      </c>
      <c r="DG213" s="185">
        <f t="shared" ref="DG213:DP213" si="344">AVERAGE(DG98:DG107)</f>
        <v>1.0416666666666665</v>
      </c>
      <c r="DH213" s="185">
        <f t="shared" si="344"/>
        <v>9.375</v>
      </c>
      <c r="DI213" s="185">
        <f t="shared" si="344"/>
        <v>3.125</v>
      </c>
      <c r="DJ213" s="185">
        <f t="shared" si="344"/>
        <v>0</v>
      </c>
      <c r="DK213" s="185">
        <f t="shared" si="344"/>
        <v>0</v>
      </c>
      <c r="DL213" s="185">
        <f t="shared" si="344"/>
        <v>0</v>
      </c>
      <c r="DM213" s="185">
        <f t="shared" si="344"/>
        <v>0</v>
      </c>
      <c r="DN213" s="185">
        <f t="shared" si="344"/>
        <v>1.0416666666666665</v>
      </c>
      <c r="DO213" s="185">
        <f t="shared" si="344"/>
        <v>0</v>
      </c>
      <c r="DP213" s="185">
        <f t="shared" si="344"/>
        <v>1.0416666666666665</v>
      </c>
      <c r="DQ213" s="185">
        <f t="shared" ref="DQ213" si="345">AVERAGE(DQ98:DQ107)</f>
        <v>0</v>
      </c>
      <c r="DR213" s="185">
        <f t="shared" si="343"/>
        <v>0</v>
      </c>
      <c r="DS213" s="185">
        <f t="shared" si="343"/>
        <v>0</v>
      </c>
      <c r="DT213" s="185">
        <f t="shared" si="343"/>
        <v>0</v>
      </c>
      <c r="DU213" s="185">
        <f t="shared" si="343"/>
        <v>0</v>
      </c>
      <c r="DV213" s="185">
        <f t="shared" si="343"/>
        <v>0</v>
      </c>
      <c r="DW213" s="185">
        <f t="shared" si="343"/>
        <v>0</v>
      </c>
      <c r="DX213" s="185">
        <f t="shared" si="343"/>
        <v>0</v>
      </c>
      <c r="DY213" s="185">
        <f t="shared" si="343"/>
        <v>0</v>
      </c>
      <c r="DZ213" s="185">
        <f t="shared" si="343"/>
        <v>0</v>
      </c>
      <c r="EA213" s="185">
        <f t="shared" si="343"/>
        <v>0</v>
      </c>
      <c r="EB213" s="185">
        <f t="shared" si="343"/>
        <v>0</v>
      </c>
      <c r="EC213" s="185">
        <f t="shared" si="343"/>
        <v>0</v>
      </c>
      <c r="ED213" s="185">
        <f t="shared" si="343"/>
        <v>0</v>
      </c>
      <c r="EE213" s="185">
        <f t="shared" si="343"/>
        <v>0</v>
      </c>
      <c r="EF213" s="185">
        <f t="shared" si="343"/>
        <v>0</v>
      </c>
      <c r="EG213" s="185">
        <f t="shared" si="343"/>
        <v>0</v>
      </c>
      <c r="EH213" s="185">
        <f t="shared" si="343"/>
        <v>0</v>
      </c>
      <c r="EI213" s="185">
        <f t="shared" si="343"/>
        <v>0</v>
      </c>
      <c r="EJ213" s="185">
        <f t="shared" si="343"/>
        <v>0</v>
      </c>
      <c r="FY213" s="212">
        <v>208</v>
      </c>
      <c r="FZ213">
        <v>9.6676311300750335</v>
      </c>
      <c r="GA213">
        <v>14.359268455223189</v>
      </c>
      <c r="GB213">
        <v>7.2472646738919684</v>
      </c>
      <c r="GC213">
        <v>3.3225546562770587</v>
      </c>
      <c r="GD213">
        <v>1.1251108568128392</v>
      </c>
      <c r="GE213">
        <v>1.9959757031256777</v>
      </c>
      <c r="GF213">
        <v>5.8387083697370752</v>
      </c>
      <c r="GG213">
        <v>6.3392833714277437</v>
      </c>
      <c r="GH213">
        <v>2.2856394778714182</v>
      </c>
      <c r="GI213">
        <v>5.7485458624219339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12.511169678714861</v>
      </c>
      <c r="AO214">
        <v>9.2577062871911338</v>
      </c>
      <c r="AP214">
        <v>46.180893672326782</v>
      </c>
      <c r="AQ214">
        <v>46.349739730761215</v>
      </c>
      <c r="AR214">
        <v>8.5176399632588353</v>
      </c>
      <c r="AS214">
        <v>48.629819623482035</v>
      </c>
      <c r="AT214">
        <v>5.3212930057848569</v>
      </c>
      <c r="AU214">
        <v>11.228734451961254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46">AVERAGE(DF108:DF117)</f>
        <v>0</v>
      </c>
      <c r="DG214" s="182">
        <f t="shared" ref="DG214:DP214" si="347">AVERAGE(DG108:DG117)</f>
        <v>0</v>
      </c>
      <c r="DH214" s="182">
        <f t="shared" si="347"/>
        <v>0</v>
      </c>
      <c r="DI214" s="182">
        <f t="shared" si="347"/>
        <v>3.125</v>
      </c>
      <c r="DJ214" s="182">
        <f t="shared" si="347"/>
        <v>6.2499999999999991</v>
      </c>
      <c r="DK214" s="182">
        <f t="shared" si="347"/>
        <v>7.291666666666667</v>
      </c>
      <c r="DL214" s="182">
        <f t="shared" si="347"/>
        <v>1.0416666666666665</v>
      </c>
      <c r="DM214" s="182">
        <f t="shared" si="347"/>
        <v>0</v>
      </c>
      <c r="DN214" s="182">
        <f t="shared" si="347"/>
        <v>0</v>
      </c>
      <c r="DO214" s="182">
        <f t="shared" si="347"/>
        <v>0</v>
      </c>
      <c r="DP214" s="182">
        <f t="shared" si="347"/>
        <v>0</v>
      </c>
      <c r="DQ214" s="182">
        <f t="shared" si="346"/>
        <v>0</v>
      </c>
      <c r="DR214" s="182">
        <f t="shared" si="346"/>
        <v>0</v>
      </c>
      <c r="DS214" s="182">
        <f t="shared" si="346"/>
        <v>0</v>
      </c>
      <c r="DT214" s="182">
        <f t="shared" si="346"/>
        <v>0</v>
      </c>
      <c r="DU214" s="182">
        <f t="shared" si="346"/>
        <v>0</v>
      </c>
      <c r="DV214" s="182">
        <f t="shared" si="346"/>
        <v>0</v>
      </c>
      <c r="DW214" s="182">
        <f t="shared" si="346"/>
        <v>0</v>
      </c>
      <c r="DX214" s="182">
        <f t="shared" si="346"/>
        <v>0</v>
      </c>
      <c r="DY214" s="182">
        <f t="shared" si="346"/>
        <v>0</v>
      </c>
      <c r="DZ214" s="182">
        <f t="shared" si="346"/>
        <v>0</v>
      </c>
      <c r="EA214" s="182">
        <f t="shared" si="346"/>
        <v>0</v>
      </c>
      <c r="EB214" s="182">
        <f t="shared" si="346"/>
        <v>0</v>
      </c>
      <c r="EC214" s="182">
        <f t="shared" si="346"/>
        <v>0</v>
      </c>
      <c r="ED214" s="182">
        <f t="shared" si="346"/>
        <v>0</v>
      </c>
      <c r="EE214" s="182">
        <f t="shared" si="346"/>
        <v>0</v>
      </c>
      <c r="EF214" s="182">
        <f t="shared" si="346"/>
        <v>0</v>
      </c>
      <c r="EG214" s="182">
        <f t="shared" si="346"/>
        <v>0</v>
      </c>
      <c r="EH214" s="182">
        <f t="shared" si="346"/>
        <v>0</v>
      </c>
      <c r="EI214" s="182">
        <f t="shared" si="346"/>
        <v>0</v>
      </c>
      <c r="EJ214" s="182">
        <f t="shared" si="346"/>
        <v>0</v>
      </c>
      <c r="FY214" s="212">
        <v>209</v>
      </c>
      <c r="FZ214">
        <v>3.343683573147898</v>
      </c>
      <c r="GA214">
        <v>7.2283591228183601</v>
      </c>
      <c r="GB214">
        <v>9.5393470916406073</v>
      </c>
      <c r="GC214">
        <v>4.4307248760973579</v>
      </c>
      <c r="GD214">
        <v>0.5415056243230475</v>
      </c>
      <c r="GE214">
        <v>1.4605979091898225</v>
      </c>
      <c r="GF214">
        <v>4.8103704446847839</v>
      </c>
      <c r="GG214">
        <v>3.9116002886548626</v>
      </c>
      <c r="GH214">
        <v>1.0824696423702727</v>
      </c>
      <c r="GI214">
        <v>4.5746923183197925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25.152241318214028</v>
      </c>
      <c r="AO215">
        <v>11.87299656352581</v>
      </c>
      <c r="AP215">
        <v>90.921324244425051</v>
      </c>
      <c r="AQ215">
        <v>62.473494570876731</v>
      </c>
      <c r="AR215">
        <v>10.883337164681315</v>
      </c>
      <c r="AS215">
        <v>55.079157532797439</v>
      </c>
      <c r="AT215">
        <v>5.86501309445985</v>
      </c>
      <c r="AU215">
        <v>41.386378762591995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8">AVERAGE(DF118:DF127)</f>
        <v>0</v>
      </c>
      <c r="DG215" s="182">
        <f t="shared" ref="DG215:DP215" si="349">AVERAGE(DG118:DG127)</f>
        <v>0</v>
      </c>
      <c r="DH215" s="182">
        <f t="shared" si="349"/>
        <v>0</v>
      </c>
      <c r="DI215" s="182">
        <f t="shared" si="349"/>
        <v>8.6805555555555554</v>
      </c>
      <c r="DJ215" s="182">
        <f t="shared" si="349"/>
        <v>2.083333333333333</v>
      </c>
      <c r="DK215" s="182">
        <f t="shared" si="349"/>
        <v>5.9659090909090899</v>
      </c>
      <c r="DL215" s="182">
        <f t="shared" si="349"/>
        <v>6.2499999999999991</v>
      </c>
      <c r="DM215" s="182">
        <f t="shared" si="349"/>
        <v>7.007575757575756</v>
      </c>
      <c r="DN215" s="182">
        <f t="shared" si="349"/>
        <v>0</v>
      </c>
      <c r="DO215" s="182">
        <f t="shared" si="349"/>
        <v>0</v>
      </c>
      <c r="DP215" s="182">
        <f t="shared" si="349"/>
        <v>0</v>
      </c>
      <c r="DQ215" s="182">
        <f t="shared" si="348"/>
        <v>0</v>
      </c>
      <c r="DR215" s="182">
        <f t="shared" si="348"/>
        <v>0</v>
      </c>
      <c r="DS215" s="182">
        <f t="shared" si="348"/>
        <v>0</v>
      </c>
      <c r="DT215" s="182">
        <f t="shared" si="348"/>
        <v>0</v>
      </c>
      <c r="DU215" s="182">
        <f t="shared" si="348"/>
        <v>0</v>
      </c>
      <c r="DV215" s="182">
        <f t="shared" si="348"/>
        <v>0</v>
      </c>
      <c r="DW215" s="182">
        <f t="shared" si="348"/>
        <v>0</v>
      </c>
      <c r="DX215" s="182">
        <f t="shared" si="348"/>
        <v>0</v>
      </c>
      <c r="DY215" s="182">
        <f t="shared" si="348"/>
        <v>0</v>
      </c>
      <c r="DZ215" s="182">
        <f t="shared" si="348"/>
        <v>0</v>
      </c>
      <c r="EA215" s="182">
        <f t="shared" si="348"/>
        <v>0</v>
      </c>
      <c r="EB215" s="182">
        <f t="shared" si="348"/>
        <v>0</v>
      </c>
      <c r="EC215" s="182">
        <f t="shared" si="348"/>
        <v>0</v>
      </c>
      <c r="ED215" s="182">
        <f t="shared" si="348"/>
        <v>0</v>
      </c>
      <c r="EE215" s="182">
        <f t="shared" si="348"/>
        <v>0</v>
      </c>
      <c r="EF215" s="182">
        <f t="shared" si="348"/>
        <v>0</v>
      </c>
      <c r="EG215" s="182">
        <f t="shared" si="348"/>
        <v>0</v>
      </c>
      <c r="EH215" s="182">
        <f t="shared" si="348"/>
        <v>0</v>
      </c>
      <c r="EI215" s="182">
        <f t="shared" si="348"/>
        <v>0</v>
      </c>
      <c r="EJ215" s="182">
        <f t="shared" si="348"/>
        <v>0</v>
      </c>
      <c r="FY215" s="212">
        <v>210</v>
      </c>
      <c r="FZ215">
        <v>0.20617464664849081</v>
      </c>
      <c r="GA215">
        <v>2.1425777187855282</v>
      </c>
      <c r="GB215">
        <v>5.8632458023946539</v>
      </c>
      <c r="GC215">
        <v>3.540389819351641</v>
      </c>
      <c r="GD215">
        <v>1.3672352519859039</v>
      </c>
      <c r="GE215">
        <v>3.8932188081974521</v>
      </c>
      <c r="GF215">
        <v>9.4898783705081762</v>
      </c>
      <c r="GG215">
        <v>6.194100026215164</v>
      </c>
      <c r="GH215">
        <v>1.6011500782280157</v>
      </c>
      <c r="GI215">
        <v>4.9864690521364796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15.414828431372552</v>
      </c>
      <c r="AO216">
        <v>10.367369768429246</v>
      </c>
      <c r="AP216">
        <v>54.70278523854946</v>
      </c>
      <c r="AQ216">
        <v>54.597310155052874</v>
      </c>
      <c r="AR216">
        <v>9.5183203108306635</v>
      </c>
      <c r="AS216">
        <v>50.348730506846657</v>
      </c>
      <c r="AT216">
        <v>5.7466034894404805</v>
      </c>
      <c r="AU216">
        <v>8.841332945993468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50">AVERAGE(DF128:DF137)</f>
        <v>0</v>
      </c>
      <c r="DG216" s="182">
        <f t="shared" ref="DG216:DP216" si="351">AVERAGE(DG128:DG137)</f>
        <v>0</v>
      </c>
      <c r="DH216" s="182">
        <f t="shared" si="351"/>
        <v>7.291666666666667</v>
      </c>
      <c r="DI216" s="182">
        <f t="shared" si="351"/>
        <v>0</v>
      </c>
      <c r="DJ216" s="182">
        <f t="shared" si="351"/>
        <v>2.083333333333333</v>
      </c>
      <c r="DK216" s="182">
        <f t="shared" si="351"/>
        <v>0</v>
      </c>
      <c r="DL216" s="182">
        <f t="shared" si="351"/>
        <v>2.083333333333333</v>
      </c>
      <c r="DM216" s="182">
        <f t="shared" si="351"/>
        <v>1.0416666666666665</v>
      </c>
      <c r="DN216" s="182">
        <f t="shared" si="351"/>
        <v>0</v>
      </c>
      <c r="DO216" s="182">
        <f t="shared" si="351"/>
        <v>0</v>
      </c>
      <c r="DP216" s="182">
        <f t="shared" si="351"/>
        <v>0</v>
      </c>
      <c r="DQ216" s="182">
        <f t="shared" si="350"/>
        <v>0</v>
      </c>
      <c r="DR216" s="182">
        <f t="shared" si="350"/>
        <v>0</v>
      </c>
      <c r="DS216" s="182">
        <f t="shared" si="350"/>
        <v>0</v>
      </c>
      <c r="DT216" s="182">
        <f t="shared" si="350"/>
        <v>0</v>
      </c>
      <c r="DU216" s="182">
        <f t="shared" si="350"/>
        <v>0</v>
      </c>
      <c r="DV216" s="182">
        <f t="shared" si="350"/>
        <v>0</v>
      </c>
      <c r="DW216" s="182">
        <f t="shared" si="350"/>
        <v>0</v>
      </c>
      <c r="DX216" s="182">
        <f t="shared" si="350"/>
        <v>0</v>
      </c>
      <c r="DY216" s="182">
        <f t="shared" si="350"/>
        <v>0</v>
      </c>
      <c r="DZ216" s="182">
        <f t="shared" si="350"/>
        <v>0</v>
      </c>
      <c r="EA216" s="182">
        <f t="shared" si="350"/>
        <v>0</v>
      </c>
      <c r="EB216" s="182">
        <f t="shared" si="350"/>
        <v>0</v>
      </c>
      <c r="EC216" s="182">
        <f t="shared" si="350"/>
        <v>0</v>
      </c>
      <c r="ED216" s="182">
        <f t="shared" si="350"/>
        <v>0</v>
      </c>
      <c r="EE216" s="182">
        <f t="shared" si="350"/>
        <v>0</v>
      </c>
      <c r="EF216" s="182">
        <f t="shared" si="350"/>
        <v>0</v>
      </c>
      <c r="EG216" s="182">
        <f t="shared" si="350"/>
        <v>0</v>
      </c>
      <c r="EH216" s="182">
        <f t="shared" si="350"/>
        <v>0</v>
      </c>
      <c r="EI216" s="182">
        <f t="shared" si="350"/>
        <v>0</v>
      </c>
      <c r="EJ216" s="182">
        <f t="shared" si="350"/>
        <v>0</v>
      </c>
      <c r="FY216" s="212">
        <v>211</v>
      </c>
      <c r="FZ216">
        <v>3.3975858580449936</v>
      </c>
      <c r="GA216">
        <v>9.4516636035883632</v>
      </c>
      <c r="GB216">
        <v>8.0839567573950806</v>
      </c>
      <c r="GC216">
        <v>3.5490194298187472</v>
      </c>
      <c r="GD216">
        <v>1.4178501939310597</v>
      </c>
      <c r="GE216">
        <v>4.8082355568740116</v>
      </c>
      <c r="GF216">
        <v>12.799653277559415</v>
      </c>
      <c r="GG216">
        <v>8.5771299517601793</v>
      </c>
      <c r="GH216">
        <v>2.1980758600416341</v>
      </c>
      <c r="GI216">
        <v>7.1464654952554625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17.025939542483659</v>
      </c>
      <c r="AO217">
        <v>9.8339215265015323</v>
      </c>
      <c r="AP217">
        <v>59.00682172364526</v>
      </c>
      <c r="AQ217">
        <v>49.036277631847405</v>
      </c>
      <c r="AR217">
        <v>9.0610733240023738</v>
      </c>
      <c r="AS217">
        <v>46.105995113481626</v>
      </c>
      <c r="AT217">
        <v>5.2625864155679576</v>
      </c>
      <c r="AU217">
        <v>4.5513362767909378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52">AVERAGE(DF138:DF147)</f>
        <v>0</v>
      </c>
      <c r="DG217" s="182">
        <f t="shared" ref="DG217:DP217" si="353">AVERAGE(DG138:DG147)</f>
        <v>0</v>
      </c>
      <c r="DH217" s="182">
        <f t="shared" si="353"/>
        <v>29.24465240641711</v>
      </c>
      <c r="DI217" s="182">
        <f t="shared" si="353"/>
        <v>0</v>
      </c>
      <c r="DJ217" s="182">
        <f t="shared" si="353"/>
        <v>2.083333333333333</v>
      </c>
      <c r="DK217" s="182">
        <f t="shared" si="353"/>
        <v>2.083333333333333</v>
      </c>
      <c r="DL217" s="182">
        <f t="shared" si="353"/>
        <v>1.0416666666666665</v>
      </c>
      <c r="DM217" s="182">
        <f t="shared" si="353"/>
        <v>2.083333333333333</v>
      </c>
      <c r="DN217" s="182">
        <f t="shared" si="353"/>
        <v>1.0416666666666665</v>
      </c>
      <c r="DO217" s="182">
        <f t="shared" si="353"/>
        <v>0</v>
      </c>
      <c r="DP217" s="182">
        <f t="shared" si="353"/>
        <v>0</v>
      </c>
      <c r="DQ217" s="182">
        <f t="shared" si="352"/>
        <v>0</v>
      </c>
      <c r="DR217" s="182">
        <f t="shared" si="352"/>
        <v>0</v>
      </c>
      <c r="DS217" s="182">
        <f t="shared" si="352"/>
        <v>0</v>
      </c>
      <c r="DT217" s="182">
        <f t="shared" si="352"/>
        <v>0</v>
      </c>
      <c r="DU217" s="182">
        <f t="shared" si="352"/>
        <v>0</v>
      </c>
      <c r="DV217" s="182">
        <f t="shared" si="352"/>
        <v>0</v>
      </c>
      <c r="DW217" s="182">
        <f t="shared" si="352"/>
        <v>0</v>
      </c>
      <c r="DX217" s="182">
        <f t="shared" si="352"/>
        <v>0</v>
      </c>
      <c r="DY217" s="182">
        <f t="shared" si="352"/>
        <v>0</v>
      </c>
      <c r="DZ217" s="182">
        <f t="shared" si="352"/>
        <v>0</v>
      </c>
      <c r="EA217" s="182">
        <f t="shared" si="352"/>
        <v>0</v>
      </c>
      <c r="EB217" s="182">
        <f t="shared" si="352"/>
        <v>0</v>
      </c>
      <c r="EC217" s="182">
        <f t="shared" si="352"/>
        <v>0</v>
      </c>
      <c r="ED217" s="182">
        <f t="shared" si="352"/>
        <v>0</v>
      </c>
      <c r="EE217" s="182">
        <f t="shared" si="352"/>
        <v>0</v>
      </c>
      <c r="EF217" s="182">
        <f t="shared" si="352"/>
        <v>0</v>
      </c>
      <c r="EG217" s="182">
        <f t="shared" si="352"/>
        <v>0</v>
      </c>
      <c r="EH217" s="182">
        <f t="shared" si="352"/>
        <v>0</v>
      </c>
      <c r="EI217" s="182">
        <f t="shared" si="352"/>
        <v>0</v>
      </c>
      <c r="EJ217" s="182">
        <f t="shared" si="352"/>
        <v>0</v>
      </c>
      <c r="FY217" s="212">
        <v>212</v>
      </c>
      <c r="FZ217">
        <v>3.45757147605614</v>
      </c>
      <c r="GA217">
        <v>8.4130082401835562</v>
      </c>
      <c r="GB217">
        <v>8.279980535031374</v>
      </c>
      <c r="GC217">
        <v>3.7482354510694762</v>
      </c>
      <c r="GD217">
        <v>1.7315380154571218</v>
      </c>
      <c r="GE217">
        <v>5.3577297096461312</v>
      </c>
      <c r="GF217">
        <v>12.357914820825279</v>
      </c>
      <c r="GG217">
        <v>9.6330178723655546</v>
      </c>
      <c r="GH217">
        <v>2.7424363286768685</v>
      </c>
      <c r="GI217">
        <v>7.408586075172698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18.088439542483659</v>
      </c>
      <c r="AO218">
        <v>10.10851024038897</v>
      </c>
      <c r="AP218">
        <v>83.051892139752837</v>
      </c>
      <c r="AQ218">
        <v>57.689857964357444</v>
      </c>
      <c r="AR218">
        <v>9.2484668167161193</v>
      </c>
      <c r="AS218">
        <v>49.260995911484777</v>
      </c>
      <c r="AT218">
        <v>4.5889775584667998</v>
      </c>
      <c r="AU218">
        <v>19.207619872573122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54">AVERAGE(DF148:DF157)</f>
        <v>0</v>
      </c>
      <c r="DG218" s="182">
        <f t="shared" ref="DG218:DP218" si="355">AVERAGE(DG148:DG157)</f>
        <v>0</v>
      </c>
      <c r="DH218" s="182">
        <f t="shared" si="355"/>
        <v>0</v>
      </c>
      <c r="DI218" s="182">
        <f t="shared" si="355"/>
        <v>0</v>
      </c>
      <c r="DJ218" s="182">
        <f t="shared" si="355"/>
        <v>1.0416666666666665</v>
      </c>
      <c r="DK218" s="182">
        <f t="shared" si="355"/>
        <v>2.083333333333333</v>
      </c>
      <c r="DL218" s="182">
        <f t="shared" si="355"/>
        <v>0</v>
      </c>
      <c r="DM218" s="182">
        <f t="shared" si="355"/>
        <v>4.5138888888888884</v>
      </c>
      <c r="DN218" s="182">
        <f t="shared" si="355"/>
        <v>0</v>
      </c>
      <c r="DO218" s="182">
        <f t="shared" si="355"/>
        <v>1.0416666666666665</v>
      </c>
      <c r="DP218" s="182">
        <f t="shared" si="355"/>
        <v>0</v>
      </c>
      <c r="DQ218" s="182">
        <f t="shared" si="354"/>
        <v>0</v>
      </c>
      <c r="DR218" s="182">
        <f t="shared" si="354"/>
        <v>0</v>
      </c>
      <c r="DS218" s="182">
        <f t="shared" si="354"/>
        <v>0</v>
      </c>
      <c r="DT218" s="182">
        <f t="shared" si="354"/>
        <v>0</v>
      </c>
      <c r="DU218" s="182">
        <f t="shared" si="354"/>
        <v>0</v>
      </c>
      <c r="DV218" s="182">
        <f t="shared" si="354"/>
        <v>0</v>
      </c>
      <c r="DW218" s="182">
        <f t="shared" si="354"/>
        <v>0</v>
      </c>
      <c r="DX218" s="182">
        <f t="shared" si="354"/>
        <v>0</v>
      </c>
      <c r="DY218" s="182">
        <f t="shared" si="354"/>
        <v>0</v>
      </c>
      <c r="DZ218" s="182">
        <f t="shared" si="354"/>
        <v>0</v>
      </c>
      <c r="EA218" s="182">
        <f t="shared" si="354"/>
        <v>0</v>
      </c>
      <c r="EB218" s="182">
        <f t="shared" si="354"/>
        <v>0</v>
      </c>
      <c r="EC218" s="182">
        <f t="shared" si="354"/>
        <v>0</v>
      </c>
      <c r="ED218" s="182">
        <f t="shared" si="354"/>
        <v>0</v>
      </c>
      <c r="EE218" s="182">
        <f t="shared" si="354"/>
        <v>0</v>
      </c>
      <c r="EF218" s="182">
        <f t="shared" si="354"/>
        <v>0</v>
      </c>
      <c r="EG218" s="182">
        <f t="shared" si="354"/>
        <v>0</v>
      </c>
      <c r="EH218" s="182">
        <f t="shared" si="354"/>
        <v>0</v>
      </c>
      <c r="EI218" s="182">
        <f t="shared" si="354"/>
        <v>0</v>
      </c>
      <c r="EJ218" s="182">
        <f t="shared" si="354"/>
        <v>0</v>
      </c>
      <c r="FY218" s="212">
        <v>213</v>
      </c>
      <c r="FZ218">
        <v>0.13308013232981886</v>
      </c>
      <c r="GA218">
        <v>3.4579696266365501</v>
      </c>
      <c r="GB218">
        <v>6.9214357575915262</v>
      </c>
      <c r="GC218">
        <v>3.2506190226527298</v>
      </c>
      <c r="GD218">
        <v>1.1941562205814333</v>
      </c>
      <c r="GE218">
        <v>4.7133586789921909</v>
      </c>
      <c r="GF218">
        <v>8.5809150272627157</v>
      </c>
      <c r="GG218">
        <v>4.5852315841257072</v>
      </c>
      <c r="GH218">
        <v>1.8489277741721444</v>
      </c>
      <c r="GI218">
        <v>4.8540725884981626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13.663615245294906</v>
      </c>
      <c r="AO219">
        <v>8.5145511446032582</v>
      </c>
      <c r="AP219">
        <v>51.595202014183762</v>
      </c>
      <c r="AQ219">
        <v>42.060083760928748</v>
      </c>
      <c r="AR219">
        <v>7.8065340201356719</v>
      </c>
      <c r="AS219">
        <v>39.8319821058871</v>
      </c>
      <c r="AT219">
        <v>5.3233534498991721</v>
      </c>
      <c r="AU219">
        <v>-0.65748722498483037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56">AVERAGE(DF158:DF167)</f>
        <v>0</v>
      </c>
      <c r="DG219" s="182">
        <f t="shared" ref="DG219:DP219" si="357">AVERAGE(DG158:DG167)</f>
        <v>0</v>
      </c>
      <c r="DH219" s="182">
        <f t="shared" si="357"/>
        <v>0</v>
      </c>
      <c r="DI219" s="182">
        <f t="shared" si="357"/>
        <v>0</v>
      </c>
      <c r="DJ219" s="182">
        <f t="shared" si="357"/>
        <v>0</v>
      </c>
      <c r="DK219" s="182">
        <f t="shared" si="357"/>
        <v>1.0416666666666665</v>
      </c>
      <c r="DL219" s="182">
        <f t="shared" si="357"/>
        <v>2.083333333333333</v>
      </c>
      <c r="DM219" s="182">
        <f t="shared" si="357"/>
        <v>0</v>
      </c>
      <c r="DN219" s="182">
        <f t="shared" si="357"/>
        <v>0</v>
      </c>
      <c r="DO219" s="182">
        <f t="shared" si="357"/>
        <v>5.208333333333333</v>
      </c>
      <c r="DP219" s="182">
        <f t="shared" si="357"/>
        <v>0</v>
      </c>
      <c r="DQ219" s="182">
        <f t="shared" si="356"/>
        <v>0</v>
      </c>
      <c r="DR219" s="182">
        <f t="shared" si="356"/>
        <v>0</v>
      </c>
      <c r="DS219" s="182">
        <f t="shared" si="356"/>
        <v>0</v>
      </c>
      <c r="DT219" s="182">
        <f t="shared" si="356"/>
        <v>0</v>
      </c>
      <c r="DU219" s="182">
        <f t="shared" si="356"/>
        <v>0</v>
      </c>
      <c r="DV219" s="182">
        <f t="shared" si="356"/>
        <v>0</v>
      </c>
      <c r="DW219" s="182">
        <f t="shared" si="356"/>
        <v>0</v>
      </c>
      <c r="DX219" s="182">
        <f t="shared" si="356"/>
        <v>0</v>
      </c>
      <c r="DY219" s="182">
        <f t="shared" si="356"/>
        <v>0</v>
      </c>
      <c r="DZ219" s="182">
        <f t="shared" si="356"/>
        <v>0</v>
      </c>
      <c r="EA219" s="182">
        <f t="shared" si="356"/>
        <v>0</v>
      </c>
      <c r="EB219" s="182">
        <f t="shared" si="356"/>
        <v>0</v>
      </c>
      <c r="EC219" s="182">
        <f t="shared" si="356"/>
        <v>0</v>
      </c>
      <c r="ED219" s="182">
        <f t="shared" si="356"/>
        <v>0</v>
      </c>
      <c r="EE219" s="182">
        <f t="shared" si="356"/>
        <v>0</v>
      </c>
      <c r="EF219" s="182">
        <f t="shared" si="356"/>
        <v>0</v>
      </c>
      <c r="EG219" s="182">
        <f t="shared" si="356"/>
        <v>0</v>
      </c>
      <c r="EH219" s="182">
        <f t="shared" si="356"/>
        <v>0</v>
      </c>
      <c r="EI219" s="182">
        <f t="shared" si="356"/>
        <v>0</v>
      </c>
      <c r="EJ219" s="182">
        <f t="shared" si="356"/>
        <v>0</v>
      </c>
      <c r="FY219" s="212">
        <v>214</v>
      </c>
      <c r="FZ219">
        <v>9.8512812908661189</v>
      </c>
      <c r="GA219">
        <v>14.552876422986619</v>
      </c>
      <c r="GB219">
        <v>10.277968246249902</v>
      </c>
      <c r="GC219">
        <v>4.4928251552760088</v>
      </c>
      <c r="GD219">
        <v>0.31975060529854255</v>
      </c>
      <c r="GE219">
        <v>1.7105877960834741</v>
      </c>
      <c r="GF219">
        <v>4.177438759585975</v>
      </c>
      <c r="GG219">
        <v>2.1826341540426384</v>
      </c>
      <c r="GH219">
        <v>0.73488628265823963</v>
      </c>
      <c r="GI219">
        <v>5.2793855882368348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10.330614123159304</v>
      </c>
      <c r="AO220">
        <v>7.9430465816283986</v>
      </c>
      <c r="AP220">
        <v>35.762398904053391</v>
      </c>
      <c r="AQ220">
        <v>39.424136994703936</v>
      </c>
      <c r="AR220">
        <v>7.3382498892708936</v>
      </c>
      <c r="AS220">
        <v>39.316566418344316</v>
      </c>
      <c r="AT220">
        <v>4.1957014395705166</v>
      </c>
      <c r="AU220">
        <v>4.8044286140799679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8">AVERAGE(DF168:DF177)</f>
        <v>0</v>
      </c>
      <c r="DG220" s="182">
        <f t="shared" ref="DG220:DP220" si="359">AVERAGE(DG168:DG177)</f>
        <v>0</v>
      </c>
      <c r="DH220" s="182">
        <f t="shared" si="359"/>
        <v>4.0788152610441761</v>
      </c>
      <c r="DI220" s="182">
        <f t="shared" si="359"/>
        <v>1.0416666666666665</v>
      </c>
      <c r="DJ220" s="182">
        <f t="shared" si="359"/>
        <v>0</v>
      </c>
      <c r="DK220" s="182">
        <f t="shared" si="359"/>
        <v>1.0416666666666665</v>
      </c>
      <c r="DL220" s="182">
        <f t="shared" si="359"/>
        <v>1.0416666666666665</v>
      </c>
      <c r="DM220" s="182">
        <f t="shared" si="359"/>
        <v>1.0416666666666665</v>
      </c>
      <c r="DN220" s="182">
        <f t="shared" si="359"/>
        <v>0</v>
      </c>
      <c r="DO220" s="182">
        <f t="shared" si="359"/>
        <v>0</v>
      </c>
      <c r="DP220" s="182">
        <f t="shared" si="359"/>
        <v>0</v>
      </c>
      <c r="DQ220" s="182">
        <f t="shared" si="358"/>
        <v>0</v>
      </c>
      <c r="DR220" s="182">
        <f t="shared" si="358"/>
        <v>0</v>
      </c>
      <c r="DS220" s="182">
        <f t="shared" si="358"/>
        <v>0</v>
      </c>
      <c r="DT220" s="182">
        <f t="shared" si="358"/>
        <v>0</v>
      </c>
      <c r="DU220" s="182">
        <f t="shared" si="358"/>
        <v>0</v>
      </c>
      <c r="DV220" s="182">
        <f t="shared" si="358"/>
        <v>0</v>
      </c>
      <c r="DW220" s="182">
        <f t="shared" si="358"/>
        <v>0</v>
      </c>
      <c r="DX220" s="182">
        <f t="shared" si="358"/>
        <v>0</v>
      </c>
      <c r="DY220" s="182">
        <f t="shared" si="358"/>
        <v>0</v>
      </c>
      <c r="DZ220" s="182">
        <f t="shared" si="358"/>
        <v>0</v>
      </c>
      <c r="EA220" s="182">
        <f t="shared" si="358"/>
        <v>0</v>
      </c>
      <c r="EB220" s="182">
        <f t="shared" si="358"/>
        <v>0</v>
      </c>
      <c r="EC220" s="182">
        <f t="shared" si="358"/>
        <v>0</v>
      </c>
      <c r="ED220" s="182">
        <f t="shared" si="358"/>
        <v>0</v>
      </c>
      <c r="EE220" s="182">
        <f t="shared" si="358"/>
        <v>0</v>
      </c>
      <c r="EF220" s="182">
        <f t="shared" si="358"/>
        <v>0</v>
      </c>
      <c r="EG220" s="182">
        <f t="shared" si="358"/>
        <v>0</v>
      </c>
      <c r="EH220" s="182">
        <f t="shared" si="358"/>
        <v>0</v>
      </c>
      <c r="EI220" s="182">
        <f t="shared" si="358"/>
        <v>0</v>
      </c>
      <c r="EJ220" s="182">
        <f t="shared" si="358"/>
        <v>0</v>
      </c>
      <c r="FY220" s="212">
        <v>215</v>
      </c>
      <c r="FZ220">
        <v>0.24566985763692006</v>
      </c>
      <c r="GA220">
        <v>3.5813277670636641</v>
      </c>
      <c r="GB220">
        <v>6.9049738054169021</v>
      </c>
      <c r="GC220">
        <v>3.4151574563472824</v>
      </c>
      <c r="GD220">
        <v>1.2493321545642975</v>
      </c>
      <c r="GE220">
        <v>2.3875876553261066</v>
      </c>
      <c r="GF220">
        <v>5.7462101735631226</v>
      </c>
      <c r="GG220">
        <v>5.9804176858103872</v>
      </c>
      <c r="GH220">
        <v>2.3139760771410187</v>
      </c>
      <c r="GI220">
        <v>4.5339349261321695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16.257365245294903</v>
      </c>
      <c r="AO221">
        <v>8.8379959801889107</v>
      </c>
      <c r="AP221">
        <v>53.729777467208351</v>
      </c>
      <c r="AQ221">
        <v>45.982792568869328</v>
      </c>
      <c r="AR221">
        <v>8.0511545962339568</v>
      </c>
      <c r="AS221">
        <v>41.717102894474685</v>
      </c>
      <c r="AT221">
        <v>4.1065061111780725</v>
      </c>
      <c r="AU221">
        <v>10.895387744641921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60">AVERAGE(DF178:DF187)</f>
        <v>0</v>
      </c>
      <c r="DG221" s="182">
        <f t="shared" ref="DG221:DP221" si="361">AVERAGE(DG178:DG187)</f>
        <v>0</v>
      </c>
      <c r="DH221" s="182">
        <f t="shared" si="361"/>
        <v>0</v>
      </c>
      <c r="DI221" s="182">
        <f t="shared" si="361"/>
        <v>1.0416666666666665</v>
      </c>
      <c r="DJ221" s="182">
        <f t="shared" si="361"/>
        <v>2.083333333333333</v>
      </c>
      <c r="DK221" s="182">
        <f t="shared" si="361"/>
        <v>1.0416666666666665</v>
      </c>
      <c r="DL221" s="182">
        <f t="shared" si="361"/>
        <v>1.0416666666666665</v>
      </c>
      <c r="DM221" s="182">
        <f t="shared" si="361"/>
        <v>0</v>
      </c>
      <c r="DN221" s="182">
        <f t="shared" si="361"/>
        <v>0</v>
      </c>
      <c r="DO221" s="182">
        <f t="shared" si="361"/>
        <v>0</v>
      </c>
      <c r="DP221" s="182">
        <f t="shared" si="361"/>
        <v>0</v>
      </c>
      <c r="DQ221" s="182">
        <f t="shared" si="360"/>
        <v>0</v>
      </c>
      <c r="DR221" s="182">
        <f t="shared" si="360"/>
        <v>0</v>
      </c>
      <c r="DS221" s="182">
        <f t="shared" si="360"/>
        <v>0</v>
      </c>
      <c r="DT221" s="182">
        <f t="shared" si="360"/>
        <v>0</v>
      </c>
      <c r="DU221" s="182">
        <f t="shared" si="360"/>
        <v>0</v>
      </c>
      <c r="DV221" s="182">
        <f t="shared" si="360"/>
        <v>0</v>
      </c>
      <c r="DW221" s="182">
        <f t="shared" si="360"/>
        <v>0</v>
      </c>
      <c r="DX221" s="182">
        <f t="shared" si="360"/>
        <v>0</v>
      </c>
      <c r="DY221" s="182">
        <f t="shared" si="360"/>
        <v>0</v>
      </c>
      <c r="DZ221" s="182">
        <f t="shared" si="360"/>
        <v>0</v>
      </c>
      <c r="EA221" s="182">
        <f t="shared" si="360"/>
        <v>0</v>
      </c>
      <c r="EB221" s="182">
        <f t="shared" si="360"/>
        <v>0</v>
      </c>
      <c r="EC221" s="182">
        <f t="shared" si="360"/>
        <v>0</v>
      </c>
      <c r="ED221" s="182">
        <f t="shared" si="360"/>
        <v>0</v>
      </c>
      <c r="EE221" s="182">
        <f t="shared" si="360"/>
        <v>0</v>
      </c>
      <c r="EF221" s="182">
        <f t="shared" si="360"/>
        <v>0</v>
      </c>
      <c r="EG221" s="182">
        <f t="shared" si="360"/>
        <v>0</v>
      </c>
      <c r="EH221" s="182">
        <f t="shared" si="360"/>
        <v>0</v>
      </c>
      <c r="EI221" s="182">
        <f t="shared" si="360"/>
        <v>0</v>
      </c>
      <c r="EJ221" s="182">
        <f t="shared" si="360"/>
        <v>0</v>
      </c>
      <c r="FY221" s="212">
        <v>216</v>
      </c>
      <c r="FZ221">
        <v>6.4345032033995482</v>
      </c>
      <c r="GA221">
        <v>9.5796669238252168</v>
      </c>
      <c r="GB221">
        <v>4.3554817202731604</v>
      </c>
      <c r="GC221">
        <v>2.4158081336491204</v>
      </c>
      <c r="GD221">
        <v>1.3997362033516769</v>
      </c>
      <c r="GE221">
        <v>4.5807512892329747</v>
      </c>
      <c r="GF221">
        <v>10.257050902311807</v>
      </c>
      <c r="GG221">
        <v>5.9222805570385644</v>
      </c>
      <c r="GH221">
        <v>0.95690499370106308</v>
      </c>
      <c r="GI221">
        <v>5.6748758557201304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11.938253012048193</v>
      </c>
      <c r="AO222">
        <v>9.982015185991175</v>
      </c>
      <c r="AP222">
        <v>38.256812784830316</v>
      </c>
      <c r="AQ222">
        <v>48.090164028229289</v>
      </c>
      <c r="AR222">
        <v>9.1151391656055569</v>
      </c>
      <c r="AS222">
        <v>44.54687066822656</v>
      </c>
      <c r="AT222">
        <v>6.0255908551067812</v>
      </c>
      <c r="AU222">
        <v>-1.537273453397036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2">
        <v>217</v>
      </c>
      <c r="FZ222">
        <v>0.22536687607006733</v>
      </c>
      <c r="GA222">
        <v>2.6749245707235776</v>
      </c>
      <c r="GB222">
        <v>10.805317508710871</v>
      </c>
      <c r="GC222">
        <v>5.243790465487562</v>
      </c>
      <c r="GD222">
        <v>1.1780430020518264</v>
      </c>
      <c r="GE222">
        <v>3.5679281843318704</v>
      </c>
      <c r="GF222">
        <v>4.4062008047877432</v>
      </c>
      <c r="GG222">
        <v>2.5079824007336131</v>
      </c>
      <c r="GH222">
        <v>1.8834089307169604</v>
      </c>
      <c r="GI222">
        <v>4.9195374109634686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23.33626909599181</v>
      </c>
      <c r="AO223">
        <v>8.2143055963338689</v>
      </c>
      <c r="AP223">
        <v>48.880863976657942</v>
      </c>
      <c r="AQ223">
        <v>44.785058659685696</v>
      </c>
      <c r="AR223">
        <v>7.5544926149752127</v>
      </c>
      <c r="AS223">
        <v>44.290075074968939</v>
      </c>
      <c r="AT223">
        <v>3.8796066389823749</v>
      </c>
      <c r="AU223">
        <v>15.288841467392453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2">
        <v>218</v>
      </c>
      <c r="FZ223">
        <v>3.3863236151162912</v>
      </c>
      <c r="GA223">
        <v>5.5111757784668907</v>
      </c>
      <c r="GB223">
        <v>6.3632935040136189</v>
      </c>
      <c r="GC223">
        <v>3.1000883369692458</v>
      </c>
      <c r="GD223">
        <v>0.74232745061882843</v>
      </c>
      <c r="GE223">
        <v>2.2391920526949791</v>
      </c>
      <c r="GF223">
        <v>4.6789846810110474</v>
      </c>
      <c r="GG223">
        <v>4.9006728628434626</v>
      </c>
      <c r="GH223">
        <v>3.8665786229322325</v>
      </c>
      <c r="GI223">
        <v>4.2424801127446976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24.112412886841479</v>
      </c>
      <c r="AO224">
        <v>9.7411424758915164</v>
      </c>
      <c r="AP224">
        <v>75.177650038967798</v>
      </c>
      <c r="AQ224">
        <v>57.929982556863941</v>
      </c>
      <c r="AR224">
        <v>8.9544204513419086</v>
      </c>
      <c r="AS224">
        <v>44.791346236394652</v>
      </c>
      <c r="AT224">
        <v>3.9056243781593509</v>
      </c>
      <c r="AU224">
        <v>5.8456143026497234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2">
        <v>219</v>
      </c>
      <c r="FZ224">
        <v>6.4649576757498277</v>
      </c>
      <c r="GA224">
        <v>10.58410493021497</v>
      </c>
      <c r="GB224">
        <v>4.0747535977802709</v>
      </c>
      <c r="GC224">
        <v>2.054195603348651</v>
      </c>
      <c r="GD224">
        <v>1.3363970610418652</v>
      </c>
      <c r="GE224">
        <v>4.1997917408484007</v>
      </c>
      <c r="GF224">
        <v>13.368871439112688</v>
      </c>
      <c r="GG224">
        <v>11.056658163272012</v>
      </c>
      <c r="GH224">
        <v>2.7538845843955353</v>
      </c>
      <c r="GI224">
        <v>6.7361592561467445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20.03753002204898</v>
      </c>
      <c r="AO225">
        <v>7.5303574178597987</v>
      </c>
      <c r="AP225">
        <v>48.007396704389315</v>
      </c>
      <c r="AQ225">
        <v>40.923350891246798</v>
      </c>
      <c r="AR225">
        <v>6.8844591920117315</v>
      </c>
      <c r="AS225">
        <v>39.125723559909339</v>
      </c>
      <c r="AT225">
        <v>3.8879246097403382</v>
      </c>
      <c r="AU225">
        <v>7.2912515329037886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1.9415387611333396E-2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2">
        <v>220</v>
      </c>
      <c r="FZ225">
        <v>3.356792469455423</v>
      </c>
      <c r="GA225">
        <v>7.2303899988639273</v>
      </c>
      <c r="GB225">
        <v>8.1640926368890359</v>
      </c>
      <c r="GC225">
        <v>3.697062343122036</v>
      </c>
      <c r="GD225">
        <v>0.6603160023247745</v>
      </c>
      <c r="GE225">
        <v>2.5307276668782133</v>
      </c>
      <c r="GF225">
        <v>5.7241065578281836</v>
      </c>
      <c r="GG225">
        <v>2.8048764582028087</v>
      </c>
      <c r="GH225">
        <v>0.82560619823824177</v>
      </c>
      <c r="GI225">
        <v>4.4245144665744522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14.953775887865186</v>
      </c>
      <c r="AO226">
        <v>8.1677217806389777</v>
      </c>
      <c r="AP226">
        <v>43.146350910156215</v>
      </c>
      <c r="AQ226">
        <v>39.284439574451504</v>
      </c>
      <c r="AR226">
        <v>7.5211676161742753</v>
      </c>
      <c r="AS226">
        <v>40.902328686948309</v>
      </c>
      <c r="AT226">
        <v>4.522109209097346</v>
      </c>
      <c r="AU226">
        <v>18.338577059790325</v>
      </c>
      <c r="AV226"/>
      <c r="AW226"/>
      <c r="DE226" s="187">
        <f>DE101</f>
        <v>39673</v>
      </c>
      <c r="DF226" s="205"/>
      <c r="DG226" s="205">
        <f t="shared" ref="DG226:DG234" si="362">((DG213*$H$372)+(DH213*$I$372)+(DI213*$J$372)+(DJ213*$K$372)+(DK213*$L$372)+(DL213*$M$372)+(DM213*$N$372)+(DN213*$O$372)+(DO213*$P$372)+(DP213*$Q$372)+(DQ213*$R$372)+(DR213*$S$372)+(DS213*$T$372)+(DT213*$U$372))/SUM(DG213:DT213)</f>
        <v>0.52352777972705433</v>
      </c>
      <c r="DH226" s="205">
        <f>(LN(DG226/DG225))/(DE213-DE212)</f>
        <v>0.12201941358408804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2">
        <v>221</v>
      </c>
      <c r="FZ226">
        <v>6.4843373306272687</v>
      </c>
      <c r="GA226">
        <v>8.0826739019544842</v>
      </c>
      <c r="GB226">
        <v>7.4540034348385635</v>
      </c>
      <c r="GC226">
        <v>3.6143079057780634</v>
      </c>
      <c r="GD226">
        <v>0.76834097997900774</v>
      </c>
      <c r="GE226">
        <v>2.0741722520735792</v>
      </c>
      <c r="GF226">
        <v>6.6374773993434522</v>
      </c>
      <c r="GG226">
        <v>7.5034575973901347</v>
      </c>
      <c r="GH226">
        <v>2.6007043320489367</v>
      </c>
      <c r="GI226">
        <v>5.38593463246292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15.88705065359477</v>
      </c>
      <c r="AO227">
        <v>12.023676144921062</v>
      </c>
      <c r="AP227">
        <v>69.68226768829939</v>
      </c>
      <c r="AQ227">
        <v>61.429635984268941</v>
      </c>
      <c r="AR227">
        <v>11.088987408823648</v>
      </c>
      <c r="AS227">
        <v>57.707654307835739</v>
      </c>
      <c r="AT227">
        <v>7.0385968608058684</v>
      </c>
      <c r="AU227">
        <v>36.011694150244445</v>
      </c>
      <c r="AV227"/>
      <c r="AW227"/>
      <c r="DE227" s="187">
        <f>DE111</f>
        <v>39714</v>
      </c>
      <c r="DF227" s="205"/>
      <c r="DG227" s="205">
        <f t="shared" si="362"/>
        <v>0.33085559735538134</v>
      </c>
      <c r="DH227" s="205">
        <f t="shared" ref="DH227:DH234" si="363">(LN(DG227/DG226))/(DE214-DE213)</f>
        <v>-1.119287989909448E-2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2">
        <v>222</v>
      </c>
      <c r="FZ227">
        <v>0.17553274884234676</v>
      </c>
      <c r="GA227">
        <v>2.2676633888957376</v>
      </c>
      <c r="GB227">
        <v>10.693252939259789</v>
      </c>
      <c r="GC227">
        <v>5.5211520817851234</v>
      </c>
      <c r="GD227">
        <v>1.0665565415582678</v>
      </c>
      <c r="GE227">
        <v>3.0802218196503324</v>
      </c>
      <c r="GF227">
        <v>6.9365056758643426</v>
      </c>
      <c r="GG227">
        <v>4.9891942610208693</v>
      </c>
      <c r="GH227">
        <v>1.0210358541842348</v>
      </c>
      <c r="GI227">
        <v>5.4088309309205851</v>
      </c>
      <c r="GJ227"/>
      <c r="GK227"/>
      <c r="GL227"/>
      <c r="GM227"/>
    </row>
    <row r="228" spans="1:195" s="7" customFormat="1">
      <c r="A228" s="9" t="s">
        <v>60</v>
      </c>
      <c r="B228">
        <v>8.6693607502051684E-2</v>
      </c>
      <c r="C228">
        <v>1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17.54330065359477</v>
      </c>
      <c r="AO228">
        <v>12.49852503895421</v>
      </c>
      <c r="AP228">
        <v>63.895165730654341</v>
      </c>
      <c r="AQ228">
        <v>63.1300185244842</v>
      </c>
      <c r="AR228">
        <v>11.45419857679393</v>
      </c>
      <c r="AS228">
        <v>55.454243506023722</v>
      </c>
      <c r="AT228">
        <v>6.9278705778329446</v>
      </c>
      <c r="AU228">
        <v>25.317341452180123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62"/>
        <v>0.65693722087334283</v>
      </c>
      <c r="DH228" s="205">
        <f t="shared" si="363"/>
        <v>2.0785043674901669E-2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2">
        <v>223</v>
      </c>
      <c r="FZ228">
        <v>3.3964751058997171</v>
      </c>
      <c r="GA228">
        <v>5.5063905536940263</v>
      </c>
      <c r="GB228">
        <v>3.2049154357754697</v>
      </c>
      <c r="GC228">
        <v>1.9073292097314754</v>
      </c>
      <c r="GD228">
        <v>0.86991205588651599</v>
      </c>
      <c r="GE228">
        <v>4.4497816277420519</v>
      </c>
      <c r="GF228">
        <v>11.646715961183009</v>
      </c>
      <c r="GG228">
        <v>5.6734081933292009</v>
      </c>
      <c r="GH228">
        <v>0.90299222754547115</v>
      </c>
      <c r="GI228">
        <v>4.7390717807157046</v>
      </c>
      <c r="GJ228"/>
      <c r="GK228"/>
      <c r="GL228"/>
      <c r="GM228"/>
    </row>
    <row r="229" spans="1:195" s="7" customFormat="1">
      <c r="A229" s="90"/>
      <c r="B229">
        <v>0.77647560451909414</v>
      </c>
      <c r="C229">
        <v>7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15.967664776754072</v>
      </c>
      <c r="AO229">
        <v>7.87009608207876</v>
      </c>
      <c r="AP229">
        <v>44.11245776273396</v>
      </c>
      <c r="AQ229">
        <v>39.53976641284298</v>
      </c>
      <c r="AR229">
        <v>7.2079137888059881</v>
      </c>
      <c r="AS229">
        <v>39.393398428694752</v>
      </c>
      <c r="AT229">
        <v>4.3935650586399175</v>
      </c>
      <c r="AU229">
        <v>23.341927336870452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62"/>
        <v>0.31519203356773756</v>
      </c>
      <c r="DH229" s="205">
        <f t="shared" si="363"/>
        <v>-2.6228799151516168E-2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2">
        <v>224</v>
      </c>
      <c r="FZ229">
        <v>0.34921884430587113</v>
      </c>
      <c r="GA229">
        <v>3.0531934906978382</v>
      </c>
      <c r="GB229">
        <v>3.5461062568340802</v>
      </c>
      <c r="GC229">
        <v>1.6462326603645843</v>
      </c>
      <c r="GD229">
        <v>1.5657935384540633</v>
      </c>
      <c r="GE229">
        <v>6.0818440790627442</v>
      </c>
      <c r="GF229">
        <v>12.836698849584163</v>
      </c>
      <c r="GG229">
        <v>8.0726260224830853</v>
      </c>
      <c r="GH229">
        <v>2.1215241267588829</v>
      </c>
      <c r="GI229">
        <v>5.5097548100081362</v>
      </c>
      <c r="GJ229"/>
      <c r="GK229"/>
      <c r="GL229"/>
      <c r="GM229"/>
    </row>
    <row r="230" spans="1:195" s="7" customFormat="1">
      <c r="A230" s="77"/>
      <c r="B230">
        <v>0.76756673643265882</v>
      </c>
      <c r="C230">
        <v>9</v>
      </c>
      <c r="D230">
        <v>39646</v>
      </c>
      <c r="E230">
        <v>0</v>
      </c>
      <c r="F230">
        <v>0</v>
      </c>
      <c r="G230">
        <v>10.416666666666666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20.63085922119852</v>
      </c>
      <c r="AO230">
        <v>8.8378687556235143</v>
      </c>
      <c r="AP230">
        <v>70.894982787695184</v>
      </c>
      <c r="AQ230">
        <v>53.579634301284351</v>
      </c>
      <c r="AR230">
        <v>8.1270031767682323</v>
      </c>
      <c r="AS230">
        <v>45.778570268924057</v>
      </c>
      <c r="AT230">
        <v>3.7129168634974712</v>
      </c>
      <c r="AU230">
        <v>12.463018225542129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>((DG217*$H$372)+(DH217*$I$372)+(DI217*$J$372)+(DJ217*$K$372)+(DK217*$L$372)+(DL217*$M$372)+(DM217*$N$372)+(DN217*$O$372)+(DO217*$P$372)+(DP217*$Q$372)+(DQ217*$R$372)+(DR217*$S$372)+(DS217*$T$372)+(DT217*$U$372))/SUM(DG217:DT217)</f>
        <v>0.2239700940636585</v>
      </c>
      <c r="DH230" s="205">
        <f t="shared" si="363"/>
        <v>-1.4236231214696223E-2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2">
        <v>225</v>
      </c>
      <c r="FZ230">
        <v>0.22536687607006739</v>
      </c>
      <c r="GA230">
        <v>3.1009719745125373</v>
      </c>
      <c r="GB230">
        <v>12.116203446632131</v>
      </c>
      <c r="GC230">
        <v>6.19273646093772</v>
      </c>
      <c r="GD230">
        <v>1.90542019255364</v>
      </c>
      <c r="GE230">
        <v>7.0239673421439299</v>
      </c>
      <c r="GF230">
        <v>17.707374773308292</v>
      </c>
      <c r="GG230">
        <v>12.258184327537125</v>
      </c>
      <c r="GH230">
        <v>0.80293095113501101</v>
      </c>
      <c r="GI230">
        <v>9.0690284873724174</v>
      </c>
      <c r="GJ230"/>
      <c r="GK230"/>
      <c r="GL230"/>
      <c r="GM230"/>
    </row>
    <row r="231" spans="1:195" s="7" customFormat="1">
      <c r="A231" s="77"/>
      <c r="B231">
        <v>0.66354535659685787</v>
      </c>
      <c r="C231">
        <v>6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11.188253012048193</v>
      </c>
      <c r="AO231">
        <v>7.4807878967213126</v>
      </c>
      <c r="AP231">
        <v>37.750411558260325</v>
      </c>
      <c r="AQ231">
        <v>36.358587559001876</v>
      </c>
      <c r="AR231">
        <v>6.8467542891663413</v>
      </c>
      <c r="AS231">
        <v>35.846565943806937</v>
      </c>
      <c r="AT231">
        <v>4.6445914599403384</v>
      </c>
      <c r="AU231">
        <v>-2.9817568319186654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>
        <f t="shared" si="362"/>
        <v>1.3309273465678608</v>
      </c>
      <c r="DH231" s="205">
        <f t="shared" si="363"/>
        <v>3.7127472854349489E-2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2">
        <v>226</v>
      </c>
      <c r="FZ231">
        <v>3.3051116888488803</v>
      </c>
      <c r="GA231">
        <v>7.7820782829555668</v>
      </c>
      <c r="GB231">
        <v>2.3733334092376102</v>
      </c>
      <c r="GC231">
        <v>0.78188872526990405</v>
      </c>
      <c r="GD231">
        <v>1.0652144442414628</v>
      </c>
      <c r="GE231">
        <v>2.888687209040274</v>
      </c>
      <c r="GF231">
        <v>5.2631469956543233</v>
      </c>
      <c r="GG231">
        <v>2.9517434521908097</v>
      </c>
      <c r="GH231">
        <v>1.7214004744926337</v>
      </c>
      <c r="GI231">
        <v>3.2907162967737853</v>
      </c>
      <c r="GJ231"/>
      <c r="GK231"/>
      <c r="GL231"/>
      <c r="GM231"/>
    </row>
    <row r="232" spans="1:195" s="7" customFormat="1">
      <c r="A232" s="77"/>
      <c r="B232">
        <v>0.58475700143327214</v>
      </c>
      <c r="C232">
        <v>1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14.657883986928104</v>
      </c>
      <c r="AO232">
        <v>9.713422014386877</v>
      </c>
      <c r="AP232">
        <v>90.949342712273477</v>
      </c>
      <c r="AQ232">
        <v>51.577059782503262</v>
      </c>
      <c r="AR232">
        <v>8.9341194397630836</v>
      </c>
      <c r="AS232">
        <v>43.962706942825662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62"/>
        <v>2.4837566410245535</v>
      </c>
      <c r="DH232" s="205">
        <f t="shared" si="363"/>
        <v>9.9031148626276769E-3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2">
        <v>227</v>
      </c>
      <c r="FZ232">
        <v>6.5046403121941214</v>
      </c>
      <c r="GA232">
        <v>11.298627688474722</v>
      </c>
      <c r="GB232">
        <v>10.291333958215386</v>
      </c>
      <c r="GC232">
        <v>4.9108145617161512</v>
      </c>
      <c r="GD232">
        <v>0.82681244418846966</v>
      </c>
      <c r="GE232">
        <v>1.621204388816277</v>
      </c>
      <c r="GF232">
        <v>9.5197470680912346</v>
      </c>
      <c r="GG232">
        <v>9.9482506840445364</v>
      </c>
      <c r="GH232">
        <v>2.4009610115888806</v>
      </c>
      <c r="GI232">
        <v>6.9758845810588133</v>
      </c>
      <c r="GJ232"/>
      <c r="GK232"/>
      <c r="GL232"/>
      <c r="GM232"/>
    </row>
    <row r="233" spans="1:195" s="7" customFormat="1">
      <c r="A233" s="77"/>
      <c r="B233">
        <v>0.53487134294392846</v>
      </c>
      <c r="C233">
        <v>7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14.376506024096383</v>
      </c>
      <c r="AO233">
        <v>7.7781782497784038</v>
      </c>
      <c r="AP233">
        <v>42.318686855282472</v>
      </c>
      <c r="AQ233">
        <v>37.412500154577565</v>
      </c>
      <c r="AR233">
        <v>7.1994559538916745</v>
      </c>
      <c r="AS233">
        <v>40.529710387363565</v>
      </c>
      <c r="AT233">
        <v>4.5378479296951078</v>
      </c>
      <c r="AU233">
        <v>-1.8373157423339634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62"/>
        <v>0.37489542434975098</v>
      </c>
      <c r="DH233" s="205">
        <f t="shared" si="363"/>
        <v>-4.8484111512132846E-2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2">
        <v>228</v>
      </c>
      <c r="FZ233">
        <v>3.558898958434539</v>
      </c>
      <c r="GA233">
        <v>7.5998353355274126</v>
      </c>
      <c r="GB233">
        <v>10.14142680706596</v>
      </c>
      <c r="GC233">
        <v>4.8490781136136949</v>
      </c>
      <c r="GD233">
        <v>1.0819500225609446</v>
      </c>
      <c r="GE233">
        <v>3.8649572691297283</v>
      </c>
      <c r="GF233">
        <v>7.4762534605938189</v>
      </c>
      <c r="GG233">
        <v>3.6224623485579679</v>
      </c>
      <c r="GH233">
        <v>1.5884311553132373</v>
      </c>
      <c r="GI233">
        <v>5.9647854755238363</v>
      </c>
      <c r="GJ233"/>
      <c r="GK233"/>
      <c r="GL233"/>
      <c r="GM233"/>
    </row>
    <row r="234" spans="1:195" s="7" customFormat="1">
      <c r="A234" s="77"/>
      <c r="B234">
        <v>0.27435103840863406</v>
      </c>
      <c r="C234">
        <v>8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13.265394912985276</v>
      </c>
      <c r="AO234">
        <v>6.8301403290118206</v>
      </c>
      <c r="AP234">
        <v>34.918508261394251</v>
      </c>
      <c r="AQ234">
        <v>39.03111701741129</v>
      </c>
      <c r="AR234">
        <v>6.3328836406962177</v>
      </c>
      <c r="AS234">
        <v>37.90367646880307</v>
      </c>
      <c r="AT234">
        <v>3.3779598531526922</v>
      </c>
      <c r="AU234">
        <v>-3.6283789178513799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62"/>
        <v>0.36752037089925627</v>
      </c>
      <c r="DH234" s="205">
        <f t="shared" si="363"/>
        <v>-5.2285185641289878E-4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2">
        <v>229</v>
      </c>
      <c r="FZ234">
        <v>3.2836979551367511</v>
      </c>
      <c r="GA234">
        <v>7.030871454977353</v>
      </c>
      <c r="GB234">
        <v>10.269475021632706</v>
      </c>
      <c r="GC234">
        <v>5.1243800366982182</v>
      </c>
      <c r="GD234">
        <v>0.71359972595169374</v>
      </c>
      <c r="GE234">
        <v>3.4268289123380802</v>
      </c>
      <c r="GF234">
        <v>8.9890686142063654</v>
      </c>
      <c r="GG234">
        <v>4.7938506748258796</v>
      </c>
      <c r="GH234">
        <v>1.2760499477382314</v>
      </c>
      <c r="GI234">
        <v>5.8017799596178303</v>
      </c>
      <c r="GJ234"/>
      <c r="GK234"/>
      <c r="GL234"/>
      <c r="GM234"/>
    </row>
    <row r="235" spans="1:195" s="7" customFormat="1">
      <c r="A235" s="77"/>
      <c r="B235">
        <v>9.066071732787373E-2</v>
      </c>
      <c r="C235">
        <v>1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15.564886998976295</v>
      </c>
      <c r="AO235">
        <v>11.667172385520542</v>
      </c>
      <c r="AP235">
        <v>78.641076827773048</v>
      </c>
      <c r="AQ235">
        <v>62.629774051910971</v>
      </c>
      <c r="AR235">
        <v>10.693588448662586</v>
      </c>
      <c r="AS235">
        <v>51.998951350409115</v>
      </c>
      <c r="AT235">
        <v>6.4654648731376696</v>
      </c>
      <c r="AU235">
        <v>17.12156818735026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>
        <f>(LN(DG225/DG234))/((DE212-DE221)+365)</f>
        <v>-0.122529700859231</v>
      </c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2">
        <v>230</v>
      </c>
      <c r="FZ235">
        <v>3.3761721243328644</v>
      </c>
      <c r="GA235">
        <v>4.9144765173017602</v>
      </c>
      <c r="GB235">
        <v>5.9445150399103488</v>
      </c>
      <c r="GC235">
        <v>3.1719791012813427</v>
      </c>
      <c r="GD235">
        <v>1.5102902297364009</v>
      </c>
      <c r="GE235">
        <v>5.3537141177432952</v>
      </c>
      <c r="GF235">
        <v>14.375844110353494</v>
      </c>
      <c r="GG235">
        <v>10.978498631514981</v>
      </c>
      <c r="GH235">
        <v>1.5775615829764928</v>
      </c>
      <c r="GI235">
        <v>7.056947119854275</v>
      </c>
      <c r="GJ235"/>
      <c r="GK235"/>
      <c r="GL235"/>
      <c r="GM235"/>
    </row>
    <row r="236" spans="1:195" s="7" customFormat="1">
      <c r="A236" s="77"/>
      <c r="B236">
        <v>0.98665914719982029</v>
      </c>
      <c r="C236">
        <v>4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16.197584455468935</v>
      </c>
      <c r="AO236">
        <v>7.2217092389466888</v>
      </c>
      <c r="AP236">
        <v>46.364191241504408</v>
      </c>
      <c r="AQ236">
        <v>39.418484798377087</v>
      </c>
      <c r="AR236">
        <v>6.6448423959132894</v>
      </c>
      <c r="AS236">
        <v>36.892752644386526</v>
      </c>
      <c r="AT236">
        <v>3.6737247201926007</v>
      </c>
      <c r="AU236">
        <v>19.349071919157581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2">
        <v>231</v>
      </c>
      <c r="FZ236">
        <v>3.3030776100141925</v>
      </c>
      <c r="GA236">
        <v>6.2846615807805914</v>
      </c>
      <c r="GB236">
        <v>6.9984457799094271</v>
      </c>
      <c r="GC236">
        <v>3.6421318436972037</v>
      </c>
      <c r="GD236">
        <v>1.3661207171393177</v>
      </c>
      <c r="GE236">
        <v>1.9943952247699106</v>
      </c>
      <c r="GF236">
        <v>2.9610831217673397</v>
      </c>
      <c r="GG236">
        <v>5.0523946394972956</v>
      </c>
      <c r="GH236">
        <v>4.0980944327104227</v>
      </c>
      <c r="GI236">
        <v>4.6034466875508837</v>
      </c>
      <c r="GJ236"/>
      <c r="GK236"/>
      <c r="GL236"/>
      <c r="GM236"/>
    </row>
    <row r="237" spans="1:195" s="7" customFormat="1">
      <c r="A237" s="77"/>
      <c r="B237">
        <v>0.78644157159643235</v>
      </c>
      <c r="C237">
        <v>10</v>
      </c>
      <c r="D237">
        <v>39646</v>
      </c>
      <c r="E237">
        <v>0</v>
      </c>
      <c r="F237">
        <v>0</v>
      </c>
      <c r="G237">
        <v>62.5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14.998914776754074</v>
      </c>
      <c r="AO237">
        <v>9.0906795970392444</v>
      </c>
      <c r="AP237">
        <v>76.692856692621774</v>
      </c>
      <c r="AQ237">
        <v>50.605409766496408</v>
      </c>
      <c r="AR237">
        <v>8.3349440392687573</v>
      </c>
      <c r="AS237">
        <v>42.491295271816178</v>
      </c>
      <c r="AT237">
        <v>4.6426917638075302</v>
      </c>
      <c r="AU237">
        <v>5.2130887988402161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2">
        <v>232</v>
      </c>
      <c r="FZ237">
        <v>6.5177492085016464</v>
      </c>
      <c r="GA237">
        <v>9.9915562638831172</v>
      </c>
      <c r="GB237">
        <v>8.4709526021920762</v>
      </c>
      <c r="GC237">
        <v>4.1657935002449591</v>
      </c>
      <c r="GD237">
        <v>1.1778001579589663</v>
      </c>
      <c r="GE237">
        <v>3.3161290362487161</v>
      </c>
      <c r="GF237">
        <v>3.6487290690919014</v>
      </c>
      <c r="GG237">
        <v>1.127974983765528</v>
      </c>
      <c r="GH237">
        <v>1.8493641453437779</v>
      </c>
      <c r="GI237">
        <v>4.9938251859877951</v>
      </c>
      <c r="GJ237"/>
      <c r="GK237"/>
      <c r="GL237"/>
      <c r="GM237"/>
    </row>
    <row r="238" spans="1:195" s="7" customFormat="1">
      <c r="A238" s="77"/>
      <c r="B238">
        <v>0.56815313230368192</v>
      </c>
      <c r="C238">
        <v>6</v>
      </c>
      <c r="D238">
        <v>39673</v>
      </c>
      <c r="E238">
        <v>0</v>
      </c>
      <c r="F238">
        <v>0</v>
      </c>
      <c r="G238">
        <v>10.416666666666666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15.713439542483655</v>
      </c>
      <c r="AO238">
        <v>8.8899033063082324</v>
      </c>
      <c r="AP238">
        <v>49.828995086174722</v>
      </c>
      <c r="AQ238">
        <v>41.159946241981629</v>
      </c>
      <c r="AR238">
        <v>8.1248950996302121</v>
      </c>
      <c r="AS238">
        <v>46.493991669957211</v>
      </c>
      <c r="AT238">
        <v>5.1375597292614996</v>
      </c>
      <c r="AU238">
        <v>15.57574640403052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2">
        <v>233</v>
      </c>
      <c r="FZ238">
        <v>6.4854480827725443</v>
      </c>
      <c r="GA238">
        <v>10.596485573647993</v>
      </c>
      <c r="GB238">
        <v>4.4314803121364976</v>
      </c>
      <c r="GC238">
        <v>2.4115543152806502</v>
      </c>
      <c r="GD238">
        <v>2.5263149208606555</v>
      </c>
      <c r="GE238">
        <v>5.8611617550891406</v>
      </c>
      <c r="GF238">
        <v>12.473776042669776</v>
      </c>
      <c r="GG238">
        <v>10.633127981838795</v>
      </c>
      <c r="GH238">
        <v>2.0969630144264477</v>
      </c>
      <c r="GI238">
        <v>7.3999528363244815</v>
      </c>
      <c r="GJ238"/>
      <c r="GK238"/>
      <c r="GL238"/>
      <c r="GM238"/>
    </row>
    <row r="239" spans="1:195" s="7" customFormat="1">
      <c r="A239" s="77" t="s">
        <v>61</v>
      </c>
      <c r="B239">
        <v>0.66219700684472138</v>
      </c>
      <c r="C239">
        <v>8</v>
      </c>
      <c r="D239">
        <v>39673</v>
      </c>
      <c r="E239">
        <v>0</v>
      </c>
      <c r="F239">
        <v>0</v>
      </c>
      <c r="G239">
        <v>62.5</v>
      </c>
      <c r="H239">
        <v>10.416666666666666</v>
      </c>
      <c r="I239">
        <v>0</v>
      </c>
      <c r="J239">
        <v>0</v>
      </c>
      <c r="K239">
        <v>0</v>
      </c>
      <c r="L239">
        <v>0</v>
      </c>
      <c r="M239">
        <v>10.416666666666666</v>
      </c>
      <c r="N239">
        <v>0</v>
      </c>
      <c r="O239">
        <v>10.416666666666666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10.678589357429718</v>
      </c>
      <c r="AO239">
        <v>7.9446181800765583</v>
      </c>
      <c r="AP239">
        <v>35.536247669440236</v>
      </c>
      <c r="AQ239">
        <v>42.296992151502636</v>
      </c>
      <c r="AR239">
        <v>7.3150256030233818</v>
      </c>
      <c r="AS239">
        <v>35.042046680061127</v>
      </c>
      <c r="AT239">
        <v>4.6623665938521759</v>
      </c>
      <c r="AU239">
        <v>-0.19365555442450658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2">
        <v>234</v>
      </c>
      <c r="FZ239">
        <v>0.13473936025277633</v>
      </c>
      <c r="GA239">
        <v>3.8576759338489657</v>
      </c>
      <c r="GB239">
        <v>8.6012775301936077</v>
      </c>
      <c r="GC239">
        <v>4.3081744612430066</v>
      </c>
      <c r="GD239">
        <v>1.4475838917509496</v>
      </c>
      <c r="GE239">
        <v>5.2676519761447409</v>
      </c>
      <c r="GF239">
        <v>14.613751793387751</v>
      </c>
      <c r="GG239">
        <v>10.334550275594182</v>
      </c>
      <c r="GH239">
        <v>2.1821641247254675</v>
      </c>
      <c r="GI239">
        <v>7.3365667201647691</v>
      </c>
      <c r="GJ239"/>
      <c r="GK239"/>
      <c r="GL239"/>
      <c r="GM239"/>
    </row>
    <row r="240" spans="1:195" s="7" customFormat="1">
      <c r="A240" s="77" t="s">
        <v>62</v>
      </c>
      <c r="B240">
        <v>0.39199289791137182</v>
      </c>
      <c r="C240">
        <v>5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11.479166666666666</v>
      </c>
      <c r="AO240">
        <v>9.2021871193412448</v>
      </c>
      <c r="AP240">
        <v>35.527784937735625</v>
      </c>
      <c r="AQ240">
        <v>44.782992678553441</v>
      </c>
      <c r="AR240">
        <v>8.4564248049494051</v>
      </c>
      <c r="AS240">
        <v>43.654770345770977</v>
      </c>
      <c r="AT240">
        <v>5.7342064954148322</v>
      </c>
      <c r="AU240">
        <v>14.312272881517599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0</v>
      </c>
      <c r="DH240" s="182">
        <v>10.416666666666666</v>
      </c>
      <c r="DI240" s="182">
        <v>0</v>
      </c>
      <c r="DJ240" s="182">
        <v>0</v>
      </c>
      <c r="DK240" s="182">
        <v>0</v>
      </c>
      <c r="DL240" s="182">
        <v>0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2">
        <v>235</v>
      </c>
      <c r="FZ240">
        <v>0.18365016079108573</v>
      </c>
      <c r="GA240">
        <v>4.6009668463130433</v>
      </c>
      <c r="GB240">
        <v>7.4768799292643635</v>
      </c>
      <c r="GC240">
        <v>3.655178814217301</v>
      </c>
      <c r="GD240">
        <v>1.3495929502063098</v>
      </c>
      <c r="GE240">
        <v>2.614025899114818</v>
      </c>
      <c r="GF240">
        <v>7.3447898087280716</v>
      </c>
      <c r="GG240">
        <v>7.1619214470902897</v>
      </c>
      <c r="GH240">
        <v>3.7353163421205799</v>
      </c>
      <c r="GI240">
        <v>5.2792540651123625</v>
      </c>
      <c r="GJ240"/>
      <c r="GK240"/>
      <c r="GL240"/>
      <c r="GM240"/>
    </row>
    <row r="241" spans="1:195" s="7" customFormat="1">
      <c r="A241" s="77"/>
      <c r="B241">
        <v>0.34545004909247456</v>
      </c>
      <c r="C241">
        <v>2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19.616217320261438</v>
      </c>
      <c r="AO241">
        <v>15.329688606064291</v>
      </c>
      <c r="AP241">
        <v>82.914037204474667</v>
      </c>
      <c r="AQ241">
        <v>70.402184832202863</v>
      </c>
      <c r="AR241">
        <v>13.956489731096273</v>
      </c>
      <c r="AS241">
        <v>69.200368379156416</v>
      </c>
      <c r="AT241">
        <v>8.9968829881278651</v>
      </c>
      <c r="AU241">
        <v>38.167221308983464</v>
      </c>
      <c r="AV241"/>
      <c r="AW241"/>
      <c r="DE241" s="187">
        <v>39673</v>
      </c>
      <c r="DF241" s="185">
        <v>0</v>
      </c>
      <c r="DG241" s="185"/>
      <c r="DH241" s="185">
        <v>9.375</v>
      </c>
      <c r="DI241" s="185">
        <v>3.125</v>
      </c>
      <c r="DJ241" s="185">
        <v>0</v>
      </c>
      <c r="DK241" s="185">
        <v>0</v>
      </c>
      <c r="DL241" s="185">
        <v>0</v>
      </c>
      <c r="DM241" s="185">
        <v>0</v>
      </c>
      <c r="DN241" s="185"/>
      <c r="DO241" s="185"/>
      <c r="DP241" s="185"/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2">
        <v>236</v>
      </c>
      <c r="FZ241">
        <v>6.51663845635637</v>
      </c>
      <c r="GA241">
        <v>11.665105764708114</v>
      </c>
      <c r="GB241">
        <v>6.1213323230177652</v>
      </c>
      <c r="GC241">
        <v>2.7894954107111243</v>
      </c>
      <c r="GD241">
        <v>1.1122530273837115</v>
      </c>
      <c r="GE241">
        <v>3.1746043105622537</v>
      </c>
      <c r="GF241">
        <v>13.791603907518207</v>
      </c>
      <c r="GG241">
        <v>12.343546895202461</v>
      </c>
      <c r="GH241">
        <v>2.0392747613336901</v>
      </c>
      <c r="GI241">
        <v>7.2182562772799725</v>
      </c>
      <c r="GJ241"/>
      <c r="GK241"/>
      <c r="GL241"/>
      <c r="GM241"/>
    </row>
    <row r="242" spans="1:195" s="7" customFormat="1">
      <c r="A242" s="1"/>
      <c r="B242">
        <v>0.72570930095660469</v>
      </c>
      <c r="C242">
        <v>8</v>
      </c>
      <c r="D242">
        <v>39673</v>
      </c>
      <c r="E242">
        <v>0</v>
      </c>
      <c r="F242">
        <v>0</v>
      </c>
      <c r="G242">
        <v>62.5</v>
      </c>
      <c r="H242">
        <v>10.416666666666666</v>
      </c>
      <c r="I242">
        <v>0</v>
      </c>
      <c r="J242">
        <v>0</v>
      </c>
      <c r="K242">
        <v>0</v>
      </c>
      <c r="L242">
        <v>0</v>
      </c>
      <c r="M242">
        <v>10.416666666666666</v>
      </c>
      <c r="N242">
        <v>0</v>
      </c>
      <c r="O242">
        <v>10.416666666666666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12.473856209150325</v>
      </c>
      <c r="AO242">
        <v>5.4247678117190272</v>
      </c>
      <c r="AP242">
        <v>38.085138175669861</v>
      </c>
      <c r="AQ242">
        <v>31.423320978705245</v>
      </c>
      <c r="AR242">
        <v>5.0387854906127671</v>
      </c>
      <c r="AS242">
        <v>27.835342638126207</v>
      </c>
      <c r="AT242">
        <v>2.5116503083257333</v>
      </c>
      <c r="AU242">
        <v>22.754525355262981</v>
      </c>
      <c r="AV242"/>
      <c r="AW242"/>
      <c r="BI242" s="162"/>
      <c r="DE242" s="187">
        <v>39714</v>
      </c>
      <c r="DF242" s="182">
        <v>0</v>
      </c>
      <c r="DG242" s="182">
        <v>0</v>
      </c>
      <c r="DH242" s="182">
        <v>0</v>
      </c>
      <c r="DI242" s="182">
        <v>3.125</v>
      </c>
      <c r="DJ242" s="182">
        <v>6.2499999999999991</v>
      </c>
      <c r="DK242" s="182">
        <v>7.291666666666667</v>
      </c>
      <c r="DL242" s="182">
        <v>1.0416666666666665</v>
      </c>
      <c r="DM242" s="182">
        <v>0</v>
      </c>
      <c r="DN242" s="182">
        <v>0</v>
      </c>
      <c r="DO242" s="182">
        <v>0</v>
      </c>
      <c r="DP242" s="182">
        <v>0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2">
        <v>237</v>
      </c>
      <c r="FZ242">
        <v>0.19472497826392327</v>
      </c>
      <c r="GA242">
        <v>3.5625649386557674</v>
      </c>
      <c r="GB242">
        <v>8.0340572128368919</v>
      </c>
      <c r="GC242">
        <v>3.7725939802066866</v>
      </c>
      <c r="GD242">
        <v>1.8271141836121163</v>
      </c>
      <c r="GE242">
        <v>3.6831657638945288</v>
      </c>
      <c r="GF242">
        <v>9.4299734090282818</v>
      </c>
      <c r="GG242">
        <v>11.377162691694373</v>
      </c>
      <c r="GH242">
        <v>4.3464508120364753</v>
      </c>
      <c r="GI242">
        <v>6.6024110184649754</v>
      </c>
      <c r="GJ242"/>
      <c r="GK242"/>
      <c r="GL242"/>
      <c r="GM242"/>
    </row>
    <row r="243" spans="1:195" s="7" customFormat="1">
      <c r="A243" s="1"/>
      <c r="B243">
        <v>0.31598485504064389</v>
      </c>
      <c r="C243">
        <v>7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17.562167788802263</v>
      </c>
      <c r="AO243">
        <v>11.88142227804223</v>
      </c>
      <c r="AP243">
        <v>77.723468489829031</v>
      </c>
      <c r="AQ243">
        <v>64.298276698388591</v>
      </c>
      <c r="AR243">
        <v>10.862785963618682</v>
      </c>
      <c r="AS243">
        <v>63.421191838488049</v>
      </c>
      <c r="AT243">
        <v>6.7464164415929275</v>
      </c>
      <c r="AU243">
        <v>1.8322392633845692</v>
      </c>
      <c r="AV243"/>
      <c r="AW243"/>
      <c r="DE243" s="187">
        <v>39747</v>
      </c>
      <c r="DF243" s="182">
        <v>0</v>
      </c>
      <c r="DG243" s="182">
        <v>0</v>
      </c>
      <c r="DH243" s="182">
        <v>0</v>
      </c>
      <c r="DI243" s="182"/>
      <c r="DJ243" s="182">
        <v>2.083333333333333</v>
      </c>
      <c r="DK243" s="182">
        <v>5.9659090909090899</v>
      </c>
      <c r="DL243" s="182">
        <v>6.2499999999999991</v>
      </c>
      <c r="DM243" s="182">
        <v>7.007575757575756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2">
        <v>238</v>
      </c>
      <c r="FZ243">
        <v>3.253243482786472</v>
      </c>
      <c r="GA243">
        <v>7.173402946102696</v>
      </c>
      <c r="GB243">
        <v>4.3555659350103024</v>
      </c>
      <c r="GC243">
        <v>1.7209673660779519</v>
      </c>
      <c r="GD243">
        <v>1.6356411360899235</v>
      </c>
      <c r="GE243">
        <v>4.4948890868987128</v>
      </c>
      <c r="GF243">
        <v>6.2405966323432569</v>
      </c>
      <c r="GG243">
        <v>3.2385220746480146</v>
      </c>
      <c r="GH243">
        <v>0.64561562646071002</v>
      </c>
      <c r="GI243">
        <v>4.2095136811271923</v>
      </c>
      <c r="GJ243"/>
      <c r="GK243"/>
      <c r="GL243"/>
      <c r="GM243"/>
    </row>
    <row r="244" spans="1:195" s="7" customFormat="1">
      <c r="A244" s="1"/>
      <c r="B244">
        <v>0.58400267803952488</v>
      </c>
      <c r="C244">
        <v>3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19.22460922119852</v>
      </c>
      <c r="AO244">
        <v>9.8445757504444664</v>
      </c>
      <c r="AP244">
        <v>56.900707037718419</v>
      </c>
      <c r="AQ244">
        <v>49.748078946321144</v>
      </c>
      <c r="AR244">
        <v>9.068739482355296</v>
      </c>
      <c r="AS244">
        <v>53.215502114765954</v>
      </c>
      <c r="AT244">
        <v>4.9167694932986485</v>
      </c>
      <c r="AU244">
        <v>29.040888295329061</v>
      </c>
      <c r="AV244"/>
      <c r="AW244"/>
      <c r="DE244" s="187">
        <v>39775</v>
      </c>
      <c r="DF244" s="182">
        <v>0</v>
      </c>
      <c r="DG244" s="182">
        <v>0</v>
      </c>
      <c r="DH244" s="182"/>
      <c r="DI244" s="182">
        <v>0</v>
      </c>
      <c r="DJ244" s="182"/>
      <c r="DK244" s="182"/>
      <c r="DL244" s="182">
        <v>2.083333333333333</v>
      </c>
      <c r="DM244" s="182">
        <v>1.0416666666666665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2">
        <v>239</v>
      </c>
      <c r="FZ244">
        <v>3.2218656837467816</v>
      </c>
      <c r="GA244">
        <v>7.5566385113529906</v>
      </c>
      <c r="GB244">
        <v>9.1493285246657052</v>
      </c>
      <c r="GC244">
        <v>4.0717445347979808</v>
      </c>
      <c r="GD244">
        <v>1.0492412598086982</v>
      </c>
      <c r="GE244">
        <v>2.6206743943925379</v>
      </c>
      <c r="GF244">
        <v>6.5845935359212282</v>
      </c>
      <c r="GG244">
        <v>7.0464210414277542</v>
      </c>
      <c r="GH244">
        <v>3.3129516475800171</v>
      </c>
      <c r="GI244">
        <v>5.7085512417745345</v>
      </c>
      <c r="GJ244"/>
      <c r="GK244"/>
      <c r="GL244"/>
      <c r="GM244"/>
    </row>
    <row r="245" spans="1:195" s="7" customFormat="1">
      <c r="A245" s="1"/>
      <c r="B245">
        <v>0.84557431907242009</v>
      </c>
      <c r="C245">
        <v>5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17.506612233246713</v>
      </c>
      <c r="AO245">
        <v>9.5038567460943852</v>
      </c>
      <c r="AP245">
        <v>65.601684304833668</v>
      </c>
      <c r="AQ245">
        <v>50.70960230312312</v>
      </c>
      <c r="AR245">
        <v>8.7077989484470013</v>
      </c>
      <c r="AS245">
        <v>48.940446618948478</v>
      </c>
      <c r="AT245">
        <v>5.2713300305981416</v>
      </c>
      <c r="AU245">
        <v>17.681257697133109</v>
      </c>
      <c r="AV245"/>
      <c r="AW245"/>
      <c r="DE245" s="187">
        <v>39799</v>
      </c>
      <c r="DF245" s="182">
        <v>0</v>
      </c>
      <c r="DG245" s="182">
        <v>0</v>
      </c>
      <c r="DH245" s="182"/>
      <c r="DI245" s="182">
        <v>0</v>
      </c>
      <c r="DJ245" s="182"/>
      <c r="DK245" s="182"/>
      <c r="DL245" s="182">
        <v>1.0416666666666665</v>
      </c>
      <c r="DM245" s="182">
        <v>2.083333333333333</v>
      </c>
      <c r="DN245" s="182">
        <v>1.0416666666666665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2">
        <v>240</v>
      </c>
      <c r="FZ245">
        <v>3.3761721243328644</v>
      </c>
      <c r="GA245">
        <v>4.3467929115434316</v>
      </c>
      <c r="GB245">
        <v>5.4171245137373738</v>
      </c>
      <c r="GC245">
        <v>3.1629556478892726</v>
      </c>
      <c r="GD245">
        <v>1.229767238943364</v>
      </c>
      <c r="GE245">
        <v>4.5829860041151482</v>
      </c>
      <c r="GF245">
        <v>10.096064215894192</v>
      </c>
      <c r="GG245">
        <v>5.8636885298195853</v>
      </c>
      <c r="GH245">
        <v>0.42566137283345179</v>
      </c>
      <c r="GI245">
        <v>5.1483804207635764</v>
      </c>
      <c r="GJ245"/>
      <c r="GK245"/>
      <c r="GL245"/>
      <c r="GM245"/>
    </row>
    <row r="246" spans="1:195" s="7" customFormat="1">
      <c r="A246" s="1"/>
      <c r="B246">
        <v>0.892127519550443</v>
      </c>
      <c r="C246">
        <v>9</v>
      </c>
      <c r="D246">
        <v>39673</v>
      </c>
      <c r="E246">
        <v>0</v>
      </c>
      <c r="F246">
        <v>0</v>
      </c>
      <c r="G246">
        <v>0</v>
      </c>
      <c r="H246">
        <v>20.833333333333332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16.610025887865184</v>
      </c>
      <c r="AO246">
        <v>12.156049497604496</v>
      </c>
      <c r="AP246">
        <v>69.251719773816532</v>
      </c>
      <c r="AQ246">
        <v>58.259998575005255</v>
      </c>
      <c r="AR246">
        <v>11.144573713303808</v>
      </c>
      <c r="AS246">
        <v>52.371866382366903</v>
      </c>
      <c r="AT246">
        <v>6.7921335233875686</v>
      </c>
      <c r="AU246">
        <v>25.797812185207242</v>
      </c>
      <c r="AV246"/>
      <c r="AW246"/>
      <c r="DE246" s="187">
        <v>39847</v>
      </c>
      <c r="DF246" s="182">
        <v>0</v>
      </c>
      <c r="DG246" s="182">
        <v>0</v>
      </c>
      <c r="DH246" s="182">
        <v>0</v>
      </c>
      <c r="DI246" s="182">
        <v>0</v>
      </c>
      <c r="DJ246" s="182"/>
      <c r="DK246" s="182"/>
      <c r="DL246" s="182">
        <v>0</v>
      </c>
      <c r="DM246" s="182">
        <v>4.5138888888888884</v>
      </c>
      <c r="DN246" s="182">
        <v>0</v>
      </c>
      <c r="DO246" s="182">
        <v>1.0416666666666665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2">
        <v>241</v>
      </c>
      <c r="FZ246">
        <v>3.2633949735698984</v>
      </c>
      <c r="GA246">
        <v>7.2406194323096091</v>
      </c>
      <c r="GB246">
        <v>9.1781717834391454</v>
      </c>
      <c r="GC246">
        <v>4.0047417069794919</v>
      </c>
      <c r="GD246">
        <v>1.2646898831958151</v>
      </c>
      <c r="GE246">
        <v>2.7471741667185112</v>
      </c>
      <c r="GF246">
        <v>9.3278748185301943</v>
      </c>
      <c r="GG246">
        <v>10.827808202547859</v>
      </c>
      <c r="GH246">
        <v>3.3940966376751485</v>
      </c>
      <c r="GI246">
        <v>6.7006416949175254</v>
      </c>
      <c r="GJ246"/>
      <c r="GK246"/>
      <c r="GL246"/>
      <c r="GM246"/>
    </row>
    <row r="247" spans="1:195" s="7" customFormat="1">
      <c r="A247" s="77" t="s">
        <v>61</v>
      </c>
      <c r="B247">
        <v>0.32756731529902705</v>
      </c>
      <c r="C247">
        <v>6</v>
      </c>
      <c r="D247">
        <v>39673</v>
      </c>
      <c r="E247">
        <v>0</v>
      </c>
      <c r="F247">
        <v>0</v>
      </c>
      <c r="G247">
        <v>10.416666666666666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11.361111111111112</v>
      </c>
      <c r="AO247">
        <v>7.5020088497821815</v>
      </c>
      <c r="AP247">
        <v>36.407248799227062</v>
      </c>
      <c r="AQ247">
        <v>40.303851637836587</v>
      </c>
      <c r="AR247">
        <v>6.925343871233804</v>
      </c>
      <c r="AS247">
        <v>38.080413904521116</v>
      </c>
      <c r="AT247">
        <v>4.125869946136171</v>
      </c>
      <c r="AU247">
        <v>-2.7868902893616632</v>
      </c>
      <c r="AV247"/>
      <c r="AW247"/>
      <c r="DE247" s="187">
        <v>39910</v>
      </c>
      <c r="DF247" s="182">
        <v>0</v>
      </c>
      <c r="DG247" s="182">
        <v>0</v>
      </c>
      <c r="DH247" s="182">
        <v>0</v>
      </c>
      <c r="DI247" s="182">
        <v>0</v>
      </c>
      <c r="DJ247" s="182">
        <v>0</v>
      </c>
      <c r="DK247" s="182"/>
      <c r="DL247" s="182"/>
      <c r="DM247" s="182"/>
      <c r="DN247" s="182">
        <v>0</v>
      </c>
      <c r="DO247" s="182">
        <v>5.208333333333333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2">
        <v>242</v>
      </c>
      <c r="FZ247">
        <v>9.7073137665193272</v>
      </c>
      <c r="GA247">
        <v>12.376443940928885</v>
      </c>
      <c r="GB247">
        <v>6.4971194612520184</v>
      </c>
      <c r="GC247">
        <v>3.6774755495749503</v>
      </c>
      <c r="GD247">
        <v>0.99962627328757003</v>
      </c>
      <c r="GE247">
        <v>3.0137978916715058</v>
      </c>
      <c r="GF247">
        <v>8.9469102311194835</v>
      </c>
      <c r="GG247">
        <v>6.227606400744329</v>
      </c>
      <c r="GH247">
        <v>1.407748599721516</v>
      </c>
      <c r="GI247">
        <v>6.1901477862018419</v>
      </c>
      <c r="GJ247"/>
      <c r="GK247"/>
      <c r="GL247"/>
      <c r="GM247"/>
    </row>
    <row r="248" spans="1:195" s="7" customFormat="1">
      <c r="A248" s="77" t="s">
        <v>62</v>
      </c>
      <c r="B248">
        <v>0.69736850465095968</v>
      </c>
      <c r="C248">
        <v>9</v>
      </c>
      <c r="D248">
        <v>39714</v>
      </c>
      <c r="E248">
        <v>0</v>
      </c>
      <c r="F248">
        <v>0</v>
      </c>
      <c r="G248">
        <v>0</v>
      </c>
      <c r="H248">
        <v>10.416666666666666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20.197712418300654</v>
      </c>
      <c r="AO248">
        <v>8.1961362964230844</v>
      </c>
      <c r="AP248">
        <v>59.245961618479463</v>
      </c>
      <c r="AQ248">
        <v>45.259874153218476</v>
      </c>
      <c r="AR248">
        <v>7.5745828258315546</v>
      </c>
      <c r="AS248">
        <v>43.727318522735239</v>
      </c>
      <c r="AT248">
        <v>3.3819023062848435</v>
      </c>
      <c r="AU248">
        <v>23.77578515393472</v>
      </c>
      <c r="AV248"/>
      <c r="AW248"/>
      <c r="DE248" s="187">
        <v>39949</v>
      </c>
      <c r="DF248" s="182">
        <v>0</v>
      </c>
      <c r="DG248" s="182">
        <v>0</v>
      </c>
      <c r="DH248" s="182"/>
      <c r="DI248" s="182"/>
      <c r="DJ248" s="182"/>
      <c r="DK248" s="182"/>
      <c r="DL248" s="182"/>
      <c r="DM248" s="182"/>
      <c r="DN248" s="182">
        <v>0</v>
      </c>
      <c r="DO248" s="182">
        <v>0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2">
        <v>243</v>
      </c>
      <c r="FZ248">
        <v>3.3854002884268795</v>
      </c>
      <c r="GA248">
        <v>7.0646548961488485</v>
      </c>
      <c r="GB248">
        <v>7.0781187478089471</v>
      </c>
      <c r="GC248">
        <v>3.1526741508887852</v>
      </c>
      <c r="GD248">
        <v>1.0118478695694344</v>
      </c>
      <c r="GE248">
        <v>2.8898422337033702</v>
      </c>
      <c r="GF248">
        <v>12.627237994814323</v>
      </c>
      <c r="GG248">
        <v>11.517529218610733</v>
      </c>
      <c r="GH248">
        <v>0.39815906958832936</v>
      </c>
      <c r="GI248">
        <v>6.3798629984963249</v>
      </c>
      <c r="GJ248"/>
      <c r="GK248"/>
      <c r="GL248"/>
      <c r="GM248"/>
    </row>
    <row r="249" spans="1:195" s="7" customFormat="1">
      <c r="A249" s="1"/>
      <c r="B249">
        <v>0.17105058399536421</v>
      </c>
      <c r="C249">
        <v>5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13.320197456492636</v>
      </c>
      <c r="AO249">
        <v>12.792218887742077</v>
      </c>
      <c r="AP249">
        <v>72.195151723998151</v>
      </c>
      <c r="AQ249">
        <v>64.916264835046988</v>
      </c>
      <c r="AR249">
        <v>11.70348396283026</v>
      </c>
      <c r="AS249">
        <v>52.816571653788039</v>
      </c>
      <c r="AT249">
        <v>7.3543652713116749</v>
      </c>
      <c r="AU249">
        <v>8.5287478450526439</v>
      </c>
      <c r="AV249"/>
      <c r="AW249"/>
      <c r="DE249" s="187">
        <v>39987</v>
      </c>
      <c r="DF249" s="182">
        <v>0</v>
      </c>
      <c r="DG249" s="182">
        <v>0</v>
      </c>
      <c r="DH249" s="182"/>
      <c r="DI249" s="182"/>
      <c r="DJ249" s="182"/>
      <c r="DK249" s="182"/>
      <c r="DL249" s="182"/>
      <c r="DM249" s="182"/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2">
        <v>244</v>
      </c>
      <c r="FZ249">
        <v>3.3150757541764415</v>
      </c>
      <c r="GA249">
        <v>4.3564304021956115</v>
      </c>
      <c r="GB249">
        <v>6.1562831939670257</v>
      </c>
      <c r="GC249">
        <v>4.1921987540493735</v>
      </c>
      <c r="GD249">
        <v>1.2013291123947423</v>
      </c>
      <c r="GE249">
        <v>1.3268643383369509</v>
      </c>
      <c r="GF249">
        <v>7.1614143199395848</v>
      </c>
      <c r="GG249">
        <v>7.7791115659430723</v>
      </c>
      <c r="GH249">
        <v>2.8678586651357891</v>
      </c>
      <c r="GI249">
        <v>5.11778777176335</v>
      </c>
      <c r="GJ249"/>
      <c r="GK249"/>
      <c r="GL249"/>
      <c r="GM249"/>
    </row>
    <row r="250" spans="1:195" s="7" customFormat="1">
      <c r="A250" s="1"/>
      <c r="B250">
        <v>0.65997655745016814</v>
      </c>
      <c r="C250">
        <v>6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18.640062701787539</v>
      </c>
      <c r="AO250">
        <v>12.403183051859646</v>
      </c>
      <c r="AP250">
        <v>74.046089452354053</v>
      </c>
      <c r="AQ250">
        <v>58.084136067306211</v>
      </c>
      <c r="AR250">
        <v>11.346992734235876</v>
      </c>
      <c r="AS250">
        <v>66.227575433003068</v>
      </c>
      <c r="AT250">
        <v>7.0650757057530376</v>
      </c>
      <c r="AU250">
        <v>8.7550098877189342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2">
        <v>245</v>
      </c>
      <c r="FZ250">
        <v>3.4372684944892873</v>
      </c>
      <c r="GA250">
        <v>9.0147227883158578</v>
      </c>
      <c r="GB250">
        <v>6.6608819816371136</v>
      </c>
      <c r="GC250">
        <v>2.5389128132526153</v>
      </c>
      <c r="GD250">
        <v>1.2619628088268495</v>
      </c>
      <c r="GE250">
        <v>3.8043297879001541</v>
      </c>
      <c r="GF250">
        <v>11.297112625794881</v>
      </c>
      <c r="GG250">
        <v>9.3199359112874891</v>
      </c>
      <c r="GH250">
        <v>1.3973921843375021</v>
      </c>
      <c r="GI250">
        <v>6.2528568373722813</v>
      </c>
      <c r="GJ250"/>
      <c r="GK250"/>
      <c r="GL250"/>
      <c r="GM250"/>
    </row>
    <row r="251" spans="1:195" s="7" customFormat="1">
      <c r="A251" s="1"/>
      <c r="B251">
        <v>0.85276010979399408</v>
      </c>
      <c r="C251">
        <v>9</v>
      </c>
      <c r="D251">
        <v>39714</v>
      </c>
      <c r="E251">
        <v>0</v>
      </c>
      <c r="F251">
        <v>0</v>
      </c>
      <c r="G251">
        <v>0</v>
      </c>
      <c r="H251">
        <v>10.416666666666666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15.037109221198515</v>
      </c>
      <c r="AO251">
        <v>8.5033269258129884</v>
      </c>
      <c r="AP251">
        <v>53.926814434347641</v>
      </c>
      <c r="AQ251">
        <v>43.401576262958223</v>
      </c>
      <c r="AR251">
        <v>7.9196923826080381</v>
      </c>
      <c r="AS251">
        <v>43.248610568798867</v>
      </c>
      <c r="AT251">
        <v>5.1373855049310473</v>
      </c>
      <c r="AU251">
        <v>8.2459116712841922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2">
        <v>246</v>
      </c>
      <c r="FZ251">
        <v>3.3049242633930147</v>
      </c>
      <c r="GA251">
        <v>6.0880252660256682</v>
      </c>
      <c r="GB251">
        <v>3.9776330947700869</v>
      </c>
      <c r="GC251">
        <v>2.6633815580923361</v>
      </c>
      <c r="GD251">
        <v>2.5086258751118846</v>
      </c>
      <c r="GE251">
        <v>5.416162543527073</v>
      </c>
      <c r="GF251">
        <v>8.3480911468223304</v>
      </c>
      <c r="GG251">
        <v>6.0189873100441567</v>
      </c>
      <c r="GH251">
        <v>2.3293381408532854</v>
      </c>
      <c r="GI251">
        <v>5.6221901478333791</v>
      </c>
      <c r="GJ251"/>
      <c r="GK251"/>
      <c r="GL251"/>
      <c r="GM251"/>
    </row>
    <row r="252" spans="1:195" s="7" customFormat="1">
      <c r="A252" s="1"/>
      <c r="B252">
        <v>0.69730566356088564</v>
      </c>
      <c r="C252">
        <v>4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20.833333333333332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15.432814591700131</v>
      </c>
      <c r="AO252">
        <v>12.561177264912928</v>
      </c>
      <c r="AP252">
        <v>69.154386200051263</v>
      </c>
      <c r="AQ252">
        <v>66.772111134073668</v>
      </c>
      <c r="AR252">
        <v>11.496077966117241</v>
      </c>
      <c r="AS252">
        <v>53.408388699927272</v>
      </c>
      <c r="AT252">
        <v>7.1527824013420345</v>
      </c>
      <c r="AU252">
        <v>-7.611491108413464</v>
      </c>
      <c r="AV252"/>
      <c r="AW252"/>
      <c r="DE252" s="184" t="s">
        <v>139</v>
      </c>
      <c r="DH252" s="204" t="s">
        <v>142</v>
      </c>
      <c r="FY252" s="212">
        <v>247</v>
      </c>
      <c r="FZ252">
        <v>0.21502795983077602</v>
      </c>
      <c r="GA252">
        <v>2.3706882377746616</v>
      </c>
      <c r="GB252">
        <v>6.3141945659687817</v>
      </c>
      <c r="GC252">
        <v>3.1356984862989807</v>
      </c>
      <c r="GD252">
        <v>0.65847053593800631</v>
      </c>
      <c r="GE252">
        <v>2.6684367399261344</v>
      </c>
      <c r="GF252">
        <v>8.6214234983219207</v>
      </c>
      <c r="GG252">
        <v>6.1171692447863979</v>
      </c>
      <c r="GH252">
        <v>1.0363979178965013</v>
      </c>
      <c r="GI252">
        <v>4.2658232691457147</v>
      </c>
      <c r="GJ252"/>
      <c r="GK252"/>
      <c r="GL252"/>
      <c r="GM252"/>
    </row>
    <row r="253" spans="1:195" s="7" customFormat="1">
      <c r="A253" s="1"/>
      <c r="B253">
        <v>0.4374416600842852</v>
      </c>
      <c r="C253">
        <v>10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10.416666666666666</v>
      </c>
      <c r="J253">
        <v>10.416666666666666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21.828571639499174</v>
      </c>
      <c r="AO253">
        <v>11.03016416555054</v>
      </c>
      <c r="AP253">
        <v>62.75777674405542</v>
      </c>
      <c r="AQ253">
        <v>52.830218988694021</v>
      </c>
      <c r="AR253">
        <v>10.142073898543405</v>
      </c>
      <c r="AS253">
        <v>54.436370740739953</v>
      </c>
      <c r="AT253">
        <v>6.4641572487665515</v>
      </c>
      <c r="AU253">
        <v>32.24665726316433</v>
      </c>
      <c r="AV253"/>
      <c r="AW253"/>
      <c r="DE253" s="187">
        <v>39646</v>
      </c>
      <c r="DF253" s="205"/>
      <c r="DG253" s="205">
        <f>((DG240*$H$372)+(DH240*$I$372)+(DI240*$J$372)+(DJ240*$K$372)+(DK240*$L$372)+(DL240*$M$372)+(DM240*$N$372)+(DN240*$O$372)+(DO240*$P$372)+(DP240*$Q$372)+(DQ240*$R$372)+(DR240*$S$372)+(DS240*$T$372)+(DT240*$U$372))/SUM(DG240:DT240)</f>
        <v>1.9415387611333396E-2</v>
      </c>
      <c r="DH253" s="205"/>
      <c r="DI253" s="205"/>
      <c r="DJ253" s="205"/>
      <c r="FY253" s="212">
        <v>248</v>
      </c>
      <c r="FZ253">
        <v>3.5384085514118215</v>
      </c>
      <c r="GA253">
        <v>6.1694668570700921</v>
      </c>
      <c r="GB253">
        <v>5.5055715234300582</v>
      </c>
      <c r="GC253">
        <v>3.1053021983733053</v>
      </c>
      <c r="GD253">
        <v>1.5476579093269431</v>
      </c>
      <c r="GE253">
        <v>4.4673218518909374</v>
      </c>
      <c r="GF253">
        <v>4.758007629274716</v>
      </c>
      <c r="GG253">
        <v>0.75899386313618056</v>
      </c>
      <c r="GH253">
        <v>0.83977461521059138</v>
      </c>
      <c r="GI253">
        <v>4.0272107370224797</v>
      </c>
      <c r="GJ253"/>
      <c r="GK253"/>
      <c r="GL253"/>
      <c r="GM253"/>
    </row>
    <row r="254" spans="1:195" s="7" customFormat="1">
      <c r="A254" s="1"/>
      <c r="B254">
        <v>0.91103223968540359</v>
      </c>
      <c r="C254">
        <v>8</v>
      </c>
      <c r="D254">
        <v>39714</v>
      </c>
      <c r="E254">
        <v>0</v>
      </c>
      <c r="F254">
        <v>0</v>
      </c>
      <c r="G254">
        <v>0</v>
      </c>
      <c r="H254">
        <v>10.416666666666666</v>
      </c>
      <c r="I254">
        <v>20.833333333333332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10.976447456492634</v>
      </c>
      <c r="AO254">
        <v>6.9374730929658295</v>
      </c>
      <c r="AP254">
        <v>39.673008504369534</v>
      </c>
      <c r="AQ254">
        <v>36.967957967545232</v>
      </c>
      <c r="AR254">
        <v>6.37202945191454</v>
      </c>
      <c r="AS254">
        <v>36.887825133820556</v>
      </c>
      <c r="AT254">
        <v>3.8514297275755109</v>
      </c>
      <c r="AU254">
        <v>9.8111662639774391</v>
      </c>
      <c r="AV254"/>
      <c r="AW254"/>
      <c r="DE254" s="187">
        <v>39673</v>
      </c>
      <c r="DF254" s="205"/>
      <c r="DG254" s="205">
        <f t="shared" ref="DG254:DG257" si="364">((DG241*$H$372)+(DH241*$I$372)+(DI241*$J$372)+(DJ241*$K$372)+(DK241*$L$372)+(DL241*$M$372)+(DM241*$N$372)+(DN241*$O$372)+(DO241*$P$372)+(DP241*$Q$372)+(DQ241*$R$372)+(DR241*$S$372)+(DS241*$T$372)+(DT241*$U$372))/SUM(DG241:DT241)</f>
        <v>3.4302208058955556E-2</v>
      </c>
      <c r="DH254" s="205">
        <f>(LN(DG254/DG253))/(DE241-DE240)</f>
        <v>2.1079399980855312E-2</v>
      </c>
      <c r="DI254" s="205"/>
      <c r="DJ254" s="205"/>
      <c r="FY254" s="212">
        <v>249</v>
      </c>
      <c r="FZ254">
        <v>0.20617464664849081</v>
      </c>
      <c r="GA254">
        <v>4.5944297378967169</v>
      </c>
      <c r="GB254">
        <v>9.8210773765120969</v>
      </c>
      <c r="GC254">
        <v>4.9055290111847452</v>
      </c>
      <c r="GD254">
        <v>1.9129970339279045</v>
      </c>
      <c r="GE254">
        <v>3.395480609859713</v>
      </c>
      <c r="GF254">
        <v>4.753788956520058</v>
      </c>
      <c r="GG254">
        <v>3.6386502521668387</v>
      </c>
      <c r="GH254">
        <v>2.2097797284028564</v>
      </c>
      <c r="GI254">
        <v>5.3185060059525684</v>
      </c>
      <c r="GJ254"/>
      <c r="GK254"/>
      <c r="GL254"/>
      <c r="GM254"/>
    </row>
    <row r="255" spans="1:195" s="7" customFormat="1">
      <c r="A255" s="1"/>
      <c r="B255">
        <v>0.85539104112736486</v>
      </c>
      <c r="C255">
        <v>6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13.100694444444443</v>
      </c>
      <c r="AO255">
        <v>9.4686075387818587</v>
      </c>
      <c r="AP255">
        <v>49.926797308213423</v>
      </c>
      <c r="AQ255">
        <v>50.322010375468224</v>
      </c>
      <c r="AR255">
        <v>8.6805960011866237</v>
      </c>
      <c r="AS255">
        <v>46.918887153090658</v>
      </c>
      <c r="AT255">
        <v>5.3072929512866436</v>
      </c>
      <c r="AU255">
        <v>8.8695712608243243E-2</v>
      </c>
      <c r="AV255"/>
      <c r="AW255"/>
      <c r="DE255" s="187">
        <v>39714</v>
      </c>
      <c r="DF255" s="205"/>
      <c r="DG255" s="205">
        <f t="shared" si="364"/>
        <v>0.33085559735538134</v>
      </c>
      <c r="DH255" s="205">
        <f t="shared" ref="DH255:DH262" si="365">(LN(DG255/DG254))/(DE242-DE241)</f>
        <v>5.5279811985961214E-2</v>
      </c>
      <c r="DI255" s="205"/>
      <c r="DJ255" s="205"/>
      <c r="FY255" s="212">
        <v>250</v>
      </c>
      <c r="FZ255">
        <v>0.2864632462264905</v>
      </c>
      <c r="GA255">
        <v>5.2615662014463851</v>
      </c>
      <c r="GB255">
        <v>9.0437612835730015</v>
      </c>
      <c r="GC255">
        <v>3.865486060782287</v>
      </c>
      <c r="GD255">
        <v>0.84983394739682161</v>
      </c>
      <c r="GE255">
        <v>1.6549593984986246</v>
      </c>
      <c r="GF255">
        <v>3.1850449698070395</v>
      </c>
      <c r="GG255">
        <v>3.3106091378081666</v>
      </c>
      <c r="GH255">
        <v>1.8102347595185297</v>
      </c>
      <c r="GI255">
        <v>3.9145256953373582</v>
      </c>
      <c r="GJ255"/>
      <c r="GK255"/>
      <c r="GL255"/>
      <c r="GM255"/>
    </row>
    <row r="256" spans="1:195" s="7" customFormat="1">
      <c r="A256" s="1"/>
      <c r="B256">
        <v>0.5225057211060169</v>
      </c>
      <c r="C256">
        <v>1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10.416666666666666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19.759127195054727</v>
      </c>
      <c r="AO256">
        <v>8.6540613396497097</v>
      </c>
      <c r="AP256">
        <v>74.326819645498674</v>
      </c>
      <c r="AQ256">
        <v>43.649592979872267</v>
      </c>
      <c r="AR256">
        <v>7.9143474052076783</v>
      </c>
      <c r="AS256">
        <v>42.267516723081876</v>
      </c>
      <c r="AT256">
        <v>4.8178861042398688</v>
      </c>
      <c r="AU256">
        <v>42.344687933853002</v>
      </c>
      <c r="AV256"/>
      <c r="AW256"/>
      <c r="DE256" s="187">
        <v>39747</v>
      </c>
      <c r="DF256" s="205"/>
      <c r="DG256" s="205">
        <f t="shared" si="364"/>
        <v>0.89240833443581424</v>
      </c>
      <c r="DH256" s="205">
        <f t="shared" si="365"/>
        <v>3.0067932831625215E-2</v>
      </c>
      <c r="DI256" s="205"/>
      <c r="DJ256" s="205"/>
      <c r="FY256" s="212">
        <v>251</v>
      </c>
      <c r="FZ256">
        <v>0.16445793136950917</v>
      </c>
      <c r="GA256">
        <v>4.2476615192183855</v>
      </c>
      <c r="GB256">
        <v>8.4602805699069101</v>
      </c>
      <c r="GC256">
        <v>4.0184282613688262</v>
      </c>
      <c r="GD256">
        <v>1.6370189857778874</v>
      </c>
      <c r="GE256">
        <v>3.4785447770646734</v>
      </c>
      <c r="GF256">
        <v>8.1491132280125917</v>
      </c>
      <c r="GG256">
        <v>7.6440436557424842</v>
      </c>
      <c r="GH256">
        <v>2.5216477790251322</v>
      </c>
      <c r="GI256">
        <v>5.8048426752770146</v>
      </c>
      <c r="GJ256"/>
      <c r="GK256"/>
      <c r="GL256"/>
      <c r="GM256"/>
    </row>
    <row r="257" spans="1:195" s="7" customFormat="1">
      <c r="A257" s="1"/>
      <c r="B257">
        <v>0.19939477967879382</v>
      </c>
      <c r="C257">
        <v>3</v>
      </c>
      <c r="D257">
        <v>39714</v>
      </c>
      <c r="E257">
        <v>0</v>
      </c>
      <c r="F257">
        <v>0</v>
      </c>
      <c r="G257">
        <v>0</v>
      </c>
      <c r="H257">
        <v>10.416666666666666</v>
      </c>
      <c r="I257">
        <v>0</v>
      </c>
      <c r="J257">
        <v>20.833333333333332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13.782756024096383</v>
      </c>
      <c r="AO257">
        <v>11.20716705114531</v>
      </c>
      <c r="AP257">
        <v>88.906801025025331</v>
      </c>
      <c r="AQ257">
        <v>57.949213299883198</v>
      </c>
      <c r="AR257">
        <v>10.343829231530089</v>
      </c>
      <c r="AS257">
        <v>54.675480994517201</v>
      </c>
      <c r="AT257">
        <v>6.7770055825128095</v>
      </c>
      <c r="AU257">
        <v>-3.2702970550220307</v>
      </c>
      <c r="AV257"/>
      <c r="AW257"/>
      <c r="DE257" s="187">
        <v>39775</v>
      </c>
      <c r="DF257" s="205"/>
      <c r="DG257" s="205">
        <f t="shared" si="364"/>
        <v>1.0730299494456714</v>
      </c>
      <c r="DH257" s="205">
        <f t="shared" si="365"/>
        <v>6.5827804376815116E-3</v>
      </c>
      <c r="DI257" s="205"/>
      <c r="DJ257" s="205"/>
      <c r="FY257" s="212">
        <v>252</v>
      </c>
      <c r="FZ257">
        <v>0.1430441976573803</v>
      </c>
      <c r="GA257">
        <v>2.7615619088311973</v>
      </c>
      <c r="GB257">
        <v>7.8070514224076728</v>
      </c>
      <c r="GC257">
        <v>4.1476660250126338</v>
      </c>
      <c r="GD257">
        <v>1.0369368124817246</v>
      </c>
      <c r="GE257">
        <v>2.9245743339608157</v>
      </c>
      <c r="GF257">
        <v>8.0790038342095105</v>
      </c>
      <c r="GG257">
        <v>5.9703022507983965</v>
      </c>
      <c r="GH257">
        <v>2.4269351033277164</v>
      </c>
      <c r="GI257">
        <v>5.0855365497259672</v>
      </c>
      <c r="GJ257"/>
      <c r="GK257"/>
      <c r="GL257"/>
      <c r="GM257"/>
    </row>
    <row r="258" spans="1:195" s="7" customFormat="1">
      <c r="A258" s="1"/>
      <c r="B258">
        <v>0.28159578465568025</v>
      </c>
      <c r="C258">
        <v>6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20.833333333333332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21.341579553508147</v>
      </c>
      <c r="AO258">
        <v>10.702198089051143</v>
      </c>
      <c r="AP258">
        <v>97.262563968424686</v>
      </c>
      <c r="AQ258">
        <v>59.044189901021426</v>
      </c>
      <c r="AR258">
        <v>9.8072547290536036</v>
      </c>
      <c r="AS258">
        <v>52.396010656826448</v>
      </c>
      <c r="AT258">
        <v>4.8564142670754453</v>
      </c>
      <c r="AU258">
        <v>26.317597241826089</v>
      </c>
      <c r="AV258"/>
      <c r="AW258"/>
      <c r="DE258" s="187">
        <v>39799</v>
      </c>
      <c r="DF258" s="205"/>
      <c r="DG258" s="205">
        <f>((DG245*$H$372)+(DH245*$I$372)+(DI245*$J$372)+(DJ245*$K$372)+(DK245*$L$372)+(DL245*$M$372)+(DM245*$N$372)+(DN245*$O$372)+(DO245*$P$372)+(DP245*$Q$372)+(DQ245*$R$372)+(DR245*$S$372)+(DS245*$T$372)+(DT245*$U$372))/SUM(DG245:DT245)</f>
        <v>1.5456246304065966</v>
      </c>
      <c r="DH258" s="205">
        <f t="shared" si="365"/>
        <v>1.5205906043068573E-2</v>
      </c>
      <c r="DI258" s="205"/>
      <c r="DJ258" s="205"/>
      <c r="FY258" s="212">
        <v>253</v>
      </c>
      <c r="FZ258">
        <v>0.42839669173859457</v>
      </c>
      <c r="GA258">
        <v>1.9957326117390517</v>
      </c>
      <c r="GB258">
        <v>5.7674302997706794</v>
      </c>
      <c r="GC258">
        <v>3.1428700090832304</v>
      </c>
      <c r="GD258">
        <v>1.1617020131848372</v>
      </c>
      <c r="GE258">
        <v>2.1690491299554</v>
      </c>
      <c r="GF258">
        <v>7.9628299984649509</v>
      </c>
      <c r="GG258">
        <v>9.0252798230388347</v>
      </c>
      <c r="GH258">
        <v>3.4377953006570152</v>
      </c>
      <c r="GI258">
        <v>4.964694706114952</v>
      </c>
      <c r="GJ258"/>
      <c r="GK258"/>
      <c r="GL258"/>
      <c r="GM258"/>
    </row>
    <row r="259" spans="1:195" s="7" customFormat="1">
      <c r="A259" s="90"/>
      <c r="B259">
        <v>0.16808692697864025</v>
      </c>
      <c r="C259">
        <v>9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10.416666666666666</v>
      </c>
      <c r="K259">
        <v>10.416666666666666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12.643867135207495</v>
      </c>
      <c r="AO259">
        <v>11.033857406763197</v>
      </c>
      <c r="AP259">
        <v>60.008370484728786</v>
      </c>
      <c r="AQ259">
        <v>55.505327468055967</v>
      </c>
      <c r="AR259">
        <v>10.07325955069088</v>
      </c>
      <c r="AS259">
        <v>48.879909541855831</v>
      </c>
      <c r="AT259">
        <v>6.9187233009596021</v>
      </c>
      <c r="AU259">
        <v>-4.5202358607614643</v>
      </c>
      <c r="AV259"/>
      <c r="AW259"/>
      <c r="DE259" s="187">
        <v>39847</v>
      </c>
      <c r="DF259" s="205"/>
      <c r="DG259" s="205">
        <f t="shared" ref="DG259:DG262" si="366">((DG246*$H$372)+(DH246*$I$372)+(DI246*$J$372)+(DJ246*$K$372)+(DK246*$L$372)+(DL246*$M$372)+(DM246*$N$372)+(DN246*$O$372)+(DO246*$P$372)+(DP246*$Q$372)+(DQ246*$R$372)+(DR246*$S$372)+(DS246*$T$372)+(DT246*$U$372))/SUM(DG246:DT246)</f>
        <v>1.8661136951908255</v>
      </c>
      <c r="DH259" s="205">
        <f t="shared" si="365"/>
        <v>3.9256231311751147E-3</v>
      </c>
      <c r="DI259" s="205"/>
      <c r="DJ259" s="205"/>
      <c r="FY259" s="212">
        <v>254</v>
      </c>
      <c r="FZ259">
        <v>6.4252750393055331</v>
      </c>
      <c r="GA259">
        <v>10.503345716623723</v>
      </c>
      <c r="GB259">
        <v>8.8278877996710694</v>
      </c>
      <c r="GC259">
        <v>4.1228742493823267</v>
      </c>
      <c r="GD259">
        <v>1.8911418415683561</v>
      </c>
      <c r="GE259">
        <v>5.3072943710298635</v>
      </c>
      <c r="GF259">
        <v>11.638828152081995</v>
      </c>
      <c r="GG259">
        <v>9.7820357169544732</v>
      </c>
      <c r="GH259">
        <v>2.0415585514157395</v>
      </c>
      <c r="GI259">
        <v>7.9082566161440822</v>
      </c>
      <c r="GJ259"/>
      <c r="GK259"/>
      <c r="GL259"/>
      <c r="GM259"/>
    </row>
    <row r="260" spans="1:195" s="7" customFormat="1">
      <c r="A260" s="77" t="s">
        <v>61</v>
      </c>
      <c r="B260">
        <v>0.57361958242877753</v>
      </c>
      <c r="C260">
        <v>4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28.409090909090907</v>
      </c>
      <c r="K260">
        <v>0</v>
      </c>
      <c r="L260">
        <v>28.409090909090907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15.91286223324671</v>
      </c>
      <c r="AO260">
        <v>8.5516615016039115</v>
      </c>
      <c r="AP260">
        <v>38.7924463007813</v>
      </c>
      <c r="AQ260">
        <v>43.474353877901947</v>
      </c>
      <c r="AR260">
        <v>7.8704382841574203</v>
      </c>
      <c r="AS260">
        <v>42.621476450223255</v>
      </c>
      <c r="AT260">
        <v>4.3672718041103531</v>
      </c>
      <c r="AU260">
        <v>12.935988934142026</v>
      </c>
      <c r="AV260"/>
      <c r="AW260"/>
      <c r="DE260" s="187">
        <v>39910</v>
      </c>
      <c r="DF260" s="205"/>
      <c r="DG260" s="205">
        <f t="shared" si="366"/>
        <v>3.5339578307250541</v>
      </c>
      <c r="DH260" s="205">
        <f t="shared" si="365"/>
        <v>1.0135879538248254E-2</v>
      </c>
      <c r="DI260" s="205"/>
      <c r="DJ260" s="205"/>
      <c r="FY260" s="212">
        <v>255</v>
      </c>
      <c r="FZ260">
        <v>3.4573840506002753</v>
      </c>
      <c r="GA260">
        <v>8.2718496016109704</v>
      </c>
      <c r="GB260">
        <v>6.5728044060822892</v>
      </c>
      <c r="GC260">
        <v>3.2786138525271644</v>
      </c>
      <c r="GD260">
        <v>1.1787834181944377</v>
      </c>
      <c r="GE260">
        <v>1.4711994642599406</v>
      </c>
      <c r="GF260">
        <v>9.1853730724290426</v>
      </c>
      <c r="GG260">
        <v>8.950954790658141</v>
      </c>
      <c r="GH260">
        <v>0.42566137283345179</v>
      </c>
      <c r="GI260">
        <v>5.444079989171513</v>
      </c>
      <c r="GJ260"/>
      <c r="GK260"/>
      <c r="GL260"/>
      <c r="GM260"/>
    </row>
    <row r="261" spans="1:195" s="7" customFormat="1">
      <c r="A261" s="77" t="s">
        <v>62</v>
      </c>
      <c r="B261">
        <v>0.7641623214744302</v>
      </c>
      <c r="C261">
        <v>6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20.833333333333332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19.392909874793293</v>
      </c>
      <c r="AO261">
        <v>10.700692433125871</v>
      </c>
      <c r="AP261">
        <v>66.500121076161463</v>
      </c>
      <c r="AQ261">
        <v>54.985376233214026</v>
      </c>
      <c r="AR261">
        <v>9.803192502705949</v>
      </c>
      <c r="AS261">
        <v>51.083820761831404</v>
      </c>
      <c r="AT261">
        <v>5.9629748613809106</v>
      </c>
      <c r="AU261">
        <v>30.74168313935764</v>
      </c>
      <c r="AV261"/>
      <c r="AW261"/>
      <c r="DE261" s="187">
        <v>39949</v>
      </c>
      <c r="DF261" s="205"/>
      <c r="DG261" s="205" t="e">
        <f t="shared" si="366"/>
        <v>#DIV/0!</v>
      </c>
      <c r="DH261" s="205" t="e">
        <f t="shared" si="365"/>
        <v>#DIV/0!</v>
      </c>
      <c r="DI261" s="205"/>
      <c r="DJ261" s="205"/>
      <c r="FY261" s="212">
        <v>256</v>
      </c>
      <c r="FZ261">
        <v>3.3457176519825857</v>
      </c>
      <c r="GA261">
        <v>6.0508939414158425</v>
      </c>
      <c r="GB261">
        <v>6.060224071896835</v>
      </c>
      <c r="GC261">
        <v>2.9032544164442782</v>
      </c>
      <c r="GD261">
        <v>0.55023366473983915</v>
      </c>
      <c r="GE261">
        <v>3.2942215225788627</v>
      </c>
      <c r="GF261">
        <v>5.8779590120648022</v>
      </c>
      <c r="GG261">
        <v>2.1686842196543101</v>
      </c>
      <c r="GH261">
        <v>2.0917361017640923</v>
      </c>
      <c r="GI261">
        <v>3.8926241054775668</v>
      </c>
      <c r="GJ261"/>
      <c r="GK261"/>
      <c r="GL261"/>
      <c r="GM261"/>
    </row>
    <row r="262" spans="1:195" s="7" customFormat="1" ht="12.75" customHeight="1">
      <c r="A262" s="77"/>
      <c r="B262">
        <v>0.78144030351598293</v>
      </c>
      <c r="C262">
        <v>9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10.416666666666666</v>
      </c>
      <c r="K262">
        <v>10.416666666666666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14.066725234270416</v>
      </c>
      <c r="AO262">
        <v>9.373810953127002</v>
      </c>
      <c r="AP262">
        <v>44.369100462839029</v>
      </c>
      <c r="AQ262">
        <v>46.277359346473212</v>
      </c>
      <c r="AR262">
        <v>8.621643348589247</v>
      </c>
      <c r="AS262">
        <v>50.140330718964115</v>
      </c>
      <c r="AT262">
        <v>4.8045144753983022</v>
      </c>
      <c r="AU262">
        <v>10.913378789236985</v>
      </c>
      <c r="AV262"/>
      <c r="AW262"/>
      <c r="DE262" s="187">
        <v>39987</v>
      </c>
      <c r="DF262" s="205"/>
      <c r="DG262" s="205" t="e">
        <f t="shared" si="366"/>
        <v>#DIV/0!</v>
      </c>
      <c r="DH262" s="205" t="e">
        <f t="shared" si="365"/>
        <v>#DIV/0!</v>
      </c>
      <c r="DI262" s="205"/>
      <c r="DJ262" s="205"/>
      <c r="FY262" s="212">
        <v>257</v>
      </c>
      <c r="FZ262">
        <v>0.18457348748049696</v>
      </c>
      <c r="GA262">
        <v>2.1048656473286562</v>
      </c>
      <c r="GB262">
        <v>7.831873862606864</v>
      </c>
      <c r="GC262">
        <v>4.0930460377403346</v>
      </c>
      <c r="GD262">
        <v>0.59705975916734699</v>
      </c>
      <c r="GE262">
        <v>3.1184125927302766</v>
      </c>
      <c r="GF262">
        <v>8.1541207236185826</v>
      </c>
      <c r="GG262">
        <v>4.5355262415904534</v>
      </c>
      <c r="GH262">
        <v>1.2535532928213613</v>
      </c>
      <c r="GI262">
        <v>4.5045736290193048</v>
      </c>
      <c r="GJ262"/>
      <c r="GK262"/>
      <c r="GL262"/>
      <c r="GM262"/>
    </row>
    <row r="263" spans="1:195" s="7" customFormat="1">
      <c r="A263" s="77"/>
      <c r="B263">
        <v>0.39948004882861188</v>
      </c>
      <c r="C263">
        <v>7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10.416666666666666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17.652573529411764</v>
      </c>
      <c r="AO263">
        <v>6.9879472516550836</v>
      </c>
      <c r="AP263">
        <v>40.145476001606852</v>
      </c>
      <c r="AQ263">
        <v>35.403330455887875</v>
      </c>
      <c r="AR263">
        <v>6.402394495850702</v>
      </c>
      <c r="AS263">
        <v>35.81868830365903</v>
      </c>
      <c r="AT263">
        <v>3.913886078347669</v>
      </c>
      <c r="AU263">
        <v>30.737181965080222</v>
      </c>
      <c r="AV263"/>
      <c r="AW263"/>
      <c r="DF263" s="205"/>
      <c r="DG263" s="205"/>
      <c r="DH263" s="205" t="e">
        <f>(LN(DG253/DG262))/((DE240-DE249)+365)</f>
        <v>#DIV/0!</v>
      </c>
      <c r="DI263" s="205"/>
      <c r="DJ263" s="205"/>
      <c r="FY263" s="212">
        <v>258</v>
      </c>
      <c r="FZ263">
        <v>0.14507827649206767</v>
      </c>
      <c r="GA263">
        <v>3.662060483593192</v>
      </c>
      <c r="GB263">
        <v>13.040394097791289</v>
      </c>
      <c r="GC263">
        <v>7.0617718482263152</v>
      </c>
      <c r="GD263">
        <v>3.1360906780269384</v>
      </c>
      <c r="GE263">
        <v>6.3242645110472218</v>
      </c>
      <c r="GF263">
        <v>6.105619620515176</v>
      </c>
      <c r="GG263">
        <v>5.7852936310513865</v>
      </c>
      <c r="GH263">
        <v>4.3088496377175138</v>
      </c>
      <c r="GI263">
        <v>7.6606586832557371</v>
      </c>
      <c r="GJ263"/>
      <c r="GK263"/>
      <c r="GL263"/>
      <c r="GM263"/>
    </row>
    <row r="264" spans="1:195" s="7" customFormat="1">
      <c r="A264" s="77"/>
      <c r="B264">
        <v>0.19337964696897103</v>
      </c>
      <c r="C264">
        <v>1</v>
      </c>
      <c r="D264">
        <v>39747</v>
      </c>
      <c r="E264">
        <v>0</v>
      </c>
      <c r="F264">
        <v>0</v>
      </c>
      <c r="G264">
        <v>0</v>
      </c>
      <c r="H264">
        <v>86.805555555555557</v>
      </c>
      <c r="I264">
        <v>0</v>
      </c>
      <c r="J264">
        <v>0</v>
      </c>
      <c r="K264">
        <v>20.833333333333332</v>
      </c>
      <c r="L264">
        <v>20.833333333333332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20.180351307189547</v>
      </c>
      <c r="AO264">
        <v>6.4789356241448912</v>
      </c>
      <c r="AP264">
        <v>43.250348668806247</v>
      </c>
      <c r="AQ264">
        <v>34.71771573614712</v>
      </c>
      <c r="AR264">
        <v>5.9406911844672488</v>
      </c>
      <c r="AS264">
        <v>36.833206397015559</v>
      </c>
      <c r="AT264">
        <v>2.8504914534935537</v>
      </c>
      <c r="AU264">
        <v>30.450986033439914</v>
      </c>
      <c r="AV264"/>
      <c r="AW264"/>
      <c r="FY264" s="212">
        <v>259</v>
      </c>
      <c r="FZ264">
        <v>9.8433513043732468</v>
      </c>
      <c r="GA264">
        <v>14.960324019455538</v>
      </c>
      <c r="GB264">
        <v>7.6564716682268132</v>
      </c>
      <c r="GC264">
        <v>3.4575952500011602</v>
      </c>
      <c r="GD264">
        <v>1.1291649547431317</v>
      </c>
      <c r="GE264">
        <v>6.1066128195406169</v>
      </c>
      <c r="GF264">
        <v>13.331555895448574</v>
      </c>
      <c r="GG264">
        <v>7.1619214470902897</v>
      </c>
      <c r="GH264">
        <v>1.6183614925183163</v>
      </c>
      <c r="GI264">
        <v>7.4447824670659211</v>
      </c>
      <c r="GJ264"/>
      <c r="GK264"/>
      <c r="GL264"/>
      <c r="GM264"/>
    </row>
    <row r="265" spans="1:195" s="7" customFormat="1">
      <c r="A265" s="77"/>
      <c r="B265">
        <v>0.64602960476478688</v>
      </c>
      <c r="C265">
        <v>1</v>
      </c>
      <c r="D265">
        <v>39747</v>
      </c>
      <c r="E265">
        <v>0</v>
      </c>
      <c r="F265">
        <v>0</v>
      </c>
      <c r="G265">
        <v>0</v>
      </c>
      <c r="H265">
        <v>86.805555555555557</v>
      </c>
      <c r="I265">
        <v>0</v>
      </c>
      <c r="J265">
        <v>0</v>
      </c>
      <c r="K265">
        <v>20.833333333333332</v>
      </c>
      <c r="L265">
        <v>20.833333333333332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13.729166666666663</v>
      </c>
      <c r="AO265">
        <v>8.4089115374877004</v>
      </c>
      <c r="AP265">
        <v>27.584659627993062</v>
      </c>
      <c r="AQ265">
        <v>40.756413359071992</v>
      </c>
      <c r="AR265">
        <v>7.8055447218924083</v>
      </c>
      <c r="AS265">
        <v>46.949452794813276</v>
      </c>
      <c r="AT265">
        <v>4.714742748033534</v>
      </c>
      <c r="AU265">
        <v>8.4425537946569129</v>
      </c>
      <c r="AV265"/>
      <c r="AW265"/>
      <c r="FY265" s="212">
        <v>260</v>
      </c>
      <c r="FZ265">
        <v>3.4706803723636654</v>
      </c>
      <c r="GA265">
        <v>6.0160235550458907</v>
      </c>
      <c r="GB265">
        <v>2.8732681665966884</v>
      </c>
      <c r="GC265">
        <v>1.6070590732704124</v>
      </c>
      <c r="GD265">
        <v>1.0250578725573007</v>
      </c>
      <c r="GE265">
        <v>1.4033200999719768</v>
      </c>
      <c r="GF265">
        <v>4.039266623562618</v>
      </c>
      <c r="GG265">
        <v>4.0561079650031742</v>
      </c>
      <c r="GH265">
        <v>1.4473911424994945</v>
      </c>
      <c r="GI265">
        <v>3.0995225185411206</v>
      </c>
      <c r="GJ265"/>
      <c r="GK265"/>
      <c r="GL265"/>
      <c r="GM265"/>
    </row>
    <row r="266" spans="1:195" s="7" customFormat="1">
      <c r="A266" s="1"/>
      <c r="B266">
        <v>0.68842266629658866</v>
      </c>
      <c r="C266">
        <v>10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16.811414776754074</v>
      </c>
      <c r="AO266">
        <v>6.1707285127422464</v>
      </c>
      <c r="AP266">
        <v>23.395427730977403</v>
      </c>
      <c r="AQ266">
        <v>33.182484700394703</v>
      </c>
      <c r="AR266">
        <v>5.6666497310516197</v>
      </c>
      <c r="AS266">
        <v>33.902136933957912</v>
      </c>
      <c r="AT266">
        <v>3.0943991060101692</v>
      </c>
      <c r="AU266">
        <v>1.4333301350166787</v>
      </c>
      <c r="AV266"/>
      <c r="AW266"/>
      <c r="FY266" s="212">
        <v>261</v>
      </c>
      <c r="FZ266">
        <v>6.5971144813902356</v>
      </c>
      <c r="GA266">
        <v>11.265877020892482</v>
      </c>
      <c r="GB266">
        <v>6.2526512814333834</v>
      </c>
      <c r="GC266">
        <v>2.544251384289522</v>
      </c>
      <c r="GD266">
        <v>2.2552572644016173</v>
      </c>
      <c r="GE266">
        <v>6.3510744504840124</v>
      </c>
      <c r="GF266">
        <v>10.785395321177747</v>
      </c>
      <c r="GG266">
        <v>8.8337707362201812</v>
      </c>
      <c r="GH266">
        <v>2.9808176913224873</v>
      </c>
      <c r="GI266">
        <v>7.3642845696245969</v>
      </c>
      <c r="GJ266"/>
      <c r="GK266"/>
      <c r="GL266"/>
      <c r="GM266"/>
    </row>
    <row r="267" spans="1:195" s="7" customFormat="1">
      <c r="A267" s="1"/>
      <c r="B267">
        <v>0.46750289644860477</v>
      </c>
      <c r="C267">
        <v>4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28.409090909090907</v>
      </c>
      <c r="K267">
        <v>0</v>
      </c>
      <c r="L267">
        <v>28.409090909090907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13.802083333333332</v>
      </c>
      <c r="AO267">
        <v>9.5180487792694759</v>
      </c>
      <c r="AP267">
        <v>36.941344302621786</v>
      </c>
      <c r="AQ267">
        <v>46.126039382763416</v>
      </c>
      <c r="AR267">
        <v>8.7791986295529671</v>
      </c>
      <c r="AS267">
        <v>46.736935992033544</v>
      </c>
      <c r="AT267">
        <v>5.6190177028690691</v>
      </c>
      <c r="AU267">
        <v>5.4286024075709456</v>
      </c>
      <c r="AV267"/>
      <c r="AW267"/>
      <c r="FY267" s="212">
        <v>262</v>
      </c>
      <c r="FZ267">
        <v>6.4335798767101373</v>
      </c>
      <c r="GA267">
        <v>8.8777988072626819</v>
      </c>
      <c r="GB267">
        <v>5.8704386077081807</v>
      </c>
      <c r="GC267">
        <v>3.3199779458840872</v>
      </c>
      <c r="GD267">
        <v>1.1967169876328976</v>
      </c>
      <c r="GE267">
        <v>4.7858677820016098</v>
      </c>
      <c r="GF267">
        <v>12.803662455069961</v>
      </c>
      <c r="GG267">
        <v>9.6129954693803441</v>
      </c>
      <c r="GH267">
        <v>3.1431386643250403</v>
      </c>
      <c r="GI267">
        <v>6.800879547576276</v>
      </c>
      <c r="GJ267"/>
      <c r="GK267"/>
      <c r="GL267"/>
      <c r="GM267"/>
    </row>
    <row r="268" spans="1:195" s="7" customFormat="1">
      <c r="A268" s="1"/>
      <c r="B268">
        <v>0.57604086788443687</v>
      </c>
      <c r="C268">
        <v>8</v>
      </c>
      <c r="D268">
        <v>39775</v>
      </c>
      <c r="E268">
        <v>0</v>
      </c>
      <c r="F268">
        <v>0</v>
      </c>
      <c r="G268">
        <v>52.083333333333336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14.409390011024488</v>
      </c>
      <c r="AO268">
        <v>8.2783978591836505</v>
      </c>
      <c r="AP268">
        <v>45.403413637161812</v>
      </c>
      <c r="AQ268">
        <v>40.382612438413013</v>
      </c>
      <c r="AR268">
        <v>7.645987885299907</v>
      </c>
      <c r="AS268">
        <v>41.617427589614444</v>
      </c>
      <c r="AT268">
        <v>4.9146000137065471</v>
      </c>
      <c r="AU268">
        <v>13.124898636902556</v>
      </c>
      <c r="AV268"/>
      <c r="AW268"/>
      <c r="FY268" s="212">
        <v>263</v>
      </c>
      <c r="FZ268">
        <v>0.24659318432633126</v>
      </c>
      <c r="GA268">
        <v>2.1930388590768901</v>
      </c>
      <c r="GB268">
        <v>8.3861413682613737</v>
      </c>
      <c r="GC268">
        <v>4.8060462807402597</v>
      </c>
      <c r="GD268">
        <v>1.2733595828181301</v>
      </c>
      <c r="GE268">
        <v>4.5346603383344242</v>
      </c>
      <c r="GF268">
        <v>8.8725491154306173</v>
      </c>
      <c r="GG268">
        <v>4.6722778005664631</v>
      </c>
      <c r="GH268">
        <v>2.5590701264826348</v>
      </c>
      <c r="GI268">
        <v>5.4560051811887478</v>
      </c>
      <c r="GJ268"/>
      <c r="GK268"/>
      <c r="GL268"/>
      <c r="GM268"/>
    </row>
    <row r="269" spans="1:195" s="7" customFormat="1">
      <c r="A269" s="1"/>
      <c r="B269">
        <v>2.1691856015622513E-2</v>
      </c>
      <c r="C269">
        <v>2</v>
      </c>
      <c r="D269">
        <v>39775</v>
      </c>
      <c r="E269">
        <v>0</v>
      </c>
      <c r="F269">
        <v>0</v>
      </c>
      <c r="G269">
        <v>0</v>
      </c>
      <c r="H269">
        <v>0</v>
      </c>
      <c r="I269">
        <v>10.416666666666666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16.037109221198516</v>
      </c>
      <c r="AO269">
        <v>8.2186942536543182</v>
      </c>
      <c r="AP269">
        <v>33.758610245919797</v>
      </c>
      <c r="AQ269">
        <v>40.055780583747548</v>
      </c>
      <c r="AR269">
        <v>7.5853842172624208</v>
      </c>
      <c r="AS269">
        <v>42.220224508490503</v>
      </c>
      <c r="AT269">
        <v>4.5155876059662328</v>
      </c>
      <c r="AU269">
        <v>3.9903640599108758</v>
      </c>
      <c r="AV269"/>
      <c r="AW269"/>
      <c r="FY269" s="212">
        <v>264</v>
      </c>
      <c r="FZ269">
        <v>3.3252272449598674</v>
      </c>
      <c r="GA269">
        <v>7.4418655058792789</v>
      </c>
      <c r="GB269">
        <v>8.1192230005412149</v>
      </c>
      <c r="GC269">
        <v>3.8756831117584887</v>
      </c>
      <c r="GD269">
        <v>2.0337608828902232</v>
      </c>
      <c r="GE269">
        <v>5.537019754719867</v>
      </c>
      <c r="GF269">
        <v>9.2249374643250022</v>
      </c>
      <c r="GG269">
        <v>6.4475696767847586</v>
      </c>
      <c r="GH269">
        <v>2.095871174091795</v>
      </c>
      <c r="GI269">
        <v>6.5234288489202914</v>
      </c>
      <c r="GJ269"/>
      <c r="GK269"/>
      <c r="GL269"/>
      <c r="GM269"/>
    </row>
    <row r="270" spans="1:195" s="7" customFormat="1">
      <c r="A270" s="1"/>
      <c r="B270">
        <v>0.40059775525324559</v>
      </c>
      <c r="C270">
        <v>4</v>
      </c>
      <c r="D270">
        <v>39775</v>
      </c>
      <c r="E270">
        <v>0</v>
      </c>
      <c r="F270">
        <v>0</v>
      </c>
      <c r="G270">
        <v>10.416666666666666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15.483391900937082</v>
      </c>
      <c r="AO270">
        <v>13.577884519878216</v>
      </c>
      <c r="AP270">
        <v>72.649402615704346</v>
      </c>
      <c r="AQ270">
        <v>68.448498054177165</v>
      </c>
      <c r="AR270">
        <v>12.418999692500487</v>
      </c>
      <c r="AS270">
        <v>61.115029970891641</v>
      </c>
      <c r="AT270">
        <v>7.5252512606468143</v>
      </c>
      <c r="AU270">
        <v>4.9828446321948396</v>
      </c>
      <c r="AV270"/>
      <c r="AW270"/>
      <c r="FY270" s="212">
        <v>265</v>
      </c>
      <c r="FZ270">
        <v>6.4234283859267105</v>
      </c>
      <c r="GA270">
        <v>7.7561719337178907</v>
      </c>
      <c r="GB270">
        <v>7.2452798052250227</v>
      </c>
      <c r="GC270">
        <v>3.9542682889771372</v>
      </c>
      <c r="GD270">
        <v>1.5665239128742374</v>
      </c>
      <c r="GE270">
        <v>4.779128370444611</v>
      </c>
      <c r="GF270">
        <v>9.5079706119323788</v>
      </c>
      <c r="GG270">
        <v>9.1906940382753959</v>
      </c>
      <c r="GH270">
        <v>5.0077649986434398</v>
      </c>
      <c r="GI270">
        <v>6.9720494205770285</v>
      </c>
      <c r="GJ270"/>
      <c r="GK270"/>
      <c r="GL270"/>
      <c r="GM270"/>
    </row>
    <row r="271" spans="1:195" s="7" customFormat="1">
      <c r="A271" s="77"/>
      <c r="B271">
        <v>0.40012121612788398</v>
      </c>
      <c r="C271">
        <v>6</v>
      </c>
      <c r="D271">
        <v>39775</v>
      </c>
      <c r="E271">
        <v>0</v>
      </c>
      <c r="F271">
        <v>0</v>
      </c>
      <c r="G271">
        <v>0</v>
      </c>
      <c r="H271">
        <v>0</v>
      </c>
      <c r="I271">
        <v>10.416666666666666</v>
      </c>
      <c r="J271">
        <v>0</v>
      </c>
      <c r="K271">
        <v>10.416666666666666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18.189886998976291</v>
      </c>
      <c r="AO271">
        <v>9.285061039383228</v>
      </c>
      <c r="AP271">
        <v>69.448079548975528</v>
      </c>
      <c r="AQ271">
        <v>48.236704018367227</v>
      </c>
      <c r="AR271">
        <v>8.4962570985497976</v>
      </c>
      <c r="AS271">
        <v>47.821027244247581</v>
      </c>
      <c r="AT271">
        <v>5.0507228420207602</v>
      </c>
      <c r="AU271">
        <v>7.8566315694909186</v>
      </c>
      <c r="AV271"/>
      <c r="AW271"/>
      <c r="FY271" s="212">
        <v>266</v>
      </c>
      <c r="FZ271">
        <v>6.5288240259744841</v>
      </c>
      <c r="GA271">
        <v>14.241100236226048</v>
      </c>
      <c r="GB271">
        <v>7.4927096890274907</v>
      </c>
      <c r="GC271">
        <v>2.6047871966214116</v>
      </c>
      <c r="GD271">
        <v>0.83970666926683746</v>
      </c>
      <c r="GE271">
        <v>2.8206202705952421</v>
      </c>
      <c r="GF271">
        <v>6.8091038592372115</v>
      </c>
      <c r="GG271">
        <v>5.1579880771866131</v>
      </c>
      <c r="GH271">
        <v>2.9252913055859908</v>
      </c>
      <c r="GI271">
        <v>5.4505125892402333</v>
      </c>
      <c r="GJ271"/>
      <c r="GK271"/>
      <c r="GL271"/>
      <c r="GM271"/>
    </row>
    <row r="272" spans="1:195" s="7" customFormat="1">
      <c r="A272" s="77"/>
      <c r="B272">
        <v>5.1713992988304813E-3</v>
      </c>
      <c r="C272">
        <v>1</v>
      </c>
      <c r="D272">
        <v>39775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13.992723344357822</v>
      </c>
      <c r="AO272">
        <v>6.2241256818302988</v>
      </c>
      <c r="AP272">
        <v>50.629951694151124</v>
      </c>
      <c r="AQ272">
        <v>36.235548708019017</v>
      </c>
      <c r="AR272">
        <v>5.7418639525402577</v>
      </c>
      <c r="AS272">
        <v>36.610261690457655</v>
      </c>
      <c r="AT272">
        <v>3.479404901281288</v>
      </c>
      <c r="AU272">
        <v>16.528733830134207</v>
      </c>
      <c r="AV272"/>
      <c r="AW272"/>
      <c r="FY272" s="212">
        <v>267</v>
      </c>
      <c r="FZ272">
        <v>6.5795814798916155</v>
      </c>
      <c r="GA272">
        <v>10.821370135058096</v>
      </c>
      <c r="GB272">
        <v>8.504565882193404</v>
      </c>
      <c r="GC272">
        <v>4.0863754016636324</v>
      </c>
      <c r="GD272">
        <v>0.85476249334624588</v>
      </c>
      <c r="GE272">
        <v>1.9307468895177347</v>
      </c>
      <c r="GF272">
        <v>9.1975400306799688</v>
      </c>
      <c r="GG272">
        <v>8.6055841409819571</v>
      </c>
      <c r="GH272">
        <v>1.1252322029223973</v>
      </c>
      <c r="GI272">
        <v>6.2165723612661514</v>
      </c>
      <c r="GJ272"/>
      <c r="GK272"/>
      <c r="GL272"/>
      <c r="GM272"/>
    </row>
    <row r="273" spans="1:195" s="7" customFormat="1">
      <c r="A273" s="1"/>
      <c r="B273">
        <v>0.47250273166885659</v>
      </c>
      <c r="C273">
        <v>4</v>
      </c>
      <c r="D273">
        <v>39775</v>
      </c>
      <c r="E273">
        <v>0</v>
      </c>
      <c r="F273">
        <v>0</v>
      </c>
      <c r="G273">
        <v>10.416666666666666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14.635084455468933</v>
      </c>
      <c r="AO273">
        <v>7.3075053229528635</v>
      </c>
      <c r="AP273">
        <v>52.048178346428998</v>
      </c>
      <c r="AQ273">
        <v>36.377605274103672</v>
      </c>
      <c r="AR273">
        <v>6.7030796051533601</v>
      </c>
      <c r="AS273">
        <v>44.140370984179455</v>
      </c>
      <c r="AT273">
        <v>4.4850346136126866</v>
      </c>
      <c r="AU273">
        <v>12.217764295584278</v>
      </c>
      <c r="AV273"/>
      <c r="AW273"/>
      <c r="FY273" s="212">
        <v>268</v>
      </c>
      <c r="FZ273">
        <v>6.5269773725956615</v>
      </c>
      <c r="GA273">
        <v>9.3302318441505143</v>
      </c>
      <c r="GB273">
        <v>12.27609355991228</v>
      </c>
      <c r="GC273">
        <v>6.184842127332792</v>
      </c>
      <c r="GD273">
        <v>1.0786585744918074</v>
      </c>
      <c r="GE273">
        <v>5.2363380217756523</v>
      </c>
      <c r="GF273">
        <v>11.784444937386219</v>
      </c>
      <c r="GG273">
        <v>6.3843803627055493</v>
      </c>
      <c r="GH273">
        <v>0.8273132366059871</v>
      </c>
      <c r="GI273">
        <v>7.8127449801695388</v>
      </c>
      <c r="GJ273"/>
      <c r="GK273"/>
      <c r="GL273"/>
      <c r="GM273"/>
    </row>
    <row r="274" spans="1:195" s="7" customFormat="1">
      <c r="A274" s="1"/>
      <c r="B274">
        <v>0.35165497373975985</v>
      </c>
      <c r="C274">
        <v>6</v>
      </c>
      <c r="D274">
        <v>39775</v>
      </c>
      <c r="E274">
        <v>0</v>
      </c>
      <c r="F274">
        <v>0</v>
      </c>
      <c r="G274">
        <v>0</v>
      </c>
      <c r="H274">
        <v>0</v>
      </c>
      <c r="I274">
        <v>10.416666666666666</v>
      </c>
      <c r="J274">
        <v>0</v>
      </c>
      <c r="K274">
        <v>10.416666666666666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20.589192554531852</v>
      </c>
      <c r="AO274">
        <v>12.305316633519425</v>
      </c>
      <c r="AP274">
        <v>44.123612912605935</v>
      </c>
      <c r="AQ274">
        <v>57.230081467716843</v>
      </c>
      <c r="AR274">
        <v>11.284520480126169</v>
      </c>
      <c r="AS274">
        <v>68.520453958014301</v>
      </c>
      <c r="AT274">
        <v>6.1751675969980688</v>
      </c>
      <c r="AU274">
        <v>31.175437595304842</v>
      </c>
      <c r="AV274"/>
      <c r="AW274"/>
      <c r="FY274" s="212">
        <v>269</v>
      </c>
      <c r="FZ274">
        <v>0.19398907703037704</v>
      </c>
      <c r="GA274">
        <v>3.2619863412365282</v>
      </c>
      <c r="GB274">
        <v>7.8606009642302315</v>
      </c>
      <c r="GC274">
        <v>4.0789888651226178</v>
      </c>
      <c r="GD274">
        <v>1.7324083758668634</v>
      </c>
      <c r="GE274">
        <v>4.1683745050928067</v>
      </c>
      <c r="GF274">
        <v>6.0193593214145604</v>
      </c>
      <c r="GG274">
        <v>4.234808749142136</v>
      </c>
      <c r="GH274">
        <v>2.7151915697419207</v>
      </c>
      <c r="GI274">
        <v>5.0750836650881981</v>
      </c>
      <c r="GJ274"/>
      <c r="GK274"/>
      <c r="GL274"/>
      <c r="GM274"/>
    </row>
    <row r="275" spans="1:195" s="7" customFormat="1">
      <c r="A275" s="1"/>
      <c r="B275">
        <v>0.9539821757757565</v>
      </c>
      <c r="C275">
        <v>7</v>
      </c>
      <c r="D275">
        <v>39775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17.052836345381525</v>
      </c>
      <c r="AO275">
        <v>12.67212895046983</v>
      </c>
      <c r="AP275">
        <v>69.188816967697292</v>
      </c>
      <c r="AQ275">
        <v>72.710141318463613</v>
      </c>
      <c r="AR275">
        <v>11.546784583498892</v>
      </c>
      <c r="AS275">
        <v>57.931676736286612</v>
      </c>
      <c r="AT275">
        <v>6.436000617823332</v>
      </c>
      <c r="AU275">
        <v>10.720211931525268</v>
      </c>
      <c r="AV275"/>
      <c r="AW275"/>
      <c r="FY275" s="212">
        <v>270</v>
      </c>
      <c r="FZ275">
        <v>0.16445793136950917</v>
      </c>
      <c r="GA275">
        <v>2.3010618444314761</v>
      </c>
      <c r="GB275">
        <v>11.131435056888968</v>
      </c>
      <c r="GC275">
        <v>5.7799017919792703</v>
      </c>
      <c r="GD275">
        <v>0.96767359560421951</v>
      </c>
      <c r="GE275">
        <v>3.6745151510723288</v>
      </c>
      <c r="GF275">
        <v>8.6844787449362038</v>
      </c>
      <c r="GG275">
        <v>4.9144143301930203</v>
      </c>
      <c r="GH275">
        <v>0.47580264320573312</v>
      </c>
      <c r="GI275">
        <v>5.7039430451773736</v>
      </c>
      <c r="GJ275"/>
      <c r="GK275"/>
      <c r="GL275"/>
      <c r="GM275"/>
    </row>
    <row r="276" spans="1:195" s="7" customFormat="1">
      <c r="A276" s="1"/>
      <c r="B276">
        <v>0.19979917603297292</v>
      </c>
      <c r="C276">
        <v>9</v>
      </c>
      <c r="D276">
        <v>39775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10.416666666666666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15.774101307189543</v>
      </c>
      <c r="AO276">
        <v>5.1287514809379768</v>
      </c>
      <c r="AP276">
        <v>71.928469895910823</v>
      </c>
      <c r="AQ276">
        <v>29.037697389412344</v>
      </c>
      <c r="AR276">
        <v>4.7457702471166483</v>
      </c>
      <c r="AS276">
        <v>27.633962057374859</v>
      </c>
      <c r="AT276" t="e">
        <v>#DIV/0!</v>
      </c>
      <c r="AU276" t="e">
        <v>#DIV/0!</v>
      </c>
      <c r="AV276"/>
      <c r="AW276"/>
      <c r="FY276" s="212">
        <v>271</v>
      </c>
      <c r="FZ276">
        <v>0.26597283920377279</v>
      </c>
      <c r="GA276">
        <v>3.390540228726838</v>
      </c>
      <c r="GB276">
        <v>6.8647307569984308</v>
      </c>
      <c r="GC276">
        <v>3.2194526556094574</v>
      </c>
      <c r="GD276">
        <v>1.5624446994660297</v>
      </c>
      <c r="GE276">
        <v>5.0909969617081217</v>
      </c>
      <c r="GF276">
        <v>6.3157914099443406</v>
      </c>
      <c r="GG276">
        <v>4.2360264350731853</v>
      </c>
      <c r="GH276">
        <v>4.358077894616601</v>
      </c>
      <c r="GI276">
        <v>4.8316671350893055</v>
      </c>
      <c r="GJ276"/>
      <c r="GK276"/>
      <c r="GL276"/>
      <c r="GM276"/>
    </row>
    <row r="277" spans="1:195" s="7" customFormat="1">
      <c r="A277" s="1"/>
      <c r="B277">
        <v>0.90809968135268981</v>
      </c>
      <c r="C277">
        <v>10</v>
      </c>
      <c r="D277">
        <v>39775</v>
      </c>
      <c r="E277">
        <v>0</v>
      </c>
      <c r="F277">
        <v>0</v>
      </c>
      <c r="G277">
        <v>10.416666666666666</v>
      </c>
      <c r="H277">
        <v>0</v>
      </c>
      <c r="I277">
        <v>0</v>
      </c>
      <c r="J277">
        <v>0</v>
      </c>
      <c r="K277">
        <v>0</v>
      </c>
      <c r="L277">
        <v>10.416666666666666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15.311286813922356</v>
      </c>
      <c r="AO277">
        <v>12.524631576447206</v>
      </c>
      <c r="AP277">
        <v>74.352242214860226</v>
      </c>
      <c r="AQ277">
        <v>65.230494201236255</v>
      </c>
      <c r="AR277">
        <v>11.50343850328062</v>
      </c>
      <c r="AS277">
        <v>57.224495295580383</v>
      </c>
      <c r="AT277">
        <v>7.196408306153085</v>
      </c>
      <c r="AU277">
        <v>-0.56156130105228286</v>
      </c>
      <c r="AV277"/>
      <c r="AW277"/>
      <c r="FY277" s="212">
        <v>272</v>
      </c>
      <c r="FZ277">
        <v>6.5576192704018057</v>
      </c>
      <c r="GA277">
        <v>11.549343042941157</v>
      </c>
      <c r="GB277">
        <v>3.8138557201062411</v>
      </c>
      <c r="GC277">
        <v>1.2055886656332242</v>
      </c>
      <c r="GD277">
        <v>0.58965299061406906</v>
      </c>
      <c r="GE277">
        <v>1.1482349309564124</v>
      </c>
      <c r="GF277">
        <v>12.413132719266432</v>
      </c>
      <c r="GG277">
        <v>13.264366905607249</v>
      </c>
      <c r="GH277">
        <v>1.2678004272424261</v>
      </c>
      <c r="GI277">
        <v>5.8393928439195868</v>
      </c>
      <c r="GJ277"/>
      <c r="GK277"/>
      <c r="GL277"/>
      <c r="GM277"/>
    </row>
    <row r="278" spans="1:195" s="7" customFormat="1">
      <c r="A278" s="1"/>
      <c r="B278">
        <v>0.36033076670114572</v>
      </c>
      <c r="C278">
        <v>10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20.833333333333332</v>
      </c>
      <c r="J278">
        <v>0</v>
      </c>
      <c r="K278">
        <v>10.416666666666666</v>
      </c>
      <c r="L278">
        <v>10.416666666666666</v>
      </c>
      <c r="M278">
        <v>10.416666666666666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14.71603078982597</v>
      </c>
      <c r="AO278">
        <v>11.570195954688842</v>
      </c>
      <c r="AP278">
        <v>66.300313239546199</v>
      </c>
      <c r="AQ278">
        <v>62.845056143551218</v>
      </c>
      <c r="AR278">
        <v>10.575495039173093</v>
      </c>
      <c r="AS278">
        <v>60.836504911557512</v>
      </c>
      <c r="AT278">
        <v>6.2369033218065413</v>
      </c>
      <c r="AU278">
        <v>1.6898125038535019</v>
      </c>
      <c r="AV278"/>
      <c r="AW278"/>
      <c r="FY278" s="212">
        <v>273</v>
      </c>
      <c r="FZ278">
        <v>6.3532912771321373</v>
      </c>
      <c r="GA278">
        <v>10.871945654746177</v>
      </c>
      <c r="GB278">
        <v>7.0806257466317257</v>
      </c>
      <c r="GC278">
        <v>3.1193326181673666</v>
      </c>
      <c r="GD278">
        <v>0.65822661747559985</v>
      </c>
      <c r="GE278">
        <v>3.0952815805206981</v>
      </c>
      <c r="GF278">
        <v>7.5097856726562355</v>
      </c>
      <c r="GG278">
        <v>4.0198976584090946</v>
      </c>
      <c r="GH278">
        <v>1.6277028533487743</v>
      </c>
      <c r="GI278">
        <v>5.2090774713811179</v>
      </c>
      <c r="GJ278"/>
      <c r="GK278"/>
      <c r="GL278"/>
      <c r="GM278"/>
    </row>
    <row r="279" spans="1:195" s="7" customFormat="1">
      <c r="A279" s="1"/>
      <c r="B279">
        <v>0.50399431410866846</v>
      </c>
      <c r="C279">
        <v>5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10.416666666666666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19.698465430348847</v>
      </c>
      <c r="AO279">
        <v>8.7280165538746424</v>
      </c>
      <c r="AP279">
        <v>59.475964803737277</v>
      </c>
      <c r="AQ279">
        <v>42.999741837225876</v>
      </c>
      <c r="AR279">
        <v>8.0655839614883789</v>
      </c>
      <c r="AS279">
        <v>53.011168498099792</v>
      </c>
      <c r="AT279">
        <v>4.9994680544316275</v>
      </c>
      <c r="AU279">
        <v>34.384102780896427</v>
      </c>
      <c r="AV279"/>
      <c r="AW279"/>
      <c r="FY279" s="212">
        <v>274</v>
      </c>
      <c r="FZ279">
        <v>0.36767517249390136</v>
      </c>
      <c r="GA279">
        <v>3.4252556916553401</v>
      </c>
      <c r="GB279">
        <v>4.819434714781635</v>
      </c>
      <c r="GC279">
        <v>1.9390341434031919</v>
      </c>
      <c r="GD279">
        <v>1.8570756517693885</v>
      </c>
      <c r="GE279">
        <v>4.7426779252769409</v>
      </c>
      <c r="GF279">
        <v>3.4425390299091552</v>
      </c>
      <c r="GG279">
        <v>1.5799593544205224</v>
      </c>
      <c r="GH279">
        <v>1.4458629309932083</v>
      </c>
      <c r="GI279">
        <v>3.4476553392039708</v>
      </c>
      <c r="GJ279"/>
      <c r="GK279"/>
      <c r="GL279"/>
      <c r="GM279"/>
    </row>
    <row r="280" spans="1:195" s="7" customFormat="1">
      <c r="A280" s="1"/>
      <c r="B280">
        <v>0.61482668378469874</v>
      </c>
      <c r="C280">
        <v>4</v>
      </c>
      <c r="D280">
        <v>39799</v>
      </c>
      <c r="E280">
        <v>0</v>
      </c>
      <c r="F280">
        <v>0</v>
      </c>
      <c r="G280">
        <v>292.44652406417111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12.670891900937082</v>
      </c>
      <c r="AO280">
        <v>10.848796100962517</v>
      </c>
      <c r="AP280">
        <v>44.588732370397288</v>
      </c>
      <c r="AQ280">
        <v>54.62458666487079</v>
      </c>
      <c r="AR280">
        <v>9.9405872549842318</v>
      </c>
      <c r="AS280">
        <v>56.993131044874232</v>
      </c>
      <c r="AT280">
        <v>6.560433059129573</v>
      </c>
      <c r="AU280">
        <v>10.299624764474482</v>
      </c>
      <c r="AV280"/>
      <c r="AW280"/>
      <c r="FY280" s="212">
        <v>275</v>
      </c>
      <c r="FZ280">
        <v>0.33833145228889849</v>
      </c>
      <c r="GA280">
        <v>5.2783642345080217</v>
      </c>
      <c r="GB280">
        <v>5.9919836891473484</v>
      </c>
      <c r="GC280">
        <v>2.719966044617073</v>
      </c>
      <c r="GD280">
        <v>1.6076855965094343</v>
      </c>
      <c r="GE280">
        <v>3.5857624189600057</v>
      </c>
      <c r="GF280">
        <v>7.4563533339577273</v>
      </c>
      <c r="GG280">
        <v>5.8771835657607596</v>
      </c>
      <c r="GH280">
        <v>1.6926275040513996</v>
      </c>
      <c r="GI280">
        <v>4.8033373745288035</v>
      </c>
      <c r="GJ280"/>
      <c r="GK280"/>
      <c r="GL280"/>
      <c r="GM280"/>
    </row>
    <row r="281" spans="1:195" s="7" customFormat="1">
      <c r="A281" s="1"/>
      <c r="B281">
        <v>0.48754338580225132</v>
      </c>
      <c r="C281">
        <v>4</v>
      </c>
      <c r="D281">
        <v>39799</v>
      </c>
      <c r="E281">
        <v>0</v>
      </c>
      <c r="F281">
        <v>0</v>
      </c>
      <c r="G281">
        <v>292.44652406417111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13.597222222222223</v>
      </c>
      <c r="AO281">
        <v>11.720403068109466</v>
      </c>
      <c r="AP281">
        <v>70.843507403159379</v>
      </c>
      <c r="AQ281">
        <v>62.403279766593847</v>
      </c>
      <c r="AR281">
        <v>10.76828393742359</v>
      </c>
      <c r="AS281">
        <v>53.825887121310437</v>
      </c>
      <c r="AT281">
        <v>6.2811125464122384</v>
      </c>
      <c r="AU281">
        <v>5.9103013775613968</v>
      </c>
      <c r="AV281"/>
      <c r="AW281"/>
      <c r="FY281" s="212">
        <v>276</v>
      </c>
      <c r="FZ281">
        <v>3.4887618496399657</v>
      </c>
      <c r="GA281">
        <v>6.4645108111568392</v>
      </c>
      <c r="GB281">
        <v>6.7978471301097878</v>
      </c>
      <c r="GC281">
        <v>3.5068066346001361</v>
      </c>
      <c r="GD281">
        <v>1.0097384776620764</v>
      </c>
      <c r="GE281">
        <v>2.4830214301140194</v>
      </c>
      <c r="GF281">
        <v>5.4427217410443545</v>
      </c>
      <c r="GG281">
        <v>4.1515859676805009</v>
      </c>
      <c r="GH281">
        <v>1.8863501216296474</v>
      </c>
      <c r="GI281">
        <v>4.5071119662969714</v>
      </c>
      <c r="GJ281"/>
      <c r="GK281"/>
      <c r="GL281"/>
      <c r="GM281"/>
    </row>
    <row r="282" spans="1:195" s="7" customFormat="1">
      <c r="A282" s="1"/>
      <c r="B282">
        <v>0.57969596768613574</v>
      </c>
      <c r="C282">
        <v>6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14.264641900937082</v>
      </c>
      <c r="AO282">
        <v>9.0739120828995468</v>
      </c>
      <c r="AP282">
        <v>38.593939561864971</v>
      </c>
      <c r="AQ282">
        <v>54.870643918961569</v>
      </c>
      <c r="AR282">
        <v>8.3377956203803887</v>
      </c>
      <c r="AS282">
        <v>47.284664783958142</v>
      </c>
      <c r="AT282">
        <v>4.4447188788341112</v>
      </c>
      <c r="AU282">
        <v>4.4328054117772426</v>
      </c>
      <c r="AV282"/>
      <c r="AW282"/>
      <c r="FY282" s="212">
        <v>277</v>
      </c>
      <c r="FZ282">
        <v>0.43984636012316214</v>
      </c>
      <c r="GA282">
        <v>5.2882146368629996</v>
      </c>
      <c r="GB282">
        <v>5.3885298178206726</v>
      </c>
      <c r="GC282">
        <v>1.9247454119672169</v>
      </c>
      <c r="GD282">
        <v>0.69640807965143336</v>
      </c>
      <c r="GE282">
        <v>2.1716820333302849</v>
      </c>
      <c r="GF282">
        <v>7.5353247601614957</v>
      </c>
      <c r="GG282">
        <v>6.1243722806947014</v>
      </c>
      <c r="GH282">
        <v>1.833667516865142</v>
      </c>
      <c r="GI282">
        <v>4.1782353096036173</v>
      </c>
      <c r="GJ282"/>
      <c r="GK282"/>
      <c r="GL282"/>
      <c r="GM282"/>
    </row>
    <row r="283" spans="1:195" s="7" customFormat="1">
      <c r="A283" s="1"/>
      <c r="B283">
        <v>0.3481387655338688</v>
      </c>
      <c r="C283">
        <v>2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21.049159874793286</v>
      </c>
      <c r="AO283">
        <v>10.647009894940878</v>
      </c>
      <c r="AP283">
        <v>82.774399093489393</v>
      </c>
      <c r="AQ283">
        <v>57.922331017521202</v>
      </c>
      <c r="AR283">
        <v>9.7286997499628889</v>
      </c>
      <c r="AS283">
        <v>55.224912083390088</v>
      </c>
      <c r="AT283">
        <v>5.9038027000851505</v>
      </c>
      <c r="AU283">
        <v>15.814767767012755</v>
      </c>
      <c r="AV283"/>
      <c r="AW283"/>
      <c r="FY283" s="212">
        <v>278</v>
      </c>
      <c r="FZ283">
        <v>0.1836501607910857</v>
      </c>
      <c r="GA283">
        <v>1.9837198034502792</v>
      </c>
      <c r="GB283">
        <v>7.2570559509088994</v>
      </c>
      <c r="GC283">
        <v>3.9503950143976163</v>
      </c>
      <c r="GD283">
        <v>0.92876175900821201</v>
      </c>
      <c r="GE283">
        <v>2.6694607586021655</v>
      </c>
      <c r="GF283">
        <v>5.7852693480395523</v>
      </c>
      <c r="GG283">
        <v>4.4636587098662908</v>
      </c>
      <c r="GH283">
        <v>3.828577592092806</v>
      </c>
      <c r="GI283">
        <v>4.4856110785353867</v>
      </c>
      <c r="GJ283"/>
      <c r="GK283"/>
      <c r="GL283"/>
      <c r="GM283"/>
    </row>
    <row r="284" spans="1:195" s="7" customFormat="1">
      <c r="A284" s="1"/>
      <c r="B284">
        <v>0.23872314134180161</v>
      </c>
      <c r="C284">
        <v>8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10.416666666666666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16.357638888888889</v>
      </c>
      <c r="AO284">
        <v>13.134746537521588</v>
      </c>
      <c r="AP284">
        <v>80.901910422217412</v>
      </c>
      <c r="AQ284">
        <v>67.442025017125999</v>
      </c>
      <c r="AR284">
        <v>12.032221173958849</v>
      </c>
      <c r="AS284">
        <v>68.488934668013556</v>
      </c>
      <c r="AT284" t="e">
        <v>#DIV/0!</v>
      </c>
      <c r="AU284" t="e">
        <v>#DIV/0!</v>
      </c>
      <c r="AV284"/>
      <c r="AW284"/>
      <c r="FY284" s="212">
        <v>279</v>
      </c>
      <c r="FZ284">
        <v>3.4472325598168494</v>
      </c>
      <c r="GA284">
        <v>7.7631046859462245</v>
      </c>
      <c r="GB284">
        <v>5.9476547723303979</v>
      </c>
      <c r="GC284">
        <v>2.4508347939372532</v>
      </c>
      <c r="GD284">
        <v>1.3071518053740707</v>
      </c>
      <c r="GE284">
        <v>3.2273774231052741</v>
      </c>
      <c r="GF284">
        <v>6.4234510731195904</v>
      </c>
      <c r="GG284">
        <v>4.6923002035516737</v>
      </c>
      <c r="GH284">
        <v>0.60735898297872881</v>
      </c>
      <c r="GI284">
        <v>4.6220839725901648</v>
      </c>
      <c r="GJ284"/>
      <c r="GK284"/>
      <c r="GL284"/>
      <c r="GM284"/>
    </row>
    <row r="285" spans="1:195" s="7" customFormat="1">
      <c r="A285" s="1"/>
      <c r="B285">
        <v>0.9910255061976283</v>
      </c>
      <c r="C285">
        <v>2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18.208882097015515</v>
      </c>
      <c r="AO285">
        <v>8.1709701976276659</v>
      </c>
      <c r="AP285">
        <v>46.836187374118111</v>
      </c>
      <c r="AQ285">
        <v>39.340791433966245</v>
      </c>
      <c r="AR285">
        <v>7.511484060549658</v>
      </c>
      <c r="AS285">
        <v>42.271743450974647</v>
      </c>
      <c r="AT285">
        <v>4.2190082886503832</v>
      </c>
      <c r="AU285">
        <v>42.334393795008211</v>
      </c>
      <c r="AV285"/>
      <c r="AW285"/>
      <c r="FY285" s="212">
        <v>280</v>
      </c>
      <c r="FZ285">
        <v>6.5888096439856305</v>
      </c>
      <c r="GA285">
        <v>10.564870492955343</v>
      </c>
      <c r="GB285">
        <v>7.0944697656561679</v>
      </c>
      <c r="GC285">
        <v>3.5239385198810718</v>
      </c>
      <c r="GD285">
        <v>1.6075292064204039</v>
      </c>
      <c r="GE285">
        <v>4.935843862988504</v>
      </c>
      <c r="GF285">
        <v>7.9856893879200967</v>
      </c>
      <c r="GG285">
        <v>5.6350470361342024</v>
      </c>
      <c r="GH285">
        <v>3.2207822379424442</v>
      </c>
      <c r="GI285">
        <v>6.2727070266418545</v>
      </c>
      <c r="GJ285"/>
      <c r="GK285"/>
      <c r="GL285"/>
      <c r="GM285"/>
    </row>
    <row r="286" spans="1:195" s="7" customFormat="1">
      <c r="A286" s="1"/>
      <c r="B286">
        <v>0.44695528169964982</v>
      </c>
      <c r="C286">
        <v>1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14.397339357429718</v>
      </c>
      <c r="AO286">
        <v>9.3428232469378525</v>
      </c>
      <c r="AP286">
        <v>45.690589599831412</v>
      </c>
      <c r="AQ286">
        <v>43.797684134858095</v>
      </c>
      <c r="AR286">
        <v>8.5366405002025942</v>
      </c>
      <c r="AS286">
        <v>45.640878769195126</v>
      </c>
      <c r="AT286">
        <v>5.4691880010768017</v>
      </c>
      <c r="AU286">
        <v>0.99216511990669676</v>
      </c>
      <c r="AV286"/>
      <c r="AW286"/>
      <c r="FY286" s="212">
        <v>281</v>
      </c>
      <c r="FZ286">
        <v>3.4677229668395668</v>
      </c>
      <c r="GA286">
        <v>7.5862947512444316</v>
      </c>
      <c r="GB286">
        <v>9.0161594441082542</v>
      </c>
      <c r="GC286">
        <v>4.2465331937349644</v>
      </c>
      <c r="GD286">
        <v>1.2391899014091707</v>
      </c>
      <c r="GE286">
        <v>3.8836124282339233</v>
      </c>
      <c r="GF286">
        <v>9.2647350007248832</v>
      </c>
      <c r="GG286">
        <v>6.0573484672391533</v>
      </c>
      <c r="GH286">
        <v>1.1984063741208275</v>
      </c>
      <c r="GI286">
        <v>6.0935593538738733</v>
      </c>
      <c r="GJ286"/>
      <c r="GK286"/>
      <c r="GL286"/>
      <c r="GM286"/>
    </row>
    <row r="287" spans="1:195" s="7" customFormat="1">
      <c r="A287" s="1"/>
      <c r="B287">
        <v>0.70507758415434751</v>
      </c>
      <c r="C287">
        <v>8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10.416666666666666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16.665581443420741</v>
      </c>
      <c r="AO287">
        <v>7.5367266210732122</v>
      </c>
      <c r="AP287">
        <v>34.657193109089775</v>
      </c>
      <c r="AQ287">
        <v>40.13570101643608</v>
      </c>
      <c r="AR287">
        <v>6.96989592881331</v>
      </c>
      <c r="AS287">
        <v>41.585206125132139</v>
      </c>
      <c r="AT287">
        <v>3.8767242504571384</v>
      </c>
      <c r="AU287">
        <v>15.168327271626326</v>
      </c>
      <c r="AV287"/>
      <c r="AW287"/>
      <c r="FY287" s="212">
        <v>282</v>
      </c>
      <c r="FZ287">
        <v>6.3422164596592996</v>
      </c>
      <c r="GA287">
        <v>13.667285050203818</v>
      </c>
      <c r="GB287">
        <v>8.0864637562178601</v>
      </c>
      <c r="GC287">
        <v>3.0089323436340774</v>
      </c>
      <c r="GD287">
        <v>1.7980022985185693</v>
      </c>
      <c r="GE287">
        <v>5.2370199829026181</v>
      </c>
      <c r="GF287">
        <v>8.6482219957627855</v>
      </c>
      <c r="GG287">
        <v>5.8152119376125979</v>
      </c>
      <c r="GH287">
        <v>1.8102347595185297</v>
      </c>
      <c r="GI287">
        <v>6.6323352725895264</v>
      </c>
      <c r="GJ287"/>
      <c r="GK287"/>
      <c r="GL287"/>
      <c r="GM287"/>
    </row>
    <row r="288" spans="1:195" s="7" customFormat="1">
      <c r="A288" s="1"/>
      <c r="B288">
        <v>0.39745428302644936</v>
      </c>
      <c r="C288">
        <v>10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10.416666666666666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10.927836345381525</v>
      </c>
      <c r="AO288">
        <v>10.361498687604739</v>
      </c>
      <c r="AP288">
        <v>98.054824710616145</v>
      </c>
      <c r="AQ288">
        <v>57.648987516688607</v>
      </c>
      <c r="AR288">
        <v>9.4798833978379751</v>
      </c>
      <c r="AS288">
        <v>44.19505025063733</v>
      </c>
      <c r="AT288">
        <v>6.1790048108269966</v>
      </c>
      <c r="AU288">
        <v>8.1737718822529377</v>
      </c>
      <c r="AV288"/>
      <c r="AW288"/>
      <c r="FY288" s="212">
        <v>283</v>
      </c>
      <c r="FZ288">
        <v>0.27520100329778796</v>
      </c>
      <c r="GA288">
        <v>1.8896073806242739</v>
      </c>
      <c r="GB288">
        <v>8.0459268413338769</v>
      </c>
      <c r="GC288">
        <v>4.5101073422233853</v>
      </c>
      <c r="GD288">
        <v>1.961513585620196</v>
      </c>
      <c r="GE288">
        <v>4.7729742621367901</v>
      </c>
      <c r="GF288">
        <v>12.158831586559401</v>
      </c>
      <c r="GG288">
        <v>11.072846066880885</v>
      </c>
      <c r="GH288">
        <v>2.2892726525982945</v>
      </c>
      <c r="GI288">
        <v>6.908190128123695</v>
      </c>
      <c r="GJ288"/>
      <c r="GK288"/>
      <c r="GL288"/>
      <c r="GM288"/>
    </row>
    <row r="289" spans="1:195" s="7" customFormat="1">
      <c r="A289" s="1"/>
      <c r="B289">
        <v>0.22507822856199433</v>
      </c>
      <c r="C289">
        <v>1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12.973728246318606</v>
      </c>
      <c r="AO289">
        <v>8.7784525070926893</v>
      </c>
      <c r="AP289">
        <v>48.217802100624105</v>
      </c>
      <c r="AQ289">
        <v>49.545167150468913</v>
      </c>
      <c r="AR289">
        <v>8.0683383228355723</v>
      </c>
      <c r="AS289">
        <v>41.735207982918894</v>
      </c>
      <c r="AT289">
        <v>4.4195344393571423</v>
      </c>
      <c r="AU289">
        <v>-2.6377560047053774</v>
      </c>
      <c r="AV289"/>
      <c r="AW289"/>
      <c r="FY289" s="212">
        <v>284</v>
      </c>
      <c r="FZ289">
        <v>3.343683573147898</v>
      </c>
      <c r="GA289">
        <v>6.2445284062409918</v>
      </c>
      <c r="GB289">
        <v>9.4616043946378063</v>
      </c>
      <c r="GC289">
        <v>5.1150520492962395</v>
      </c>
      <c r="GD289">
        <v>1.2397908886822222</v>
      </c>
      <c r="GE289">
        <v>2.4307891954154752</v>
      </c>
      <c r="GF289">
        <v>7.055802369479161</v>
      </c>
      <c r="GG289">
        <v>6.8549119546091033</v>
      </c>
      <c r="GH289">
        <v>3.1129527144774052</v>
      </c>
      <c r="GI289">
        <v>6.056458734326112</v>
      </c>
      <c r="GJ289"/>
      <c r="GK289"/>
      <c r="GL289"/>
      <c r="GM289"/>
    </row>
    <row r="290" spans="1:195" s="7" customFormat="1">
      <c r="A290" s="1"/>
      <c r="B290">
        <v>0.48914791326024432</v>
      </c>
      <c r="C290">
        <v>10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10.416666666666666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12.842664776754074</v>
      </c>
      <c r="AO290">
        <v>5.3343456825196878</v>
      </c>
      <c r="AP290">
        <v>19.267927582670211</v>
      </c>
      <c r="AQ290">
        <v>27.067169953907253</v>
      </c>
      <c r="AR290">
        <v>4.9458402793686052</v>
      </c>
      <c r="AS290">
        <v>32.772931564864933</v>
      </c>
      <c r="AT290">
        <v>2.7559351783460992</v>
      </c>
      <c r="AU290">
        <v>9.9571034183963754</v>
      </c>
      <c r="AV290"/>
      <c r="AW290"/>
      <c r="FY290" s="212">
        <v>285</v>
      </c>
      <c r="FZ290">
        <v>3.3143398529428953</v>
      </c>
      <c r="GA290">
        <v>4.7344031792762582</v>
      </c>
      <c r="GB290">
        <v>4.7237388994607468</v>
      </c>
      <c r="GC290">
        <v>2.5794411562419608</v>
      </c>
      <c r="GD290">
        <v>1.87084084793671</v>
      </c>
      <c r="GE290">
        <v>4.3224415124265558</v>
      </c>
      <c r="GF290">
        <v>5.6516363173381023</v>
      </c>
      <c r="GG290">
        <v>4.3804469928018719</v>
      </c>
      <c r="GH290">
        <v>1.3726887597947779</v>
      </c>
      <c r="GI290">
        <v>4.695233896999806</v>
      </c>
      <c r="GJ290"/>
      <c r="GK290"/>
      <c r="GL290"/>
      <c r="GM290"/>
    </row>
    <row r="291" spans="1:195" s="7" customFormat="1">
      <c r="A291" s="1"/>
      <c r="B291">
        <v>6.9626775633664817E-2</v>
      </c>
      <c r="C291">
        <v>8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27.395092625403571</v>
      </c>
      <c r="AO291">
        <v>7.9399887460532952</v>
      </c>
      <c r="AP291">
        <v>53.633775877259232</v>
      </c>
      <c r="AQ291">
        <v>39.351595214329471</v>
      </c>
      <c r="AR291">
        <v>7.2567936872405312</v>
      </c>
      <c r="AS291">
        <v>42.393343245655771</v>
      </c>
      <c r="AT291">
        <v>4.2294946648451459</v>
      </c>
      <c r="AU291">
        <v>24.090637694926222</v>
      </c>
      <c r="AV291"/>
      <c r="AW291"/>
      <c r="FY291" s="212">
        <v>286</v>
      </c>
      <c r="FZ291">
        <v>0.22444354938065614</v>
      </c>
      <c r="GA291">
        <v>2.8997259009428671</v>
      </c>
      <c r="GB291">
        <v>6.6720837402133784</v>
      </c>
      <c r="GC291">
        <v>3.193280604223697</v>
      </c>
      <c r="GD291">
        <v>0.83071999133693519</v>
      </c>
      <c r="GE291">
        <v>2.7195267744694078</v>
      </c>
      <c r="GF291">
        <v>8.6997685610573914</v>
      </c>
      <c r="GG291">
        <v>6.1605825872887809</v>
      </c>
      <c r="GH291">
        <v>0.74839899579247149</v>
      </c>
      <c r="GI291">
        <v>4.6635627536458779</v>
      </c>
      <c r="GJ291"/>
      <c r="GK291"/>
      <c r="GL291"/>
      <c r="GM291"/>
    </row>
    <row r="292" spans="1:195" s="7" customFormat="1">
      <c r="A292" s="1"/>
      <c r="B292">
        <v>0.46986790345068208</v>
      </c>
      <c r="C292">
        <v>4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22.450852429325142</v>
      </c>
      <c r="AO292">
        <v>7.4303957694271814</v>
      </c>
      <c r="AP292">
        <v>49.206795393020762</v>
      </c>
      <c r="AQ292">
        <v>39.738456129934292</v>
      </c>
      <c r="AR292">
        <v>6.8219755696421469</v>
      </c>
      <c r="AS292">
        <v>40.090905790248286</v>
      </c>
      <c r="AT292">
        <v>3.6856692889818112</v>
      </c>
      <c r="AU292">
        <v>27.888102962720591</v>
      </c>
      <c r="AV292"/>
      <c r="AW292"/>
      <c r="FY292" s="212">
        <v>287</v>
      </c>
      <c r="FZ292">
        <v>16.040302062084614</v>
      </c>
      <c r="GA292">
        <v>19.391855203260743</v>
      </c>
      <c r="GB292">
        <v>6.1606144466841553</v>
      </c>
      <c r="GC292">
        <v>3.5391100269957789</v>
      </c>
      <c r="GD292">
        <v>1.1504234979615273</v>
      </c>
      <c r="GE292">
        <v>4.2794661685080904</v>
      </c>
      <c r="GF292">
        <v>10.736573292994143</v>
      </c>
      <c r="GG292">
        <v>6.5346269576227325</v>
      </c>
      <c r="GH292">
        <v>1.8504559856784306</v>
      </c>
      <c r="GI292">
        <v>7.6123966217224535</v>
      </c>
      <c r="GJ292"/>
      <c r="GK292"/>
      <c r="GL292"/>
      <c r="GM292"/>
    </row>
    <row r="293" spans="1:195" s="7" customFormat="1">
      <c r="A293" s="1"/>
      <c r="B293">
        <v>0.41738002952857389</v>
      </c>
      <c r="C293">
        <v>6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10.416666666666666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11.606425702811247</v>
      </c>
      <c r="AO293">
        <v>6.9221102629721445</v>
      </c>
      <c r="AP293">
        <v>37.953786894670699</v>
      </c>
      <c r="AQ293">
        <v>35.581026207080725</v>
      </c>
      <c r="AR293">
        <v>6.4128759494488712</v>
      </c>
      <c r="AS293">
        <v>37.974062213642128</v>
      </c>
      <c r="AT293">
        <v>4.3916454329812966</v>
      </c>
      <c r="AU293">
        <v>-3.6643643553577805</v>
      </c>
      <c r="AV293"/>
      <c r="AW293"/>
      <c r="FY293" s="212">
        <v>288</v>
      </c>
      <c r="FZ293">
        <v>3.4409618012469325</v>
      </c>
      <c r="GA293">
        <v>5.2268438153605175</v>
      </c>
      <c r="GB293">
        <v>6.2725988673803501</v>
      </c>
      <c r="GC293">
        <v>3.3212225912372642</v>
      </c>
      <c r="GD293">
        <v>0.79869481092841155</v>
      </c>
      <c r="GE293">
        <v>2.3199926614483237</v>
      </c>
      <c r="GF293">
        <v>2.2787282754805696</v>
      </c>
      <c r="GG293">
        <v>0.46209980566698483</v>
      </c>
      <c r="GH293">
        <v>1.4598525211040987</v>
      </c>
      <c r="GI293">
        <v>3.3367685607483564</v>
      </c>
      <c r="GJ293"/>
      <c r="GK293"/>
      <c r="GL293"/>
      <c r="GM293"/>
    </row>
    <row r="294" spans="1:195" s="7" customFormat="1">
      <c r="A294" s="1"/>
      <c r="B294">
        <v>0.27283180010243413</v>
      </c>
      <c r="C294">
        <v>4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13.010416666666668</v>
      </c>
      <c r="AO294">
        <v>7.0803285901388078</v>
      </c>
      <c r="AP294">
        <v>32.450969799422403</v>
      </c>
      <c r="AQ294">
        <v>35.536160175692295</v>
      </c>
      <c r="AR294">
        <v>6.6371574062539684</v>
      </c>
      <c r="AS294">
        <v>38.225236024201948</v>
      </c>
      <c r="AT294">
        <v>3.9217343737304078</v>
      </c>
      <c r="AU294">
        <v>5.9147542628039416</v>
      </c>
      <c r="AV294"/>
      <c r="AW294"/>
      <c r="FY294" s="212">
        <v>289</v>
      </c>
      <c r="FZ294">
        <v>3.3041883621594685</v>
      </c>
      <c r="GA294">
        <v>8.0865062719469645</v>
      </c>
      <c r="GB294">
        <v>5.0761320202813955</v>
      </c>
      <c r="GC294">
        <v>2.0745455850401591</v>
      </c>
      <c r="GD294">
        <v>1.4066822265959089</v>
      </c>
      <c r="GE294">
        <v>7.3222139615410766</v>
      </c>
      <c r="GF294">
        <v>19.53400551901569</v>
      </c>
      <c r="GG294">
        <v>13.117719443055236</v>
      </c>
      <c r="GH294">
        <v>2.4843677437779181</v>
      </c>
      <c r="GI294">
        <v>7.9655626627263327</v>
      </c>
      <c r="GJ294"/>
      <c r="GK294"/>
      <c r="GL294"/>
      <c r="GM294"/>
    </row>
    <row r="295" spans="1:195" s="7" customFormat="1">
      <c r="A295" s="1"/>
      <c r="B295">
        <v>0.49583843091212731</v>
      </c>
      <c r="C295">
        <v>10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10.416666666666666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17.246323529411764</v>
      </c>
      <c r="AO295">
        <v>7.7474436464444612</v>
      </c>
      <c r="AP295">
        <v>62.519961449593502</v>
      </c>
      <c r="AQ295">
        <v>40.488550272750231</v>
      </c>
      <c r="AR295">
        <v>7.1201334314865523</v>
      </c>
      <c r="AS295">
        <v>38.634206940031035</v>
      </c>
      <c r="AT295" t="e">
        <v>#DIV/0!</v>
      </c>
      <c r="AU295" t="e">
        <v>#DIV/0!</v>
      </c>
      <c r="AV295"/>
      <c r="AW295"/>
      <c r="FY295" s="212">
        <v>290</v>
      </c>
      <c r="FZ295">
        <v>0.28757399837176673</v>
      </c>
      <c r="GA295">
        <v>3.3713322885289303</v>
      </c>
      <c r="GB295">
        <v>9.6044866133897866</v>
      </c>
      <c r="GC295">
        <v>4.6722118879608576</v>
      </c>
      <c r="GD295">
        <v>2.2868257816585555</v>
      </c>
      <c r="GE295">
        <v>4.3753744745260832</v>
      </c>
      <c r="GF295">
        <v>10.515603756904621</v>
      </c>
      <c r="GG295">
        <v>11.979629024277717</v>
      </c>
      <c r="GH295">
        <v>2.2583927872688516</v>
      </c>
      <c r="GI295">
        <v>7.3739280802576523</v>
      </c>
      <c r="GJ295"/>
      <c r="GK295"/>
      <c r="GL295"/>
      <c r="GM295"/>
    </row>
    <row r="296" spans="1:195" s="7" customFormat="1">
      <c r="A296" s="1"/>
      <c r="B296">
        <v>0.24510391562301437</v>
      </c>
      <c r="C296">
        <v>1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21.528326541459954</v>
      </c>
      <c r="AO296">
        <v>10.52202687540218</v>
      </c>
      <c r="AP296">
        <v>74.67499900810914</v>
      </c>
      <c r="AQ296">
        <v>57.429687180525718</v>
      </c>
      <c r="AR296">
        <v>9.6334109702220889</v>
      </c>
      <c r="AS296">
        <v>48.681411351066409</v>
      </c>
      <c r="AT296">
        <v>5.0256630826534172</v>
      </c>
      <c r="AU296">
        <v>46.191460617235037</v>
      </c>
      <c r="AV296"/>
      <c r="AW296"/>
      <c r="FY296" s="212">
        <v>291</v>
      </c>
      <c r="FZ296">
        <v>3.3560565682218768</v>
      </c>
      <c r="GA296">
        <v>7.7100207268157934</v>
      </c>
      <c r="GB296">
        <v>11.395297310251248</v>
      </c>
      <c r="GC296">
        <v>5.3718603811135441</v>
      </c>
      <c r="GD296">
        <v>0.80820572143236702</v>
      </c>
      <c r="GE296">
        <v>1.9537977444859846</v>
      </c>
      <c r="GF296">
        <v>3.6987326190191006</v>
      </c>
      <c r="GG296">
        <v>2.5180978357456034</v>
      </c>
      <c r="GH296">
        <v>1.5902805058912715</v>
      </c>
      <c r="GI296">
        <v>5.1012365581573729</v>
      </c>
      <c r="GJ296"/>
      <c r="GK296"/>
      <c r="GL296"/>
      <c r="GM296"/>
    </row>
    <row r="297" spans="1:195" s="7" customFormat="1">
      <c r="A297" s="1"/>
      <c r="B297">
        <v>2.4826001584845159E-2</v>
      </c>
      <c r="C297">
        <v>1</v>
      </c>
      <c r="D297">
        <v>39847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20.970051775730369</v>
      </c>
      <c r="AO297">
        <v>10.083158021201601</v>
      </c>
      <c r="AP297">
        <v>63.680500535906468</v>
      </c>
      <c r="AQ297">
        <v>52.053561881529042</v>
      </c>
      <c r="AR297">
        <v>9.2912725742971194</v>
      </c>
      <c r="AS297">
        <v>49.018560761012623</v>
      </c>
      <c r="AT297">
        <v>5.3531354460466707</v>
      </c>
      <c r="AU297">
        <v>28.077649398630893</v>
      </c>
      <c r="AV297"/>
      <c r="AW297"/>
      <c r="FY297" s="212">
        <v>292</v>
      </c>
      <c r="FZ297">
        <v>12.777642989748259</v>
      </c>
      <c r="GA297">
        <v>18.2294009975449</v>
      </c>
      <c r="GB297">
        <v>5.6278338840896014</v>
      </c>
      <c r="GC297">
        <v>2.0396683666888435</v>
      </c>
      <c r="GD297">
        <v>0.65713311594946844</v>
      </c>
      <c r="GE297">
        <v>2.7593669591823478</v>
      </c>
      <c r="GF297">
        <v>9.3626664405282121</v>
      </c>
      <c r="GG297">
        <v>6.8464801683725343</v>
      </c>
      <c r="GH297">
        <v>0.86600625125960173</v>
      </c>
      <c r="GI297">
        <v>6.1886378756412315</v>
      </c>
      <c r="GJ297"/>
      <c r="GK297"/>
      <c r="GL297"/>
      <c r="GM297"/>
    </row>
    <row r="298" spans="1:195" s="7" customFormat="1">
      <c r="A298" s="1"/>
      <c r="B298">
        <v>0.18072627900798732</v>
      </c>
      <c r="C298">
        <v>10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31.25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22.852877195054727</v>
      </c>
      <c r="AO298">
        <v>11.225361353192502</v>
      </c>
      <c r="AP298">
        <v>159.45786386041678</v>
      </c>
      <c r="AQ298">
        <v>61.04592385661968</v>
      </c>
      <c r="AR298">
        <v>10.250739024863597</v>
      </c>
      <c r="AS298">
        <v>54.985546014522981</v>
      </c>
      <c r="AT298" t="e">
        <v>#DIV/0!</v>
      </c>
      <c r="AU298" t="e">
        <v>#DIV/0!</v>
      </c>
      <c r="AV298"/>
      <c r="AW298"/>
      <c r="FY298" s="212">
        <v>293</v>
      </c>
      <c r="FZ298">
        <v>0.16519383260305542</v>
      </c>
      <c r="GA298">
        <v>4.5538707399515204</v>
      </c>
      <c r="GB298">
        <v>7.2048802341016982</v>
      </c>
      <c r="GC298">
        <v>3.2690365644061652</v>
      </c>
      <c r="GD298">
        <v>1.856396151583126</v>
      </c>
      <c r="GE298">
        <v>5.522943485591389</v>
      </c>
      <c r="GF298">
        <v>8.1651588178539853</v>
      </c>
      <c r="GG298">
        <v>4.6136857733474859</v>
      </c>
      <c r="GH298">
        <v>1.5627782026461492</v>
      </c>
      <c r="GI298">
        <v>5.2669180596797265</v>
      </c>
      <c r="GJ298"/>
      <c r="GK298"/>
      <c r="GL298"/>
      <c r="GM298"/>
    </row>
    <row r="299" spans="1:195" s="7" customFormat="1">
      <c r="A299" s="1"/>
      <c r="B299">
        <v>2.7166073898701182E-2</v>
      </c>
      <c r="C299">
        <v>8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10.416666666666666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18.83660130718954</v>
      </c>
      <c r="AO299">
        <v>11.571212242813758</v>
      </c>
      <c r="AP299">
        <v>65.05760604314888</v>
      </c>
      <c r="AQ299">
        <v>53.884470849398582</v>
      </c>
      <c r="AR299">
        <v>10.571579964121828</v>
      </c>
      <c r="AS299">
        <v>58.776125136787122</v>
      </c>
      <c r="AT299">
        <v>6.89150680044549</v>
      </c>
      <c r="AU299">
        <v>26.717135412923639</v>
      </c>
      <c r="AV299"/>
      <c r="AW299"/>
      <c r="FY299" s="212">
        <v>294</v>
      </c>
      <c r="FZ299">
        <v>6.6212981951705974</v>
      </c>
      <c r="GA299">
        <v>9.5458894371987739</v>
      </c>
      <c r="GB299">
        <v>6.2413029110204938</v>
      </c>
      <c r="GC299">
        <v>2.9384595880992559</v>
      </c>
      <c r="GD299">
        <v>1.4826459648729604</v>
      </c>
      <c r="GE299">
        <v>4.2960293020818758</v>
      </c>
      <c r="GF299">
        <v>12.094909628901773</v>
      </c>
      <c r="GG299">
        <v>10.317686703121039</v>
      </c>
      <c r="GH299">
        <v>0.68583685262061089</v>
      </c>
      <c r="GI299">
        <v>6.8272376060862063</v>
      </c>
      <c r="GJ299"/>
      <c r="GK299"/>
      <c r="GL299"/>
      <c r="GM299"/>
    </row>
    <row r="300" spans="1:195" s="7" customFormat="1">
      <c r="A300" s="1"/>
      <c r="B300">
        <v>7.9434004787916956E-2</v>
      </c>
      <c r="C300">
        <v>8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10.416666666666666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15.057061579651943</v>
      </c>
      <c r="AO300">
        <v>10.025015530767119</v>
      </c>
      <c r="AP300">
        <v>55.414347781852996</v>
      </c>
      <c r="AQ300">
        <v>50.915574280312413</v>
      </c>
      <c r="AR300">
        <v>9.2409927990365137</v>
      </c>
      <c r="AS300">
        <v>47.541392212259645</v>
      </c>
      <c r="AT300">
        <v>5.4541281538001485</v>
      </c>
      <c r="AU300">
        <v>-1.4700363812488981</v>
      </c>
      <c r="AV300"/>
      <c r="AW300"/>
      <c r="FY300" s="212">
        <v>295</v>
      </c>
      <c r="FZ300">
        <v>3.367131385694714</v>
      </c>
      <c r="GA300">
        <v>7.0317168535183834</v>
      </c>
      <c r="GB300">
        <v>3.1260079380658503</v>
      </c>
      <c r="GC300">
        <v>1.1199865555098889</v>
      </c>
      <c r="GD300">
        <v>0.73706720731111286</v>
      </c>
      <c r="GE300">
        <v>1.8335888058791627</v>
      </c>
      <c r="GF300">
        <v>4.4763101985908245</v>
      </c>
      <c r="GG300">
        <v>4.6187490230520893</v>
      </c>
      <c r="GH300">
        <v>2.4175937424972584</v>
      </c>
      <c r="GI300">
        <v>3.2313200127052699</v>
      </c>
      <c r="GJ300"/>
      <c r="GK300"/>
      <c r="GL300"/>
      <c r="GM300"/>
    </row>
    <row r="301" spans="1:195" s="7" customFormat="1">
      <c r="A301" s="1"/>
      <c r="B301">
        <v>0.10058974022074629</v>
      </c>
      <c r="C301">
        <v>9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10.642361111111111</v>
      </c>
      <c r="AO301">
        <v>7.9239938103652658</v>
      </c>
      <c r="AP301">
        <v>46.861588745678517</v>
      </c>
      <c r="AQ301">
        <v>37.645211415219677</v>
      </c>
      <c r="AR301">
        <v>7.2778248015786122</v>
      </c>
      <c r="AS301">
        <v>35.602917358055144</v>
      </c>
      <c r="AT301">
        <v>3.9656658708819443</v>
      </c>
      <c r="AU301">
        <v>8.5527508097012319</v>
      </c>
      <c r="AV301"/>
      <c r="AW301"/>
      <c r="FY301" s="212">
        <v>296</v>
      </c>
      <c r="FZ301">
        <v>3.3761721243328644</v>
      </c>
      <c r="GA301">
        <v>9.1367639213502105</v>
      </c>
      <c r="GB301">
        <v>6.6753695432842797</v>
      </c>
      <c r="GC301">
        <v>2.5821766179128023</v>
      </c>
      <c r="GD301">
        <v>0.8069405155956948</v>
      </c>
      <c r="GE301">
        <v>2.9333890702440817</v>
      </c>
      <c r="GF301">
        <v>6.779190322593271</v>
      </c>
      <c r="GG301">
        <v>4.4050666826473126</v>
      </c>
      <c r="GH301">
        <v>2.5620113173953216</v>
      </c>
      <c r="GI301">
        <v>4.8232716330079946</v>
      </c>
      <c r="GJ301"/>
      <c r="GK301"/>
      <c r="GL301"/>
      <c r="GM301"/>
    </row>
    <row r="302" spans="1:195" s="7" customFormat="1">
      <c r="A302" s="1"/>
      <c r="B302">
        <v>0.33713804353325383</v>
      </c>
      <c r="C302">
        <v>1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10.416666666666666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11.785475234270415</v>
      </c>
      <c r="AO302">
        <v>7.7727599379957697</v>
      </c>
      <c r="AP302">
        <v>33.776936966355009</v>
      </c>
      <c r="AQ302">
        <v>36.812093458351455</v>
      </c>
      <c r="AR302">
        <v>7.149587250991198</v>
      </c>
      <c r="AS302">
        <v>38.255113772185837</v>
      </c>
      <c r="AT302">
        <v>4.4637499139425856</v>
      </c>
      <c r="AU302">
        <v>2.2513197149647897</v>
      </c>
      <c r="AV302"/>
      <c r="AW302"/>
      <c r="FY302" s="212">
        <v>297</v>
      </c>
      <c r="FZ302">
        <v>0.17368609546352431</v>
      </c>
      <c r="GA302">
        <v>6.1114599084220238</v>
      </c>
      <c r="GB302">
        <v>6.4843646806185777</v>
      </c>
      <c r="GC302">
        <v>2.203922968881205</v>
      </c>
      <c r="GD302">
        <v>1.1362447032663852</v>
      </c>
      <c r="GE302">
        <v>3.7132969689999609</v>
      </c>
      <c r="GF302">
        <v>6.0119399025976303</v>
      </c>
      <c r="GG302">
        <v>3.4422974470795733</v>
      </c>
      <c r="GH302">
        <v>2.8682950363074227</v>
      </c>
      <c r="GI302">
        <v>4.3840215990523195</v>
      </c>
      <c r="GJ302"/>
      <c r="GK302"/>
      <c r="GL302"/>
      <c r="GM302"/>
    </row>
    <row r="303" spans="1:195" s="7" customFormat="1">
      <c r="A303" s="1"/>
      <c r="B303">
        <v>0.40579926691471058</v>
      </c>
      <c r="C303">
        <v>4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15.388888888888889</v>
      </c>
      <c r="AO303">
        <v>13.401874124094132</v>
      </c>
      <c r="AP303">
        <v>105.77485733690253</v>
      </c>
      <c r="AQ303">
        <v>77.295824263512671</v>
      </c>
      <c r="AR303">
        <v>12.249376802490646</v>
      </c>
      <c r="AS303">
        <v>59.241994706633875</v>
      </c>
      <c r="AT303">
        <v>6.43633330826865</v>
      </c>
      <c r="AU303">
        <v>9.9837037311651766</v>
      </c>
      <c r="AV303"/>
      <c r="AW303"/>
      <c r="FY303" s="212">
        <v>298</v>
      </c>
      <c r="FZ303">
        <v>3.253243482786472</v>
      </c>
      <c r="GA303">
        <v>5.9363278930998762</v>
      </c>
      <c r="GB303">
        <v>5.4997937807584059</v>
      </c>
      <c r="GC303">
        <v>2.8034537704755595</v>
      </c>
      <c r="GD303">
        <v>0.61094986756875813</v>
      </c>
      <c r="GE303">
        <v>1.5677706385800594</v>
      </c>
      <c r="GF303">
        <v>4.769549359725521</v>
      </c>
      <c r="GG303">
        <v>2.6112165207832412</v>
      </c>
      <c r="GH303">
        <v>0.56822959715348065</v>
      </c>
      <c r="GI303">
        <v>3.5935548174691605</v>
      </c>
      <c r="GJ303"/>
      <c r="GK303"/>
      <c r="GL303"/>
      <c r="GM303"/>
    </row>
    <row r="304" spans="1:195" s="7" customFormat="1">
      <c r="A304" s="1"/>
      <c r="B304">
        <v>0.59762902550323393</v>
      </c>
      <c r="C304">
        <v>7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12.263888888888889</v>
      </c>
      <c r="AO304">
        <v>5.3698646957211045</v>
      </c>
      <c r="AP304">
        <v>34.129729734917582</v>
      </c>
      <c r="AQ304">
        <v>28.917763710601811</v>
      </c>
      <c r="AR304">
        <v>4.968822068815383</v>
      </c>
      <c r="AS304">
        <v>29.03287430208302</v>
      </c>
      <c r="AT304" t="e">
        <v>#DIV/0!</v>
      </c>
      <c r="AU304" t="e">
        <v>#DIV/0!</v>
      </c>
      <c r="AV304"/>
      <c r="AW304"/>
      <c r="FY304" s="212">
        <v>299</v>
      </c>
      <c r="FZ304">
        <v>0.32688178390433098</v>
      </c>
      <c r="GA304">
        <v>2.3058470692043405</v>
      </c>
      <c r="GB304">
        <v>10.153814214967843</v>
      </c>
      <c r="GC304">
        <v>5.4563142403691067</v>
      </c>
      <c r="GD304">
        <v>1.7745908831859916</v>
      </c>
      <c r="GE304">
        <v>4.2162522747782081</v>
      </c>
      <c r="GF304">
        <v>5.6637758483249012</v>
      </c>
      <c r="GG304">
        <v>3.3702103839194208</v>
      </c>
      <c r="GH304">
        <v>1.872218219308468</v>
      </c>
      <c r="GI304">
        <v>5.4207156596533359</v>
      </c>
      <c r="GJ304"/>
      <c r="GK304"/>
      <c r="GL304"/>
      <c r="GM304"/>
    </row>
    <row r="305" spans="1:195" s="7" customFormat="1">
      <c r="A305" s="1"/>
      <c r="B305">
        <v>2.5393446373049855E-2</v>
      </c>
      <c r="C305">
        <v>6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23.352877195054727</v>
      </c>
      <c r="AO305">
        <v>13.673010179122084</v>
      </c>
      <c r="AP305">
        <v>99.111662055624748</v>
      </c>
      <c r="AQ305">
        <v>70.371923796140152</v>
      </c>
      <c r="AR305">
        <v>12.479728414612067</v>
      </c>
      <c r="AS305">
        <v>62.316603421380044</v>
      </c>
      <c r="AT305">
        <v>7.9066362781744681</v>
      </c>
      <c r="AU305">
        <v>61.395208910263143</v>
      </c>
      <c r="AV305"/>
      <c r="AW305"/>
      <c r="FY305" s="212">
        <v>300</v>
      </c>
      <c r="FZ305">
        <v>9.8832213662734052</v>
      </c>
      <c r="GA305">
        <v>13.470081017703929</v>
      </c>
      <c r="GB305">
        <v>7.0040054144108916</v>
      </c>
      <c r="GC305">
        <v>3.2301300961014321</v>
      </c>
      <c r="GD305">
        <v>0.54189446207772674</v>
      </c>
      <c r="GE305">
        <v>3.9526062902508405</v>
      </c>
      <c r="GF305">
        <v>13.162498196281792</v>
      </c>
      <c r="GG305">
        <v>10.069022806450452</v>
      </c>
      <c r="GH305">
        <v>2.8614584952180189</v>
      </c>
      <c r="GI305">
        <v>7.2135260738305371</v>
      </c>
      <c r="GJ305"/>
      <c r="GK305"/>
      <c r="GL305"/>
      <c r="GM305"/>
    </row>
    <row r="306" spans="1:195" s="7" customFormat="1">
      <c r="A306" s="1"/>
      <c r="B306">
        <v>0.4229213865211916</v>
      </c>
      <c r="C306">
        <v>1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10.416666666666666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17.523973344357824</v>
      </c>
      <c r="AO306">
        <v>12.415655029895456</v>
      </c>
      <c r="AP306">
        <v>64.357347622103774</v>
      </c>
      <c r="AQ306">
        <v>56.725358693144813</v>
      </c>
      <c r="AR306">
        <v>11.383282885535763</v>
      </c>
      <c r="AS306">
        <v>58.054607057420334</v>
      </c>
      <c r="AT306">
        <v>7.1561602752756537</v>
      </c>
      <c r="AU306">
        <v>-10.83453220571664</v>
      </c>
      <c r="AV306"/>
      <c r="AW306"/>
      <c r="FY306" s="212">
        <v>301</v>
      </c>
      <c r="FZ306">
        <v>6.4760324932226645</v>
      </c>
      <c r="GA306">
        <v>12.592005273684245</v>
      </c>
      <c r="GB306">
        <v>9.1835229348178444</v>
      </c>
      <c r="GC306">
        <v>3.6963598772729771</v>
      </c>
      <c r="GD306">
        <v>1.5110269184263256</v>
      </c>
      <c r="GE306">
        <v>4.4938366618795946</v>
      </c>
      <c r="GF306">
        <v>6.6932426373927161</v>
      </c>
      <c r="GG306">
        <v>4.0561079650031742</v>
      </c>
      <c r="GH306">
        <v>1.2282711848967147</v>
      </c>
      <c r="GI306">
        <v>6.0063737507549444</v>
      </c>
      <c r="GJ306"/>
      <c r="GK306"/>
      <c r="GL306"/>
      <c r="GM306"/>
    </row>
    <row r="307" spans="1:195" s="7" customFormat="1">
      <c r="A307" s="1"/>
      <c r="B307">
        <v>0.99524754314824704</v>
      </c>
      <c r="C307">
        <v>9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16.353081443420741</v>
      </c>
      <c r="AO307">
        <v>8.3133884582608921</v>
      </c>
      <c r="AP307">
        <v>42.530781249169991</v>
      </c>
      <c r="AQ307">
        <v>43.503585971134164</v>
      </c>
      <c r="AR307">
        <v>7.6473914022698564</v>
      </c>
      <c r="AS307">
        <v>43.148492456492285</v>
      </c>
      <c r="AT307">
        <v>4.0182937404781143</v>
      </c>
      <c r="AU307">
        <v>14.157884459832221</v>
      </c>
      <c r="AV307"/>
      <c r="AW307"/>
      <c r="FY307" s="212">
        <v>302</v>
      </c>
      <c r="FZ307">
        <v>6.5696174145640551</v>
      </c>
      <c r="GA307">
        <v>11.464736580879102</v>
      </c>
      <c r="GB307">
        <v>11.061309415674195</v>
      </c>
      <c r="GC307">
        <v>5.4809605183193506</v>
      </c>
      <c r="GD307">
        <v>1.4099826901252119</v>
      </c>
      <c r="GE307">
        <v>3.6386280261517872</v>
      </c>
      <c r="GF307">
        <v>7.0413013762093035</v>
      </c>
      <c r="GG307">
        <v>4.7890069565572659</v>
      </c>
      <c r="GH307">
        <v>1.9284206983675827</v>
      </c>
      <c r="GI307">
        <v>6.6471518810550538</v>
      </c>
      <c r="GJ307"/>
      <c r="GK307"/>
      <c r="GL307"/>
      <c r="GM307"/>
    </row>
    <row r="308" spans="1:195" s="7" customFormat="1">
      <c r="A308" s="1"/>
      <c r="B308">
        <v>0.82385332027725466</v>
      </c>
      <c r="C308">
        <v>3</v>
      </c>
      <c r="D308">
        <v>39949</v>
      </c>
      <c r="E308">
        <v>0</v>
      </c>
      <c r="F308">
        <v>0</v>
      </c>
      <c r="G308">
        <v>0</v>
      </c>
      <c r="H308">
        <v>10.416666666666666</v>
      </c>
      <c r="I308">
        <v>0</v>
      </c>
      <c r="J308">
        <v>0</v>
      </c>
      <c r="K308">
        <v>0</v>
      </c>
      <c r="L308">
        <v>10.416666666666666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13.340277777777777</v>
      </c>
      <c r="AO308">
        <v>10.857668705128134</v>
      </c>
      <c r="AP308">
        <v>97.210151127057188</v>
      </c>
      <c r="AQ308">
        <v>65.354837049004999</v>
      </c>
      <c r="AR308">
        <v>9.9658891799932956</v>
      </c>
      <c r="AS308">
        <v>49.646277409196095</v>
      </c>
      <c r="AT308" t="e">
        <v>#DIV/0!</v>
      </c>
      <c r="AU308" t="e">
        <v>#DIV/0!</v>
      </c>
      <c r="AV308"/>
      <c r="AW308"/>
      <c r="FY308" s="212">
        <v>303</v>
      </c>
      <c r="FZ308">
        <v>3.4361577423440117</v>
      </c>
      <c r="GA308">
        <v>8.2109227226179087</v>
      </c>
      <c r="GB308">
        <v>7.0677858791894064</v>
      </c>
      <c r="GC308">
        <v>3.3129016036942525</v>
      </c>
      <c r="GD308">
        <v>1.4465838882196471</v>
      </c>
      <c r="GE308">
        <v>3.7351543156666036</v>
      </c>
      <c r="GF308">
        <v>6.9845114539324857</v>
      </c>
      <c r="GG308">
        <v>3.6224623485579679</v>
      </c>
      <c r="GH308">
        <v>1.1883075030469881</v>
      </c>
      <c r="GI308">
        <v>5.1253059998378223</v>
      </c>
      <c r="GJ308"/>
      <c r="GK308"/>
      <c r="GL308"/>
      <c r="GM308"/>
    </row>
    <row r="309" spans="1:195" s="7" customFormat="1">
      <c r="A309" s="1"/>
      <c r="B309">
        <v>0.82327146837997489</v>
      </c>
      <c r="C309">
        <v>10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12.36956157965194</v>
      </c>
      <c r="AO309">
        <v>8.5798275944815998</v>
      </c>
      <c r="AP309">
        <v>41.491467734896816</v>
      </c>
      <c r="AQ309">
        <v>42.180861861764299</v>
      </c>
      <c r="AR309">
        <v>7.8266298508315337</v>
      </c>
      <c r="AS309">
        <v>43.281054612342892</v>
      </c>
      <c r="AT309">
        <v>5.3553002583721119</v>
      </c>
      <c r="AU309">
        <v>6.7216069693045037</v>
      </c>
      <c r="AV309"/>
      <c r="AW309"/>
      <c r="FY309" s="212">
        <v>304</v>
      </c>
      <c r="FZ309">
        <v>3.2848087072820276</v>
      </c>
      <c r="GA309">
        <v>6.5238672270096103</v>
      </c>
      <c r="GB309">
        <v>2.1250860203584567</v>
      </c>
      <c r="GC309">
        <v>0.71864087056092796</v>
      </c>
      <c r="GD309">
        <v>0.6134007480343362</v>
      </c>
      <c r="GE309">
        <v>3.4649287691387443</v>
      </c>
      <c r="GF309">
        <v>9.6358155883796517</v>
      </c>
      <c r="GG309">
        <v>6.2874271782915727</v>
      </c>
      <c r="GH309">
        <v>2.3947396685325688</v>
      </c>
      <c r="GI309">
        <v>4.0809788961923665</v>
      </c>
      <c r="GJ309"/>
      <c r="GK309"/>
      <c r="GL309"/>
      <c r="GM309"/>
    </row>
    <row r="310" spans="1:195" s="7" customFormat="1">
      <c r="A310" s="1"/>
      <c r="B310">
        <v>0.68532800490670986</v>
      </c>
      <c r="C310">
        <v>6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16.59885620915033</v>
      </c>
      <c r="AO310">
        <v>11.83393189682999</v>
      </c>
      <c r="AP310">
        <v>97.229691421386519</v>
      </c>
      <c r="AQ310">
        <v>61.051296189173591</v>
      </c>
      <c r="AR310">
        <v>10.832313971091997</v>
      </c>
      <c r="AS310">
        <v>53.507461850188918</v>
      </c>
      <c r="AT310" t="e">
        <v>#DIV/0!</v>
      </c>
      <c r="AU310" t="e">
        <v>#DIV/0!</v>
      </c>
      <c r="AV310"/>
      <c r="AW310"/>
      <c r="FY310" s="212">
        <v>305</v>
      </c>
      <c r="FZ310">
        <v>3.6932772683654989</v>
      </c>
      <c r="GA310">
        <v>9.2558932298911394</v>
      </c>
      <c r="GB310">
        <v>8.3431105299296462</v>
      </c>
      <c r="GC310">
        <v>3.5944319779236085</v>
      </c>
      <c r="GD310">
        <v>0.69405481738894359</v>
      </c>
      <c r="GE310">
        <v>2.9908042866157833</v>
      </c>
      <c r="GF310">
        <v>6.6636943723769066</v>
      </c>
      <c r="GG310">
        <v>3.8759430635247796</v>
      </c>
      <c r="GH310">
        <v>2.7543209555671688</v>
      </c>
      <c r="GI310">
        <v>5.0656560502934855</v>
      </c>
      <c r="GJ310"/>
      <c r="GK310"/>
      <c r="GL310"/>
      <c r="GM310"/>
    </row>
    <row r="311" spans="1:195" s="7" customFormat="1">
      <c r="A311" s="1"/>
      <c r="B311">
        <v>0.87697448057475413</v>
      </c>
      <c r="C311">
        <v>7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10.416666666666666</v>
      </c>
      <c r="K311">
        <v>10.416666666666666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16.142909874793286</v>
      </c>
      <c r="AO311">
        <v>5.398909142337585</v>
      </c>
      <c r="AP311">
        <v>34.094214979165137</v>
      </c>
      <c r="AQ311">
        <v>31.959471722824553</v>
      </c>
      <c r="AR311">
        <v>4.9541412244270431</v>
      </c>
      <c r="AS311">
        <v>31.690599670028146</v>
      </c>
      <c r="AT311">
        <v>2.5751160446815242</v>
      </c>
      <c r="AU311">
        <v>17.719435647958534</v>
      </c>
      <c r="AV311"/>
      <c r="AW311"/>
      <c r="FY311" s="212">
        <v>306</v>
      </c>
      <c r="FZ311">
        <v>2.0302981566852719E-2</v>
      </c>
      <c r="GA311">
        <v>2.9200033473310611</v>
      </c>
      <c r="GB311">
        <v>7.1885634805061898</v>
      </c>
      <c r="GC311">
        <v>3.7423453911873983</v>
      </c>
      <c r="GD311">
        <v>1.1726638006230685</v>
      </c>
      <c r="GE311">
        <v>4.5104207923363271</v>
      </c>
      <c r="GF311">
        <v>8.9692990334903566</v>
      </c>
      <c r="GG311">
        <v>4.0946775892369436</v>
      </c>
      <c r="GH311">
        <v>1.0488592965011054</v>
      </c>
      <c r="GI311">
        <v>4.9118713961625762</v>
      </c>
      <c r="GJ311"/>
      <c r="GK311"/>
      <c r="GL311"/>
      <c r="GM311"/>
    </row>
    <row r="312" spans="1:195" s="7" customFormat="1">
      <c r="A312" s="1"/>
      <c r="B312">
        <v>0.27352251060019084</v>
      </c>
      <c r="C312">
        <v>2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16.953775887865184</v>
      </c>
      <c r="AO312">
        <v>8.0495518958488308</v>
      </c>
      <c r="AP312">
        <v>52.489126038937833</v>
      </c>
      <c r="AQ312">
        <v>44.080351748363839</v>
      </c>
      <c r="AR312">
        <v>7.3792098130412107</v>
      </c>
      <c r="AS312">
        <v>42.742975609147699</v>
      </c>
      <c r="AT312">
        <v>4.0252323091324786</v>
      </c>
      <c r="AU312">
        <v>24.412541485663976</v>
      </c>
      <c r="AV312"/>
      <c r="AW312"/>
      <c r="FY312" s="212">
        <v>307</v>
      </c>
      <c r="FZ312">
        <v>0.19602315586506447</v>
      </c>
      <c r="GA312">
        <v>2.3876991825390963</v>
      </c>
      <c r="GB312">
        <v>9.7093583775273444</v>
      </c>
      <c r="GC312">
        <v>5.0398856685168596</v>
      </c>
      <c r="GD312">
        <v>1.4039343748809268</v>
      </c>
      <c r="GE312">
        <v>5.3627913032270484</v>
      </c>
      <c r="GF312">
        <v>9.8083361865808847</v>
      </c>
      <c r="GG312">
        <v>5.722093252574961</v>
      </c>
      <c r="GH312">
        <v>2.2122077623628131</v>
      </c>
      <c r="GI312">
        <v>6.1568090420634789</v>
      </c>
      <c r="GJ312"/>
      <c r="GK312"/>
      <c r="GL312"/>
      <c r="GM312"/>
    </row>
    <row r="313" spans="1:195" s="7" customFormat="1">
      <c r="A313" s="1"/>
      <c r="B313">
        <v>0.52443663844383437</v>
      </c>
      <c r="C313">
        <v>7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10.416666666666666</v>
      </c>
      <c r="K313">
        <v>10.416666666666666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16.913743208126622</v>
      </c>
      <c r="AO313">
        <v>7.0216471601371513</v>
      </c>
      <c r="AP313">
        <v>54.43725192496651</v>
      </c>
      <c r="AQ313">
        <v>36.529529310688623</v>
      </c>
      <c r="AR313">
        <v>6.5470271301599396</v>
      </c>
      <c r="AS313">
        <v>40.370895196909352</v>
      </c>
      <c r="AT313">
        <v>4.1178885347625416</v>
      </c>
      <c r="AU313">
        <v>56.311079024331001</v>
      </c>
      <c r="AV313"/>
      <c r="AW313"/>
      <c r="FY313" s="212">
        <v>308</v>
      </c>
      <c r="FZ313">
        <v>0.20395314235793849</v>
      </c>
      <c r="GA313">
        <v>3.2716238318887081</v>
      </c>
      <c r="GB313">
        <v>10.739410175953344</v>
      </c>
      <c r="GC313">
        <v>5.6259559227321922</v>
      </c>
      <c r="GD313">
        <v>1.5327508842820339</v>
      </c>
      <c r="GE313">
        <v>2.753281784151755</v>
      </c>
      <c r="GF313">
        <v>6.4948977650502888</v>
      </c>
      <c r="GG313">
        <v>6.5457516115269989</v>
      </c>
      <c r="GH313">
        <v>2.6507032902109291</v>
      </c>
      <c r="GI313">
        <v>5.899922286437274</v>
      </c>
      <c r="GJ313"/>
      <c r="GK313"/>
      <c r="GL313"/>
      <c r="GM313"/>
    </row>
    <row r="314" spans="1:195" s="7" customFormat="1">
      <c r="A314" s="1"/>
      <c r="B314">
        <v>0.73628798799385908</v>
      </c>
      <c r="C314">
        <v>3</v>
      </c>
      <c r="D314">
        <v>39949</v>
      </c>
      <c r="E314">
        <v>0</v>
      </c>
      <c r="F314">
        <v>0</v>
      </c>
      <c r="G314">
        <v>0</v>
      </c>
      <c r="H314">
        <v>10.416666666666666</v>
      </c>
      <c r="I314">
        <v>0</v>
      </c>
      <c r="J314">
        <v>0</v>
      </c>
      <c r="K314">
        <v>0</v>
      </c>
      <c r="L314">
        <v>10.416666666666666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12.41210922119852</v>
      </c>
      <c r="AO314">
        <v>6.0551411895362977</v>
      </c>
      <c r="AP314">
        <v>49.374544498424257</v>
      </c>
      <c r="AQ314">
        <v>31.214089728400534</v>
      </c>
      <c r="AR314">
        <v>5.5633513033804816</v>
      </c>
      <c r="AS314">
        <v>29.045041270936832</v>
      </c>
      <c r="AT314">
        <v>3.2744753890322844</v>
      </c>
      <c r="AU314">
        <v>44.57123327063983</v>
      </c>
      <c r="AV314"/>
      <c r="AW314"/>
      <c r="FY314" s="212">
        <v>309</v>
      </c>
      <c r="FZ314">
        <v>3.6738976134880579</v>
      </c>
      <c r="GA314">
        <v>7.301698136444073</v>
      </c>
      <c r="GB314">
        <v>9.90045237225522</v>
      </c>
      <c r="GC314">
        <v>4.6567947120751896</v>
      </c>
      <c r="GD314">
        <v>1.5638652210221857</v>
      </c>
      <c r="GE314">
        <v>4.6370744502783721</v>
      </c>
      <c r="GF314">
        <v>5.8576617003376228</v>
      </c>
      <c r="GG314">
        <v>3.579049006055584</v>
      </c>
      <c r="GH314">
        <v>2.4188644096933705</v>
      </c>
      <c r="GI314">
        <v>5.793613660396856</v>
      </c>
      <c r="GJ314"/>
      <c r="GK314"/>
      <c r="GL314"/>
      <c r="GM314"/>
    </row>
    <row r="315" spans="1:195" s="7" customFormat="1">
      <c r="A315" s="1"/>
      <c r="B315">
        <v>0.81869934478808126</v>
      </c>
      <c r="C315">
        <v>3</v>
      </c>
      <c r="D315">
        <v>39949</v>
      </c>
      <c r="E315">
        <v>0</v>
      </c>
      <c r="F315">
        <v>0</v>
      </c>
      <c r="G315">
        <v>0</v>
      </c>
      <c r="H315">
        <v>10.416666666666666</v>
      </c>
      <c r="I315">
        <v>0</v>
      </c>
      <c r="J315">
        <v>0</v>
      </c>
      <c r="K315">
        <v>0</v>
      </c>
      <c r="L315">
        <v>10.416666666666666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14.834086345381527</v>
      </c>
      <c r="AO315">
        <v>8.570742511073286</v>
      </c>
      <c r="AP315">
        <v>38.449290191812587</v>
      </c>
      <c r="AQ315">
        <v>40.56062057761595</v>
      </c>
      <c r="AR315">
        <v>7.933639029175402</v>
      </c>
      <c r="AS315">
        <v>46.567206559445282</v>
      </c>
      <c r="AT315">
        <v>4.7874604219247336</v>
      </c>
      <c r="AU315">
        <v>5.733406479229175</v>
      </c>
      <c r="AV315"/>
      <c r="AW315"/>
      <c r="FY315" s="212">
        <v>310</v>
      </c>
      <c r="FZ315">
        <v>3.2956960992989996</v>
      </c>
      <c r="GA315">
        <v>6.5439876068550022</v>
      </c>
      <c r="GB315">
        <v>6.5394344489933101</v>
      </c>
      <c r="GC315">
        <v>3.090473315826423</v>
      </c>
      <c r="GD315">
        <v>1.118120316259791</v>
      </c>
      <c r="GE315">
        <v>4.3251653320807195</v>
      </c>
      <c r="GF315">
        <v>5.6643243236011855</v>
      </c>
      <c r="GG315">
        <v>1.4147536062227331</v>
      </c>
      <c r="GH315">
        <v>1.2648592363297391</v>
      </c>
      <c r="GI315">
        <v>4.2888249812279717</v>
      </c>
      <c r="GJ315"/>
      <c r="GK315"/>
      <c r="GL315"/>
      <c r="GM315"/>
    </row>
    <row r="316" spans="1:195" s="7" customFormat="1">
      <c r="A316" s="1"/>
      <c r="B316">
        <v>0.54701655699121776</v>
      </c>
      <c r="C316">
        <v>9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19.210720332309627</v>
      </c>
      <c r="AO316">
        <v>12.403103597775129</v>
      </c>
      <c r="AP316">
        <v>95.483989257524073</v>
      </c>
      <c r="AQ316">
        <v>71.38844421859902</v>
      </c>
      <c r="AR316">
        <v>11.357781834793293</v>
      </c>
      <c r="AS316">
        <v>53.961260645949288</v>
      </c>
      <c r="AT316">
        <v>6.0477354157997603</v>
      </c>
      <c r="AU316">
        <v>16.211724866661562</v>
      </c>
      <c r="AV316"/>
      <c r="AW316"/>
      <c r="FY316" s="212">
        <v>311</v>
      </c>
      <c r="FZ316">
        <v>6.5260540459062497</v>
      </c>
      <c r="GA316">
        <v>11.947691798716077</v>
      </c>
      <c r="GB316">
        <v>9.2955657020036995</v>
      </c>
      <c r="GC316">
        <v>4.1883968110611054</v>
      </c>
      <c r="GD316">
        <v>1.8900991661688615</v>
      </c>
      <c r="GE316">
        <v>7.5555294834412443</v>
      </c>
      <c r="GF316">
        <v>9.7902165178925529</v>
      </c>
      <c r="GG316">
        <v>4.1728371209939752</v>
      </c>
      <c r="GH316">
        <v>2.8706575438381874</v>
      </c>
      <c r="GI316">
        <v>7.1763626139925458</v>
      </c>
      <c r="GJ316"/>
      <c r="GK316"/>
      <c r="GL316"/>
      <c r="GM316"/>
    </row>
    <row r="317" spans="1:195" s="7" customFormat="1">
      <c r="A317" s="1"/>
      <c r="B317">
        <v>0.44651286283358305</v>
      </c>
      <c r="C317">
        <v>10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25.650735294117645</v>
      </c>
      <c r="AO317">
        <v>9.9509853592431394</v>
      </c>
      <c r="AP317">
        <v>66.931666748841479</v>
      </c>
      <c r="AQ317">
        <v>55.936779697351191</v>
      </c>
      <c r="AR317">
        <v>9.1152632143657559</v>
      </c>
      <c r="AS317">
        <v>51.63388414295256</v>
      </c>
      <c r="AT317">
        <v>4.379665580075863</v>
      </c>
      <c r="AU317">
        <v>42.388018547887576</v>
      </c>
      <c r="AV317"/>
      <c r="AW317"/>
      <c r="FY317" s="212">
        <v>312</v>
      </c>
      <c r="FZ317">
        <v>6.4345032033995482</v>
      </c>
      <c r="GA317">
        <v>11.213928648651644</v>
      </c>
      <c r="GB317">
        <v>6.3863744155799314</v>
      </c>
      <c r="GC317">
        <v>2.8522124790826462</v>
      </c>
      <c r="GD317">
        <v>0.64868535159352469</v>
      </c>
      <c r="GE317">
        <v>2.2273104309151353</v>
      </c>
      <c r="GF317">
        <v>9.2394384575948578</v>
      </c>
      <c r="GG317">
        <v>6.9781684776439405</v>
      </c>
      <c r="GH317">
        <v>1.7825901440631187</v>
      </c>
      <c r="GI317">
        <v>5.6472684278894381</v>
      </c>
      <c r="GJ317"/>
      <c r="GK317"/>
      <c r="GL317"/>
      <c r="GM317"/>
    </row>
    <row r="318" spans="1:195" s="7" customFormat="1">
      <c r="A318" s="1"/>
      <c r="B318">
        <v>0.18407263435248833</v>
      </c>
      <c r="C318">
        <v>4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10.416666666666666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16.83755856760375</v>
      </c>
      <c r="AO318">
        <v>11.023198322333064</v>
      </c>
      <c r="AP318">
        <v>60.052544987679632</v>
      </c>
      <c r="AQ318">
        <v>60.031115557902901</v>
      </c>
      <c r="AR318">
        <v>10.076032012523358</v>
      </c>
      <c r="AS318">
        <v>55.030459477341545</v>
      </c>
      <c r="AT318">
        <v>5.5527812857559615</v>
      </c>
      <c r="AU318">
        <v>6.3930729054655577</v>
      </c>
      <c r="AV318"/>
      <c r="AW318"/>
      <c r="FY318" s="212">
        <v>313</v>
      </c>
      <c r="FZ318">
        <v>6.4559169371116774</v>
      </c>
      <c r="GA318">
        <v>12.062070471983821</v>
      </c>
      <c r="GB318">
        <v>11.344805607950377</v>
      </c>
      <c r="GC318">
        <v>4.9283536714363763</v>
      </c>
      <c r="GD318">
        <v>0.42053396397425519</v>
      </c>
      <c r="GE318">
        <v>2.0903581940375995</v>
      </c>
      <c r="GF318">
        <v>7.4124872793202137</v>
      </c>
      <c r="GG318">
        <v>5.4797482559096329</v>
      </c>
      <c r="GH318">
        <v>1.7045101992740812</v>
      </c>
      <c r="GI318">
        <v>6.1289370644574337</v>
      </c>
      <c r="GJ318"/>
      <c r="GK318"/>
      <c r="GL318"/>
      <c r="GM318"/>
    </row>
    <row r="319" spans="1:195" s="7" customFormat="1">
      <c r="A319" s="1"/>
      <c r="B319">
        <v>0.32923700512663223</v>
      </c>
      <c r="C319">
        <v>9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12.719503012048193</v>
      </c>
      <c r="AO319">
        <v>8.3903318701539753</v>
      </c>
      <c r="AP319">
        <v>42.032354381288627</v>
      </c>
      <c r="AQ319">
        <v>44.130093457107087</v>
      </c>
      <c r="AR319">
        <v>7.7594006724847437</v>
      </c>
      <c r="AS319">
        <v>43.54038685282142</v>
      </c>
      <c r="AT319">
        <v>4.8042653013551773</v>
      </c>
      <c r="AU319">
        <v>13.829564036005289</v>
      </c>
      <c r="AV319"/>
      <c r="AW319"/>
      <c r="FY319" s="212">
        <v>314</v>
      </c>
      <c r="FZ319">
        <v>0.20414056781380341</v>
      </c>
      <c r="GA319">
        <v>3.8145994436163146</v>
      </c>
      <c r="GB319">
        <v>9.3060115148831244</v>
      </c>
      <c r="GC319">
        <v>4.5430261516837493</v>
      </c>
      <c r="GD319">
        <v>1.0238604866656047</v>
      </c>
      <c r="GE319">
        <v>4.7778766879037242</v>
      </c>
      <c r="GF319">
        <v>11.077419911437721</v>
      </c>
      <c r="GG319">
        <v>7.453763319252098</v>
      </c>
      <c r="GH319">
        <v>3.8766119675768795</v>
      </c>
      <c r="GI319">
        <v>6.3079410696349836</v>
      </c>
      <c r="GJ319"/>
      <c r="GK319"/>
      <c r="GL319"/>
      <c r="GM319"/>
    </row>
    <row r="320" spans="1:195" s="7" customFormat="1">
      <c r="A320" s="1"/>
      <c r="B320">
        <v>0.45616582271369044</v>
      </c>
      <c r="C320">
        <v>10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9.2847222222222197</v>
      </c>
      <c r="AO320">
        <v>6.8656760173778055</v>
      </c>
      <c r="AP320">
        <v>36.132042730418846</v>
      </c>
      <c r="AQ320">
        <v>39.129693673780267</v>
      </c>
      <c r="AR320">
        <v>6.3458864642708877</v>
      </c>
      <c r="AS320">
        <v>32.235527353317572</v>
      </c>
      <c r="AT320">
        <v>3.8115498851046428</v>
      </c>
      <c r="AU320">
        <v>8.1510667732482105</v>
      </c>
      <c r="AV320"/>
      <c r="AW320"/>
      <c r="FY320" s="212">
        <v>315</v>
      </c>
      <c r="FZ320">
        <v>6.5980378080796456</v>
      </c>
      <c r="GA320">
        <v>10.157635808189221</v>
      </c>
      <c r="GB320">
        <v>8.5332305713448591</v>
      </c>
      <c r="GC320">
        <v>4.2733821911095049</v>
      </c>
      <c r="GD320">
        <v>0.71177585000538834</v>
      </c>
      <c r="GE320">
        <v>1.1942569485777337</v>
      </c>
      <c r="GF320">
        <v>5.5627293693184949</v>
      </c>
      <c r="GG320">
        <v>6.5257292085417902</v>
      </c>
      <c r="GH320">
        <v>3.9174118771187025</v>
      </c>
      <c r="GI320">
        <v>5.5950952345382179</v>
      </c>
      <c r="GJ320"/>
      <c r="GK320"/>
      <c r="GL320"/>
      <c r="GM320"/>
    </row>
    <row r="321" spans="1:195" s="7" customFormat="1">
      <c r="A321" s="1"/>
      <c r="B321">
        <v>0.87563863177197687</v>
      </c>
      <c r="C321">
        <v>6</v>
      </c>
      <c r="D321">
        <v>39987</v>
      </c>
      <c r="E321">
        <v>0</v>
      </c>
      <c r="F321">
        <v>0</v>
      </c>
      <c r="G321">
        <v>0</v>
      </c>
      <c r="H321">
        <v>10.416666666666666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14.093749999999996</v>
      </c>
      <c r="AO321">
        <v>8.2148356599459884</v>
      </c>
      <c r="AP321">
        <v>32.337761621863699</v>
      </c>
      <c r="AQ321">
        <v>46.931186551876962</v>
      </c>
      <c r="AR321">
        <v>7.5687678134788241</v>
      </c>
      <c r="AS321">
        <v>41.902796220986168</v>
      </c>
      <c r="AT321">
        <v>4.5343665569992977</v>
      </c>
      <c r="AU321">
        <v>6.5286907336591584</v>
      </c>
      <c r="AV321"/>
      <c r="AW321"/>
      <c r="FY321" s="212">
        <v>316</v>
      </c>
      <c r="FZ321">
        <v>3.4686462935289777</v>
      </c>
      <c r="GA321">
        <v>7.7091812828198147</v>
      </c>
      <c r="GB321">
        <v>9.2857549635399916</v>
      </c>
      <c r="GC321">
        <v>4.4870680090101693</v>
      </c>
      <c r="GD321">
        <v>1.2981798464948726</v>
      </c>
      <c r="GE321">
        <v>2.5009882490987012</v>
      </c>
      <c r="GF321">
        <v>2.3953004319843871</v>
      </c>
      <c r="GG321">
        <v>2.090744219333267</v>
      </c>
      <c r="GH321">
        <v>2.4209713045815793</v>
      </c>
      <c r="GI321">
        <v>4.7154414220369425</v>
      </c>
      <c r="GJ321"/>
      <c r="GK321"/>
      <c r="GL321"/>
      <c r="GM321"/>
    </row>
    <row r="322" spans="1:195" s="7" customFormat="1">
      <c r="A322" s="1"/>
      <c r="B322">
        <v>0.72812423130810733</v>
      </c>
      <c r="C322">
        <v>4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10.416666666666666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10.40625</v>
      </c>
      <c r="AO322">
        <v>8.0498236999668933</v>
      </c>
      <c r="AP322">
        <v>32.979081920597558</v>
      </c>
      <c r="AQ322">
        <v>38.57900710894188</v>
      </c>
      <c r="AR322">
        <v>7.35412821712971</v>
      </c>
      <c r="AS322">
        <v>40.046191095669208</v>
      </c>
      <c r="AT322">
        <v>4.598972319217844</v>
      </c>
      <c r="AU322">
        <v>7.7654578264104153</v>
      </c>
      <c r="AV322"/>
      <c r="AW322"/>
      <c r="FY322" s="212">
        <v>317</v>
      </c>
      <c r="FZ322">
        <v>6.5677707611852316</v>
      </c>
      <c r="GA322">
        <v>9.9249317204697061</v>
      </c>
      <c r="GB322">
        <v>6.5636595276068164</v>
      </c>
      <c r="GC322">
        <v>3.2714124301130081</v>
      </c>
      <c r="GD322">
        <v>1.6882563030213231</v>
      </c>
      <c r="GE322">
        <v>4.3010508281292523</v>
      </c>
      <c r="GF322">
        <v>7.6558282059838501</v>
      </c>
      <c r="GG322">
        <v>5.9133938723548383</v>
      </c>
      <c r="GH322">
        <v>2.3512561123882327</v>
      </c>
      <c r="GI322">
        <v>6.1072265849478145</v>
      </c>
      <c r="GJ322"/>
      <c r="GK322"/>
      <c r="GL322"/>
      <c r="GM322"/>
    </row>
    <row r="323" spans="1:195" s="7" customFormat="1">
      <c r="A323" s="1"/>
      <c r="B323">
        <v>0.4974764218514216</v>
      </c>
      <c r="C323">
        <v>10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21.13596543034885</v>
      </c>
      <c r="AO323">
        <v>10.042426399232074</v>
      </c>
      <c r="AP323">
        <v>58.699093674475655</v>
      </c>
      <c r="AQ323">
        <v>47.999138306138477</v>
      </c>
      <c r="AR323">
        <v>9.2101088053293392</v>
      </c>
      <c r="AS323">
        <v>60.387244573273875</v>
      </c>
      <c r="AT323" t="e">
        <v>#DIV/0!</v>
      </c>
      <c r="AU323" t="e">
        <v>#DIV/0!</v>
      </c>
      <c r="AV323"/>
      <c r="AW323"/>
      <c r="FY323" s="212">
        <v>318</v>
      </c>
      <c r="FZ323">
        <v>0.21632613743191717</v>
      </c>
      <c r="GA323">
        <v>4.0538294438057019</v>
      </c>
      <c r="GB323">
        <v>5.6281443182324802</v>
      </c>
      <c r="GC323">
        <v>2.8365482892437814</v>
      </c>
      <c r="GD323">
        <v>1.36650487756573</v>
      </c>
      <c r="GE323">
        <v>1.8606328103475969</v>
      </c>
      <c r="GF323">
        <v>4.9564656357404706</v>
      </c>
      <c r="GG323">
        <v>5.4898636909216236</v>
      </c>
      <c r="GH323">
        <v>1.8493641453437779</v>
      </c>
      <c r="GI323">
        <v>4.0347061832750963</v>
      </c>
      <c r="GJ323"/>
      <c r="GK323"/>
      <c r="GL323"/>
      <c r="GM323"/>
    </row>
    <row r="324" spans="1:195" s="7" customFormat="1">
      <c r="A324" s="1"/>
      <c r="B324">
        <v>0.78924207622594289</v>
      </c>
      <c r="C324">
        <v>5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10.416666666666666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14.392361111111109</v>
      </c>
      <c r="AO324">
        <v>9.6085732390156249</v>
      </c>
      <c r="AP324">
        <v>49.711599842422984</v>
      </c>
      <c r="AQ324">
        <v>45.718250694591461</v>
      </c>
      <c r="AR324">
        <v>8.8238472321490953</v>
      </c>
      <c r="AS324">
        <v>51.401648891133433</v>
      </c>
      <c r="AT324">
        <v>5.7671108644747759</v>
      </c>
      <c r="AU324">
        <v>4.846230604276788</v>
      </c>
      <c r="AV324"/>
      <c r="AW324"/>
      <c r="FY324" s="212">
        <v>319</v>
      </c>
      <c r="FZ324">
        <v>9.2286743740248478E-2</v>
      </c>
      <c r="GA324">
        <v>1.567522802016297</v>
      </c>
      <c r="GB324">
        <v>5.8668533637341724</v>
      </c>
      <c r="GC324">
        <v>3.3532032777020224</v>
      </c>
      <c r="GD324">
        <v>1.3156102166797341</v>
      </c>
      <c r="GE324">
        <v>3.7947582154465023</v>
      </c>
      <c r="GF324">
        <v>7.7604681299447904</v>
      </c>
      <c r="GG324">
        <v>4.9529839544267897</v>
      </c>
      <c r="GH324">
        <v>2.5055937314986765</v>
      </c>
      <c r="GI324">
        <v>4.7935863062745181</v>
      </c>
      <c r="GJ324"/>
      <c r="GK324"/>
      <c r="GL324"/>
      <c r="GM324"/>
    </row>
    <row r="325" spans="1:195" s="7" customFormat="1">
      <c r="A325" s="1"/>
      <c r="B325">
        <v>8.1207698284616825E-2</v>
      </c>
      <c r="C325">
        <v>1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10.416666666666666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15.46875</v>
      </c>
      <c r="AO325">
        <v>9.3163078291937325</v>
      </c>
      <c r="AP325">
        <v>39.761903331059528</v>
      </c>
      <c r="AQ325">
        <v>49.382971282046533</v>
      </c>
      <c r="AR325">
        <v>8.5941388494216042</v>
      </c>
      <c r="AS325">
        <v>48.455950787541575</v>
      </c>
      <c r="AT325">
        <v>5.0367239832378932</v>
      </c>
      <c r="AU325">
        <v>9.1598263651125613</v>
      </c>
      <c r="AV325"/>
      <c r="AW325"/>
      <c r="FY325" s="212">
        <v>320</v>
      </c>
      <c r="FZ325">
        <v>3.3152631796323062</v>
      </c>
      <c r="GA325">
        <v>5.6037236926976561</v>
      </c>
      <c r="GB325">
        <v>9.4561556944637442</v>
      </c>
      <c r="GC325">
        <v>4.9058242358536006</v>
      </c>
      <c r="GD325">
        <v>0.79137252490979715</v>
      </c>
      <c r="GE325">
        <v>2.5358293501669165</v>
      </c>
      <c r="GF325">
        <v>9.8263505398130739</v>
      </c>
      <c r="GG325">
        <v>9.1173892891841923</v>
      </c>
      <c r="GH325">
        <v>3.0508269424771779</v>
      </c>
      <c r="GI325">
        <v>6.3534055865547359</v>
      </c>
      <c r="GJ325"/>
      <c r="GK325"/>
      <c r="GL325"/>
      <c r="GM325"/>
    </row>
    <row r="326" spans="1:195" s="7" customFormat="1">
      <c r="A326" s="1"/>
      <c r="B326">
        <v>0.21579014962533627</v>
      </c>
      <c r="C326">
        <v>10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10.775058567603748</v>
      </c>
      <c r="AO326">
        <v>6.9428705991719513</v>
      </c>
      <c r="AP326">
        <v>35.522954737329115</v>
      </c>
      <c r="AQ326">
        <v>37.545639266695872</v>
      </c>
      <c r="AR326">
        <v>6.3795104966501199</v>
      </c>
      <c r="AS326">
        <v>34.790416657943148</v>
      </c>
      <c r="AT326">
        <v>4.1391797812776439</v>
      </c>
      <c r="AU326">
        <v>8.4228472356485575</v>
      </c>
      <c r="AV326"/>
      <c r="AW326"/>
      <c r="FY326" s="212">
        <v>321</v>
      </c>
      <c r="FZ326">
        <v>0.11258972530710119</v>
      </c>
      <c r="GA326">
        <v>3.4676071172887299</v>
      </c>
      <c r="GB326">
        <v>8.8730469399682796</v>
      </c>
      <c r="GC326">
        <v>4.4841843462394122</v>
      </c>
      <c r="GD326">
        <v>1.5606566239981579</v>
      </c>
      <c r="GE326">
        <v>5.2521262346475615</v>
      </c>
      <c r="GF326">
        <v>10.433795795134696</v>
      </c>
      <c r="GG326">
        <v>5.3145425077118436</v>
      </c>
      <c r="GH326">
        <v>0.64561562646071002</v>
      </c>
      <c r="GI326">
        <v>6.0141729826704911</v>
      </c>
      <c r="GJ326"/>
      <c r="GK326"/>
      <c r="GL326"/>
      <c r="GM326"/>
    </row>
    <row r="327" spans="1:195" s="7" customFormat="1">
      <c r="A327" s="1"/>
      <c r="B327">
        <v>6.7405419132999134E-2</v>
      </c>
      <c r="C327">
        <v>4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10.416666666666666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16.513888888888889</v>
      </c>
      <c r="AO327">
        <v>11.832495886477156</v>
      </c>
      <c r="AP327">
        <v>67.016682958367667</v>
      </c>
      <c r="AQ327">
        <v>65.413410804014504</v>
      </c>
      <c r="AR327">
        <v>10.79801747302546</v>
      </c>
      <c r="AS327">
        <v>56.081844683209496</v>
      </c>
      <c r="AT327">
        <v>6.4868787956084581</v>
      </c>
      <c r="AU327">
        <v>16.602032996146885</v>
      </c>
      <c r="AV327"/>
      <c r="AW327"/>
      <c r="FY327" s="212">
        <v>322</v>
      </c>
      <c r="FZ327">
        <v>3.4380043957228339</v>
      </c>
      <c r="GA327">
        <v>6.737560985118753</v>
      </c>
      <c r="GB327">
        <v>7.7545534061460835</v>
      </c>
      <c r="GC327">
        <v>3.7894740341818625</v>
      </c>
      <c r="GD327">
        <v>2.0861592710822587</v>
      </c>
      <c r="GE327">
        <v>6.6713659907048708</v>
      </c>
      <c r="GF327">
        <v>13.259901905073953</v>
      </c>
      <c r="GG327">
        <v>9.6452841579784625</v>
      </c>
      <c r="GH327">
        <v>2.4028103621669148</v>
      </c>
      <c r="GI327">
        <v>7.6683647362729666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11.048611111111112</v>
      </c>
      <c r="AO328">
        <v>9.662236014380623</v>
      </c>
      <c r="AP328">
        <v>58.52258918972862</v>
      </c>
      <c r="AQ328">
        <v>53.410480036413787</v>
      </c>
      <c r="AR328">
        <v>8.9101586188059283</v>
      </c>
      <c r="AS328">
        <v>46.311908812889527</v>
      </c>
      <c r="AT328">
        <v>5.5588340941833971</v>
      </c>
      <c r="AU328">
        <v>10.196935595289252</v>
      </c>
      <c r="AV328"/>
      <c r="AW328"/>
      <c r="FY328" s="212">
        <v>323</v>
      </c>
      <c r="FZ328">
        <v>6.4031254043598578</v>
      </c>
      <c r="GA328">
        <v>11.054823232113918</v>
      </c>
      <c r="GB328">
        <v>8.624591067966362</v>
      </c>
      <c r="GC328">
        <v>4.1660599436969479</v>
      </c>
      <c r="GD328">
        <v>1.5547015507742636</v>
      </c>
      <c r="GE328">
        <v>4.6514447298860988</v>
      </c>
      <c r="GF328">
        <v>10.688019039649713</v>
      </c>
      <c r="GG328">
        <v>7.2304204422824849</v>
      </c>
      <c r="GH328">
        <v>1.2931958355993398</v>
      </c>
      <c r="GI328">
        <v>7.1765323666660779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21.158636998976299</v>
      </c>
      <c r="AO329">
        <v>10.172973414487483</v>
      </c>
      <c r="AP329">
        <v>62.615092367002092</v>
      </c>
      <c r="AQ329">
        <v>58.027721645455465</v>
      </c>
      <c r="AR329">
        <v>9.3555168719172297</v>
      </c>
      <c r="AS329">
        <v>47.920652581002059</v>
      </c>
      <c r="AT329">
        <v>4.9523893210247047</v>
      </c>
      <c r="AU329">
        <v>8.5259699496152788</v>
      </c>
      <c r="AV329"/>
      <c r="AW329"/>
      <c r="FY329" s="212">
        <v>324</v>
      </c>
      <c r="FZ329">
        <v>0.17460942215293557</v>
      </c>
      <c r="GA329">
        <v>4.9593373509898147</v>
      </c>
      <c r="GB329">
        <v>9.1959123526522113</v>
      </c>
      <c r="GC329">
        <v>4.0551689557147785</v>
      </c>
      <c r="GD329">
        <v>1.1816398797105259</v>
      </c>
      <c r="GE329">
        <v>3.4106429703740586</v>
      </c>
      <c r="GF329">
        <v>5.8658973692700149</v>
      </c>
      <c r="GG329">
        <v>4.0946775892369436</v>
      </c>
      <c r="GH329">
        <v>1.5528581584337688</v>
      </c>
      <c r="GI329">
        <v>4.7862854224185964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13.417419678714861</v>
      </c>
      <c r="AO330">
        <v>10.188744895786412</v>
      </c>
      <c r="AP330">
        <v>45.860626518643372</v>
      </c>
      <c r="AQ330">
        <v>52.385251120467998</v>
      </c>
      <c r="AR330">
        <v>9.4019156324694855</v>
      </c>
      <c r="AS330">
        <v>56.281541370017941</v>
      </c>
      <c r="AT330">
        <v>6.5672022002524848</v>
      </c>
      <c r="AU330">
        <v>0.53499812749677034</v>
      </c>
      <c r="AV330"/>
      <c r="AW330"/>
      <c r="FY330" s="212">
        <v>325</v>
      </c>
      <c r="FZ330">
        <v>6.4891413895301895</v>
      </c>
      <c r="GA330">
        <v>11.40300484738974</v>
      </c>
      <c r="GB330">
        <v>2.9369684826203164</v>
      </c>
      <c r="GC330">
        <v>1.02822359472143</v>
      </c>
      <c r="GD330">
        <v>0.94975264925333147</v>
      </c>
      <c r="GE330">
        <v>2.8133111376243254</v>
      </c>
      <c r="GF330">
        <v>4.0432505706092252</v>
      </c>
      <c r="GG330">
        <v>1.7116476636919289</v>
      </c>
      <c r="GH330">
        <v>2.8285869671002519</v>
      </c>
      <c r="GI330">
        <v>3.6442634914424823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17.887803665642963</v>
      </c>
      <c r="AO331">
        <v>9.2888317738764208</v>
      </c>
      <c r="AP331">
        <v>58.631722350731629</v>
      </c>
      <c r="AQ331">
        <v>53.069284866823558</v>
      </c>
      <c r="AR331">
        <v>8.5863321192124413</v>
      </c>
      <c r="AS331">
        <v>50.587787713433649</v>
      </c>
      <c r="AT331">
        <v>4.3719741890974548</v>
      </c>
      <c r="AU331">
        <v>5.8725423525051488</v>
      </c>
      <c r="AV331"/>
      <c r="AW331"/>
      <c r="FY331" s="212">
        <v>326</v>
      </c>
      <c r="FZ331">
        <v>3.4260062515605849</v>
      </c>
      <c r="GA331">
        <v>5.6573995946215891</v>
      </c>
      <c r="GB331">
        <v>7.5260119937001662</v>
      </c>
      <c r="GC331">
        <v>4.0497145606936762</v>
      </c>
      <c r="GD331">
        <v>0.83731760652591414</v>
      </c>
      <c r="GE331">
        <v>2.6453057277165559</v>
      </c>
      <c r="GF331">
        <v>6.2331772135263277</v>
      </c>
      <c r="GG331">
        <v>3.4087800081531912</v>
      </c>
      <c r="GH331">
        <v>1.7325911859011263</v>
      </c>
      <c r="GI331">
        <v>4.7378190140906433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15.53982843137255</v>
      </c>
      <c r="AO332">
        <v>7.6755785795770946</v>
      </c>
      <c r="AP332">
        <v>47.893463464315673</v>
      </c>
      <c r="AQ332">
        <v>40.372276022428693</v>
      </c>
      <c r="AR332">
        <v>7.0291179052279729</v>
      </c>
      <c r="AS332">
        <v>40.317604670339705</v>
      </c>
      <c r="AT332">
        <v>3.9229825751523912</v>
      </c>
      <c r="AU332">
        <v>19.866142719590023</v>
      </c>
      <c r="AV332"/>
      <c r="AW332"/>
      <c r="FY332" s="212">
        <v>327</v>
      </c>
      <c r="FZ332">
        <v>0.17349867000765937</v>
      </c>
      <c r="GA332">
        <v>3.0708553217158219</v>
      </c>
      <c r="GB332">
        <v>4.5141301177107502</v>
      </c>
      <c r="GC332">
        <v>1.8112986614170254</v>
      </c>
      <c r="GD332">
        <v>0.92801666553733386</v>
      </c>
      <c r="GE332">
        <v>3.3729124584966623</v>
      </c>
      <c r="GF332">
        <v>11.631225529616911</v>
      </c>
      <c r="GG332">
        <v>9.9337464292110873</v>
      </c>
      <c r="GH332">
        <v>1.1768592473283213</v>
      </c>
      <c r="GI332">
        <v>5.0829942045625884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12.833333333333332</v>
      </c>
      <c r="AO333">
        <v>10.314320633213351</v>
      </c>
      <c r="AP333">
        <v>62.518408163104901</v>
      </c>
      <c r="AQ333">
        <v>54.344786346200081</v>
      </c>
      <c r="AR333">
        <v>9.4957238349487127</v>
      </c>
      <c r="AS333">
        <v>49.422654788671863</v>
      </c>
      <c r="AT333">
        <v>5.7874632390934453</v>
      </c>
      <c r="AU333">
        <v>11.56633478034114</v>
      </c>
      <c r="AV333"/>
      <c r="AW333"/>
      <c r="FY333" s="212">
        <v>328</v>
      </c>
      <c r="FZ333">
        <v>0.12181788940111633</v>
      </c>
      <c r="GA333">
        <v>3.1279994410198562</v>
      </c>
      <c r="GB333">
        <v>8.5696078551472201</v>
      </c>
      <c r="GC333">
        <v>4.2388074062015724</v>
      </c>
      <c r="GD333">
        <v>0.99696758143551856</v>
      </c>
      <c r="GE333">
        <v>3.2374381003309152</v>
      </c>
      <c r="GF333">
        <v>5.7157930007037807</v>
      </c>
      <c r="GG333">
        <v>3.2821549485863879</v>
      </c>
      <c r="GH333">
        <v>2.0449723934761317</v>
      </c>
      <c r="GI333">
        <v>4.5023849790342192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12.008578431372548</v>
      </c>
      <c r="AO334">
        <v>6.6704773898072123</v>
      </c>
      <c r="AP334">
        <v>34.875254240468479</v>
      </c>
      <c r="AQ334">
        <v>32.292385531908174</v>
      </c>
      <c r="AR334">
        <v>6.12090645739557</v>
      </c>
      <c r="AS334">
        <v>32.448198896242417</v>
      </c>
      <c r="AT334">
        <v>3.9497909983849087</v>
      </c>
      <c r="AU334">
        <v>15.209611387591426</v>
      </c>
      <c r="AV334"/>
      <c r="AW334"/>
      <c r="FY334" s="212">
        <v>329</v>
      </c>
      <c r="FZ334">
        <v>3.5192163219902448</v>
      </c>
      <c r="GA334">
        <v>7.1339022584013296</v>
      </c>
      <c r="GB334">
        <v>4.2920813863384124</v>
      </c>
      <c r="GC334">
        <v>1.7105923590293601</v>
      </c>
      <c r="GD334">
        <v>0.53900224819047959</v>
      </c>
      <c r="GE334">
        <v>4.2077203028358472</v>
      </c>
      <c r="GF334">
        <v>8.9930525612529717</v>
      </c>
      <c r="GG334">
        <v>4.0946775892369436</v>
      </c>
      <c r="GH334">
        <v>2.1613089817471502</v>
      </c>
      <c r="GI334">
        <v>4.2795034272722354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10.24456157965194</v>
      </c>
      <c r="AO335">
        <v>7.8344007697837075</v>
      </c>
      <c r="AP335">
        <v>37.327053504562308</v>
      </c>
      <c r="AQ335">
        <v>36.002866741463755</v>
      </c>
      <c r="AR335">
        <v>7.3041108644399255</v>
      </c>
      <c r="AS335">
        <v>36.709193517792755</v>
      </c>
      <c r="AT335">
        <v>4.8030989036967364</v>
      </c>
      <c r="AU335">
        <v>3.0416007679255279</v>
      </c>
      <c r="AV335"/>
      <c r="AW335"/>
      <c r="FY335" s="212">
        <v>330</v>
      </c>
      <c r="FZ335">
        <v>0.1873434675487306</v>
      </c>
      <c r="GA335">
        <v>3.011564986562357</v>
      </c>
      <c r="GB335">
        <v>6.5700735286722205</v>
      </c>
      <c r="GC335">
        <v>3.4219062027695504</v>
      </c>
      <c r="GD335">
        <v>1.3743764635290381</v>
      </c>
      <c r="GE335">
        <v>2.3144927896669083</v>
      </c>
      <c r="GF335">
        <v>6.1125958795119635</v>
      </c>
      <c r="GG335">
        <v>6.529563707918129</v>
      </c>
      <c r="GH335">
        <v>2.4430315883268157</v>
      </c>
      <c r="GI335">
        <v>4.5825336288943515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19.426879084967318</v>
      </c>
      <c r="AO336">
        <v>10.573705175223648</v>
      </c>
      <c r="AP336">
        <v>69.981873910563223</v>
      </c>
      <c r="AQ336">
        <v>54.956141035753205</v>
      </c>
      <c r="AR336">
        <v>9.7304317381585612</v>
      </c>
      <c r="AS336">
        <v>49.771915008231289</v>
      </c>
      <c r="AT336">
        <v>5.9017896282141118</v>
      </c>
      <c r="AU336">
        <v>22.647460056551981</v>
      </c>
      <c r="AV336"/>
      <c r="AW336"/>
      <c r="FY336" s="212">
        <v>331</v>
      </c>
      <c r="FZ336">
        <v>0.18457348748049696</v>
      </c>
      <c r="GA336">
        <v>4.7854148868210764</v>
      </c>
      <c r="GB336">
        <v>9.0750067081448851</v>
      </c>
      <c r="GC336">
        <v>3.9144249115677869</v>
      </c>
      <c r="GD336">
        <v>1.2254657456204872</v>
      </c>
      <c r="GE336">
        <v>4.1942073539544982</v>
      </c>
      <c r="GF336">
        <v>11.76549160678567</v>
      </c>
      <c r="GG336">
        <v>9.2478488481273367</v>
      </c>
      <c r="GH336">
        <v>1.6144052470520731</v>
      </c>
      <c r="GI336">
        <v>6.4857891789725421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12.222975234270416</v>
      </c>
      <c r="AO337">
        <v>9.9167688468291146</v>
      </c>
      <c r="AP337">
        <v>47.712852946454035</v>
      </c>
      <c r="AQ337">
        <v>46.158337899426982</v>
      </c>
      <c r="AR337">
        <v>9.0823187156170846</v>
      </c>
      <c r="AS337">
        <v>46.650259982861051</v>
      </c>
      <c r="AT337">
        <v>6.2421813395591679</v>
      </c>
      <c r="AU337">
        <v>8.5891918678851003</v>
      </c>
      <c r="AV337"/>
      <c r="AW337"/>
      <c r="FY337" s="212">
        <v>332</v>
      </c>
      <c r="FZ337">
        <v>0.39794221938831548</v>
      </c>
      <c r="GA337">
        <v>4.4229069453249394</v>
      </c>
      <c r="GB337">
        <v>5.159403566213145</v>
      </c>
      <c r="GC337">
        <v>1.7739738026920222</v>
      </c>
      <c r="GD337">
        <v>0.72603320572101604</v>
      </c>
      <c r="GE337">
        <v>3.1341382734917489</v>
      </c>
      <c r="GF337">
        <v>10.294834836260005</v>
      </c>
      <c r="GG337">
        <v>8.902478198451151</v>
      </c>
      <c r="GH337">
        <v>2.533930330768277</v>
      </c>
      <c r="GI337">
        <v>4.8875692510828381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22.081162886841479</v>
      </c>
      <c r="AO338">
        <v>12.93912970523605</v>
      </c>
      <c r="AP338">
        <v>80.259868921143564</v>
      </c>
      <c r="AQ338">
        <v>63.453479244448957</v>
      </c>
      <c r="AR338">
        <v>11.877320179735042</v>
      </c>
      <c r="AS338">
        <v>58.599389595087032</v>
      </c>
      <c r="AT338">
        <v>6.9502833439838883</v>
      </c>
      <c r="AU338">
        <v>41.051382581180853</v>
      </c>
      <c r="AV338"/>
      <c r="AW338"/>
      <c r="FY338" s="212">
        <v>333</v>
      </c>
      <c r="FZ338">
        <v>3.2218656837467816</v>
      </c>
      <c r="GA338">
        <v>10.261803167115106</v>
      </c>
      <c r="GB338">
        <v>9.7363358392822796</v>
      </c>
      <c r="GC338">
        <v>4.1800988852757541</v>
      </c>
      <c r="GD338">
        <v>1.231067477486423</v>
      </c>
      <c r="GE338">
        <v>1.8936994577361865</v>
      </c>
      <c r="GF338">
        <v>3.3617119744379167</v>
      </c>
      <c r="GG338">
        <v>2.7764222689810301</v>
      </c>
      <c r="GH338">
        <v>1.0719709147759695</v>
      </c>
      <c r="GI338">
        <v>4.7329743968609428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23.081290849673202</v>
      </c>
      <c r="AO339">
        <v>12.298016873710495</v>
      </c>
      <c r="AP339">
        <v>95.94031643623552</v>
      </c>
      <c r="AQ339">
        <v>62.842913612995076</v>
      </c>
      <c r="AR339">
        <v>11.252547762951727</v>
      </c>
      <c r="AS339">
        <v>58.257283476836079</v>
      </c>
      <c r="AT339">
        <v>6.6075579674444818</v>
      </c>
      <c r="AU339">
        <v>72.531232592156172</v>
      </c>
      <c r="AV339"/>
      <c r="AW339"/>
      <c r="FY339" s="212">
        <v>334</v>
      </c>
      <c r="FZ339">
        <v>3.5509689719416651</v>
      </c>
      <c r="GA339">
        <v>7.0902338253751767</v>
      </c>
      <c r="GB339">
        <v>11.530507544559002</v>
      </c>
      <c r="GC339">
        <v>5.7784855262324246</v>
      </c>
      <c r="GD339">
        <v>0.97178483393089987</v>
      </c>
      <c r="GE339">
        <v>1.6522238954797603</v>
      </c>
      <c r="GF339">
        <v>5.3305318523464038</v>
      </c>
      <c r="GG339">
        <v>6.8175710807035985</v>
      </c>
      <c r="GH339">
        <v>3.3082035435619392</v>
      </c>
      <c r="GI339">
        <v>6.0196952693756849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14.869689542483655</v>
      </c>
      <c r="AO340">
        <v>7.7210841339972092</v>
      </c>
      <c r="AP340">
        <v>47.540134129272047</v>
      </c>
      <c r="AQ340">
        <v>39.27702947095365</v>
      </c>
      <c r="AR340">
        <v>7.0495735130977319</v>
      </c>
      <c r="AS340">
        <v>41.959549553387475</v>
      </c>
      <c r="AT340">
        <v>4.5802193310231845</v>
      </c>
      <c r="AU340">
        <v>18.48734383624608</v>
      </c>
      <c r="AV340"/>
      <c r="AW340"/>
      <c r="FY340" s="212">
        <v>335</v>
      </c>
      <c r="FZ340">
        <v>6.37359425869899</v>
      </c>
      <c r="GA340">
        <v>11.533494182128035</v>
      </c>
      <c r="GB340">
        <v>6.544942664262634</v>
      </c>
      <c r="GC340">
        <v>2.9209620164928349</v>
      </c>
      <c r="GD340">
        <v>2.309961816182192</v>
      </c>
      <c r="GE340">
        <v>5.4584254766798548</v>
      </c>
      <c r="GF340">
        <v>7.966813945511559</v>
      </c>
      <c r="GG340">
        <v>6.6127754249825479</v>
      </c>
      <c r="GH340">
        <v>3.4658762872840603</v>
      </c>
      <c r="GI340">
        <v>6.7456723344929843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20.429266083943617</v>
      </c>
      <c r="AO341">
        <v>5.9995376108189813</v>
      </c>
      <c r="AP341">
        <v>141.99209377425615</v>
      </c>
      <c r="AQ341">
        <v>37.848150793983216</v>
      </c>
      <c r="AR341">
        <v>5.6105467366152988</v>
      </c>
      <c r="AS341">
        <v>32.269251795376853</v>
      </c>
      <c r="AT341" t="e">
        <v>#DIV/0!</v>
      </c>
      <c r="AU341" t="e">
        <v>#DIV/0!</v>
      </c>
      <c r="AV341"/>
      <c r="AW341"/>
      <c r="FY341" s="212">
        <v>336</v>
      </c>
      <c r="FZ341">
        <v>6.5482036808519251</v>
      </c>
      <c r="GA341">
        <v>9.2549483304317146</v>
      </c>
      <c r="GB341">
        <v>5.3667356345283563</v>
      </c>
      <c r="GC341">
        <v>2.7643963842848711</v>
      </c>
      <c r="GD341">
        <v>0.8507406708569345</v>
      </c>
      <c r="GE341">
        <v>3.1374595391603917</v>
      </c>
      <c r="GF341">
        <v>6.4268798618908978</v>
      </c>
      <c r="GG341">
        <v>2.8383938971291913</v>
      </c>
      <c r="GH341">
        <v>1.3796676130944712</v>
      </c>
      <c r="GI341">
        <v>4.5034780866295545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15.200303665642963</v>
      </c>
      <c r="AO342">
        <v>7.7776881175144776</v>
      </c>
      <c r="AP342">
        <v>47.257819569469667</v>
      </c>
      <c r="AQ342">
        <v>40.254123156489783</v>
      </c>
      <c r="AR342">
        <v>7.1861967804240363</v>
      </c>
      <c r="AS342">
        <v>38.181035260352473</v>
      </c>
      <c r="AT342">
        <v>3.821937098462973</v>
      </c>
      <c r="AU342">
        <v>19.191646946035576</v>
      </c>
      <c r="AV342"/>
      <c r="AW342"/>
      <c r="FY342" s="212">
        <v>337</v>
      </c>
      <c r="FZ342">
        <v>3.2744697910427361</v>
      </c>
      <c r="GA342">
        <v>6.8573838670593137</v>
      </c>
      <c r="GB342">
        <v>5.5125163070726177</v>
      </c>
      <c r="GC342">
        <v>2.5626692244611191</v>
      </c>
      <c r="GD342">
        <v>1.3007767206222696</v>
      </c>
      <c r="GE342">
        <v>4.1223524874714856</v>
      </c>
      <c r="GF342">
        <v>5.7501140356175284</v>
      </c>
      <c r="GG342">
        <v>2.5738756468777373</v>
      </c>
      <c r="GH342">
        <v>2.7262399689401242</v>
      </c>
      <c r="GI342">
        <v>4.3774307089679088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12.807189542483661</v>
      </c>
      <c r="AO343">
        <v>8.7142966972089067</v>
      </c>
      <c r="AP343">
        <v>56.921296292049497</v>
      </c>
      <c r="AQ343">
        <v>41.695537305604162</v>
      </c>
      <c r="AR343">
        <v>7.988358257469292</v>
      </c>
      <c r="AS343">
        <v>38.048508553223975</v>
      </c>
      <c r="AT343">
        <v>5.6503263253263247</v>
      </c>
      <c r="AU343">
        <v>26.522750516144363</v>
      </c>
      <c r="AV343"/>
      <c r="AW343"/>
      <c r="FY343" s="212">
        <v>338</v>
      </c>
      <c r="FZ343">
        <v>0.56462165504837702</v>
      </c>
      <c r="GA343">
        <v>4.461064128571822</v>
      </c>
      <c r="GB343">
        <v>7.4349955987982801</v>
      </c>
      <c r="GC343">
        <v>3.4096856732759773</v>
      </c>
      <c r="GD343">
        <v>1.1039715222379944</v>
      </c>
      <c r="GE343">
        <v>3.1504272745003492</v>
      </c>
      <c r="GF343">
        <v>6.1090550922854998</v>
      </c>
      <c r="GG343">
        <v>5.6746369436574655</v>
      </c>
      <c r="GH343">
        <v>3.6704684771990514</v>
      </c>
      <c r="GI343">
        <v>4.7832741196516135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18.142156862745097</v>
      </c>
      <c r="AO344">
        <v>7.1812300230141162</v>
      </c>
      <c r="AP344">
        <v>43.69212233706066</v>
      </c>
      <c r="AQ344">
        <v>35.837943595336725</v>
      </c>
      <c r="AR344">
        <v>6.6100586237784267</v>
      </c>
      <c r="AS344">
        <v>38.324176937353009</v>
      </c>
      <c r="AT344">
        <v>3.7910066086841261</v>
      </c>
      <c r="AU344">
        <v>24.97794552855019</v>
      </c>
      <c r="AV344"/>
      <c r="AW344"/>
      <c r="FY344" s="212">
        <v>339</v>
      </c>
      <c r="FZ344">
        <v>0.19287832488510082</v>
      </c>
      <c r="GA344">
        <v>2.407779018339756</v>
      </c>
      <c r="GB344">
        <v>4.8232461781613818</v>
      </c>
      <c r="GC344">
        <v>2.5315262767116007</v>
      </c>
      <c r="GD344">
        <v>1.039378677487137</v>
      </c>
      <c r="GE344">
        <v>2.9942217507616142</v>
      </c>
      <c r="GF344">
        <v>7.2364533211566453</v>
      </c>
      <c r="GG344">
        <v>6.9918719806238858</v>
      </c>
      <c r="GH344">
        <v>4.0262564551372968</v>
      </c>
      <c r="GI344">
        <v>4.397592695895443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15.216911764705884</v>
      </c>
      <c r="AO345">
        <v>6.99362521901576</v>
      </c>
      <c r="AP345">
        <v>58.840250267754655</v>
      </c>
      <c r="AQ345">
        <v>40.931057436294978</v>
      </c>
      <c r="AR345">
        <v>6.4623180796114807</v>
      </c>
      <c r="AS345">
        <v>36.869209364867253</v>
      </c>
      <c r="AT345">
        <v>4.1795569272700277</v>
      </c>
      <c r="AU345">
        <v>30.372713489535293</v>
      </c>
      <c r="AV345"/>
      <c r="AW345"/>
      <c r="FY345" s="212">
        <v>340</v>
      </c>
      <c r="FZ345">
        <v>0.26819434349432519</v>
      </c>
      <c r="GA345">
        <v>2.3575713337959243</v>
      </c>
      <c r="GB345">
        <v>5.7967277225194023</v>
      </c>
      <c r="GC345">
        <v>3.5592417759509551</v>
      </c>
      <c r="GD345">
        <v>1.1757364457077144</v>
      </c>
      <c r="GE345">
        <v>1.9582740348177237</v>
      </c>
      <c r="GF345">
        <v>7.8196173177044779</v>
      </c>
      <c r="GG345">
        <v>6.9318427360378703</v>
      </c>
      <c r="GH345">
        <v>1.6505569273134642</v>
      </c>
      <c r="GI345">
        <v>4.5959978250909979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19.167215430348847</v>
      </c>
      <c r="AO346">
        <v>7.4575197409932583</v>
      </c>
      <c r="AP346">
        <v>45.364480848596251</v>
      </c>
      <c r="AQ346">
        <v>36.547482243400061</v>
      </c>
      <c r="AR346">
        <v>6.8965617036031821</v>
      </c>
      <c r="AS346">
        <v>40.333943725580589</v>
      </c>
      <c r="AT346">
        <v>3.9481154160759444</v>
      </c>
      <c r="AU346">
        <v>6.731442881529504</v>
      </c>
      <c r="AV346"/>
      <c r="AW346"/>
      <c r="FY346" s="212">
        <v>341</v>
      </c>
      <c r="FZ346">
        <v>9.7588071216700065</v>
      </c>
      <c r="GA346">
        <v>14.086285322367727</v>
      </c>
      <c r="GB346">
        <v>12.984835029117825</v>
      </c>
      <c r="GC346">
        <v>6.7441686773630201</v>
      </c>
      <c r="GD346">
        <v>0.96543517125451317</v>
      </c>
      <c r="GE346">
        <v>2.3694669507253527</v>
      </c>
      <c r="GF346">
        <v>8.4673878404371479</v>
      </c>
      <c r="GG346">
        <v>6.865027389621094</v>
      </c>
      <c r="GH346">
        <v>2.7159490799853021</v>
      </c>
      <c r="GI346">
        <v>7.8794479238187138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15.983391900937079</v>
      </c>
      <c r="AO347">
        <v>10.820407922887062</v>
      </c>
      <c r="AP347">
        <v>54.453301956366346</v>
      </c>
      <c r="AQ347">
        <v>52.492627974526854</v>
      </c>
      <c r="AR347">
        <v>9.9441474224169148</v>
      </c>
      <c r="AS347">
        <v>53.758413067345195</v>
      </c>
      <c r="AT347">
        <v>6.5638999999806851</v>
      </c>
      <c r="AU347">
        <v>4.3092644774623832</v>
      </c>
      <c r="AV347"/>
      <c r="AW347"/>
      <c r="FY347" s="212">
        <v>342</v>
      </c>
      <c r="FZ347">
        <v>3.4797211110018154</v>
      </c>
      <c r="GA347">
        <v>5.2084753191585884</v>
      </c>
      <c r="GB347">
        <v>5.9779198367889119</v>
      </c>
      <c r="GC347">
        <v>3.3844097236508772</v>
      </c>
      <c r="GD347">
        <v>0.8820034519268114</v>
      </c>
      <c r="GE347">
        <v>2.5514524312844102</v>
      </c>
      <c r="GF347">
        <v>5.2898928353671195</v>
      </c>
      <c r="GG347">
        <v>3.277091698881784</v>
      </c>
      <c r="GH347">
        <v>2.3789007278436438</v>
      </c>
      <c r="GI347">
        <v>4.2703893254998082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14.360025887865186</v>
      </c>
      <c r="AO348">
        <v>8.1042404803191594</v>
      </c>
      <c r="AP348">
        <v>54.656919197712725</v>
      </c>
      <c r="AQ348">
        <v>42.233210629393454</v>
      </c>
      <c r="AR348">
        <v>7.5104106670616417</v>
      </c>
      <c r="AS348">
        <v>38.82781006019561</v>
      </c>
      <c r="AT348">
        <v>5.2868070710017996</v>
      </c>
      <c r="AU348">
        <v>17.427242614141331</v>
      </c>
      <c r="AV348"/>
      <c r="AW348"/>
      <c r="FY348" s="212">
        <v>343</v>
      </c>
      <c r="FZ348">
        <v>6.5777348265127937</v>
      </c>
      <c r="GA348">
        <v>9.9380374285019872</v>
      </c>
      <c r="GB348">
        <v>8.4011487192459224</v>
      </c>
      <c r="GC348">
        <v>4.041669309202792</v>
      </c>
      <c r="GD348">
        <v>1.1324925098882019</v>
      </c>
      <c r="GE348">
        <v>4.4195130154827647</v>
      </c>
      <c r="GF348">
        <v>8.816731219653283</v>
      </c>
      <c r="GG348">
        <v>5.1790196990640984</v>
      </c>
      <c r="GH348">
        <v>2.0290971728111353</v>
      </c>
      <c r="GI348">
        <v>6.2347460199616593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12.674364123159304</v>
      </c>
      <c r="AO349">
        <v>7.7059453829805182</v>
      </c>
      <c r="AP349">
        <v>36.764685739695011</v>
      </c>
      <c r="AQ349">
        <v>42.467950065698389</v>
      </c>
      <c r="AR349">
        <v>7.0513852917276019</v>
      </c>
      <c r="AS349">
        <v>40.795679231020273</v>
      </c>
      <c r="AT349">
        <v>3.9873209430718446</v>
      </c>
      <c r="AU349">
        <v>4.1793717658436265</v>
      </c>
      <c r="AV349"/>
      <c r="AW349"/>
      <c r="FY349" s="212">
        <v>344</v>
      </c>
      <c r="FZ349">
        <v>6.711925710987888</v>
      </c>
      <c r="GA349">
        <v>10.867149234026856</v>
      </c>
      <c r="GB349">
        <v>8.3978524641210228</v>
      </c>
      <c r="GC349">
        <v>4.1878372435067845</v>
      </c>
      <c r="GD349">
        <v>1.3393470205527824</v>
      </c>
      <c r="GE349">
        <v>4.3167139767802869</v>
      </c>
      <c r="GF349">
        <v>8.3022547475898882</v>
      </c>
      <c r="GG349">
        <v>5.5033587268627961</v>
      </c>
      <c r="GH349">
        <v>3.5172882248524528</v>
      </c>
      <c r="GI349">
        <v>6.5342323426901343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14.28894745649264</v>
      </c>
      <c r="AO350">
        <v>9.9658813678325959</v>
      </c>
      <c r="AP350">
        <v>41.715089893305439</v>
      </c>
      <c r="AQ350">
        <v>52.050206343506559</v>
      </c>
      <c r="AR350">
        <v>9.080120499370679</v>
      </c>
      <c r="AS350">
        <v>49.434651326872128</v>
      </c>
      <c r="AT350">
        <v>5.3967592800927457</v>
      </c>
      <c r="AU350">
        <v>-2.8292458039863053</v>
      </c>
      <c r="AV350"/>
      <c r="AW350"/>
      <c r="FY350" s="212">
        <v>345</v>
      </c>
      <c r="FZ350">
        <v>3.3870595163498374</v>
      </c>
      <c r="GA350">
        <v>8.9807323899866169</v>
      </c>
      <c r="GB350">
        <v>8.8536217807110127</v>
      </c>
      <c r="GC350">
        <v>4.056765422757973</v>
      </c>
      <c r="GD350">
        <v>2.2472128063285486</v>
      </c>
      <c r="GE350">
        <v>5.4469757097594718</v>
      </c>
      <c r="GF350">
        <v>11.219165883818667</v>
      </c>
      <c r="GG350">
        <v>8.815431982010395</v>
      </c>
      <c r="GH350">
        <v>2.7655116669756614</v>
      </c>
      <c r="GI350">
        <v>7.6987858020668334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16.731553665642966</v>
      </c>
      <c r="AO351">
        <v>11.32023971152903</v>
      </c>
      <c r="AP351">
        <v>62.823323620228052</v>
      </c>
      <c r="AQ351">
        <v>59.932518406715694</v>
      </c>
      <c r="AR351">
        <v>10.436690128121819</v>
      </c>
      <c r="AS351">
        <v>53.363361574691353</v>
      </c>
      <c r="AT351">
        <v>5.4025746593453015</v>
      </c>
      <c r="AU351">
        <v>34.915595817565567</v>
      </c>
      <c r="AV351"/>
      <c r="AW351"/>
      <c r="FY351" s="212">
        <v>346</v>
      </c>
      <c r="FZ351">
        <v>3.4066265966831439</v>
      </c>
      <c r="GA351">
        <v>6.3687075912487696</v>
      </c>
      <c r="GB351">
        <v>8.8078923192884435</v>
      </c>
      <c r="GC351">
        <v>4.4280103622514666</v>
      </c>
      <c r="GD351">
        <v>0.90804677409317303</v>
      </c>
      <c r="GE351">
        <v>1.7071355244277664</v>
      </c>
      <c r="GF351">
        <v>3.2933035691864543</v>
      </c>
      <c r="GG351">
        <v>3.1504666393149812</v>
      </c>
      <c r="GH351">
        <v>1.8377370627636522</v>
      </c>
      <c r="GI351">
        <v>4.4187344351178304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16.878140011024488</v>
      </c>
      <c r="AO352">
        <v>7.4425167701895889</v>
      </c>
      <c r="AP352">
        <v>60.68471133724583</v>
      </c>
      <c r="AQ352">
        <v>43.070903698858316</v>
      </c>
      <c r="AR352">
        <v>6.9060869616815062</v>
      </c>
      <c r="AS352">
        <v>38.097667164656336</v>
      </c>
      <c r="AT352">
        <v>3.3619189785287475</v>
      </c>
      <c r="AU352">
        <v>15.523740628382663</v>
      </c>
      <c r="AV352"/>
      <c r="AW352"/>
      <c r="FY352" s="212">
        <v>347</v>
      </c>
      <c r="FZ352">
        <v>0.3298391894284296</v>
      </c>
      <c r="GA352">
        <v>3.8912851579861503</v>
      </c>
      <c r="GB352">
        <v>8.138574423200831</v>
      </c>
      <c r="GC352">
        <v>4.0111252501974146</v>
      </c>
      <c r="GD352">
        <v>1.7527922686508932</v>
      </c>
      <c r="GE352">
        <v>4.2791710390599587</v>
      </c>
      <c r="GF352">
        <v>8.3935303609636804</v>
      </c>
      <c r="GG352">
        <v>6.7466145848548713</v>
      </c>
      <c r="GH352">
        <v>2.4389620424283058</v>
      </c>
      <c r="GI352">
        <v>5.8883545409949747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13.630106209150323</v>
      </c>
      <c r="AO353">
        <v>6.9610025843427579</v>
      </c>
      <c r="AP353">
        <v>39.903316014011565</v>
      </c>
      <c r="AQ353">
        <v>39.057828758132842</v>
      </c>
      <c r="AR353">
        <v>6.4837441355796983</v>
      </c>
      <c r="AS353">
        <v>38.917049900280738</v>
      </c>
      <c r="AT353">
        <v>3.7157324950406454</v>
      </c>
      <c r="AU353">
        <v>18.766423508288458</v>
      </c>
      <c r="AV353"/>
      <c r="AW353"/>
      <c r="FY353" s="212">
        <v>348</v>
      </c>
      <c r="FZ353">
        <v>3.4269295782499967</v>
      </c>
      <c r="GA353">
        <v>7.5812854188223131</v>
      </c>
      <c r="GB353">
        <v>5.7109050581341352</v>
      </c>
      <c r="GC353">
        <v>2.4652458296935773</v>
      </c>
      <c r="GD353">
        <v>1.564206709580406</v>
      </c>
      <c r="GE353">
        <v>2.8994138061570216</v>
      </c>
      <c r="GF353">
        <v>4.094797135903832</v>
      </c>
      <c r="GG353">
        <v>4.4200258359279179</v>
      </c>
      <c r="GH353">
        <v>3.2684186885736715</v>
      </c>
      <c r="GI353">
        <v>4.498132847145877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14.542419678714856</v>
      </c>
      <c r="AO354">
        <v>7.714148119620118</v>
      </c>
      <c r="AP354">
        <v>25.987002055940803</v>
      </c>
      <c r="AQ354">
        <v>40.362200485226431</v>
      </c>
      <c r="AR354">
        <v>7.076193488879956</v>
      </c>
      <c r="AS354">
        <v>38.841573731105861</v>
      </c>
      <c r="AT354">
        <v>4.2087964656344372</v>
      </c>
      <c r="AU354">
        <v>-3.4570919222335301</v>
      </c>
      <c r="AV354"/>
      <c r="AW354"/>
      <c r="FY354" s="212">
        <v>349</v>
      </c>
      <c r="FZ354">
        <v>3.3141524274870298</v>
      </c>
      <c r="GA354">
        <v>7.265055571177486</v>
      </c>
      <c r="GB354">
        <v>5.5919220883882588</v>
      </c>
      <c r="GC354">
        <v>2.4481139444126416</v>
      </c>
      <c r="GD354">
        <v>1.8332811503799447</v>
      </c>
      <c r="GE354">
        <v>4.1875989483845641</v>
      </c>
      <c r="GF354">
        <v>10.548952765318884</v>
      </c>
      <c r="GG354">
        <v>9.9622006184328651</v>
      </c>
      <c r="GH354">
        <v>1.1612415709734991</v>
      </c>
      <c r="GI354">
        <v>6.138944795670211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22.673202614379086</v>
      </c>
      <c r="AO355">
        <v>7.2248720631370702</v>
      </c>
      <c r="AP355">
        <v>50.865716101617828</v>
      </c>
      <c r="AQ355">
        <v>36.641204679159856</v>
      </c>
      <c r="AR355">
        <v>6.6504687601763353</v>
      </c>
      <c r="AS355">
        <v>36.97363649518374</v>
      </c>
      <c r="AT355">
        <v>4.2078847390874712</v>
      </c>
      <c r="AU355">
        <v>50.567131178353989</v>
      </c>
      <c r="AV355"/>
      <c r="AW355"/>
      <c r="FY355" s="212">
        <v>350</v>
      </c>
      <c r="FZ355">
        <v>9.7073137665193272</v>
      </c>
      <c r="GA355">
        <v>13.237443971090865</v>
      </c>
      <c r="GB355">
        <v>7.3449000281855428</v>
      </c>
      <c r="GC355">
        <v>3.3898199246971963</v>
      </c>
      <c r="GD355">
        <v>0.84263499023001742</v>
      </c>
      <c r="GE355">
        <v>3.1576610730272474</v>
      </c>
      <c r="GF355">
        <v>7.2809457392624548</v>
      </c>
      <c r="GG355">
        <v>6.5247199896495145</v>
      </c>
      <c r="GH355">
        <v>2.6806336274160087</v>
      </c>
      <c r="GI355">
        <v>6.0707180891739672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11.168925702811245</v>
      </c>
      <c r="AO356">
        <v>7.6177607620557497</v>
      </c>
      <c r="AP356">
        <v>40.740582338840383</v>
      </c>
      <c r="AQ356">
        <v>36.113760462432857</v>
      </c>
      <c r="AR356">
        <v>7.0169604813037338</v>
      </c>
      <c r="AS356">
        <v>38.227407889859599</v>
      </c>
      <c r="AT356" t="e">
        <v>#DIV/0!</v>
      </c>
      <c r="AU356" t="e">
        <v>#DIV/0!</v>
      </c>
      <c r="AV356"/>
      <c r="AW356"/>
      <c r="FY356" s="212">
        <v>351</v>
      </c>
      <c r="FZ356">
        <v>9.5963832691351847</v>
      </c>
      <c r="GA356">
        <v>14.353835442496827</v>
      </c>
      <c r="GB356">
        <v>6.3115742920001514</v>
      </c>
      <c r="GC356">
        <v>2.4664904750467533</v>
      </c>
      <c r="GD356">
        <v>0.63644328456314325</v>
      </c>
      <c r="GE356">
        <v>1.6791364345605291</v>
      </c>
      <c r="GF356">
        <v>4.4994373628851463</v>
      </c>
      <c r="GG356">
        <v>5.1577796101478404</v>
      </c>
      <c r="GH356">
        <v>3.6400249830412426</v>
      </c>
      <c r="GI356">
        <v>5.0967545744109044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26.372076541459961</v>
      </c>
      <c r="AO357">
        <v>13.226379836890407</v>
      </c>
      <c r="AP357">
        <v>100.61529427489842</v>
      </c>
      <c r="AQ357">
        <v>72.836810506360706</v>
      </c>
      <c r="AR357">
        <v>12.175175765279601</v>
      </c>
      <c r="AS357">
        <v>65.173821972997359</v>
      </c>
      <c r="AT357">
        <v>6.2439790333326135</v>
      </c>
      <c r="AU357">
        <v>20.160706605007352</v>
      </c>
      <c r="AV357"/>
      <c r="AW357"/>
      <c r="FY357" s="212">
        <v>352</v>
      </c>
      <c r="FZ357">
        <v>6.5474677796183798</v>
      </c>
      <c r="GA357">
        <v>11.35119735160734</v>
      </c>
      <c r="GB357">
        <v>9.4614069047548153</v>
      </c>
      <c r="GC357">
        <v>4.5609759161609178</v>
      </c>
      <c r="GD357">
        <v>1.0172628233693513</v>
      </c>
      <c r="GE357">
        <v>1.6740347512718257</v>
      </c>
      <c r="GF357">
        <v>9.6697735484654554</v>
      </c>
      <c r="GG357">
        <v>9.2763030373491162</v>
      </c>
      <c r="GH357">
        <v>0.94085094617460741</v>
      </c>
      <c r="GI357">
        <v>6.786945262934295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11.111864123159304</v>
      </c>
      <c r="AO358">
        <v>7.0226973245911095</v>
      </c>
      <c r="AP358">
        <v>35.551263883312878</v>
      </c>
      <c r="AQ358">
        <v>36.700256461403768</v>
      </c>
      <c r="AR358">
        <v>6.4978837084358396</v>
      </c>
      <c r="AS358">
        <v>34.939914778263649</v>
      </c>
      <c r="AT358">
        <v>3.7393568047604666</v>
      </c>
      <c r="AU358">
        <v>3.9049641277484897</v>
      </c>
      <c r="AV358"/>
      <c r="AW358"/>
      <c r="FY358" s="212">
        <v>353</v>
      </c>
      <c r="FZ358">
        <v>3.344794325293174</v>
      </c>
      <c r="GA358">
        <v>6.883307237876668</v>
      </c>
      <c r="GB358">
        <v>11.178671410805489</v>
      </c>
      <c r="GC358">
        <v>5.6473125467465728</v>
      </c>
      <c r="GD358">
        <v>1.2867889940177701</v>
      </c>
      <c r="GE358">
        <v>3.3066600634390433</v>
      </c>
      <c r="GF358">
        <v>12.140190869858914</v>
      </c>
      <c r="GG358">
        <v>12.122661518889378</v>
      </c>
      <c r="GH358">
        <v>3.9186825443148141</v>
      </c>
      <c r="GI358">
        <v>7.9384184230400603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21.094298763682172</v>
      </c>
      <c r="AO359">
        <v>10.42437366614735</v>
      </c>
      <c r="AP359">
        <v>76.852834279276806</v>
      </c>
      <c r="AQ359">
        <v>56.770189920324647</v>
      </c>
      <c r="AR359">
        <v>9.5593451238102514</v>
      </c>
      <c r="AS359">
        <v>52.517063420225874</v>
      </c>
      <c r="AT359">
        <v>5.1501468973786668</v>
      </c>
      <c r="AU359">
        <v>53.248637195504848</v>
      </c>
      <c r="AV359"/>
      <c r="AW359"/>
      <c r="FY359" s="212">
        <v>354</v>
      </c>
      <c r="FZ359">
        <v>3.2643183002593092</v>
      </c>
      <c r="GA359">
        <v>7.8102413363524787</v>
      </c>
      <c r="GB359">
        <v>5.8632567956344266</v>
      </c>
      <c r="GC359">
        <v>2.7127411437912281</v>
      </c>
      <c r="GD359">
        <v>0.77594293683118765</v>
      </c>
      <c r="GE359">
        <v>2.8374945748530207</v>
      </c>
      <c r="GF359">
        <v>8.7529398079157374</v>
      </c>
      <c r="GG359">
        <v>5.9519634965886077</v>
      </c>
      <c r="GH359">
        <v>1.8493641453437779</v>
      </c>
      <c r="GI359">
        <v>4.8910915598510449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15.681308567603747</v>
      </c>
      <c r="AO360">
        <v>10.808861914774781</v>
      </c>
      <c r="AP360">
        <v>56.339091123769933</v>
      </c>
      <c r="AQ360">
        <v>59.677959691970898</v>
      </c>
      <c r="AR360">
        <v>9.9873138074529368</v>
      </c>
      <c r="AS360">
        <v>52.848250388419444</v>
      </c>
      <c r="AT360">
        <v>5.5318064130843752</v>
      </c>
      <c r="AU360">
        <v>9.8250328189209846</v>
      </c>
      <c r="AV360"/>
      <c r="AW360"/>
      <c r="FY360" s="212">
        <v>355</v>
      </c>
      <c r="FZ360">
        <v>0.26616026465963777</v>
      </c>
      <c r="GA360">
        <v>3.6083440376245264</v>
      </c>
      <c r="GB360">
        <v>5.584374729301115</v>
      </c>
      <c r="GC360">
        <v>2.2499696351112046</v>
      </c>
      <c r="GD360">
        <v>1.0358285919048891</v>
      </c>
      <c r="GE360">
        <v>4.7986291769104827</v>
      </c>
      <c r="GF360">
        <v>8.2687225355274734</v>
      </c>
      <c r="GG360">
        <v>4.1566492173851044</v>
      </c>
      <c r="GH360">
        <v>1.9904041581575207</v>
      </c>
      <c r="GI360">
        <v>4.4994622120276642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22.5040209859044</v>
      </c>
      <c r="AO361">
        <v>12.922557624601074</v>
      </c>
      <c r="AP361">
        <v>65.687878437430058</v>
      </c>
      <c r="AQ361">
        <v>63.471262960765017</v>
      </c>
      <c r="AR361">
        <v>11.906155115592792</v>
      </c>
      <c r="AS361">
        <v>63.555583021911389</v>
      </c>
      <c r="AT361">
        <v>6.5544944996613843</v>
      </c>
      <c r="AU361">
        <v>45.283475625452574</v>
      </c>
      <c r="AV361"/>
      <c r="AW361"/>
      <c r="FY361" s="212">
        <v>356</v>
      </c>
      <c r="FZ361">
        <v>0.1135130519965124</v>
      </c>
      <c r="GA361">
        <v>3.0339774528535246</v>
      </c>
      <c r="GB361">
        <v>3.8458535655784809</v>
      </c>
      <c r="GC361">
        <v>2.1762795306765725</v>
      </c>
      <c r="GD361">
        <v>1.9847729489956423</v>
      </c>
      <c r="GE361">
        <v>3.3719578103242149</v>
      </c>
      <c r="GF361">
        <v>6.1201985019770451</v>
      </c>
      <c r="GG361">
        <v>6.7878881411535552</v>
      </c>
      <c r="GH361">
        <v>2.9836165700248851</v>
      </c>
      <c r="GI361">
        <v>4.4152429393578991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13.71875</v>
      </c>
      <c r="AO362">
        <v>7.2093420360117735</v>
      </c>
      <c r="AP362">
        <v>30.083449100454668</v>
      </c>
      <c r="AQ362">
        <v>38.326660874375676</v>
      </c>
      <c r="AR362">
        <v>6.6172212461070812</v>
      </c>
      <c r="AS362">
        <v>39.021408587606253</v>
      </c>
      <c r="AT362">
        <v>3.4464618150521091</v>
      </c>
      <c r="AU362">
        <v>2.1833678455143866</v>
      </c>
      <c r="AV362"/>
      <c r="AW362"/>
      <c r="FY362" s="212">
        <v>357</v>
      </c>
      <c r="FZ362">
        <v>0.23644169354290495</v>
      </c>
      <c r="GA362">
        <v>3.8011125613919772</v>
      </c>
      <c r="GB362">
        <v>4.6573094365473873</v>
      </c>
      <c r="GC362">
        <v>2.140622411468081</v>
      </c>
      <c r="GD362">
        <v>2.0583475764244956</v>
      </c>
      <c r="GE362">
        <v>6.3430833563861295</v>
      </c>
      <c r="GF362">
        <v>10.871550304822222</v>
      </c>
      <c r="GG362">
        <v>5.9953768390909925</v>
      </c>
      <c r="GH362">
        <v>1.4577475578835086</v>
      </c>
      <c r="GI362">
        <v>5.5676647688058249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21.888224466493419</v>
      </c>
      <c r="AO363">
        <v>9.7030891780560005</v>
      </c>
      <c r="AP363">
        <v>58.830450247425432</v>
      </c>
      <c r="AQ363">
        <v>45.870248857765517</v>
      </c>
      <c r="AR363">
        <v>8.9280492355255685</v>
      </c>
      <c r="AS363">
        <v>48.284320872492813</v>
      </c>
      <c r="AT363">
        <v>5.4181233275467617</v>
      </c>
      <c r="AU363">
        <v>45.272349608457787</v>
      </c>
      <c r="AV363"/>
      <c r="AW363"/>
      <c r="FY363" s="212">
        <v>358</v>
      </c>
      <c r="FZ363">
        <v>3.3446068998373093</v>
      </c>
      <c r="GA363">
        <v>6.1775095306216121</v>
      </c>
      <c r="GB363">
        <v>1.7471354438352686</v>
      </c>
      <c r="GC363">
        <v>1.2021681261635264</v>
      </c>
      <c r="GD363">
        <v>1.4745188636219455</v>
      </c>
      <c r="GE363">
        <v>4.4762964377307108</v>
      </c>
      <c r="GF363">
        <v>9.5796520295711272</v>
      </c>
      <c r="GG363">
        <v>6.233898400777198</v>
      </c>
      <c r="GH363">
        <v>2.6011407032205698</v>
      </c>
      <c r="GI363">
        <v>4.5604057605928165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18.215826541459954</v>
      </c>
      <c r="AO364">
        <v>7.2069996155870086</v>
      </c>
      <c r="AP364">
        <v>46.710269169535337</v>
      </c>
      <c r="AQ364">
        <v>39.929360908188748</v>
      </c>
      <c r="AR364">
        <v>6.7621876936532379</v>
      </c>
      <c r="AS364">
        <v>39.636448257285032</v>
      </c>
      <c r="AT364">
        <v>3.586023063941211</v>
      </c>
      <c r="AU364">
        <v>13.439571268299844</v>
      </c>
      <c r="AV364"/>
      <c r="AW364"/>
      <c r="FY364" s="212">
        <v>359</v>
      </c>
      <c r="FZ364">
        <v>0.17553274884234676</v>
      </c>
      <c r="GA364">
        <v>2.9370548361402271</v>
      </c>
      <c r="GB364">
        <v>5.5296351359281886</v>
      </c>
      <c r="GC364">
        <v>2.4229075242304288</v>
      </c>
      <c r="GD364">
        <v>1.5540797861551956</v>
      </c>
      <c r="GE364">
        <v>4.9830609949807085</v>
      </c>
      <c r="GF364">
        <v>9.9577363034868114</v>
      </c>
      <c r="GG364">
        <v>9.321164661615752</v>
      </c>
      <c r="GH364">
        <v>3.6611271163685943</v>
      </c>
      <c r="GI364">
        <v>5.6506041521461672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14.41210922119852</v>
      </c>
      <c r="AO365">
        <v>10.530702777280785</v>
      </c>
      <c r="AP365">
        <v>66.284729205513628</v>
      </c>
      <c r="AQ365">
        <v>52.45146388062539</v>
      </c>
      <c r="AR365">
        <v>9.6338178149231002</v>
      </c>
      <c r="AS365">
        <v>48.694404133654018</v>
      </c>
      <c r="AT365">
        <v>5.9344611830250438</v>
      </c>
      <c r="AU365">
        <v>12.718011448071481</v>
      </c>
      <c r="AV365"/>
      <c r="AW365"/>
      <c r="FY365" s="212">
        <v>360</v>
      </c>
      <c r="FZ365">
        <v>0.43061819602914697</v>
      </c>
      <c r="GA365">
        <v>3.4119318305188582</v>
      </c>
      <c r="GB365">
        <v>4.8172886818897087</v>
      </c>
      <c r="GC365">
        <v>2.5033573549746908</v>
      </c>
      <c r="GD365">
        <v>0.8479266632853989</v>
      </c>
      <c r="GE365">
        <v>1.3791430639100719</v>
      </c>
      <c r="GF365">
        <v>3.7015350443221133</v>
      </c>
      <c r="GG365">
        <v>2.9517434521908097</v>
      </c>
      <c r="GH365">
        <v>1.7987865037998629</v>
      </c>
      <c r="GI365">
        <v>2.9571166429378013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16.494689542483659</v>
      </c>
      <c r="AO366">
        <v>10.476782710890149</v>
      </c>
      <c r="AP366">
        <v>87.529303096892747</v>
      </c>
      <c r="AQ366">
        <v>60.236791199252139</v>
      </c>
      <c r="AR366">
        <v>9.5362986784108976</v>
      </c>
      <c r="AS366">
        <v>47.293152409460937</v>
      </c>
      <c r="AT366" t="e">
        <v>#DIV/0!</v>
      </c>
      <c r="AU366" t="e">
        <v>#DIV/0!</v>
      </c>
      <c r="AV366"/>
      <c r="AW366"/>
      <c r="FY366" s="212">
        <v>361</v>
      </c>
      <c r="FZ366">
        <v>3.2929261192307662</v>
      </c>
      <c r="GA366">
        <v>5.1108887244074293</v>
      </c>
      <c r="GB366">
        <v>6.1767392451256375</v>
      </c>
      <c r="GC366">
        <v>3.2833482851156806</v>
      </c>
      <c r="GD366">
        <v>1.4771675137515601</v>
      </c>
      <c r="GE366">
        <v>6.6302805246178345</v>
      </c>
      <c r="GF366">
        <v>16.277669633661972</v>
      </c>
      <c r="GG366">
        <v>10.527534544149479</v>
      </c>
      <c r="GH366">
        <v>1.2661299035258509</v>
      </c>
      <c r="GI366">
        <v>7.261523634588567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16.958001122135599</v>
      </c>
      <c r="AO367">
        <v>8.5747900328121656</v>
      </c>
      <c r="AP367">
        <v>71.393358756368286</v>
      </c>
      <c r="AQ367">
        <v>53.437859728287719</v>
      </c>
      <c r="AR367">
        <v>7.9738110199292649</v>
      </c>
      <c r="AS367">
        <v>44.245672744207965</v>
      </c>
      <c r="AT367">
        <v>3.8657635814363176</v>
      </c>
      <c r="AU367">
        <v>5.1084428290484185</v>
      </c>
      <c r="AV367"/>
      <c r="AW367"/>
      <c r="FY367" s="212">
        <v>362</v>
      </c>
      <c r="FZ367">
        <v>0.31876437195559204</v>
      </c>
      <c r="GA367">
        <v>4.0638774567482141</v>
      </c>
      <c r="GB367">
        <v>4.4254940863420797</v>
      </c>
      <c r="GC367">
        <v>2.6230334163993385</v>
      </c>
      <c r="GD367">
        <v>2.3117389000520463</v>
      </c>
      <c r="GE367">
        <v>4.256643414631049</v>
      </c>
      <c r="GF367">
        <v>4.0420690488656303</v>
      </c>
      <c r="GG367">
        <v>2.1686842196543101</v>
      </c>
      <c r="GH367">
        <v>3.1625153014677645</v>
      </c>
      <c r="GI367">
        <v>4.1260195484506506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14.737617135207497</v>
      </c>
      <c r="AO368">
        <v>11.637709751774887</v>
      </c>
      <c r="AP368">
        <v>57.599503343488863</v>
      </c>
      <c r="AQ368">
        <v>61.286218321706109</v>
      </c>
      <c r="AR368">
        <v>10.672259536659189</v>
      </c>
      <c r="AS368">
        <v>54.198998501232047</v>
      </c>
      <c r="AT368">
        <v>6.4592857563007513</v>
      </c>
      <c r="AU368">
        <v>-11.697985413258243</v>
      </c>
      <c r="AV368"/>
      <c r="AW368"/>
      <c r="FY368" s="212">
        <v>363</v>
      </c>
      <c r="FZ368">
        <v>3.6118779166422232</v>
      </c>
      <c r="GA368">
        <v>7.3973149417110635</v>
      </c>
      <c r="GB368">
        <v>6.7417638698741911</v>
      </c>
      <c r="GC368">
        <v>3.1964834131505913</v>
      </c>
      <c r="GD368">
        <v>0.86170245829516556</v>
      </c>
      <c r="GE368">
        <v>2.721004653181196</v>
      </c>
      <c r="GF368">
        <v>8.4340388320228854</v>
      </c>
      <c r="GG368">
        <v>6.7133166773644781</v>
      </c>
      <c r="GH368">
        <v>2.9248549344143577</v>
      </c>
      <c r="GI368">
        <v>5.4967888666855576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21.291462418300654</v>
      </c>
      <c r="AO369">
        <v>13.266615994531151</v>
      </c>
      <c r="AP369">
        <v>79.554082562201586</v>
      </c>
      <c r="AQ369">
        <v>67.767487934281874</v>
      </c>
      <c r="AR369">
        <v>12.199803330987693</v>
      </c>
      <c r="AS369">
        <v>64.005634658785596</v>
      </c>
      <c r="AT369">
        <v>7.6671771029456934</v>
      </c>
      <c r="AU369">
        <v>16.95563909935812</v>
      </c>
      <c r="AV369"/>
      <c r="AW369"/>
      <c r="FY369" s="212">
        <v>364</v>
      </c>
      <c r="FZ369">
        <v>6.486371409461956</v>
      </c>
      <c r="GA369">
        <v>12.012086895089242</v>
      </c>
      <c r="GB369">
        <v>8.9471100381122266</v>
      </c>
      <c r="GC369">
        <v>4.0106110643538537</v>
      </c>
      <c r="GD369">
        <v>1.2609266982196143</v>
      </c>
      <c r="GE369">
        <v>3.998719683552042</v>
      </c>
      <c r="GF369">
        <v>9.1194308293207165</v>
      </c>
      <c r="GG369">
        <v>6.3694212094249432</v>
      </c>
      <c r="GH369">
        <v>2.4307490365836708</v>
      </c>
      <c r="GI369">
        <v>6.7803503207874112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13.647467320261436</v>
      </c>
      <c r="AO370">
        <v>8.2038358802670714</v>
      </c>
      <c r="AP370">
        <v>56.245399778583334</v>
      </c>
      <c r="AQ370">
        <v>44.709354097420814</v>
      </c>
      <c r="AR370">
        <v>7.5185458781945584</v>
      </c>
      <c r="AS370">
        <v>41.877494027271254</v>
      </c>
      <c r="AT370">
        <v>4.7261249615869128</v>
      </c>
      <c r="AU370">
        <v>26.02907283642261</v>
      </c>
      <c r="AV370"/>
      <c r="AW370"/>
      <c r="FY370" s="212">
        <v>365</v>
      </c>
      <c r="FZ370">
        <v>0.30861288117216568</v>
      </c>
      <c r="GA370">
        <v>5.2751494728754507</v>
      </c>
      <c r="GB370">
        <v>10.040297350793038</v>
      </c>
      <c r="GC370">
        <v>4.1928449406786239</v>
      </c>
      <c r="GD370">
        <v>0.88392117051624419</v>
      </c>
      <c r="GE370">
        <v>2.8611889073097263</v>
      </c>
      <c r="GF370">
        <v>7.8954451417728713</v>
      </c>
      <c r="GG370">
        <v>5.9669226498692129</v>
      </c>
      <c r="GH370">
        <v>1.1895781702431001</v>
      </c>
      <c r="GI370">
        <v>5.3445097058230431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16.837354319237736</v>
      </c>
      <c r="AO371">
        <v>7.3927784601522744</v>
      </c>
      <c r="AP371">
        <v>53.928696498769625</v>
      </c>
      <c r="AQ371">
        <v>36.458544558609624</v>
      </c>
      <c r="AR371">
        <v>6.7950142733100636</v>
      </c>
      <c r="AS371">
        <v>38.243540553940058</v>
      </c>
      <c r="AT371">
        <v>4.0499653201087513</v>
      </c>
      <c r="AU371">
        <v>40.298095443724243</v>
      </c>
      <c r="AV371"/>
      <c r="AW371"/>
      <c r="FY371" s="212">
        <v>366</v>
      </c>
      <c r="FZ371">
        <v>0.18660756631518433</v>
      </c>
      <c r="GA371">
        <v>3.0474936831761381</v>
      </c>
      <c r="GB371">
        <v>6.3629171479747733</v>
      </c>
      <c r="GC371">
        <v>3.1002766700756696</v>
      </c>
      <c r="GD371">
        <v>1.7668587260922433</v>
      </c>
      <c r="GE371">
        <v>5.1628454270243429</v>
      </c>
      <c r="GF371">
        <v>7.3596813040900013</v>
      </c>
      <c r="GG371">
        <v>4.2101779948994782</v>
      </c>
      <c r="GH371">
        <v>1.7317568898766478</v>
      </c>
      <c r="GI371">
        <v>4.9160608373974313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1.6033136695055734E-4</v>
      </c>
      <c r="H372" s="59">
        <f t="shared" ref="H372:AK372" si="367">+H36</f>
        <v>1.7643399999999999E-3</v>
      </c>
      <c r="I372" s="59">
        <f t="shared" si="367"/>
        <v>1.9415387611333396E-2</v>
      </c>
      <c r="J372" s="59">
        <f t="shared" si="367"/>
        <v>7.8962669401822033E-2</v>
      </c>
      <c r="K372" s="59">
        <f t="shared" si="367"/>
        <v>0.21365342059825113</v>
      </c>
      <c r="L372" s="59">
        <f t="shared" si="367"/>
        <v>0.46240071322475906</v>
      </c>
      <c r="M372" s="59">
        <f t="shared" si="367"/>
        <v>0.86893163067319767</v>
      </c>
      <c r="N372" s="59">
        <f t="shared" si="367"/>
        <v>1.4812265869906192</v>
      </c>
      <c r="O372" s="59">
        <f t="shared" si="367"/>
        <v>2.35111371697195</v>
      </c>
      <c r="P372" s="59">
        <f t="shared" si="367"/>
        <v>3.5339578307250537</v>
      </c>
      <c r="Q372" s="59">
        <f t="shared" si="367"/>
        <v>5.0884121422263986</v>
      </c>
      <c r="R372" s="59">
        <f t="shared" si="367"/>
        <v>7.0762142035182416</v>
      </c>
      <c r="S372" s="59">
        <f t="shared" si="367"/>
        <v>9.5620143607627508</v>
      </c>
      <c r="T372" s="59">
        <f t="shared" si="367"/>
        <v>12.613228959633782</v>
      </c>
      <c r="U372" s="59">
        <f t="shared" si="367"/>
        <v>16.299912900368032</v>
      </c>
      <c r="V372" s="59">
        <f t="shared" si="367"/>
        <v>20.694647658350089</v>
      </c>
      <c r="W372" s="59">
        <f t="shared" si="367"/>
        <v>25.872441895175079</v>
      </c>
      <c r="X372" s="59">
        <f t="shared" si="367"/>
        <v>31.910642480438877</v>
      </c>
      <c r="Y372" s="59">
        <f t="shared" si="367"/>
        <v>38.88885423763773</v>
      </c>
      <c r="Z372" s="59">
        <f t="shared" si="367"/>
        <v>46.88886708603107</v>
      </c>
      <c r="AA372" s="59">
        <f t="shared" si="367"/>
        <v>55.994589516499502</v>
      </c>
      <c r="AB372" s="59">
        <f t="shared" si="367"/>
        <v>66.291987540796825</v>
      </c>
      <c r="AC372" s="59">
        <f t="shared" si="367"/>
        <v>77.869028408430097</v>
      </c>
      <c r="AD372" s="59">
        <f t="shared" si="367"/>
        <v>90.815628506216825</v>
      </c>
      <c r="AE372" s="59">
        <f t="shared" si="367"/>
        <v>105.22360495105548</v>
      </c>
      <c r="AF372" s="59">
        <f t="shared" si="367"/>
        <v>121.18663046281658</v>
      </c>
      <c r="AG372" s="59">
        <f t="shared" si="367"/>
        <v>138.80019116598018</v>
      </c>
      <c r="AH372" s="59">
        <f t="shared" si="367"/>
        <v>158.16154701901141</v>
      </c>
      <c r="AI372" s="59">
        <f t="shared" si="367"/>
        <v>179.36969461193365</v>
      </c>
      <c r="AJ372" s="59">
        <f t="shared" si="367"/>
        <v>202.5253321069622</v>
      </c>
      <c r="AK372" s="59">
        <f t="shared" si="367"/>
        <v>227.73082612582618</v>
      </c>
      <c r="AL372" s="78"/>
      <c r="AM372" s="43">
        <v>356</v>
      </c>
      <c r="AN372">
        <v>10.479919678714859</v>
      </c>
      <c r="AO372">
        <v>7.2251219070890498</v>
      </c>
      <c r="AP372">
        <v>45.033743317461642</v>
      </c>
      <c r="AQ372">
        <v>34.833300512938337</v>
      </c>
      <c r="AR372">
        <v>6.6827100146543001</v>
      </c>
      <c r="AS372">
        <v>35.194338775807324</v>
      </c>
      <c r="AT372">
        <v>4.6144430555936351</v>
      </c>
      <c r="AU372">
        <v>1.0708051523939464</v>
      </c>
      <c r="AV372"/>
      <c r="AW372"/>
      <c r="FY372" s="212">
        <v>367</v>
      </c>
      <c r="FZ372">
        <v>0.26708359134904897</v>
      </c>
      <c r="GA372">
        <v>4.449275427932303</v>
      </c>
      <c r="GB372">
        <v>8.4744358951459695</v>
      </c>
      <c r="GC372">
        <v>4.1239824213445182</v>
      </c>
      <c r="GD372">
        <v>1.3506145441780748</v>
      </c>
      <c r="GE372">
        <v>3.2835290512294653</v>
      </c>
      <c r="GF372">
        <v>8.6996906728653798</v>
      </c>
      <c r="GG372">
        <v>6.7767524228520717</v>
      </c>
      <c r="GH372">
        <v>2.209087744588667</v>
      </c>
      <c r="GI372">
        <v>5.7729575042946291</v>
      </c>
      <c r="GJ372"/>
      <c r="GK372"/>
      <c r="GL372"/>
      <c r="GM372"/>
    </row>
    <row r="373" spans="1:195" s="7" customFormat="1">
      <c r="A373" s="95"/>
      <c r="B373" s="71">
        <f t="shared" ref="B373:B378" si="368">+C4</f>
        <v>39646</v>
      </c>
      <c r="C373" s="18">
        <f t="shared" ref="C373:C382" si="369">+D70</f>
        <v>7.291666666666667</v>
      </c>
      <c r="D373" s="18">
        <f t="shared" ref="D373:D382" si="370">SUM(G373:AK373)</f>
        <v>0.14157053466597269</v>
      </c>
      <c r="E373" s="19">
        <f t="shared" ref="E373:E382" si="371">IF(C373&lt;1, 0.000001, D373/C373)</f>
        <v>1.9415387611333396E-2</v>
      </c>
      <c r="F373" s="19"/>
      <c r="G373" s="18">
        <f>AVERAGE(E228:E237)*G$372</f>
        <v>0</v>
      </c>
      <c r="H373" s="18">
        <f t="shared" ref="H373:AK373" si="372">AVERAGE(F228:F237)*H$372</f>
        <v>0</v>
      </c>
      <c r="I373" s="18">
        <f t="shared" si="372"/>
        <v>0.14157053466597269</v>
      </c>
      <c r="J373" s="18">
        <f t="shared" si="372"/>
        <v>0</v>
      </c>
      <c r="K373" s="18">
        <f t="shared" si="372"/>
        <v>0</v>
      </c>
      <c r="L373" s="18">
        <f t="shared" si="372"/>
        <v>0</v>
      </c>
      <c r="M373" s="18">
        <f t="shared" si="372"/>
        <v>0</v>
      </c>
      <c r="N373" s="18">
        <f t="shared" si="372"/>
        <v>0</v>
      </c>
      <c r="O373" s="18">
        <f t="shared" si="372"/>
        <v>0</v>
      </c>
      <c r="P373" s="18">
        <f t="shared" si="372"/>
        <v>0</v>
      </c>
      <c r="Q373" s="18">
        <f t="shared" si="372"/>
        <v>0</v>
      </c>
      <c r="R373" s="18">
        <f t="shared" si="372"/>
        <v>0</v>
      </c>
      <c r="S373" s="18">
        <f t="shared" si="372"/>
        <v>0</v>
      </c>
      <c r="T373" s="18">
        <f t="shared" si="372"/>
        <v>0</v>
      </c>
      <c r="U373" s="18">
        <f t="shared" si="372"/>
        <v>0</v>
      </c>
      <c r="V373" s="18">
        <f t="shared" si="372"/>
        <v>0</v>
      </c>
      <c r="W373" s="18">
        <f t="shared" si="372"/>
        <v>0</v>
      </c>
      <c r="X373" s="18">
        <f t="shared" si="372"/>
        <v>0</v>
      </c>
      <c r="Y373" s="18">
        <f t="shared" si="372"/>
        <v>0</v>
      </c>
      <c r="Z373" s="18">
        <f t="shared" si="372"/>
        <v>0</v>
      </c>
      <c r="AA373" s="18">
        <f t="shared" si="372"/>
        <v>0</v>
      </c>
      <c r="AB373" s="18">
        <f t="shared" si="372"/>
        <v>0</v>
      </c>
      <c r="AC373" s="18">
        <f t="shared" si="372"/>
        <v>0</v>
      </c>
      <c r="AD373" s="18">
        <f t="shared" si="372"/>
        <v>0</v>
      </c>
      <c r="AE373" s="18">
        <f t="shared" si="372"/>
        <v>0</v>
      </c>
      <c r="AF373" s="18">
        <f t="shared" si="372"/>
        <v>0</v>
      </c>
      <c r="AG373" s="18">
        <f t="shared" si="372"/>
        <v>0</v>
      </c>
      <c r="AH373" s="18">
        <f t="shared" si="372"/>
        <v>0</v>
      </c>
      <c r="AI373" s="18">
        <f t="shared" si="372"/>
        <v>0</v>
      </c>
      <c r="AJ373" s="18">
        <f t="shared" si="372"/>
        <v>0</v>
      </c>
      <c r="AK373" s="18">
        <f t="shared" si="372"/>
        <v>0</v>
      </c>
      <c r="AL373" s="78"/>
      <c r="AM373" s="43">
        <v>357</v>
      </c>
      <c r="AN373">
        <v>12.896586345381525</v>
      </c>
      <c r="AO373">
        <v>9.1728924306618769</v>
      </c>
      <c r="AP373">
        <v>47.657221318564453</v>
      </c>
      <c r="AQ373">
        <v>43.129256506363525</v>
      </c>
      <c r="AR373">
        <v>8.4935077722568995</v>
      </c>
      <c r="AS373">
        <v>47.239131605741299</v>
      </c>
      <c r="AT373">
        <v>5.6627248141801703</v>
      </c>
      <c r="AU373">
        <v>15.885398869836392</v>
      </c>
      <c r="AV373"/>
      <c r="AW373"/>
      <c r="FY373" s="212">
        <v>368</v>
      </c>
      <c r="FZ373">
        <v>0.24659318432633132</v>
      </c>
      <c r="GA373">
        <v>3.8131253696807503</v>
      </c>
      <c r="GB373">
        <v>4.7691437206104759</v>
      </c>
      <c r="GC373">
        <v>2.4067825796905256</v>
      </c>
      <c r="GD373">
        <v>1.5314769135077047</v>
      </c>
      <c r="GE373">
        <v>4.700437434526811</v>
      </c>
      <c r="GF373">
        <v>10.709774795553276</v>
      </c>
      <c r="GG373">
        <v>8.0212480955696286</v>
      </c>
      <c r="GH373">
        <v>2.5149350923291345</v>
      </c>
      <c r="GI373">
        <v>5.2569787209834402</v>
      </c>
      <c r="GJ373"/>
      <c r="GK373"/>
      <c r="GL373"/>
      <c r="GM373"/>
    </row>
    <row r="374" spans="1:195" s="7" customFormat="1">
      <c r="A374" s="95"/>
      <c r="B374" s="71">
        <f t="shared" si="368"/>
        <v>39673</v>
      </c>
      <c r="C374" s="18">
        <f t="shared" si="369"/>
        <v>22.916666666666664</v>
      </c>
      <c r="D374" s="18">
        <f t="shared" si="370"/>
        <v>16.111164398502762</v>
      </c>
      <c r="E374" s="19">
        <f t="shared" si="371"/>
        <v>0.70303262829830238</v>
      </c>
      <c r="F374" s="19">
        <f>IF(F388&lt;0,0,F388)</f>
        <v>0.13293842133934211</v>
      </c>
      <c r="G374" s="18">
        <f>AVERAGE(E238:E247)*G$372</f>
        <v>0</v>
      </c>
      <c r="H374" s="18">
        <f t="shared" ref="H374:AK374" si="373">AVERAGE(F238:F247)*H$372</f>
        <v>0</v>
      </c>
      <c r="I374" s="18">
        <f t="shared" si="373"/>
        <v>0.28314106933194538</v>
      </c>
      <c r="J374" s="18">
        <f t="shared" si="373"/>
        <v>0.32901112250759174</v>
      </c>
      <c r="K374" s="18">
        <f t="shared" si="373"/>
        <v>0</v>
      </c>
      <c r="L374" s="18">
        <f t="shared" si="373"/>
        <v>0</v>
      </c>
      <c r="M374" s="18">
        <f t="shared" si="373"/>
        <v>0</v>
      </c>
      <c r="N374" s="18">
        <f t="shared" si="373"/>
        <v>0</v>
      </c>
      <c r="O374" s="18">
        <f t="shared" si="373"/>
        <v>4.8981535770248952</v>
      </c>
      <c r="P374" s="18">
        <f t="shared" si="373"/>
        <v>0</v>
      </c>
      <c r="Q374" s="18">
        <f t="shared" si="373"/>
        <v>10.60085862963833</v>
      </c>
      <c r="R374" s="18">
        <f t="shared" si="373"/>
        <v>0</v>
      </c>
      <c r="S374" s="18">
        <f t="shared" si="373"/>
        <v>0</v>
      </c>
      <c r="T374" s="18">
        <f t="shared" si="373"/>
        <v>0</v>
      </c>
      <c r="U374" s="18">
        <f t="shared" si="373"/>
        <v>0</v>
      </c>
      <c r="V374" s="18">
        <f t="shared" si="373"/>
        <v>0</v>
      </c>
      <c r="W374" s="18">
        <f t="shared" si="373"/>
        <v>0</v>
      </c>
      <c r="X374" s="18">
        <f t="shared" si="373"/>
        <v>0</v>
      </c>
      <c r="Y374" s="18">
        <f t="shared" si="373"/>
        <v>0</v>
      </c>
      <c r="Z374" s="18">
        <f t="shared" si="373"/>
        <v>0</v>
      </c>
      <c r="AA374" s="18">
        <f t="shared" si="373"/>
        <v>0</v>
      </c>
      <c r="AB374" s="18">
        <f t="shared" si="373"/>
        <v>0</v>
      </c>
      <c r="AC374" s="18">
        <f t="shared" si="373"/>
        <v>0</v>
      </c>
      <c r="AD374" s="18">
        <f t="shared" si="373"/>
        <v>0</v>
      </c>
      <c r="AE374" s="18">
        <f t="shared" si="373"/>
        <v>0</v>
      </c>
      <c r="AF374" s="18">
        <f t="shared" si="373"/>
        <v>0</v>
      </c>
      <c r="AG374" s="18">
        <f t="shared" si="373"/>
        <v>0</v>
      </c>
      <c r="AH374" s="18">
        <f t="shared" si="373"/>
        <v>0</v>
      </c>
      <c r="AI374" s="18">
        <f t="shared" si="373"/>
        <v>0</v>
      </c>
      <c r="AJ374" s="18">
        <f t="shared" si="373"/>
        <v>0</v>
      </c>
      <c r="AK374" s="18">
        <f t="shared" si="373"/>
        <v>0</v>
      </c>
      <c r="AL374" s="78"/>
      <c r="AM374" s="43">
        <v>358</v>
      </c>
      <c r="AN374">
        <v>12.553717320261438</v>
      </c>
      <c r="AO374">
        <v>7.6307821890932512</v>
      </c>
      <c r="AP374">
        <v>43.415470469911043</v>
      </c>
      <c r="AQ374">
        <v>41.397332195972091</v>
      </c>
      <c r="AR374">
        <v>7.0122389827949894</v>
      </c>
      <c r="AS374">
        <v>35.754583891962433</v>
      </c>
      <c r="AT374">
        <v>3.9119532881181276</v>
      </c>
      <c r="AU374">
        <v>19.592128534073215</v>
      </c>
      <c r="AV374"/>
      <c r="AW374"/>
      <c r="FY374" s="212">
        <v>369</v>
      </c>
      <c r="FZ374">
        <v>9.708237093208739</v>
      </c>
      <c r="GA374">
        <v>14.071582654133433</v>
      </c>
      <c r="GB374">
        <v>5.0334252810367346</v>
      </c>
      <c r="GC374">
        <v>2.224272950572713</v>
      </c>
      <c r="GD374">
        <v>1.0247163839990805</v>
      </c>
      <c r="GE374">
        <v>2.5241481048777219</v>
      </c>
      <c r="GF374">
        <v>6.498881712096896</v>
      </c>
      <c r="GG374">
        <v>5.8436661268343766</v>
      </c>
      <c r="GH374">
        <v>1.9125817576786579</v>
      </c>
      <c r="GI374">
        <v>5.2536992511974718</v>
      </c>
      <c r="GJ374"/>
      <c r="GK374"/>
      <c r="GL374"/>
      <c r="GM374"/>
    </row>
    <row r="375" spans="1:195" s="7" customFormat="1">
      <c r="A375" s="95"/>
      <c r="B375" s="71">
        <f t="shared" si="368"/>
        <v>39714</v>
      </c>
      <c r="C375" s="18">
        <f t="shared" si="369"/>
        <v>13.541666666666664</v>
      </c>
      <c r="D375" s="18">
        <f t="shared" si="370"/>
        <v>3.6275707563792579</v>
      </c>
      <c r="E375" s="19">
        <f t="shared" si="371"/>
        <v>0.2678821481633914</v>
      </c>
      <c r="F375" s="19">
        <f>IF(F389&lt;0,0,F389)</f>
        <v>0</v>
      </c>
      <c r="G375" s="18">
        <f>AVERAGE(E248:E257)*G$372</f>
        <v>0</v>
      </c>
      <c r="H375" s="18">
        <f t="shared" ref="H375:AK375" si="374">AVERAGE(F248:F257)*H$372</f>
        <v>0</v>
      </c>
      <c r="I375" s="18">
        <f t="shared" si="374"/>
        <v>0</v>
      </c>
      <c r="J375" s="18">
        <f t="shared" si="374"/>
        <v>0.32901112250759174</v>
      </c>
      <c r="K375" s="18">
        <f t="shared" si="374"/>
        <v>0.89022258582604619</v>
      </c>
      <c r="L375" s="18">
        <f t="shared" si="374"/>
        <v>2.4083370480456199</v>
      </c>
      <c r="M375" s="18">
        <f t="shared" si="374"/>
        <v>0</v>
      </c>
      <c r="N375" s="18">
        <f t="shared" si="374"/>
        <v>0</v>
      </c>
      <c r="O375" s="18">
        <f t="shared" si="374"/>
        <v>0</v>
      </c>
      <c r="P375" s="18">
        <f t="shared" si="374"/>
        <v>0</v>
      </c>
      <c r="Q375" s="18">
        <f t="shared" si="374"/>
        <v>0</v>
      </c>
      <c r="R375" s="18">
        <f t="shared" si="374"/>
        <v>0</v>
      </c>
      <c r="S375" s="18">
        <f t="shared" si="374"/>
        <v>0</v>
      </c>
      <c r="T375" s="18">
        <f t="shared" si="374"/>
        <v>0</v>
      </c>
      <c r="U375" s="18">
        <f t="shared" si="374"/>
        <v>0</v>
      </c>
      <c r="V375" s="18">
        <f t="shared" si="374"/>
        <v>0</v>
      </c>
      <c r="W375" s="18">
        <f t="shared" si="374"/>
        <v>0</v>
      </c>
      <c r="X375" s="18">
        <f t="shared" si="374"/>
        <v>0</v>
      </c>
      <c r="Y375" s="18">
        <f t="shared" si="374"/>
        <v>0</v>
      </c>
      <c r="Z375" s="18">
        <f t="shared" si="374"/>
        <v>0</v>
      </c>
      <c r="AA375" s="18">
        <f t="shared" si="374"/>
        <v>0</v>
      </c>
      <c r="AB375" s="18">
        <f t="shared" si="374"/>
        <v>0</v>
      </c>
      <c r="AC375" s="18">
        <f t="shared" si="374"/>
        <v>0</v>
      </c>
      <c r="AD375" s="18">
        <f t="shared" si="374"/>
        <v>0</v>
      </c>
      <c r="AE375" s="18">
        <f t="shared" si="374"/>
        <v>0</v>
      </c>
      <c r="AF375" s="18">
        <f t="shared" si="374"/>
        <v>0</v>
      </c>
      <c r="AG375" s="18">
        <f t="shared" si="374"/>
        <v>0</v>
      </c>
      <c r="AH375" s="18">
        <f t="shared" si="374"/>
        <v>0</v>
      </c>
      <c r="AI375" s="18">
        <f t="shared" si="374"/>
        <v>0</v>
      </c>
      <c r="AJ375" s="18">
        <f t="shared" si="374"/>
        <v>0</v>
      </c>
      <c r="AK375" s="18">
        <f t="shared" si="374"/>
        <v>0</v>
      </c>
      <c r="AL375" s="78"/>
      <c r="AM375" s="43">
        <v>359</v>
      </c>
      <c r="AN375">
        <v>18.635212418300657</v>
      </c>
      <c r="AO375">
        <v>9.468059310968421</v>
      </c>
      <c r="AP375">
        <v>61.341504505303568</v>
      </c>
      <c r="AQ375">
        <v>46.192903259894422</v>
      </c>
      <c r="AR375">
        <v>8.6531301077395977</v>
      </c>
      <c r="AS375">
        <v>47.688894019860946</v>
      </c>
      <c r="AT375">
        <v>5.3133470946571189</v>
      </c>
      <c r="AU375">
        <v>29.5268637872359</v>
      </c>
      <c r="AV375"/>
      <c r="AW375"/>
      <c r="FY375" s="212">
        <v>370</v>
      </c>
      <c r="FZ375">
        <v>3.5103630088079596</v>
      </c>
      <c r="GA375">
        <v>6.6172605397814079</v>
      </c>
      <c r="GB375">
        <v>5.397198730055635</v>
      </c>
      <c r="GC375">
        <v>2.3121327371517433</v>
      </c>
      <c r="GD375">
        <v>0.59032185390708758</v>
      </c>
      <c r="GE375">
        <v>2.2368820033687866</v>
      </c>
      <c r="GF375">
        <v>8.5312593371668939</v>
      </c>
      <c r="GG375">
        <v>6.7683206366155</v>
      </c>
      <c r="GH375">
        <v>1.5637277307705131</v>
      </c>
      <c r="GI375">
        <v>4.8246827273275912</v>
      </c>
      <c r="GJ375"/>
      <c r="GK375"/>
      <c r="GL375"/>
      <c r="GM375"/>
    </row>
    <row r="376" spans="1:195" s="7" customFormat="1">
      <c r="A376" s="95"/>
      <c r="B376" s="71">
        <f t="shared" si="368"/>
        <v>39747</v>
      </c>
      <c r="C376" s="18">
        <f t="shared" si="369"/>
        <v>46.433080808080803</v>
      </c>
      <c r="D376" s="18">
        <f t="shared" si="370"/>
        <v>26.775511267987493</v>
      </c>
      <c r="E376" s="19">
        <f t="shared" si="371"/>
        <v>0.57664731269194014</v>
      </c>
      <c r="F376" s="19">
        <f>IF(F390&lt;0,0,F390)</f>
        <v>2.3232839343006927E-2</v>
      </c>
      <c r="G376" s="18">
        <f>AVERAGE(E258:E267)*G$372</f>
        <v>0</v>
      </c>
      <c r="H376" s="18">
        <f t="shared" ref="H376:AK376" si="375">AVERAGE(F258:F267)*H$372</f>
        <v>0</v>
      </c>
      <c r="I376" s="18">
        <f t="shared" si="375"/>
        <v>0</v>
      </c>
      <c r="J376" s="18">
        <f t="shared" si="375"/>
        <v>1.3708796771149658</v>
      </c>
      <c r="K376" s="18">
        <f t="shared" si="375"/>
        <v>0.89022258582604619</v>
      </c>
      <c r="L376" s="18">
        <f t="shared" si="375"/>
        <v>3.5906115989043785</v>
      </c>
      <c r="M376" s="18">
        <f t="shared" si="375"/>
        <v>6.335959806992066</v>
      </c>
      <c r="N376" s="18">
        <f t="shared" si="375"/>
        <v>14.587837599150037</v>
      </c>
      <c r="O376" s="18">
        <f t="shared" si="375"/>
        <v>0</v>
      </c>
      <c r="P376" s="18">
        <f t="shared" si="375"/>
        <v>0</v>
      </c>
      <c r="Q376" s="18">
        <f t="shared" si="375"/>
        <v>0</v>
      </c>
      <c r="R376" s="18">
        <f t="shared" si="375"/>
        <v>0</v>
      </c>
      <c r="S376" s="18">
        <f t="shared" si="375"/>
        <v>0</v>
      </c>
      <c r="T376" s="18">
        <f t="shared" si="375"/>
        <v>0</v>
      </c>
      <c r="U376" s="18">
        <f t="shared" si="375"/>
        <v>0</v>
      </c>
      <c r="V376" s="18">
        <f t="shared" si="375"/>
        <v>0</v>
      </c>
      <c r="W376" s="18">
        <f t="shared" si="375"/>
        <v>0</v>
      </c>
      <c r="X376" s="18">
        <f t="shared" si="375"/>
        <v>0</v>
      </c>
      <c r="Y376" s="18">
        <f t="shared" si="375"/>
        <v>0</v>
      </c>
      <c r="Z376" s="18">
        <f t="shared" si="375"/>
        <v>0</v>
      </c>
      <c r="AA376" s="18">
        <f t="shared" si="375"/>
        <v>0</v>
      </c>
      <c r="AB376" s="18">
        <f t="shared" si="375"/>
        <v>0</v>
      </c>
      <c r="AC376" s="18">
        <f t="shared" si="375"/>
        <v>0</v>
      </c>
      <c r="AD376" s="18">
        <f t="shared" si="375"/>
        <v>0</v>
      </c>
      <c r="AE376" s="18">
        <f t="shared" si="375"/>
        <v>0</v>
      </c>
      <c r="AF376" s="18">
        <f t="shared" si="375"/>
        <v>0</v>
      </c>
      <c r="AG376" s="18">
        <f t="shared" si="375"/>
        <v>0</v>
      </c>
      <c r="AH376" s="18">
        <f t="shared" si="375"/>
        <v>0</v>
      </c>
      <c r="AI376" s="18">
        <f t="shared" si="375"/>
        <v>0</v>
      </c>
      <c r="AJ376" s="18">
        <f t="shared" si="375"/>
        <v>0</v>
      </c>
      <c r="AK376" s="18">
        <f t="shared" si="375"/>
        <v>0</v>
      </c>
      <c r="AL376" s="78"/>
      <c r="AM376" s="43">
        <v>360</v>
      </c>
      <c r="AN376">
        <v>15.829656862745097</v>
      </c>
      <c r="AO376">
        <v>4.5941829614930505</v>
      </c>
      <c r="AP376">
        <v>30.03893616449739</v>
      </c>
      <c r="AQ376">
        <v>24.799447433858468</v>
      </c>
      <c r="AR376">
        <v>4.3003787714166597</v>
      </c>
      <c r="AS376">
        <v>26.37421242697695</v>
      </c>
      <c r="AT376">
        <v>2.8158599008593925</v>
      </c>
      <c r="AU376">
        <v>14.486149858796496</v>
      </c>
      <c r="AV376"/>
      <c r="AW376"/>
      <c r="FY376" s="212">
        <v>371</v>
      </c>
      <c r="FZ376">
        <v>3.2735464643533247</v>
      </c>
      <c r="GA376">
        <v>8.3161526645767108</v>
      </c>
      <c r="GB376">
        <v>10.625123490837705</v>
      </c>
      <c r="GC376">
        <v>4.3302849640607555</v>
      </c>
      <c r="GD376">
        <v>0.51244104031868487</v>
      </c>
      <c r="GE376">
        <v>1.7885903697075169</v>
      </c>
      <c r="GF376">
        <v>6.4948198768582781</v>
      </c>
      <c r="GG376">
        <v>6.085802656460932</v>
      </c>
      <c r="GH376">
        <v>2.1137195997282325</v>
      </c>
      <c r="GI376">
        <v>5.5863687701630447</v>
      </c>
      <c r="GJ376"/>
      <c r="GK376"/>
      <c r="GL376"/>
      <c r="GM376"/>
    </row>
    <row r="377" spans="1:195" s="7" customFormat="1">
      <c r="A377" s="95"/>
      <c r="B377" s="71">
        <f t="shared" si="368"/>
        <v>39775</v>
      </c>
      <c r="C377" s="18">
        <f t="shared" si="369"/>
        <v>15.625</v>
      </c>
      <c r="D377" s="18">
        <f t="shared" si="370"/>
        <v>5.0878175434329505</v>
      </c>
      <c r="E377" s="19">
        <f t="shared" si="371"/>
        <v>0.32562032277970882</v>
      </c>
      <c r="F377" s="19">
        <f>IF(F391&lt;0,0,F391)</f>
        <v>0</v>
      </c>
      <c r="G377" s="18">
        <f>AVERAGE(E268:E277)*G$372</f>
        <v>0</v>
      </c>
      <c r="H377" s="18">
        <f t="shared" ref="H377:AK377" si="376">AVERAGE(F268:F277)*H$372</f>
        <v>0</v>
      </c>
      <c r="I377" s="18">
        <f t="shared" si="376"/>
        <v>0.16179489676111164</v>
      </c>
      <c r="J377" s="18">
        <f t="shared" si="376"/>
        <v>0</v>
      </c>
      <c r="K377" s="18">
        <f t="shared" si="376"/>
        <v>0.66766693936953481</v>
      </c>
      <c r="L377" s="18">
        <f t="shared" si="376"/>
        <v>0</v>
      </c>
      <c r="M377" s="18">
        <f t="shared" si="376"/>
        <v>2.7154113458537426</v>
      </c>
      <c r="N377" s="18">
        <f t="shared" si="376"/>
        <v>1.5429443614485614</v>
      </c>
      <c r="O377" s="18">
        <f t="shared" si="376"/>
        <v>0</v>
      </c>
      <c r="P377" s="18">
        <f t="shared" si="376"/>
        <v>0</v>
      </c>
      <c r="Q377" s="18">
        <f t="shared" si="376"/>
        <v>0</v>
      </c>
      <c r="R377" s="18">
        <f t="shared" si="376"/>
        <v>0</v>
      </c>
      <c r="S377" s="18">
        <f t="shared" si="376"/>
        <v>0</v>
      </c>
      <c r="T377" s="18">
        <f t="shared" si="376"/>
        <v>0</v>
      </c>
      <c r="U377" s="18">
        <f t="shared" si="376"/>
        <v>0</v>
      </c>
      <c r="V377" s="18">
        <f t="shared" si="376"/>
        <v>0</v>
      </c>
      <c r="W377" s="18">
        <f t="shared" si="376"/>
        <v>0</v>
      </c>
      <c r="X377" s="18">
        <f t="shared" si="376"/>
        <v>0</v>
      </c>
      <c r="Y377" s="18">
        <f t="shared" si="376"/>
        <v>0</v>
      </c>
      <c r="Z377" s="18">
        <f t="shared" si="376"/>
        <v>0</v>
      </c>
      <c r="AA377" s="18">
        <f t="shared" si="376"/>
        <v>0</v>
      </c>
      <c r="AB377" s="18">
        <f t="shared" si="376"/>
        <v>0</v>
      </c>
      <c r="AC377" s="18">
        <f t="shared" si="376"/>
        <v>0</v>
      </c>
      <c r="AD377" s="18">
        <f t="shared" si="376"/>
        <v>0</v>
      </c>
      <c r="AE377" s="18">
        <f t="shared" si="376"/>
        <v>0</v>
      </c>
      <c r="AF377" s="18">
        <f t="shared" si="376"/>
        <v>0</v>
      </c>
      <c r="AG377" s="18">
        <f t="shared" si="376"/>
        <v>0</v>
      </c>
      <c r="AH377" s="18">
        <f t="shared" si="376"/>
        <v>0</v>
      </c>
      <c r="AI377" s="18">
        <f t="shared" si="376"/>
        <v>0</v>
      </c>
      <c r="AJ377" s="18">
        <f t="shared" si="376"/>
        <v>0</v>
      </c>
      <c r="AK377" s="18">
        <f t="shared" si="376"/>
        <v>0</v>
      </c>
      <c r="AL377" s="78"/>
      <c r="AM377" s="43">
        <v>361</v>
      </c>
      <c r="AN377">
        <v>13.055555555555554</v>
      </c>
      <c r="AO377">
        <v>12.335716323324672</v>
      </c>
      <c r="AP377">
        <v>64.969284800187779</v>
      </c>
      <c r="AQ377">
        <v>61.304208128174778</v>
      </c>
      <c r="AR377">
        <v>11.291352016479763</v>
      </c>
      <c r="AS377">
        <v>55.3871547428</v>
      </c>
      <c r="AT377">
        <v>7.5023017262003728</v>
      </c>
      <c r="AU377">
        <v>17.459990602802478</v>
      </c>
      <c r="AV377"/>
      <c r="AW377"/>
      <c r="FY377" s="212">
        <v>372</v>
      </c>
      <c r="FZ377">
        <v>3.2938494459201775</v>
      </c>
      <c r="GA377">
        <v>9.1216934179716684</v>
      </c>
      <c r="GB377">
        <v>9.033345959732225</v>
      </c>
      <c r="GC377">
        <v>3.9280051990120786</v>
      </c>
      <c r="GD377">
        <v>1.290592608693397</v>
      </c>
      <c r="GE377">
        <v>4.649284890047344</v>
      </c>
      <c r="GF377">
        <v>7.3301308422740021</v>
      </c>
      <c r="GG377">
        <v>2.5688123971731338</v>
      </c>
      <c r="GH377">
        <v>1.446954771327861</v>
      </c>
      <c r="GI377">
        <v>5.3526635009387942</v>
      </c>
      <c r="GJ377"/>
      <c r="GK377"/>
      <c r="GL377"/>
      <c r="GM377"/>
    </row>
    <row r="378" spans="1:195" s="7" customFormat="1">
      <c r="A378" s="95"/>
      <c r="B378" s="71">
        <f t="shared" si="368"/>
        <v>39799</v>
      </c>
      <c r="C378" s="18">
        <f t="shared" si="369"/>
        <v>66.822638146167563</v>
      </c>
      <c r="D378" s="18">
        <f t="shared" si="370"/>
        <v>8.9841412628840267</v>
      </c>
      <c r="E378" s="19">
        <f t="shared" si="371"/>
        <v>0.13444756914912806</v>
      </c>
      <c r="F378" s="19">
        <f t="shared" ref="F378:F382" si="377">IF(F392&lt;0,0,F392)</f>
        <v>0</v>
      </c>
      <c r="G378" s="18">
        <f>AVERAGE(E278:E287)*G$372</f>
        <v>0</v>
      </c>
      <c r="H378" s="18">
        <f t="shared" ref="H378:AK378" si="378">AVERAGE(F278:F287)*H$372</f>
        <v>0</v>
      </c>
      <c r="I378" s="18">
        <f t="shared" si="378"/>
        <v>1.1355925240586042</v>
      </c>
      <c r="J378" s="18">
        <f t="shared" si="378"/>
        <v>0</v>
      </c>
      <c r="K378" s="18">
        <f t="shared" si="378"/>
        <v>0.44511129291302309</v>
      </c>
      <c r="L378" s="18">
        <f t="shared" si="378"/>
        <v>0.96333481921824793</v>
      </c>
      <c r="M378" s="18">
        <f t="shared" si="378"/>
        <v>0.90513711528458074</v>
      </c>
      <c r="N378" s="18">
        <f t="shared" si="378"/>
        <v>3.0858887228971228</v>
      </c>
      <c r="O378" s="18">
        <f t="shared" si="378"/>
        <v>2.4490767885124476</v>
      </c>
      <c r="P378" s="18">
        <f t="shared" si="378"/>
        <v>0</v>
      </c>
      <c r="Q378" s="18">
        <f t="shared" si="378"/>
        <v>0</v>
      </c>
      <c r="R378" s="18">
        <f t="shared" si="378"/>
        <v>0</v>
      </c>
      <c r="S378" s="18">
        <f t="shared" si="378"/>
        <v>0</v>
      </c>
      <c r="T378" s="18">
        <f t="shared" si="378"/>
        <v>0</v>
      </c>
      <c r="U378" s="18">
        <f t="shared" si="378"/>
        <v>0</v>
      </c>
      <c r="V378" s="18">
        <f t="shared" si="378"/>
        <v>0</v>
      </c>
      <c r="W378" s="18">
        <f t="shared" si="378"/>
        <v>0</v>
      </c>
      <c r="X378" s="18">
        <f t="shared" si="378"/>
        <v>0</v>
      </c>
      <c r="Y378" s="18">
        <f t="shared" si="378"/>
        <v>0</v>
      </c>
      <c r="Z378" s="18">
        <f t="shared" si="378"/>
        <v>0</v>
      </c>
      <c r="AA378" s="18">
        <f t="shared" si="378"/>
        <v>0</v>
      </c>
      <c r="AB378" s="18">
        <f t="shared" si="378"/>
        <v>0</v>
      </c>
      <c r="AC378" s="18">
        <f t="shared" si="378"/>
        <v>0</v>
      </c>
      <c r="AD378" s="18">
        <f t="shared" si="378"/>
        <v>0</v>
      </c>
      <c r="AE378" s="18">
        <f t="shared" si="378"/>
        <v>0</v>
      </c>
      <c r="AF378" s="18">
        <f t="shared" si="378"/>
        <v>0</v>
      </c>
      <c r="AG378" s="18">
        <f t="shared" si="378"/>
        <v>0</v>
      </c>
      <c r="AH378" s="18">
        <f t="shared" si="378"/>
        <v>0</v>
      </c>
      <c r="AI378" s="18">
        <f t="shared" si="378"/>
        <v>0</v>
      </c>
      <c r="AJ378" s="18">
        <f t="shared" si="378"/>
        <v>0</v>
      </c>
      <c r="AK378" s="18">
        <f t="shared" si="378"/>
        <v>0</v>
      </c>
      <c r="AL378" s="78"/>
      <c r="AM378" s="43">
        <v>362</v>
      </c>
      <c r="AN378">
        <v>18.070746220174815</v>
      </c>
      <c r="AO378">
        <v>6.3854959781251104</v>
      </c>
      <c r="AP378">
        <v>38.658767967696392</v>
      </c>
      <c r="AQ378">
        <v>31.498839764566675</v>
      </c>
      <c r="AR378">
        <v>6.0016373018835738</v>
      </c>
      <c r="AS378">
        <v>39.350969167352417</v>
      </c>
      <c r="AT378">
        <v>3.2982490639322344</v>
      </c>
      <c r="AU378">
        <v>16.983524224954888</v>
      </c>
      <c r="AV378"/>
      <c r="AW378"/>
      <c r="FY378" s="212">
        <v>373</v>
      </c>
      <c r="FZ378">
        <v>6.5675833357293669</v>
      </c>
      <c r="GA378">
        <v>10.065087893958458</v>
      </c>
      <c r="GB378">
        <v>3.859160931054304</v>
      </c>
      <c r="GC378">
        <v>2.0087032018677951</v>
      </c>
      <c r="GD378">
        <v>1.9322406331093518</v>
      </c>
      <c r="GE378">
        <v>3.499434673225287</v>
      </c>
      <c r="GF378">
        <v>1.6808559872189583</v>
      </c>
      <c r="GG378">
        <v>1.3551412957142615</v>
      </c>
      <c r="GH378">
        <v>2.3261818431030674</v>
      </c>
      <c r="GI378">
        <v>3.9897807114748916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79">+C10</f>
        <v>39847</v>
      </c>
      <c r="C379" s="18">
        <f t="shared" si="369"/>
        <v>4.1666666666666661</v>
      </c>
      <c r="D379" s="18">
        <f t="shared" si="370"/>
        <v>8.3100391580176147</v>
      </c>
      <c r="E379" s="19">
        <f t="shared" si="371"/>
        <v>1.9944093979242279</v>
      </c>
      <c r="F379" s="19">
        <f t="shared" si="377"/>
        <v>5.6186019620100558E-2</v>
      </c>
      <c r="G379" s="18">
        <f>AVERAGE(E288:E297)*G$372</f>
        <v>0</v>
      </c>
      <c r="H379" s="18">
        <f t="shared" ref="H379:AK379" si="380">AVERAGE(F288:F297)*H$372</f>
        <v>0</v>
      </c>
      <c r="I379" s="18">
        <f t="shared" si="380"/>
        <v>0</v>
      </c>
      <c r="J379" s="18">
        <f t="shared" si="380"/>
        <v>0</v>
      </c>
      <c r="K379" s="18">
        <f t="shared" si="380"/>
        <v>0</v>
      </c>
      <c r="L379" s="18">
        <f t="shared" si="380"/>
        <v>0</v>
      </c>
      <c r="M379" s="18">
        <f t="shared" si="380"/>
        <v>0</v>
      </c>
      <c r="N379" s="18">
        <f t="shared" si="380"/>
        <v>4.6288330843456844</v>
      </c>
      <c r="O379" s="18">
        <f t="shared" si="380"/>
        <v>0</v>
      </c>
      <c r="P379" s="18">
        <f t="shared" si="380"/>
        <v>3.6812060736719303</v>
      </c>
      <c r="Q379" s="18">
        <f t="shared" si="380"/>
        <v>0</v>
      </c>
      <c r="R379" s="18">
        <f t="shared" si="380"/>
        <v>0</v>
      </c>
      <c r="S379" s="18">
        <f t="shared" si="380"/>
        <v>0</v>
      </c>
      <c r="T379" s="18">
        <f t="shared" si="380"/>
        <v>0</v>
      </c>
      <c r="U379" s="18">
        <f t="shared" si="380"/>
        <v>0</v>
      </c>
      <c r="V379" s="18">
        <f t="shared" si="380"/>
        <v>0</v>
      </c>
      <c r="W379" s="18">
        <f t="shared" si="380"/>
        <v>0</v>
      </c>
      <c r="X379" s="18">
        <f t="shared" si="380"/>
        <v>0</v>
      </c>
      <c r="Y379" s="18">
        <f t="shared" si="380"/>
        <v>0</v>
      </c>
      <c r="Z379" s="18">
        <f t="shared" si="380"/>
        <v>0</v>
      </c>
      <c r="AA379" s="18">
        <f t="shared" si="380"/>
        <v>0</v>
      </c>
      <c r="AB379" s="18">
        <f t="shared" si="380"/>
        <v>0</v>
      </c>
      <c r="AC379" s="18">
        <f t="shared" si="380"/>
        <v>0</v>
      </c>
      <c r="AD379" s="18">
        <f t="shared" si="380"/>
        <v>0</v>
      </c>
      <c r="AE379" s="18">
        <f t="shared" si="380"/>
        <v>0</v>
      </c>
      <c r="AF379" s="18">
        <f t="shared" si="380"/>
        <v>0</v>
      </c>
      <c r="AG379" s="18">
        <f t="shared" si="380"/>
        <v>0</v>
      </c>
      <c r="AH379" s="18">
        <f t="shared" si="380"/>
        <v>0</v>
      </c>
      <c r="AI379" s="18">
        <f t="shared" si="380"/>
        <v>0</v>
      </c>
      <c r="AJ379" s="18">
        <f t="shared" si="380"/>
        <v>0</v>
      </c>
      <c r="AK379" s="18">
        <f t="shared" si="380"/>
        <v>0</v>
      </c>
      <c r="AL379" s="78"/>
      <c r="AM379" s="43">
        <v>363</v>
      </c>
      <c r="AN379">
        <v>13.032756024096383</v>
      </c>
      <c r="AO379">
        <v>9.2941305884396037</v>
      </c>
      <c r="AP379">
        <v>42.153902754181324</v>
      </c>
      <c r="AQ379">
        <v>48.099146563341712</v>
      </c>
      <c r="AR379">
        <v>8.5417934591604094</v>
      </c>
      <c r="AS379">
        <v>46.709797308614682</v>
      </c>
      <c r="AT379">
        <v>5.2737125744371429</v>
      </c>
      <c r="AU379">
        <v>-4.079080455827464</v>
      </c>
      <c r="AV379"/>
      <c r="AW379"/>
      <c r="FY379" s="212">
        <v>374</v>
      </c>
      <c r="FZ379">
        <v>6.5350947845444001</v>
      </c>
      <c r="GA379">
        <v>10.167430365384204</v>
      </c>
      <c r="GB379">
        <v>7.8832584973937756</v>
      </c>
      <c r="GC379">
        <v>3.9746957056767624</v>
      </c>
      <c r="GD379">
        <v>1.3292919565746637</v>
      </c>
      <c r="GE379">
        <v>5.2116601975770571</v>
      </c>
      <c r="GF379">
        <v>12.013206982587988</v>
      </c>
      <c r="GG379">
        <v>8.0130247763718323</v>
      </c>
      <c r="GH379">
        <v>2.6668996499476734</v>
      </c>
      <c r="GI379">
        <v>7.1888103545076802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79"/>
        <v>39910</v>
      </c>
      <c r="C380" s="18">
        <f t="shared" si="369"/>
        <v>7.2916666666666661</v>
      </c>
      <c r="D380" s="18">
        <f t="shared" si="370"/>
        <v>13.817227270803201</v>
      </c>
      <c r="E380" s="19">
        <f t="shared" si="371"/>
        <v>1.8949340257101535</v>
      </c>
      <c r="F380" s="19">
        <f t="shared" si="377"/>
        <v>0</v>
      </c>
      <c r="G380" s="18">
        <f>AVERAGE(E298:E307)*G$372</f>
        <v>0</v>
      </c>
      <c r="H380" s="18">
        <f t="shared" ref="H380:AK380" si="381">AVERAGE(F298:F307)*H$372</f>
        <v>0</v>
      </c>
      <c r="I380" s="18">
        <f t="shared" si="381"/>
        <v>0</v>
      </c>
      <c r="J380" s="18">
        <f t="shared" si="381"/>
        <v>0</v>
      </c>
      <c r="K380" s="18">
        <f t="shared" si="381"/>
        <v>0</v>
      </c>
      <c r="L380" s="18">
        <f t="shared" si="381"/>
        <v>0.96333481921824793</v>
      </c>
      <c r="M380" s="18">
        <f t="shared" si="381"/>
        <v>1.8102742305691615</v>
      </c>
      <c r="N380" s="18">
        <f t="shared" si="381"/>
        <v>0</v>
      </c>
      <c r="O380" s="18">
        <f t="shared" si="381"/>
        <v>0</v>
      </c>
      <c r="P380" s="18">
        <f t="shared" si="381"/>
        <v>11.043618221015793</v>
      </c>
      <c r="Q380" s="18">
        <f t="shared" si="381"/>
        <v>0</v>
      </c>
      <c r="R380" s="18">
        <f t="shared" si="381"/>
        <v>0</v>
      </c>
      <c r="S380" s="18">
        <f t="shared" si="381"/>
        <v>0</v>
      </c>
      <c r="T380" s="18">
        <f t="shared" si="381"/>
        <v>0</v>
      </c>
      <c r="U380" s="18">
        <f t="shared" si="381"/>
        <v>0</v>
      </c>
      <c r="V380" s="18">
        <f t="shared" si="381"/>
        <v>0</v>
      </c>
      <c r="W380" s="18">
        <f t="shared" si="381"/>
        <v>0</v>
      </c>
      <c r="X380" s="18">
        <f t="shared" si="381"/>
        <v>0</v>
      </c>
      <c r="Y380" s="18">
        <f t="shared" si="381"/>
        <v>0</v>
      </c>
      <c r="Z380" s="18">
        <f t="shared" si="381"/>
        <v>0</v>
      </c>
      <c r="AA380" s="18">
        <f t="shared" si="381"/>
        <v>0</v>
      </c>
      <c r="AB380" s="18">
        <f t="shared" si="381"/>
        <v>0</v>
      </c>
      <c r="AC380" s="18">
        <f t="shared" si="381"/>
        <v>0</v>
      </c>
      <c r="AD380" s="18">
        <f t="shared" si="381"/>
        <v>0</v>
      </c>
      <c r="AE380" s="18">
        <f t="shared" si="381"/>
        <v>0</v>
      </c>
      <c r="AF380" s="18">
        <f t="shared" si="381"/>
        <v>0</v>
      </c>
      <c r="AG380" s="18">
        <f t="shared" si="381"/>
        <v>0</v>
      </c>
      <c r="AH380" s="18">
        <f t="shared" si="381"/>
        <v>0</v>
      </c>
      <c r="AI380" s="18">
        <f t="shared" si="381"/>
        <v>0</v>
      </c>
      <c r="AJ380" s="18">
        <f t="shared" si="381"/>
        <v>0</v>
      </c>
      <c r="AK380" s="18">
        <f t="shared" si="381"/>
        <v>0</v>
      </c>
      <c r="AL380" s="78"/>
      <c r="AM380" s="43">
        <v>364</v>
      </c>
      <c r="AN380">
        <v>13.753472222222223</v>
      </c>
      <c r="AO380">
        <v>11.444637262486427</v>
      </c>
      <c r="AP380">
        <v>59.896142878251077</v>
      </c>
      <c r="AQ380">
        <v>61.415777184905679</v>
      </c>
      <c r="AR380">
        <v>10.52402675949701</v>
      </c>
      <c r="AS380">
        <v>53.24507640694997</v>
      </c>
      <c r="AT380">
        <v>6.2969084274086287</v>
      </c>
      <c r="AU380">
        <v>13.628527426545409</v>
      </c>
      <c r="AV380"/>
      <c r="AW380"/>
      <c r="FY380" s="212">
        <v>375</v>
      </c>
      <c r="FZ380">
        <v>6.5482036808519251</v>
      </c>
      <c r="GA380">
        <v>9.5194651094314136</v>
      </c>
      <c r="GB380">
        <v>3.2261834175731687</v>
      </c>
      <c r="GC380">
        <v>2.4270034913627501</v>
      </c>
      <c r="GD380">
        <v>1.2392256537803299</v>
      </c>
      <c r="GE380">
        <v>0.42079333193072227</v>
      </c>
      <c r="GF380">
        <v>4.440053449417408</v>
      </c>
      <c r="GG380">
        <v>5.2860883184900649</v>
      </c>
      <c r="GH380">
        <v>0.94364982487700555</v>
      </c>
      <c r="GI380">
        <v>3.9067857773469887</v>
      </c>
      <c r="GJ380"/>
      <c r="GK380"/>
      <c r="GL380"/>
      <c r="GM380"/>
    </row>
    <row r="381" spans="1:195" s="7" customFormat="1">
      <c r="A381" s="1"/>
      <c r="B381" s="71">
        <f t="shared" si="379"/>
        <v>39949</v>
      </c>
      <c r="C381" s="18">
        <f t="shared" si="369"/>
        <v>10.416666666666666</v>
      </c>
      <c r="D381" s="18">
        <f t="shared" si="370"/>
        <v>7.6492004760137879</v>
      </c>
      <c r="E381" s="19">
        <f t="shared" si="371"/>
        <v>0.73432324569732366</v>
      </c>
      <c r="F381" s="19">
        <f t="shared" si="377"/>
        <v>0</v>
      </c>
      <c r="G381" s="18">
        <f>AVERAGE(E308:E317)*G$372</f>
        <v>0</v>
      </c>
      <c r="H381" s="18">
        <f t="shared" ref="H381:AK381" si="382">AVERAGE(F308:F317)*H$372</f>
        <v>0</v>
      </c>
      <c r="I381" s="18">
        <f t="shared" si="382"/>
        <v>0</v>
      </c>
      <c r="J381" s="18">
        <f t="shared" si="382"/>
        <v>0.24675834188069384</v>
      </c>
      <c r="K381" s="18">
        <f t="shared" si="382"/>
        <v>0</v>
      </c>
      <c r="L381" s="18">
        <f t="shared" si="382"/>
        <v>0.96333481921824793</v>
      </c>
      <c r="M381" s="18">
        <f t="shared" si="382"/>
        <v>1.8102742305691615</v>
      </c>
      <c r="N381" s="18">
        <f t="shared" si="382"/>
        <v>4.6288330843456844</v>
      </c>
      <c r="O381" s="18">
        <f t="shared" si="382"/>
        <v>0</v>
      </c>
      <c r="P381" s="18">
        <f t="shared" si="382"/>
        <v>0</v>
      </c>
      <c r="Q381" s="18">
        <f t="shared" si="382"/>
        <v>0</v>
      </c>
      <c r="R381" s="18">
        <f t="shared" si="382"/>
        <v>0</v>
      </c>
      <c r="S381" s="18">
        <f t="shared" si="382"/>
        <v>0</v>
      </c>
      <c r="T381" s="18">
        <f t="shared" si="382"/>
        <v>0</v>
      </c>
      <c r="U381" s="18">
        <f t="shared" si="382"/>
        <v>0</v>
      </c>
      <c r="V381" s="18">
        <f t="shared" si="382"/>
        <v>0</v>
      </c>
      <c r="W381" s="18">
        <f t="shared" si="382"/>
        <v>0</v>
      </c>
      <c r="X381" s="18">
        <f t="shared" si="382"/>
        <v>0</v>
      </c>
      <c r="Y381" s="18">
        <f t="shared" si="382"/>
        <v>0</v>
      </c>
      <c r="Z381" s="18">
        <f t="shared" si="382"/>
        <v>0</v>
      </c>
      <c r="AA381" s="18">
        <f t="shared" si="382"/>
        <v>0</v>
      </c>
      <c r="AB381" s="18">
        <f t="shared" si="382"/>
        <v>0</v>
      </c>
      <c r="AC381" s="18">
        <f t="shared" si="382"/>
        <v>0</v>
      </c>
      <c r="AD381" s="18">
        <f t="shared" si="382"/>
        <v>0</v>
      </c>
      <c r="AE381" s="18">
        <f t="shared" si="382"/>
        <v>0</v>
      </c>
      <c r="AF381" s="18">
        <f t="shared" si="382"/>
        <v>0</v>
      </c>
      <c r="AG381" s="18">
        <f t="shared" si="382"/>
        <v>0</v>
      </c>
      <c r="AH381" s="18">
        <f t="shared" si="382"/>
        <v>0</v>
      </c>
      <c r="AI381" s="18">
        <f t="shared" si="382"/>
        <v>0</v>
      </c>
      <c r="AJ381" s="18">
        <f t="shared" si="382"/>
        <v>0</v>
      </c>
      <c r="AK381" s="18">
        <f t="shared" si="382"/>
        <v>0</v>
      </c>
      <c r="AL381" s="78"/>
      <c r="AM381" s="43">
        <v>365</v>
      </c>
      <c r="AN381">
        <v>17.21691176470588</v>
      </c>
      <c r="AO381">
        <v>8.6578445497436523</v>
      </c>
      <c r="AP381">
        <v>65.351088259474068</v>
      </c>
      <c r="AQ381">
        <v>43.958470391053481</v>
      </c>
      <c r="AR381">
        <v>7.9980591776467538</v>
      </c>
      <c r="AS381">
        <v>44.618473746032151</v>
      </c>
      <c r="AT381" t="e">
        <v>#DIV/0!</v>
      </c>
      <c r="AU381" t="e">
        <v>#DIV/0!</v>
      </c>
      <c r="AV381"/>
      <c r="AW381"/>
      <c r="FY381" s="212">
        <v>376</v>
      </c>
      <c r="FZ381">
        <v>3.3973984325891284</v>
      </c>
      <c r="GA381">
        <v>10.11430503071373</v>
      </c>
      <c r="GB381">
        <v>8.9813154415041403</v>
      </c>
      <c r="GC381">
        <v>3.5636308671856072</v>
      </c>
      <c r="GD381">
        <v>0.9826167277250617</v>
      </c>
      <c r="GE381">
        <v>2.4656238953168996</v>
      </c>
      <c r="GF381">
        <v>5.2630943379262529</v>
      </c>
      <c r="GG381">
        <v>4.5987266200668797</v>
      </c>
      <c r="GH381">
        <v>2.9860446039848423</v>
      </c>
      <c r="GI381">
        <v>5.0405416071175679</v>
      </c>
      <c r="GJ381"/>
      <c r="GK381"/>
      <c r="GL381"/>
      <c r="GM381"/>
    </row>
    <row r="382" spans="1:195" s="7" customFormat="1">
      <c r="A382" s="1"/>
      <c r="B382" s="71">
        <f t="shared" si="379"/>
        <v>39987</v>
      </c>
      <c r="C382" s="18">
        <f t="shared" si="369"/>
        <v>6.25</v>
      </c>
      <c r="D382" s="18">
        <f t="shared" si="370"/>
        <v>2.6549477711953622</v>
      </c>
      <c r="E382" s="19">
        <f t="shared" si="371"/>
        <v>0.42479164339125797</v>
      </c>
      <c r="F382" s="19">
        <f t="shared" si="377"/>
        <v>0</v>
      </c>
      <c r="G382" s="18">
        <f>AVERAGE(E318:E327)*G$372</f>
        <v>0</v>
      </c>
      <c r="H382" s="18">
        <f t="shared" ref="H382:AK382" si="383">AVERAGE(F318:F327)*H$372</f>
        <v>0</v>
      </c>
      <c r="I382" s="18">
        <f t="shared" si="383"/>
        <v>0</v>
      </c>
      <c r="J382" s="18">
        <f t="shared" si="383"/>
        <v>8.2252780626897934E-2</v>
      </c>
      <c r="K382" s="18">
        <f t="shared" si="383"/>
        <v>0.22255564645651155</v>
      </c>
      <c r="L382" s="18">
        <f t="shared" si="383"/>
        <v>1.4450022288273721</v>
      </c>
      <c r="M382" s="18">
        <f t="shared" si="383"/>
        <v>0.90513711528458074</v>
      </c>
      <c r="N382" s="18">
        <f t="shared" si="383"/>
        <v>0</v>
      </c>
      <c r="O382" s="18">
        <f t="shared" si="383"/>
        <v>0</v>
      </c>
      <c r="P382" s="18">
        <f t="shared" si="383"/>
        <v>0</v>
      </c>
      <c r="Q382" s="18">
        <f t="shared" si="383"/>
        <v>0</v>
      </c>
      <c r="R382" s="18">
        <f t="shared" si="383"/>
        <v>0</v>
      </c>
      <c r="S382" s="18">
        <f t="shared" si="383"/>
        <v>0</v>
      </c>
      <c r="T382" s="18">
        <f t="shared" si="383"/>
        <v>0</v>
      </c>
      <c r="U382" s="18">
        <f t="shared" si="383"/>
        <v>0</v>
      </c>
      <c r="V382" s="18">
        <f t="shared" si="383"/>
        <v>0</v>
      </c>
      <c r="W382" s="18">
        <f t="shared" si="383"/>
        <v>0</v>
      </c>
      <c r="X382" s="18">
        <f t="shared" si="383"/>
        <v>0</v>
      </c>
      <c r="Y382" s="18">
        <f t="shared" si="383"/>
        <v>0</v>
      </c>
      <c r="Z382" s="18">
        <f t="shared" si="383"/>
        <v>0</v>
      </c>
      <c r="AA382" s="18">
        <f t="shared" si="383"/>
        <v>0</v>
      </c>
      <c r="AB382" s="18">
        <f t="shared" si="383"/>
        <v>0</v>
      </c>
      <c r="AC382" s="18">
        <f t="shared" si="383"/>
        <v>0</v>
      </c>
      <c r="AD382" s="18">
        <f t="shared" si="383"/>
        <v>0</v>
      </c>
      <c r="AE382" s="18">
        <f t="shared" si="383"/>
        <v>0</v>
      </c>
      <c r="AF382" s="18">
        <f t="shared" si="383"/>
        <v>0</v>
      </c>
      <c r="AG382" s="18">
        <f t="shared" si="383"/>
        <v>0</v>
      </c>
      <c r="AH382" s="18">
        <f t="shared" si="383"/>
        <v>0</v>
      </c>
      <c r="AI382" s="18">
        <f t="shared" si="383"/>
        <v>0</v>
      </c>
      <c r="AJ382" s="18">
        <f t="shared" si="383"/>
        <v>0</v>
      </c>
      <c r="AK382" s="18">
        <f t="shared" si="383"/>
        <v>0</v>
      </c>
      <c r="AL382" s="78"/>
      <c r="AM382" s="43">
        <v>366</v>
      </c>
      <c r="AN382">
        <v>17.556104319237733</v>
      </c>
      <c r="AO382">
        <v>7.9922028828127321</v>
      </c>
      <c r="AP382">
        <v>57.332976629408954</v>
      </c>
      <c r="AQ382">
        <v>37.844676246921907</v>
      </c>
      <c r="AR382">
        <v>7.371833664914428</v>
      </c>
      <c r="AS382">
        <v>42.128252847601068</v>
      </c>
      <c r="AT382">
        <v>4.4227591317823505</v>
      </c>
      <c r="AU382">
        <v>36.904492703931837</v>
      </c>
      <c r="AV382"/>
      <c r="AW382"/>
      <c r="FY382" s="212">
        <v>377</v>
      </c>
      <c r="FZ382">
        <v>3.5498582197963886</v>
      </c>
      <c r="GA382">
        <v>7.1194795429762854</v>
      </c>
      <c r="GB382">
        <v>6.2280283410496704</v>
      </c>
      <c r="GC382">
        <v>2.7935456084894925</v>
      </c>
      <c r="GD382">
        <v>0.60467270761754444</v>
      </c>
      <c r="GE382">
        <v>2.5313819034046201</v>
      </c>
      <c r="GF382">
        <v>9.3406681402494165</v>
      </c>
      <c r="GG382">
        <v>6.6812744201747449</v>
      </c>
      <c r="GH382">
        <v>0.87846762986420601</v>
      </c>
      <c r="GI382">
        <v>4.9305908035785215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16.513556677691152</v>
      </c>
      <c r="AO383">
        <v>9.5178531090168228</v>
      </c>
      <c r="AP383">
        <v>50.730183472279705</v>
      </c>
      <c r="AQ383">
        <v>45.407409275780125</v>
      </c>
      <c r="AR383">
        <v>8.8053342298955855</v>
      </c>
      <c r="AS383">
        <v>45.368178160091816</v>
      </c>
      <c r="AT383">
        <v>5.3327370622497581</v>
      </c>
      <c r="AU383">
        <v>9.5460415306793269</v>
      </c>
      <c r="AV383"/>
      <c r="AW383"/>
      <c r="FY383" s="212">
        <v>378</v>
      </c>
      <c r="FZ383">
        <v>0.16353460468009795</v>
      </c>
      <c r="GA383">
        <v>3.9494928289354174</v>
      </c>
      <c r="GB383">
        <v>2.8349582710791577</v>
      </c>
      <c r="GC383">
        <v>1.3704295327711606</v>
      </c>
      <c r="GD383">
        <v>0.92378179176134445</v>
      </c>
      <c r="GE383">
        <v>4.5868364642635662</v>
      </c>
      <c r="GF383">
        <v>9.1382788444651233</v>
      </c>
      <c r="GG383">
        <v>2.9700822064005976</v>
      </c>
      <c r="GH383">
        <v>1.4058992491434816</v>
      </c>
      <c r="GI383">
        <v>3.5777490806556398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14.648092369477911</v>
      </c>
      <c r="AO384">
        <v>8.6591086859216517</v>
      </c>
      <c r="AP384">
        <v>42.094784068989703</v>
      </c>
      <c r="AQ384">
        <v>43.970495906778076</v>
      </c>
      <c r="AR384">
        <v>7.9361074037160186</v>
      </c>
      <c r="AS384">
        <v>41.711794200083183</v>
      </c>
      <c r="AT384">
        <v>5.0746127699820631</v>
      </c>
      <c r="AU384">
        <v>-1.2832497701075143</v>
      </c>
      <c r="AV384"/>
      <c r="AW384"/>
      <c r="FY384" s="212">
        <v>379</v>
      </c>
      <c r="FZ384">
        <v>6.5177492085016464</v>
      </c>
      <c r="GA384">
        <v>12.053132509276326</v>
      </c>
      <c r="GB384">
        <v>13.008690158493188</v>
      </c>
      <c r="GC384">
        <v>5.769465705099222</v>
      </c>
      <c r="GD384">
        <v>0.57126503279165908</v>
      </c>
      <c r="GE384">
        <v>2.4514450265444441</v>
      </c>
      <c r="GF384">
        <v>6.5653197727534334</v>
      </c>
      <c r="GG384">
        <v>5.0808488287190743</v>
      </c>
      <c r="GH384">
        <v>2.7917433030246714</v>
      </c>
      <c r="GI384">
        <v>6.6690528340048667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13.598728246318609</v>
      </c>
      <c r="AO385">
        <v>9.0570834694236204</v>
      </c>
      <c r="AP385">
        <v>67.84670540219868</v>
      </c>
      <c r="AQ385">
        <v>54.095211315635829</v>
      </c>
      <c r="AR385">
        <v>8.2969861855723988</v>
      </c>
      <c r="AS385">
        <v>40.183508891101511</v>
      </c>
      <c r="AT385">
        <v>4.1741648639672366</v>
      </c>
      <c r="AU385">
        <v>-0.9704963502562759</v>
      </c>
      <c r="AV385"/>
      <c r="AW385"/>
      <c r="FY385" s="212">
        <v>380</v>
      </c>
      <c r="FZ385">
        <v>0.26616026465963777</v>
      </c>
      <c r="GA385">
        <v>3.614726222599403</v>
      </c>
      <c r="GB385">
        <v>8.0999532214686845</v>
      </c>
      <c r="GC385">
        <v>4.0309440155312544</v>
      </c>
      <c r="GD385">
        <v>1.5590446415957864</v>
      </c>
      <c r="GE385">
        <v>5.1268840866286647</v>
      </c>
      <c r="GF385">
        <v>8.2403810227192</v>
      </c>
      <c r="GG385">
        <v>4.2386321841212578</v>
      </c>
      <c r="GH385">
        <v>1.1239615357262853</v>
      </c>
      <c r="GI385">
        <v>5.2484209427426221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17.267156862745093</v>
      </c>
      <c r="AO386">
        <v>8.2033928873418756</v>
      </c>
      <c r="AP386">
        <v>83.190913892178827</v>
      </c>
      <c r="AQ386">
        <v>42.352149304953123</v>
      </c>
      <c r="AR386">
        <v>7.6221481994252978</v>
      </c>
      <c r="AS386">
        <v>39.614885874510037</v>
      </c>
      <c r="AT386" t="e">
        <v>#DIV/0!</v>
      </c>
      <c r="AU386" t="e">
        <v>#DIV/0!</v>
      </c>
      <c r="AV386"/>
      <c r="AW386"/>
      <c r="FY386" s="212">
        <v>381</v>
      </c>
      <c r="FZ386">
        <v>6.3726709320095782</v>
      </c>
      <c r="GA386">
        <v>11.787056463082791</v>
      </c>
      <c r="GB386">
        <v>4.6650571675217458</v>
      </c>
      <c r="GC386">
        <v>1.463557799632748</v>
      </c>
      <c r="GD386">
        <v>0.54568276253184278</v>
      </c>
      <c r="GE386">
        <v>3.7239894403493583</v>
      </c>
      <c r="GF386">
        <v>13.118188981824137</v>
      </c>
      <c r="GG386">
        <v>8.6987028260195949</v>
      </c>
      <c r="GH386">
        <v>0.61964153472187389</v>
      </c>
      <c r="GI386">
        <v>5.7824392000265297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13.797397925033469</v>
      </c>
      <c r="AO387">
        <v>9.2481643793387711</v>
      </c>
      <c r="AP387">
        <v>46.068025948022523</v>
      </c>
      <c r="AQ387">
        <v>49.126849897065185</v>
      </c>
      <c r="AR387">
        <v>8.5548786670457027</v>
      </c>
      <c r="AS387">
        <v>40.933241559377194</v>
      </c>
      <c r="AT387">
        <v>5.0627045105298762</v>
      </c>
      <c r="AU387">
        <v>-12.491746144706905</v>
      </c>
      <c r="AV387"/>
      <c r="AW387"/>
      <c r="FY387" s="212">
        <v>382</v>
      </c>
      <c r="FZ387">
        <v>6.424539138071987</v>
      </c>
      <c r="GA387">
        <v>10.886333780671542</v>
      </c>
      <c r="GB387">
        <v>6.0451034457664345</v>
      </c>
      <c r="GC387">
        <v>2.6921101065015005</v>
      </c>
      <c r="GD387">
        <v>0.59064887393711218</v>
      </c>
      <c r="GE387">
        <v>1.4829945276316665</v>
      </c>
      <c r="GF387">
        <v>5.5592160093561613</v>
      </c>
      <c r="GG387">
        <v>4.8090293595424738</v>
      </c>
      <c r="GH387">
        <v>1.6564758237900086</v>
      </c>
      <c r="GI387">
        <v>4.5683889056277991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84">IF(C374&lt;1,0,LN(E374/E373)/E21)</f>
        <v>0.13293842133934211</v>
      </c>
      <c r="G388" s="13"/>
      <c r="H388" s="19">
        <f>IF(G406&lt;0,0,G406)</f>
        <v>2.340101968889495E-2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13.979919678714859</v>
      </c>
      <c r="AO388">
        <v>8.5434158801881601</v>
      </c>
      <c r="AP388">
        <v>27.957028165065491</v>
      </c>
      <c r="AQ388">
        <v>48.015333033090684</v>
      </c>
      <c r="AR388">
        <v>7.8538098074513298</v>
      </c>
      <c r="AS388">
        <v>48.142793665927655</v>
      </c>
      <c r="AT388">
        <v>4.6711629296420236</v>
      </c>
      <c r="AU388">
        <v>6.5096509803691687</v>
      </c>
      <c r="AV388"/>
      <c r="AW388"/>
      <c r="FY388" s="212">
        <v>383</v>
      </c>
      <c r="FZ388">
        <v>0.27520100329778791</v>
      </c>
      <c r="GA388">
        <v>3.7589852434078415</v>
      </c>
      <c r="GB388">
        <v>6.1823098728668757</v>
      </c>
      <c r="GC388">
        <v>2.6351223322315094</v>
      </c>
      <c r="GD388">
        <v>0.75357990048864287</v>
      </c>
      <c r="GE388">
        <v>1.2993660366064035</v>
      </c>
      <c r="GF388">
        <v>3.9078029716968707</v>
      </c>
      <c r="GG388">
        <v>5.4809770062378984</v>
      </c>
      <c r="GH388">
        <v>3.4509505947434276</v>
      </c>
      <c r="GI388">
        <v>3.6099855195262704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84"/>
        <v>-2.3533077208300831E-2</v>
      </c>
      <c r="G389" s="13"/>
      <c r="H389" s="19">
        <f t="shared" ref="H389:H398" si="385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14.572584455468933</v>
      </c>
      <c r="AO389">
        <v>6.6180103477521728</v>
      </c>
      <c r="AP389">
        <v>52.880188992123557</v>
      </c>
      <c r="AQ389">
        <v>37.284170506455744</v>
      </c>
      <c r="AR389">
        <v>6.1180865206410555</v>
      </c>
      <c r="AS389">
        <v>31.955809188363784</v>
      </c>
      <c r="AT389">
        <v>2.4377412166665469</v>
      </c>
      <c r="AU389">
        <v>24.461782334133101</v>
      </c>
      <c r="AV389"/>
      <c r="AW389"/>
      <c r="FY389" s="212">
        <v>384</v>
      </c>
      <c r="FZ389">
        <v>3.3041883621594685</v>
      </c>
      <c r="GA389">
        <v>5.6307511592049746</v>
      </c>
      <c r="GB389">
        <v>5.0609899227717312</v>
      </c>
      <c r="GC389">
        <v>2.7954255494987841</v>
      </c>
      <c r="GD389">
        <v>0.84031371483520156</v>
      </c>
      <c r="GE389">
        <v>3.7239894403493583</v>
      </c>
      <c r="GF389">
        <v>8.3939208630557545</v>
      </c>
      <c r="GG389">
        <v>4.9592648900624416</v>
      </c>
      <c r="GH389">
        <v>2.4989360172707316</v>
      </c>
      <c r="GI389">
        <v>4.636836031256113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84"/>
        <v>2.3232839343006927E-2</v>
      </c>
      <c r="G390" s="13"/>
      <c r="H390" s="19">
        <f t="shared" si="385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17.38705065359477</v>
      </c>
      <c r="AO390">
        <v>12.162052132222305</v>
      </c>
      <c r="AP390">
        <v>83.39645759859431</v>
      </c>
      <c r="AQ390">
        <v>64.983373270566034</v>
      </c>
      <c r="AR390">
        <v>11.139974922741628</v>
      </c>
      <c r="AS390">
        <v>58.885766081881961</v>
      </c>
      <c r="AT390">
        <v>6.6138803995414408</v>
      </c>
      <c r="AU390">
        <v>25.337243289409038</v>
      </c>
      <c r="AV390"/>
      <c r="AW390"/>
      <c r="FY390" s="212">
        <v>385</v>
      </c>
      <c r="FZ390">
        <v>3.2848087072820276</v>
      </c>
      <c r="GA390">
        <v>6.0013819733729958</v>
      </c>
      <c r="GB390">
        <v>4.9661283969133612</v>
      </c>
      <c r="GC390">
        <v>2.3457560008088292</v>
      </c>
      <c r="GD390">
        <v>1.9127745034907266</v>
      </c>
      <c r="GE390">
        <v>6.2836734319300884</v>
      </c>
      <c r="GF390">
        <v>7.9356858379928958</v>
      </c>
      <c r="GG390">
        <v>4.2135575958286626</v>
      </c>
      <c r="GH390">
        <v>2.3888207720560244</v>
      </c>
      <c r="GI390">
        <v>5.2748877067072826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84"/>
        <v>-2.041067099551646E-2</v>
      </c>
      <c r="G391" s="13"/>
      <c r="H391" s="19">
        <f t="shared" si="385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15.079656862745097</v>
      </c>
      <c r="AO391">
        <v>6.7698788785144854</v>
      </c>
      <c r="AP391">
        <v>180.57709377125394</v>
      </c>
      <c r="AQ391">
        <v>37.957452055061779</v>
      </c>
      <c r="AR391">
        <v>6.1947190856914371</v>
      </c>
      <c r="AS391">
        <v>33.894066146645258</v>
      </c>
      <c r="AT391" t="e">
        <v>#DIV/0!</v>
      </c>
      <c r="AU391" t="e">
        <v>#DIV/0!</v>
      </c>
      <c r="AV391"/>
      <c r="AW391"/>
      <c r="FY391" s="212">
        <v>386</v>
      </c>
      <c r="FZ391">
        <v>0.21502795983077599</v>
      </c>
      <c r="GA391">
        <v>4.9327316027192847</v>
      </c>
      <c r="GB391">
        <v>7.5132572130667263</v>
      </c>
      <c r="GC391">
        <v>2.7870402040268138</v>
      </c>
      <c r="GD391">
        <v>0.95272364208470361</v>
      </c>
      <c r="GE391">
        <v>4.1021221100351877</v>
      </c>
      <c r="GF391">
        <v>8.7748854504664635</v>
      </c>
      <c r="GG391">
        <v>8.0477599012292629</v>
      </c>
      <c r="GH391">
        <v>4.375802465859632</v>
      </c>
      <c r="GI391">
        <v>5.4136504096729645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84"/>
        <v>-3.6856572749607908E-2</v>
      </c>
      <c r="G392" s="13"/>
      <c r="H392" s="19">
        <f t="shared" si="385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23.79807465154736</v>
      </c>
      <c r="AO392">
        <v>8.0946932222073862</v>
      </c>
      <c r="AP392">
        <v>46.619045214309487</v>
      </c>
      <c r="AQ392">
        <v>47.393297564130108</v>
      </c>
      <c r="AR392">
        <v>7.4613322692250401</v>
      </c>
      <c r="AS392">
        <v>53.238061473122919</v>
      </c>
      <c r="AT392">
        <v>4.2537953091669669</v>
      </c>
      <c r="AU392">
        <v>35.836053701920108</v>
      </c>
      <c r="AV392"/>
      <c r="AW392"/>
      <c r="FY392" s="212">
        <v>387</v>
      </c>
      <c r="FZ392">
        <v>3.4068140221390086</v>
      </c>
      <c r="GA392">
        <v>10.697651082644102</v>
      </c>
      <c r="GB392">
        <v>7.2816785604066467</v>
      </c>
      <c r="GC392">
        <v>2.5863462355742204</v>
      </c>
      <c r="GD392">
        <v>0.82835604407392716</v>
      </c>
      <c r="GE392">
        <v>2.2267812364353587</v>
      </c>
      <c r="GF392">
        <v>8.1148700812908547</v>
      </c>
      <c r="GG392">
        <v>6.6450641135806654</v>
      </c>
      <c r="GH392">
        <v>1.4348145317950047</v>
      </c>
      <c r="GI392">
        <v>5.2564624490488345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84"/>
        <v>5.6186019620100558E-2</v>
      </c>
      <c r="G393" s="13"/>
      <c r="H393" s="19">
        <f t="shared" si="385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15.525939542483659</v>
      </c>
      <c r="AO393">
        <v>8.2612770136056639</v>
      </c>
      <c r="AP393">
        <v>65.007616769411413</v>
      </c>
      <c r="AQ393">
        <v>44.657967317200885</v>
      </c>
      <c r="AR393">
        <v>7.6149068219856177</v>
      </c>
      <c r="AS393">
        <v>41.213717505844023</v>
      </c>
      <c r="AT393" t="e">
        <v>#DIV/0!</v>
      </c>
      <c r="AU393" t="e">
        <v>#DIV/0!</v>
      </c>
      <c r="AV393"/>
      <c r="AW393"/>
      <c r="FY393" s="212">
        <v>388</v>
      </c>
      <c r="FZ393">
        <v>3.2227890104361929</v>
      </c>
      <c r="GA393">
        <v>5.8905142046314376</v>
      </c>
      <c r="GB393">
        <v>4.3559094955441466</v>
      </c>
      <c r="GC393">
        <v>1.8351797231404432</v>
      </c>
      <c r="GD393">
        <v>1.8336552690839198</v>
      </c>
      <c r="GE393">
        <v>5.7151664584952062</v>
      </c>
      <c r="GF393">
        <v>7.0413013762093035</v>
      </c>
      <c r="GG393">
        <v>5.4314801307414164</v>
      </c>
      <c r="GH393">
        <v>3.251148946319157</v>
      </c>
      <c r="GI393">
        <v>5.0148786956284432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84"/>
        <v>-8.1212606940639679E-4</v>
      </c>
      <c r="G394" s="13"/>
      <c r="H394" s="19">
        <f t="shared" si="385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11.562167788802267</v>
      </c>
      <c r="AO394">
        <v>5.7310458919932596</v>
      </c>
      <c r="AP394">
        <v>53.021753810739447</v>
      </c>
      <c r="AQ394">
        <v>30.921042874155585</v>
      </c>
      <c r="AR394">
        <v>5.2879678376902408</v>
      </c>
      <c r="AS394">
        <v>31.138030081412296</v>
      </c>
      <c r="AT394">
        <v>3.6816503233338662</v>
      </c>
      <c r="AU394">
        <v>18.813336216100861</v>
      </c>
      <c r="AV394"/>
      <c r="AW394"/>
      <c r="FY394" s="212">
        <v>389</v>
      </c>
      <c r="FZ394">
        <v>0.13289270687395394</v>
      </c>
      <c r="GA394">
        <v>4.8890875236534992</v>
      </c>
      <c r="GB394">
        <v>9.6826744910605829</v>
      </c>
      <c r="GC394">
        <v>4.7954242597384713</v>
      </c>
      <c r="GD394">
        <v>1.4432350492316137</v>
      </c>
      <c r="GE394">
        <v>4.1216982509450792</v>
      </c>
      <c r="GF394">
        <v>9.3996341243609525</v>
      </c>
      <c r="GG394">
        <v>5.6500061894148086</v>
      </c>
      <c r="GH394">
        <v>2.0688820277994027</v>
      </c>
      <c r="GI394">
        <v>6.1006130506628313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84"/>
        <v>-2.430743541222424E-2</v>
      </c>
      <c r="G395" s="13"/>
      <c r="H395" s="19">
        <f t="shared" si="385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19.814886998976299</v>
      </c>
      <c r="AO395">
        <v>11.066935754240607</v>
      </c>
      <c r="AP395">
        <v>64.45845303323857</v>
      </c>
      <c r="AQ395">
        <v>61.478712379208531</v>
      </c>
      <c r="AR395">
        <v>10.149635321599531</v>
      </c>
      <c r="AS395">
        <v>57.805515981648433</v>
      </c>
      <c r="AT395">
        <v>5.2538914626510413</v>
      </c>
      <c r="AU395">
        <v>11.616821232769761</v>
      </c>
      <c r="AV395"/>
      <c r="AW395"/>
      <c r="FY395" s="212">
        <v>390</v>
      </c>
      <c r="FZ395">
        <v>3.378018777711687</v>
      </c>
      <c r="GA395">
        <v>7.4416413982300265</v>
      </c>
      <c r="GB395">
        <v>5.2715636745271066</v>
      </c>
      <c r="GC395">
        <v>2.2915276096969617</v>
      </c>
      <c r="GD395">
        <v>1.1753224924751202</v>
      </c>
      <c r="GE395">
        <v>2.2415582329648189</v>
      </c>
      <c r="GF395">
        <v>7.8092901581283947</v>
      </c>
      <c r="GG395">
        <v>8.8438861712321728</v>
      </c>
      <c r="GH395">
        <v>2.5713526782257801</v>
      </c>
      <c r="GI395">
        <v>5.09433026339312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84"/>
        <v>-1.4403961132551763E-2</v>
      </c>
      <c r="G396" s="13"/>
      <c r="H396" s="19">
        <f t="shared" si="385"/>
        <v>9.3097372155938676E-3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16.260084455468935</v>
      </c>
      <c r="AO396">
        <v>8.5117082945150724</v>
      </c>
      <c r="AP396">
        <v>50.107030835731855</v>
      </c>
      <c r="AQ396">
        <v>41.549108137792793</v>
      </c>
      <c r="AR396">
        <v>7.7810198465343214</v>
      </c>
      <c r="AS396">
        <v>42.266798700654313</v>
      </c>
      <c r="AT396">
        <v>4.8964136637268725</v>
      </c>
      <c r="AU396">
        <v>24.114618085899309</v>
      </c>
      <c r="AV396"/>
      <c r="AW396"/>
      <c r="FY396" s="212">
        <v>391</v>
      </c>
      <c r="FZ396">
        <v>6.5472803541625142</v>
      </c>
      <c r="GA396">
        <v>10.935247851375834</v>
      </c>
      <c r="GB396">
        <v>10.756415729663061</v>
      </c>
      <c r="GC396">
        <v>5.5397035109104058</v>
      </c>
      <c r="GD396">
        <v>1.3522155349824285</v>
      </c>
      <c r="GE396">
        <v>3.4532411226827584</v>
      </c>
      <c r="GF396">
        <v>4.6912042969900467</v>
      </c>
      <c r="GG396">
        <v>1.3913516023083414</v>
      </c>
      <c r="GH396">
        <v>1.7717205717263744</v>
      </c>
      <c r="GI396">
        <v>5.9388421070266748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84"/>
        <v>0</v>
      </c>
      <c r="G397" s="13"/>
      <c r="H397" s="19">
        <f t="shared" si="385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17.823465430348847</v>
      </c>
      <c r="AO397">
        <v>10.02443056845298</v>
      </c>
      <c r="AP397">
        <v>86.200371056230551</v>
      </c>
      <c r="AQ397">
        <v>56.776987107720196</v>
      </c>
      <c r="AR397">
        <v>9.173519440983938</v>
      </c>
      <c r="AS397">
        <v>45.102244990334249</v>
      </c>
      <c r="AT397">
        <v>5.823983596401785</v>
      </c>
      <c r="AU397">
        <v>47.877226444012742</v>
      </c>
      <c r="AV397"/>
      <c r="AW397"/>
      <c r="FY397" s="212">
        <v>392</v>
      </c>
      <c r="FZ397">
        <v>3.51940374744611</v>
      </c>
      <c r="GA397">
        <v>6.5026944914654425</v>
      </c>
      <c r="GB397">
        <v>7.0007306045797639</v>
      </c>
      <c r="GC397">
        <v>3.7574095045461471</v>
      </c>
      <c r="GD397">
        <v>2.1403494621948522</v>
      </c>
      <c r="GE397">
        <v>4.7863898935720695</v>
      </c>
      <c r="GF397">
        <v>3.9522953898026802</v>
      </c>
      <c r="GG397">
        <v>3.1466321399386432</v>
      </c>
      <c r="GH397">
        <v>4.0358534286103112</v>
      </c>
      <c r="GI397">
        <v>5.3080031767588416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84"/>
        <v>0</v>
      </c>
      <c r="G398" s="13"/>
      <c r="H398" s="19">
        <f t="shared" si="385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13.02941176470588</v>
      </c>
      <c r="AO398">
        <v>7.8654656760659423</v>
      </c>
      <c r="AP398">
        <v>137.02178496575888</v>
      </c>
      <c r="AQ398">
        <v>44.714839970896691</v>
      </c>
      <c r="AR398">
        <v>7.1845106018779674</v>
      </c>
      <c r="AS398">
        <v>37.253150619107771</v>
      </c>
      <c r="AT398" t="e">
        <v>#DIV/0!</v>
      </c>
      <c r="AU398" t="e">
        <v>#DIV/0!</v>
      </c>
      <c r="AV398"/>
      <c r="AW398"/>
      <c r="FY398" s="212">
        <v>393</v>
      </c>
      <c r="FZ398">
        <v>9.1363417050837253E-2</v>
      </c>
      <c r="GA398">
        <v>3.1810407130042027</v>
      </c>
      <c r="GB398">
        <v>9.3382747820668097</v>
      </c>
      <c r="GC398">
        <v>4.3844902342970293</v>
      </c>
      <c r="GD398">
        <v>1.101923996162566</v>
      </c>
      <c r="GE398">
        <v>4.4375423444036395</v>
      </c>
      <c r="GF398">
        <v>11.964783275163644</v>
      </c>
      <c r="GG398">
        <v>8.8510892071404772</v>
      </c>
      <c r="GH398">
        <v>2.4376913752321938</v>
      </c>
      <c r="GI398">
        <v>6.5672629830401092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12.196078431372548</v>
      </c>
      <c r="AO399">
        <v>5.7162731123022485</v>
      </c>
      <c r="AP399">
        <v>33.142694910653418</v>
      </c>
      <c r="AQ399">
        <v>31.354280481103526</v>
      </c>
      <c r="AR399">
        <v>5.3037219052996765</v>
      </c>
      <c r="AS399">
        <v>29.557526456901506</v>
      </c>
      <c r="AT399">
        <v>3.5640808851986479</v>
      </c>
      <c r="AU399">
        <v>6.6865300553803717</v>
      </c>
      <c r="AV399"/>
      <c r="AW399"/>
      <c r="FY399" s="212">
        <v>394</v>
      </c>
      <c r="FZ399">
        <v>3.3344554090538825</v>
      </c>
      <c r="GA399">
        <v>11.139668271445174</v>
      </c>
      <c r="GB399">
        <v>9.28979524356102</v>
      </c>
      <c r="GC399">
        <v>3.4336037201996499</v>
      </c>
      <c r="GD399">
        <v>1.6979586363206953</v>
      </c>
      <c r="GE399">
        <v>4.8258046245923385</v>
      </c>
      <c r="GF399">
        <v>7.3145558395168813</v>
      </c>
      <c r="GG399">
        <v>5.6200878828535981</v>
      </c>
      <c r="GH399">
        <v>3.0803209085106245</v>
      </c>
      <c r="GI399">
        <v>6.1909841085527706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16.090826541459958</v>
      </c>
      <c r="AO400">
        <v>7.711228539146485</v>
      </c>
      <c r="AP400">
        <v>59.701430935482058</v>
      </c>
      <c r="AQ400">
        <v>41.844615950464558</v>
      </c>
      <c r="AR400">
        <v>7.0542918732147646</v>
      </c>
      <c r="AS400">
        <v>37.012532535020625</v>
      </c>
      <c r="AT400">
        <v>4.2330249506232738</v>
      </c>
      <c r="AU400">
        <v>35.625851015960478</v>
      </c>
      <c r="AV400"/>
      <c r="AW400"/>
      <c r="FY400" s="212">
        <v>395</v>
      </c>
      <c r="FZ400">
        <v>3.367131385694714</v>
      </c>
      <c r="GA400">
        <v>5.4077404072976343</v>
      </c>
      <c r="GB400">
        <v>5.0334252810367346</v>
      </c>
      <c r="GC400">
        <v>2.6020104254130851</v>
      </c>
      <c r="GD400">
        <v>1.3864788511673514</v>
      </c>
      <c r="GE400">
        <v>4.5678236436008026</v>
      </c>
      <c r="GF400">
        <v>9.9050861046406222</v>
      </c>
      <c r="GG400">
        <v>6.8264577653873246</v>
      </c>
      <c r="GH400">
        <v>1.5515874912376568</v>
      </c>
      <c r="GI400">
        <v>5.3474283868139523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13.648092369477911</v>
      </c>
      <c r="AO401">
        <v>8.6893584587231363</v>
      </c>
      <c r="AP401">
        <v>50.637184934123788</v>
      </c>
      <c r="AQ401">
        <v>44.607474926382885</v>
      </c>
      <c r="AR401">
        <v>7.9983791883428701</v>
      </c>
      <c r="AS401">
        <v>43.331843042903166</v>
      </c>
      <c r="AT401">
        <v>4.5667430891546976</v>
      </c>
      <c r="AU401">
        <v>4.4724792745973136</v>
      </c>
      <c r="AV401"/>
      <c r="AW401"/>
      <c r="FY401" s="212">
        <v>396</v>
      </c>
      <c r="FZ401">
        <v>6.5766240743675173</v>
      </c>
      <c r="GA401">
        <v>12.220529060975194</v>
      </c>
      <c r="GB401">
        <v>8.1025844886770884</v>
      </c>
      <c r="GC401">
        <v>3.320789344744167</v>
      </c>
      <c r="GD401">
        <v>1.1997281596411871</v>
      </c>
      <c r="GE401">
        <v>4.9452903933955268</v>
      </c>
      <c r="GF401">
        <v>7.7938950265510654</v>
      </c>
      <c r="GG401">
        <v>2.479528211511834</v>
      </c>
      <c r="GH401">
        <v>0.68347434508984628</v>
      </c>
      <c r="GI401">
        <v>5.7277466710365239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21.30351307189542</v>
      </c>
      <c r="AO402">
        <v>8.8690192389826041</v>
      </c>
      <c r="AP402">
        <v>65.973354163770324</v>
      </c>
      <c r="AQ402">
        <v>47.115000958991814</v>
      </c>
      <c r="AR402">
        <v>8.1152794124453482</v>
      </c>
      <c r="AS402">
        <v>49.751099701502092</v>
      </c>
      <c r="AT402">
        <v>5.3251347837092409</v>
      </c>
      <c r="AU402">
        <v>43.901252116358989</v>
      </c>
      <c r="AV402"/>
      <c r="AW402"/>
      <c r="FY402" s="212">
        <v>397</v>
      </c>
      <c r="FZ402">
        <v>3.3981343338226746</v>
      </c>
      <c r="GA402">
        <v>10.999800143203633</v>
      </c>
      <c r="GB402">
        <v>12.116660492611636</v>
      </c>
      <c r="GC402">
        <v>5.2815453684670093</v>
      </c>
      <c r="GD402">
        <v>1.4221208301346839</v>
      </c>
      <c r="GE402">
        <v>3.6621508256872852</v>
      </c>
      <c r="GF402">
        <v>13.910900601133026</v>
      </c>
      <c r="GG402">
        <v>11.323869281191165</v>
      </c>
      <c r="GH402">
        <v>0.77546492786596033</v>
      </c>
      <c r="GI402">
        <v>8.378352433380277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19.869357331285922</v>
      </c>
      <c r="AO403">
        <v>8.8914284316319563</v>
      </c>
      <c r="AP403">
        <v>59.011815197868287</v>
      </c>
      <c r="AQ403">
        <v>48.478838356988618</v>
      </c>
      <c r="AR403">
        <v>8.1556491792439623</v>
      </c>
      <c r="AS403">
        <v>42.951779335833493</v>
      </c>
      <c r="AT403">
        <v>4.8668688698315723</v>
      </c>
      <c r="AU403">
        <v>19.538047071797585</v>
      </c>
      <c r="AV403"/>
      <c r="AW403"/>
      <c r="FY403" s="212">
        <v>398</v>
      </c>
      <c r="FZ403">
        <v>3.5092522566626831</v>
      </c>
      <c r="GA403">
        <v>7.092396231308971</v>
      </c>
      <c r="GB403">
        <v>11.217390457866863</v>
      </c>
      <c r="GC403">
        <v>5.3491056632732956</v>
      </c>
      <c r="GD403">
        <v>0.54262948122729859</v>
      </c>
      <c r="GE403">
        <v>2.7543678755376231</v>
      </c>
      <c r="GF403">
        <v>5.5068005362180212</v>
      </c>
      <c r="GG403">
        <v>2.4896436465238247</v>
      </c>
      <c r="GH403">
        <v>1.8764300774172669</v>
      </c>
      <c r="GI403">
        <v>5.2335315850546991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14.977328431372547</v>
      </c>
      <c r="AO404">
        <v>8.3468753914645486</v>
      </c>
      <c r="AP404">
        <v>44.518438879281064</v>
      </c>
      <c r="AQ404">
        <v>43.592023310229663</v>
      </c>
      <c r="AR404">
        <v>7.6402465887785089</v>
      </c>
      <c r="AS404">
        <v>39.04766116830038</v>
      </c>
      <c r="AT404">
        <v>3.664840957294341</v>
      </c>
      <c r="AU404">
        <v>21.740648629572565</v>
      </c>
      <c r="AV404"/>
      <c r="AW404"/>
      <c r="FY404" s="212">
        <v>399</v>
      </c>
      <c r="FZ404">
        <v>6.6914353039651715</v>
      </c>
      <c r="GA404">
        <v>9.8309097323033754</v>
      </c>
      <c r="GB404">
        <v>5.9678982743839892</v>
      </c>
      <c r="GC404">
        <v>2.4751187725036452</v>
      </c>
      <c r="GD404">
        <v>0.66732821947635879</v>
      </c>
      <c r="GE404">
        <v>2.9499405204531683</v>
      </c>
      <c r="GF404">
        <v>12.735574482385747</v>
      </c>
      <c r="GG404">
        <v>12.86546747841669</v>
      </c>
      <c r="GH404">
        <v>3.7256153958995855</v>
      </c>
      <c r="GI404">
        <v>6.8892550602889706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86">+C4</f>
        <v>39646</v>
      </c>
      <c r="C405" s="61">
        <v>0</v>
      </c>
      <c r="D405" s="61">
        <f t="shared" ref="D405:D414" si="387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2</v>
      </c>
      <c r="E405" s="108">
        <f t="shared" ref="E405:E414" si="388">IF(D405=0,0.00000001,(1-$A$43/100)*($A$39*(D405^($A$41))))</f>
        <v>1.9415387611333396E-2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18.65516477675407</v>
      </c>
      <c r="AO405">
        <v>9.9020919728529186</v>
      </c>
      <c r="AP405">
        <v>60.446942223725813</v>
      </c>
      <c r="AQ405">
        <v>48.284147673741195</v>
      </c>
      <c r="AR405">
        <v>9.1456290580131139</v>
      </c>
      <c r="AS405">
        <v>52.196804704553131</v>
      </c>
      <c r="AT405">
        <v>5.3241949498388141</v>
      </c>
      <c r="AU405">
        <v>18.608191825991884</v>
      </c>
      <c r="AV405"/>
      <c r="AW405"/>
      <c r="FY405" s="212">
        <v>400</v>
      </c>
      <c r="FZ405">
        <v>9.5437791618392307</v>
      </c>
      <c r="GA405">
        <v>13.02029914609313</v>
      </c>
      <c r="GB405">
        <v>3.3104530599012607</v>
      </c>
      <c r="GC405">
        <v>1.467503524216563</v>
      </c>
      <c r="GD405">
        <v>0.56521727466738181</v>
      </c>
      <c r="GE405">
        <v>1.9852491060089301</v>
      </c>
      <c r="GF405">
        <v>3.5637281799268901</v>
      </c>
      <c r="GG405">
        <v>1.4533232304565025</v>
      </c>
      <c r="GH405">
        <v>1.3443521605251771</v>
      </c>
      <c r="GI405">
        <v>3.5261372676469738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86"/>
        <v>39673</v>
      </c>
      <c r="C406" s="61">
        <f>B406-B405</f>
        <v>27</v>
      </c>
      <c r="D406" s="61">
        <f t="shared" si="387"/>
        <v>3.4545454545454546</v>
      </c>
      <c r="E406" s="108">
        <f t="shared" si="388"/>
        <v>0.12865149399787237</v>
      </c>
      <c r="F406" s="19">
        <f t="shared" ref="F406:F414" si="389">IF(C374&lt;1,0,LN(E406/E405)/E21)</f>
        <v>7.0038563853093427E-2</v>
      </c>
      <c r="G406" s="19">
        <f t="shared" ref="G406:G414" si="390">IF(D406=0, 0, 0.051-(0.068*LN(D406))+(0.006*A406))</f>
        <v>2.340101968889495E-2</v>
      </c>
      <c r="H406" s="19">
        <f t="shared" ref="H406:H414" si="391">+IF((G406&gt;0),G406,0)</f>
        <v>2.340101968889495E-2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12.685533801874163</v>
      </c>
      <c r="AO406">
        <v>8.65161641433955</v>
      </c>
      <c r="AP406">
        <v>43.204305448847265</v>
      </c>
      <c r="AQ406">
        <v>46.11849145658519</v>
      </c>
      <c r="AR406">
        <v>7.9275220886846602</v>
      </c>
      <c r="AS406">
        <v>39.366217627036839</v>
      </c>
      <c r="AT406">
        <v>4.7841962273639362</v>
      </c>
      <c r="AU406">
        <v>-9.6809169170331728</v>
      </c>
      <c r="AV406"/>
      <c r="AW406"/>
      <c r="FY406" s="212">
        <v>401</v>
      </c>
      <c r="FZ406">
        <v>3.4889492750958304</v>
      </c>
      <c r="GA406">
        <v>7.5145038088660989</v>
      </c>
      <c r="GB406">
        <v>6.3107890809513254</v>
      </c>
      <c r="GC406">
        <v>3.2291952875633401</v>
      </c>
      <c r="GD406">
        <v>0.98460655628409466</v>
      </c>
      <c r="GE406">
        <v>3.5728583346993674</v>
      </c>
      <c r="GF406">
        <v>6.367808562323221</v>
      </c>
      <c r="GG406">
        <v>2.1838629043709044</v>
      </c>
      <c r="GH406">
        <v>2.7416020326523904</v>
      </c>
      <c r="GI406">
        <v>4.5290776233309824</v>
      </c>
      <c r="GJ406"/>
      <c r="GK406"/>
      <c r="GL406"/>
      <c r="GM406"/>
    </row>
    <row r="407" spans="1:195" s="7" customFormat="1">
      <c r="A407" s="189">
        <v>4.03</v>
      </c>
      <c r="B407" s="71">
        <f t="shared" si="386"/>
        <v>39714</v>
      </c>
      <c r="C407" s="61">
        <f>B407-$B$405</f>
        <v>68</v>
      </c>
      <c r="D407" s="61">
        <f t="shared" si="387"/>
        <v>4.0769230769230775</v>
      </c>
      <c r="E407" s="108">
        <f t="shared" si="388"/>
        <v>0.22820901166392435</v>
      </c>
      <c r="F407" s="19">
        <f t="shared" si="389"/>
        <v>1.3979384763475416E-2</v>
      </c>
      <c r="G407" s="19">
        <f t="shared" si="390"/>
        <v>-2.0383293814159802E-2</v>
      </c>
      <c r="H407" s="19">
        <f t="shared" si="391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13.972222222222223</v>
      </c>
      <c r="AO407">
        <v>9.7278106707379575</v>
      </c>
      <c r="AP407">
        <v>52.964000638160506</v>
      </c>
      <c r="AQ407">
        <v>52.377222681828428</v>
      </c>
      <c r="AR407">
        <v>8.9644907656653103</v>
      </c>
      <c r="AS407">
        <v>48.142104648152184</v>
      </c>
      <c r="AT407">
        <v>5.1807306589361222</v>
      </c>
      <c r="AU407">
        <v>12.540738903274788</v>
      </c>
      <c r="AV407"/>
      <c r="AW407"/>
      <c r="FY407" s="212">
        <v>402</v>
      </c>
      <c r="FZ407">
        <v>0.14489085103620269</v>
      </c>
      <c r="GA407">
        <v>2.5917900394957378</v>
      </c>
      <c r="GB407">
        <v>6.1535717780037356</v>
      </c>
      <c r="GC407">
        <v>3.0580136990541145</v>
      </c>
      <c r="GD407">
        <v>0.65135280838323328</v>
      </c>
      <c r="GE407">
        <v>2.711535680371524</v>
      </c>
      <c r="GF407">
        <v>6.2062755974295118</v>
      </c>
      <c r="GG407">
        <v>3.6559797874843505</v>
      </c>
      <c r="GH407">
        <v>2.0399667451478796</v>
      </c>
      <c r="GI407">
        <v>3.8847424676775235</v>
      </c>
      <c r="GJ407"/>
      <c r="GK407"/>
      <c r="GL407"/>
      <c r="GM407"/>
    </row>
    <row r="408" spans="1:195" s="7" customFormat="1">
      <c r="A408" s="189">
        <v>0.78</v>
      </c>
      <c r="B408" s="71">
        <f t="shared" si="386"/>
        <v>39747</v>
      </c>
      <c r="C408" s="61">
        <f t="shared" ref="C408:C414" si="392">B408-$B$405</f>
        <v>101</v>
      </c>
      <c r="D408" s="61">
        <f t="shared" si="387"/>
        <v>4.7437117607070025</v>
      </c>
      <c r="E408" s="108">
        <f t="shared" si="388"/>
        <v>0.38543537546936091</v>
      </c>
      <c r="F408" s="19">
        <f t="shared" si="389"/>
        <v>1.5882170117856066E-2</v>
      </c>
      <c r="G408" s="19">
        <f t="shared" si="390"/>
        <v>-5.0183753277879189E-2</v>
      </c>
      <c r="H408" s="19">
        <f t="shared" si="391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27.35375816993464</v>
      </c>
      <c r="AO408">
        <v>8.6114665872447862</v>
      </c>
      <c r="AP408">
        <v>60.882583828672068</v>
      </c>
      <c r="AQ408">
        <v>44.149761838914856</v>
      </c>
      <c r="AR408">
        <v>7.9222899442298553</v>
      </c>
      <c r="AS408">
        <v>46.691982932850614</v>
      </c>
      <c r="AT408">
        <v>3.8790430023054352</v>
      </c>
      <c r="AU408">
        <v>57.939803425498468</v>
      </c>
      <c r="AV408"/>
      <c r="AW408"/>
      <c r="FY408" s="212">
        <v>403</v>
      </c>
      <c r="FZ408">
        <v>3.3132291007976189</v>
      </c>
      <c r="GA408">
        <v>7.5588009172867849</v>
      </c>
      <c r="GB408">
        <v>4.6768115109403956</v>
      </c>
      <c r="GC408">
        <v>1.9345288512650565</v>
      </c>
      <c r="GD408">
        <v>0.89553043322226533</v>
      </c>
      <c r="GE408">
        <v>2.4329213106536702</v>
      </c>
      <c r="GF408">
        <v>10.451915463823026</v>
      </c>
      <c r="GG408">
        <v>9.5013295630941492</v>
      </c>
      <c r="GH408">
        <v>2.4691845069271112</v>
      </c>
      <c r="GI408">
        <v>5.4165908648324983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86"/>
        <v>39775</v>
      </c>
      <c r="C409" s="61">
        <f t="shared" si="392"/>
        <v>129</v>
      </c>
      <c r="D409" s="61">
        <f t="shared" si="387"/>
        <v>3.5333333333333337</v>
      </c>
      <c r="E409" s="108">
        <f t="shared" si="388"/>
        <v>0.13909164158237744</v>
      </c>
      <c r="F409" s="19">
        <f t="shared" si="389"/>
        <v>-3.6401447603070694E-2</v>
      </c>
      <c r="G409" s="19">
        <f t="shared" si="390"/>
        <v>-3.3992436446594013E-2</v>
      </c>
      <c r="H409" s="19">
        <f t="shared" si="391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21.736199700763841</v>
      </c>
      <c r="AO409">
        <v>10.833242303726944</v>
      </c>
      <c r="AP409">
        <v>71.054990270814216</v>
      </c>
      <c r="AQ409">
        <v>52.355462327561504</v>
      </c>
      <c r="AR409">
        <v>10.013839685325136</v>
      </c>
      <c r="AS409">
        <v>52.921676395286049</v>
      </c>
      <c r="AT409">
        <v>6.4894221011222584</v>
      </c>
      <c r="AU409">
        <v>18.483080562004144</v>
      </c>
      <c r="AV409"/>
      <c r="AW409"/>
      <c r="FY409" s="212">
        <v>404</v>
      </c>
      <c r="FZ409">
        <v>6.486371409461956</v>
      </c>
      <c r="GA409">
        <v>9.8647299060759028</v>
      </c>
      <c r="GB409">
        <v>6.4612619667870383</v>
      </c>
      <c r="GC409">
        <v>3.1969040889460478</v>
      </c>
      <c r="GD409">
        <v>1.9856906640537728</v>
      </c>
      <c r="GE409">
        <v>5.2797960692993167</v>
      </c>
      <c r="GF409">
        <v>10.953826656876231</v>
      </c>
      <c r="GG409">
        <v>8.5185379245411976</v>
      </c>
      <c r="GH409">
        <v>1.7715417448649151</v>
      </c>
      <c r="GI409">
        <v>6.9984969708674027</v>
      </c>
      <c r="GJ409"/>
      <c r="GK409"/>
      <c r="GL409"/>
      <c r="GM409"/>
    </row>
    <row r="410" spans="1:195" s="7" customFormat="1">
      <c r="A410" s="189">
        <v>0.21</v>
      </c>
      <c r="B410" s="71">
        <f t="shared" si="386"/>
        <v>39799</v>
      </c>
      <c r="C410" s="61">
        <f t="shared" si="392"/>
        <v>153</v>
      </c>
      <c r="D410" s="61">
        <f t="shared" si="387"/>
        <v>2.4676558852950983</v>
      </c>
      <c r="E410" s="108">
        <f t="shared" si="388"/>
        <v>4.0168626925480795E-2</v>
      </c>
      <c r="F410" s="19">
        <f t="shared" si="389"/>
        <v>-5.1751947569041869E-2</v>
      </c>
      <c r="G410" s="19">
        <f t="shared" si="390"/>
        <v>-9.1622692695199383E-3</v>
      </c>
      <c r="H410" s="19">
        <f t="shared" si="391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19.00585922119852</v>
      </c>
      <c r="AO410">
        <v>10.155398720016807</v>
      </c>
      <c r="AP410">
        <v>52.430072118152282</v>
      </c>
      <c r="AQ410">
        <v>55.927234644606635</v>
      </c>
      <c r="AR410">
        <v>9.2789610264622908</v>
      </c>
      <c r="AS410">
        <v>54.524905115453386</v>
      </c>
      <c r="AT410">
        <v>5.1642760475605245</v>
      </c>
      <c r="AU410">
        <v>26.377982657149875</v>
      </c>
      <c r="AV410"/>
      <c r="AW410"/>
      <c r="FY410" s="212">
        <v>405</v>
      </c>
      <c r="FZ410">
        <v>6.525866620450385</v>
      </c>
      <c r="GA410">
        <v>10.146505131042513</v>
      </c>
      <c r="GB410">
        <v>7.8660804499768098</v>
      </c>
      <c r="GC410">
        <v>4.2589249860861127</v>
      </c>
      <c r="GD410">
        <v>0.94621728272178751</v>
      </c>
      <c r="GE410">
        <v>2.8582193392592172</v>
      </c>
      <c r="GF410">
        <v>8.692714413868595</v>
      </c>
      <c r="GG410">
        <v>4.8859601409712416</v>
      </c>
      <c r="GH410">
        <v>0.42566137283345179</v>
      </c>
      <c r="GI410">
        <v>5.8164409372948311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92"/>
        <v>201</v>
      </c>
      <c r="D411" s="61">
        <f t="shared" si="387"/>
        <v>7.5000000000000009</v>
      </c>
      <c r="E411" s="108">
        <f t="shared" si="388"/>
        <v>1.8805905594292573</v>
      </c>
      <c r="F411" s="19">
        <f t="shared" si="389"/>
        <v>8.0130309742844699E-2</v>
      </c>
      <c r="G411" s="19">
        <f t="shared" si="390"/>
        <v>-7.8333405396874015E-2</v>
      </c>
      <c r="H411" s="19">
        <f t="shared" si="391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18.552632097015511</v>
      </c>
      <c r="AO411">
        <v>8.9715716887903731</v>
      </c>
      <c r="AP411">
        <v>58.548945034531101</v>
      </c>
      <c r="AQ411">
        <v>45.995169742289875</v>
      </c>
      <c r="AR411">
        <v>8.2401624525322408</v>
      </c>
      <c r="AS411">
        <v>44.618376459815835</v>
      </c>
      <c r="AT411">
        <v>4.4065064556688576</v>
      </c>
      <c r="AU411">
        <v>29.783480978693536</v>
      </c>
      <c r="AV411"/>
      <c r="AW411"/>
      <c r="FY411" s="212">
        <v>406</v>
      </c>
      <c r="FZ411">
        <v>0.29827396493287434</v>
      </c>
      <c r="GA411">
        <v>3.7306254683924971</v>
      </c>
      <c r="GB411">
        <v>8.5174643926592477</v>
      </c>
      <c r="GC411">
        <v>4.2082099160536721</v>
      </c>
      <c r="GD411">
        <v>2.2714749244167969</v>
      </c>
      <c r="GE411">
        <v>6.1421138987337489</v>
      </c>
      <c r="GF411">
        <v>8.1522282672156656</v>
      </c>
      <c r="GG411">
        <v>5.4498299493484215</v>
      </c>
      <c r="GH411">
        <v>2.3807500784216784</v>
      </c>
      <c r="GI411">
        <v>6.0378177224779384</v>
      </c>
      <c r="GJ411"/>
      <c r="GK411"/>
      <c r="GL411"/>
      <c r="GM411"/>
    </row>
    <row r="412" spans="1:195" s="7" customFormat="1">
      <c r="A412" s="189">
        <v>4</v>
      </c>
      <c r="B412" s="71">
        <f t="shared" si="386"/>
        <v>39910</v>
      </c>
      <c r="C412" s="61">
        <f t="shared" si="392"/>
        <v>264</v>
      </c>
      <c r="D412" s="61">
        <f t="shared" si="387"/>
        <v>7</v>
      </c>
      <c r="E412" s="108">
        <f t="shared" si="388"/>
        <v>1.4812265869906192</v>
      </c>
      <c r="F412" s="19">
        <f t="shared" si="389"/>
        <v>-3.7891323070611488E-3</v>
      </c>
      <c r="G412" s="19">
        <f t="shared" si="390"/>
        <v>-5.7321890135761326E-2</v>
      </c>
      <c r="H412" s="19">
        <f t="shared" si="391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21.507493208126625</v>
      </c>
      <c r="AO412">
        <v>9.5498999562524194</v>
      </c>
      <c r="AP412">
        <v>75.303531739603429</v>
      </c>
      <c r="AQ412">
        <v>53.050189775989949</v>
      </c>
      <c r="AR412">
        <v>8.7661459962668555</v>
      </c>
      <c r="AS412">
        <v>48.395190032953217</v>
      </c>
      <c r="AT412">
        <v>4.4361450990551488</v>
      </c>
      <c r="AU412">
        <v>42.112374619893913</v>
      </c>
      <c r="AV412"/>
      <c r="AW412"/>
      <c r="FY412" s="212">
        <v>407</v>
      </c>
      <c r="FZ412">
        <v>12.76564484558601</v>
      </c>
      <c r="GA412">
        <v>16.387580198381727</v>
      </c>
      <c r="GB412">
        <v>8.3211519831453025</v>
      </c>
      <c r="GC412">
        <v>4.0339989411595862</v>
      </c>
      <c r="GD412">
        <v>1.4626293194031468</v>
      </c>
      <c r="GE412">
        <v>5.6896287390816456</v>
      </c>
      <c r="GF412">
        <v>12.96071785216904</v>
      </c>
      <c r="GG412">
        <v>9.5683533765496946</v>
      </c>
      <c r="GH412">
        <v>3.0268020760540217</v>
      </c>
      <c r="GI412">
        <v>8.7673294608258772</v>
      </c>
      <c r="GJ412"/>
      <c r="GK412"/>
      <c r="GL412"/>
      <c r="GM412"/>
    </row>
    <row r="413" spans="1:195" s="7" customFormat="1">
      <c r="A413" s="190">
        <v>7.33</v>
      </c>
      <c r="B413" s="71">
        <f t="shared" si="386"/>
        <v>39949</v>
      </c>
      <c r="C413" s="61">
        <f t="shared" si="392"/>
        <v>303</v>
      </c>
      <c r="D413" s="61">
        <f t="shared" si="387"/>
        <v>5.2</v>
      </c>
      <c r="E413" s="108">
        <f t="shared" si="388"/>
        <v>0.52960716166272714</v>
      </c>
      <c r="F413" s="19">
        <f t="shared" si="389"/>
        <v>-2.6371545415360079E-2</v>
      </c>
      <c r="G413" s="19">
        <f t="shared" si="390"/>
        <v>-1.7128786539941959E-2</v>
      </c>
      <c r="H413" s="19">
        <f t="shared" si="391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17.080614123159304</v>
      </c>
      <c r="AO413">
        <v>14.250454692526773</v>
      </c>
      <c r="AP413">
        <v>70.795825481812898</v>
      </c>
      <c r="AQ413">
        <v>71.268999237497354</v>
      </c>
      <c r="AR413">
        <v>13.041222951084286</v>
      </c>
      <c r="AS413">
        <v>67.662646603159217</v>
      </c>
      <c r="AT413">
        <v>9.0181303460228985</v>
      </c>
      <c r="AU413">
        <v>15.343480714600153</v>
      </c>
      <c r="AV413"/>
      <c r="AW413"/>
      <c r="FY413" s="212">
        <v>408</v>
      </c>
      <c r="FZ413">
        <v>3.5105504342638243</v>
      </c>
      <c r="GA413">
        <v>5.7534157262324559</v>
      </c>
      <c r="GB413">
        <v>5.0999543541517598</v>
      </c>
      <c r="GC413">
        <v>2.8096563839587603</v>
      </c>
      <c r="GD413">
        <v>0.97275337511566717</v>
      </c>
      <c r="GE413">
        <v>5.0448034111655931</v>
      </c>
      <c r="GF413">
        <v>9.1910848196953374</v>
      </c>
      <c r="GG413">
        <v>3.5841011913629703</v>
      </c>
      <c r="GH413">
        <v>2.4198794642469266</v>
      </c>
      <c r="GI413">
        <v>4.9088105117039031</v>
      </c>
      <c r="GJ413"/>
      <c r="GK413"/>
      <c r="GL413"/>
      <c r="GM413"/>
    </row>
    <row r="414" spans="1:195" s="7" customFormat="1">
      <c r="A414" s="189">
        <v>10.51</v>
      </c>
      <c r="B414" s="71">
        <f t="shared" si="386"/>
        <v>39987</v>
      </c>
      <c r="C414" s="61">
        <f t="shared" si="392"/>
        <v>341</v>
      </c>
      <c r="D414" s="61">
        <f t="shared" si="387"/>
        <v>4.6666666666666661</v>
      </c>
      <c r="E414" s="108">
        <f t="shared" si="388"/>
        <v>0.36420486471005425</v>
      </c>
      <c r="F414" s="19">
        <f t="shared" si="389"/>
        <v>-9.8531316540843572E-3</v>
      </c>
      <c r="G414" s="19">
        <f t="shared" si="390"/>
        <v>9.3097372155938676E-3</v>
      </c>
      <c r="H414" s="19">
        <f t="shared" si="391"/>
        <v>9.3097372155938676E-3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20.470383986928102</v>
      </c>
      <c r="AO414">
        <v>8.4012718874240342</v>
      </c>
      <c r="AP414">
        <v>49.569789937558923</v>
      </c>
      <c r="AQ414">
        <v>45.571547811090547</v>
      </c>
      <c r="AR414">
        <v>7.7703270379275926</v>
      </c>
      <c r="AS414">
        <v>46.577017079872007</v>
      </c>
      <c r="AT414">
        <v>4.1915225404649803</v>
      </c>
      <c r="AU414">
        <v>14.839784797406447</v>
      </c>
      <c r="AV414"/>
      <c r="AW414"/>
      <c r="FY414" s="212">
        <v>409</v>
      </c>
      <c r="FZ414">
        <v>0.2355183668534937</v>
      </c>
      <c r="GA414">
        <v>2.1334788780915308</v>
      </c>
      <c r="GB414">
        <v>6.0245878795125609</v>
      </c>
      <c r="GC414">
        <v>3.0772547249126561</v>
      </c>
      <c r="GD414">
        <v>1.5902927036149594</v>
      </c>
      <c r="GE414">
        <v>3.8111722585017329</v>
      </c>
      <c r="GF414">
        <v>3.4358832034796167</v>
      </c>
      <c r="GG414">
        <v>2.0085417211611247</v>
      </c>
      <c r="GH414">
        <v>1.6011500782280157</v>
      </c>
      <c r="GI414">
        <v>3.6933195438709827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17.912109221198516</v>
      </c>
      <c r="AO415">
        <v>11.907885836968886</v>
      </c>
      <c r="AP415">
        <v>83.315864956668719</v>
      </c>
      <c r="AQ415">
        <v>64.798543240076711</v>
      </c>
      <c r="AR415">
        <v>10.946205970343334</v>
      </c>
      <c r="AS415">
        <v>52.218344242821544</v>
      </c>
      <c r="AT415">
        <v>6.6753313494669078</v>
      </c>
      <c r="AU415">
        <v>9.8978442819500927</v>
      </c>
      <c r="AV415"/>
      <c r="AW415"/>
      <c r="FY415" s="212">
        <v>410</v>
      </c>
      <c r="FZ415">
        <v>3.2836979551367511</v>
      </c>
      <c r="GA415">
        <v>7.7967007520694978</v>
      </c>
      <c r="GB415">
        <v>7.2579189698941615</v>
      </c>
      <c r="GC415">
        <v>3.0255099641658703</v>
      </c>
      <c r="GD415">
        <v>1.0563316452251954</v>
      </c>
      <c r="GE415">
        <v>6.17220457690504</v>
      </c>
      <c r="GF415">
        <v>18.834850890371449</v>
      </c>
      <c r="GG415">
        <v>12.583532574228098</v>
      </c>
      <c r="GH415">
        <v>0.9315095853441494</v>
      </c>
      <c r="GI415">
        <v>7.9993375823684687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12.203775887865186</v>
      </c>
      <c r="AO416">
        <v>6.0547254357006963</v>
      </c>
      <c r="AP416">
        <v>67.786876024850841</v>
      </c>
      <c r="AQ416">
        <v>39.780042111282043</v>
      </c>
      <c r="AR416">
        <v>5.5700902875087754</v>
      </c>
      <c r="AS416">
        <v>29.980007365986509</v>
      </c>
      <c r="AT416">
        <v>2.4205233945313327</v>
      </c>
      <c r="AU416">
        <v>22.6301288185002</v>
      </c>
      <c r="AV416"/>
      <c r="AW416"/>
      <c r="FY416" s="212">
        <v>411</v>
      </c>
      <c r="FZ416">
        <v>3.4786103588565394</v>
      </c>
      <c r="GA416">
        <v>5.4996405335749019</v>
      </c>
      <c r="GB416">
        <v>8.8096579301592683</v>
      </c>
      <c r="GC416">
        <v>4.1761155592721675</v>
      </c>
      <c r="GD416">
        <v>0.28314008514644262</v>
      </c>
      <c r="GE416">
        <v>2.8846652159706476</v>
      </c>
      <c r="GF416">
        <v>7.6522874187573873</v>
      </c>
      <c r="GG416">
        <v>5.6150246331489946</v>
      </c>
      <c r="GH416">
        <v>3.9179905605006251</v>
      </c>
      <c r="GI416">
        <v>5.3999963930767567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14.959967320261436</v>
      </c>
      <c r="AO417">
        <v>7.199372282650776</v>
      </c>
      <c r="AP417">
        <v>54.773084470103626</v>
      </c>
      <c r="AQ417">
        <v>40.923253466137552</v>
      </c>
      <c r="AR417">
        <v>6.7014784811934849</v>
      </c>
      <c r="AS417">
        <v>39.919657312576241</v>
      </c>
      <c r="AT417">
        <v>4.1319381935646176</v>
      </c>
      <c r="AU417">
        <v>23.211624721734847</v>
      </c>
      <c r="AV417"/>
      <c r="AW417"/>
      <c r="FY417" s="212">
        <v>412</v>
      </c>
      <c r="FZ417">
        <v>0.1439675243467915</v>
      </c>
      <c r="GA417">
        <v>1.6292950795503933</v>
      </c>
      <c r="GB417">
        <v>2.5200206792121005</v>
      </c>
      <c r="GC417">
        <v>1.3046883808199556</v>
      </c>
      <c r="GD417">
        <v>1.8888673101427171</v>
      </c>
      <c r="GE417">
        <v>5.6342344065284404</v>
      </c>
      <c r="GF417">
        <v>6.8543072120023423</v>
      </c>
      <c r="GG417">
        <v>4.2581996886593112</v>
      </c>
      <c r="GH417">
        <v>2.6204021082634088</v>
      </c>
      <c r="GI417">
        <v>4.0183043383898855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13.28200301204819</v>
      </c>
      <c r="AO418">
        <v>6.3300173068037093</v>
      </c>
      <c r="AP418">
        <v>31.284925666181838</v>
      </c>
      <c r="AQ418">
        <v>31.098119454083815</v>
      </c>
      <c r="AR418">
        <v>5.8388069993096554</v>
      </c>
      <c r="AS418">
        <v>32.237313257332538</v>
      </c>
      <c r="AT418">
        <v>3.4601772965146762</v>
      </c>
      <c r="AU418">
        <v>4.259277867956496</v>
      </c>
      <c r="AV418"/>
      <c r="AW418"/>
      <c r="FY418" s="212">
        <v>413</v>
      </c>
      <c r="FZ418">
        <v>0.22629020275947859</v>
      </c>
      <c r="GA418">
        <v>1.2980078865409359</v>
      </c>
      <c r="GB418">
        <v>7.692621007459632</v>
      </c>
      <c r="GC418">
        <v>4.4737692071843123</v>
      </c>
      <c r="GD418">
        <v>2.0594153673019053</v>
      </c>
      <c r="GE418">
        <v>6.508290731164597</v>
      </c>
      <c r="GF418">
        <v>12.174982491856937</v>
      </c>
      <c r="GG418">
        <v>8.2662859599026532</v>
      </c>
      <c r="GH418">
        <v>2.4562867571508735</v>
      </c>
      <c r="GI418">
        <v>6.8230422879095283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9.96875</v>
      </c>
      <c r="AO419">
        <v>9.2485214760021073</v>
      </c>
      <c r="AP419">
        <v>36.033708351240669</v>
      </c>
      <c r="AQ419">
        <v>48.650842522842588</v>
      </c>
      <c r="AR419">
        <v>8.5380894197892676</v>
      </c>
      <c r="AS419">
        <v>43.897415440777962</v>
      </c>
      <c r="AT419">
        <v>5.4981963299295762</v>
      </c>
      <c r="AU419">
        <v>1.7598477253994491</v>
      </c>
      <c r="AV419"/>
      <c r="AW419"/>
      <c r="FY419" s="212">
        <v>414</v>
      </c>
      <c r="FZ419">
        <v>9.6888574383312971</v>
      </c>
      <c r="GA419">
        <v>15.123567833219774</v>
      </c>
      <c r="GB419">
        <v>3.7311103756691093</v>
      </c>
      <c r="GC419">
        <v>1.6794789931083958</v>
      </c>
      <c r="GD419">
        <v>0.90788514955586819</v>
      </c>
      <c r="GE419">
        <v>2.435850788996393</v>
      </c>
      <c r="GF419">
        <v>10.076477838826332</v>
      </c>
      <c r="GG419">
        <v>8.0178684946404442</v>
      </c>
      <c r="GH419">
        <v>1.3171054699226108</v>
      </c>
      <c r="GI419">
        <v>5.6104436614477358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14.330614123159304</v>
      </c>
      <c r="AO420">
        <v>11.917462574001069</v>
      </c>
      <c r="AP420">
        <v>71.352958399949841</v>
      </c>
      <c r="AQ420">
        <v>61.51715740177378</v>
      </c>
      <c r="AR420">
        <v>10.942896916173536</v>
      </c>
      <c r="AS420">
        <v>52.00726867874927</v>
      </c>
      <c r="AT420">
        <v>6.4677114878487814</v>
      </c>
      <c r="AU420">
        <v>7.6005622041462999</v>
      </c>
      <c r="AV420"/>
      <c r="AW420"/>
      <c r="FY420" s="212">
        <v>415</v>
      </c>
      <c r="FZ420">
        <v>3.4177014141559812</v>
      </c>
      <c r="GA420">
        <v>7.9721936793785284</v>
      </c>
      <c r="GB420">
        <v>7.3430539720259658</v>
      </c>
      <c r="GC420">
        <v>3.6096864127364445</v>
      </c>
      <c r="GD420">
        <v>1.4171917270652523</v>
      </c>
      <c r="GE420">
        <v>2.1690491299554</v>
      </c>
      <c r="GF420">
        <v>8.1155810159501733</v>
      </c>
      <c r="GG420">
        <v>9.992092025021682</v>
      </c>
      <c r="GH420">
        <v>4.8275956000044484</v>
      </c>
      <c r="GI420">
        <v>6.2625064091750229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14.924364123159307</v>
      </c>
      <c r="AO421">
        <v>9.9202287351902356</v>
      </c>
      <c r="AP421">
        <v>48.082597071451026</v>
      </c>
      <c r="AQ421">
        <v>52.422590674504939</v>
      </c>
      <c r="AR421">
        <v>9.0718436981838817</v>
      </c>
      <c r="AS421">
        <v>48.518952196918178</v>
      </c>
      <c r="AT421">
        <v>4.8504494118099402</v>
      </c>
      <c r="AU421">
        <v>1.6697261270049508</v>
      </c>
      <c r="AV421"/>
      <c r="AW421"/>
      <c r="FY421" s="212">
        <v>416</v>
      </c>
      <c r="FZ421">
        <v>6.3837457494824168</v>
      </c>
      <c r="GA421">
        <v>8.7957337822251276</v>
      </c>
      <c r="GB421">
        <v>5.1901082712541555</v>
      </c>
      <c r="GC421">
        <v>2.7515608677467918</v>
      </c>
      <c r="GD421">
        <v>1.3708898271609988</v>
      </c>
      <c r="GE421">
        <v>3.4487364260079332</v>
      </c>
      <c r="GF421">
        <v>6.7235819220600463</v>
      </c>
      <c r="GG421">
        <v>6.9431869213781265</v>
      </c>
      <c r="GH421">
        <v>3.8922720814043448</v>
      </c>
      <c r="GI421">
        <v>5.5346070318828815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1.6033136695055734E-4</v>
      </c>
      <c r="H422" s="44">
        <f t="shared" ref="H422:AK422" si="393">H372</f>
        <v>1.7643399999999999E-3</v>
      </c>
      <c r="I422" s="44">
        <f t="shared" si="393"/>
        <v>1.9415387611333396E-2</v>
      </c>
      <c r="J422" s="44">
        <f t="shared" si="393"/>
        <v>7.8962669401822033E-2</v>
      </c>
      <c r="K422" s="44">
        <f t="shared" si="393"/>
        <v>0.21365342059825113</v>
      </c>
      <c r="L422" s="44">
        <f t="shared" si="393"/>
        <v>0.46240071322475906</v>
      </c>
      <c r="M422" s="44">
        <f t="shared" si="393"/>
        <v>0.86893163067319767</v>
      </c>
      <c r="N422" s="44">
        <f t="shared" si="393"/>
        <v>1.4812265869906192</v>
      </c>
      <c r="O422" s="44">
        <f t="shared" si="393"/>
        <v>2.35111371697195</v>
      </c>
      <c r="P422" s="44">
        <f t="shared" si="393"/>
        <v>3.5339578307250537</v>
      </c>
      <c r="Q422" s="44">
        <f t="shared" si="393"/>
        <v>5.0884121422263986</v>
      </c>
      <c r="R422" s="44">
        <f t="shared" si="393"/>
        <v>7.0762142035182416</v>
      </c>
      <c r="S422" s="44">
        <f t="shared" si="393"/>
        <v>9.5620143607627508</v>
      </c>
      <c r="T422" s="44">
        <f t="shared" si="393"/>
        <v>12.613228959633782</v>
      </c>
      <c r="U422" s="44">
        <f t="shared" si="393"/>
        <v>16.299912900368032</v>
      </c>
      <c r="V422" s="44">
        <f t="shared" si="393"/>
        <v>20.694647658350089</v>
      </c>
      <c r="W422" s="44">
        <f t="shared" si="393"/>
        <v>25.872441895175079</v>
      </c>
      <c r="X422" s="44">
        <f t="shared" si="393"/>
        <v>31.910642480438877</v>
      </c>
      <c r="Y422" s="44">
        <f t="shared" si="393"/>
        <v>38.88885423763773</v>
      </c>
      <c r="Z422" s="44">
        <f t="shared" si="393"/>
        <v>46.88886708603107</v>
      </c>
      <c r="AA422" s="44">
        <f t="shared" si="393"/>
        <v>55.994589516499502</v>
      </c>
      <c r="AB422" s="44">
        <f t="shared" si="393"/>
        <v>66.291987540796825</v>
      </c>
      <c r="AC422" s="44">
        <f t="shared" si="393"/>
        <v>77.869028408430097</v>
      </c>
      <c r="AD422" s="44">
        <f t="shared" si="393"/>
        <v>90.815628506216825</v>
      </c>
      <c r="AE422" s="44">
        <f t="shared" si="393"/>
        <v>105.22360495105548</v>
      </c>
      <c r="AF422" s="44">
        <f t="shared" si="393"/>
        <v>121.18663046281658</v>
      </c>
      <c r="AG422" s="44">
        <f t="shared" si="393"/>
        <v>138.80019116598018</v>
      </c>
      <c r="AH422" s="44">
        <f t="shared" si="393"/>
        <v>158.16154701901141</v>
      </c>
      <c r="AI422" s="44">
        <f t="shared" si="393"/>
        <v>179.36969461193365</v>
      </c>
      <c r="AJ422" s="44">
        <f t="shared" si="393"/>
        <v>202.5253321069622</v>
      </c>
      <c r="AK422" s="44">
        <f t="shared" si="393"/>
        <v>227.73082612582618</v>
      </c>
      <c r="AL422" s="4"/>
      <c r="AM422" s="43">
        <v>406</v>
      </c>
      <c r="AN422">
        <v>18.478081443420741</v>
      </c>
      <c r="AO422">
        <v>9.7790540269557198</v>
      </c>
      <c r="AP422">
        <v>39.727540903714164</v>
      </c>
      <c r="AQ422">
        <v>47.188788582652535</v>
      </c>
      <c r="AR422">
        <v>8.9370064240201241</v>
      </c>
      <c r="AS422">
        <v>50.08240037379985</v>
      </c>
      <c r="AT422">
        <v>4.6924147171158443</v>
      </c>
      <c r="AU422">
        <v>16.487397777360687</v>
      </c>
      <c r="AV422"/>
      <c r="AW422"/>
      <c r="FY422" s="212">
        <v>417</v>
      </c>
      <c r="FZ422">
        <v>0.29846139038873931</v>
      </c>
      <c r="GA422">
        <v>3.3320791020300407</v>
      </c>
      <c r="GB422">
        <v>3.5910569140085267</v>
      </c>
      <c r="GC422">
        <v>1.4522579687245654</v>
      </c>
      <c r="GD422">
        <v>0.57276840539292473</v>
      </c>
      <c r="GE422">
        <v>2.6161580143530125</v>
      </c>
      <c r="GF422">
        <v>10.444861316634231</v>
      </c>
      <c r="GG422">
        <v>8.2701204592789921</v>
      </c>
      <c r="GH422">
        <v>2.1424925701694666</v>
      </c>
      <c r="GI422">
        <v>4.3972045006490141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94">SUM(G423:AK423)</f>
        <v>6.4955995735559711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95">(($A$453+$A$455*(H$422)+($A$457*$D423))*($E21*H37))</f>
        <v>0</v>
      </c>
      <c r="I423" s="107">
        <f t="shared" si="395"/>
        <v>0.21318130645195357</v>
      </c>
      <c r="J423" s="107">
        <f t="shared" si="395"/>
        <v>0.16464535682537415</v>
      </c>
      <c r="K423" s="107">
        <f t="shared" si="395"/>
        <v>0</v>
      </c>
      <c r="L423" s="107">
        <f t="shared" si="395"/>
        <v>0</v>
      </c>
      <c r="M423" s="107">
        <f t="shared" si="395"/>
        <v>0</v>
      </c>
      <c r="N423" s="107">
        <f t="shared" si="395"/>
        <v>0</v>
      </c>
      <c r="O423" s="107">
        <f t="shared" si="395"/>
        <v>2.1672979355087669</v>
      </c>
      <c r="P423" s="107">
        <f t="shared" si="395"/>
        <v>0</v>
      </c>
      <c r="Q423" s="107">
        <f t="shared" si="395"/>
        <v>3.9504749747698766</v>
      </c>
      <c r="R423" s="107">
        <f t="shared" si="395"/>
        <v>0</v>
      </c>
      <c r="S423" s="107">
        <f t="shared" si="395"/>
        <v>0</v>
      </c>
      <c r="T423" s="107">
        <f t="shared" si="395"/>
        <v>0</v>
      </c>
      <c r="U423" s="107">
        <f t="shared" si="395"/>
        <v>0</v>
      </c>
      <c r="V423" s="107">
        <f t="shared" si="395"/>
        <v>0</v>
      </c>
      <c r="W423" s="107">
        <f t="shared" si="395"/>
        <v>0</v>
      </c>
      <c r="X423" s="107">
        <f t="shared" si="395"/>
        <v>0</v>
      </c>
      <c r="Y423" s="107">
        <f t="shared" si="395"/>
        <v>0</v>
      </c>
      <c r="Z423" s="107">
        <f t="shared" si="395"/>
        <v>0</v>
      </c>
      <c r="AA423" s="107">
        <f t="shared" si="395"/>
        <v>0</v>
      </c>
      <c r="AB423" s="107">
        <f t="shared" si="395"/>
        <v>0</v>
      </c>
      <c r="AC423" s="107">
        <f t="shared" si="395"/>
        <v>0</v>
      </c>
      <c r="AD423" s="107">
        <f t="shared" si="395"/>
        <v>0</v>
      </c>
      <c r="AE423" s="107">
        <f t="shared" si="395"/>
        <v>0</v>
      </c>
      <c r="AF423" s="107">
        <f t="shared" si="395"/>
        <v>0</v>
      </c>
      <c r="AG423" s="107">
        <f t="shared" si="395"/>
        <v>0</v>
      </c>
      <c r="AH423" s="107">
        <f t="shared" si="395"/>
        <v>0</v>
      </c>
      <c r="AI423" s="107">
        <f t="shared" si="395"/>
        <v>0</v>
      </c>
      <c r="AJ423" s="107">
        <f t="shared" si="395"/>
        <v>0</v>
      </c>
      <c r="AK423" s="107">
        <f t="shared" si="395"/>
        <v>0</v>
      </c>
      <c r="AL423" s="4"/>
      <c r="AM423" s="43">
        <v>407</v>
      </c>
      <c r="AN423">
        <v>21.533636998976295</v>
      </c>
      <c r="AO423">
        <v>15.217731320875865</v>
      </c>
      <c r="AP423">
        <v>111.22537366177862</v>
      </c>
      <c r="AQ423">
        <v>82.983836792356058</v>
      </c>
      <c r="AR423">
        <v>13.942695043058617</v>
      </c>
      <c r="AS423">
        <v>69.254837311497539</v>
      </c>
      <c r="AT423">
        <v>7.1385293177680635</v>
      </c>
      <c r="AU423">
        <v>28.67610730924082</v>
      </c>
      <c r="AV423"/>
      <c r="AW423"/>
      <c r="FY423" s="212">
        <v>418</v>
      </c>
      <c r="FZ423">
        <v>3.3883576939509785</v>
      </c>
      <c r="GA423">
        <v>7.3687017109481889</v>
      </c>
      <c r="GB423">
        <v>6.7693285116091877</v>
      </c>
      <c r="GC423">
        <v>3.0259914213746244</v>
      </c>
      <c r="GD423">
        <v>1.5443307088866467</v>
      </c>
      <c r="GE423">
        <v>3.1337405443996378</v>
      </c>
      <c r="GF423">
        <v>9.8122752945666072</v>
      </c>
      <c r="GG423">
        <v>9.9086607765212769</v>
      </c>
      <c r="GH423">
        <v>1.7313205187050142</v>
      </c>
      <c r="GI423">
        <v>6.1873222459975885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94"/>
        <v>9.1512595035149271</v>
      </c>
      <c r="D424" s="191">
        <f>$A$406</f>
        <v>9.4499999999999993</v>
      </c>
      <c r="E424" s="8"/>
      <c r="F424" s="124"/>
      <c r="G424" s="107">
        <f t="shared" ref="G424:V432" si="396">(($A$453+$A$455*(G$422)+($A$457*$D424))*($E22*G38))</f>
        <v>0</v>
      </c>
      <c r="H424" s="107">
        <f t="shared" si="396"/>
        <v>0</v>
      </c>
      <c r="I424" s="107">
        <f t="shared" si="396"/>
        <v>0.16817931604281497</v>
      </c>
      <c r="J424" s="107">
        <f t="shared" si="396"/>
        <v>0.38933255601451894</v>
      </c>
      <c r="K424" s="107">
        <f t="shared" si="396"/>
        <v>0.52207473134628279</v>
      </c>
      <c r="L424" s="107">
        <f t="shared" si="396"/>
        <v>1.3891769936738905</v>
      </c>
      <c r="M424" s="107">
        <f t="shared" si="396"/>
        <v>0</v>
      </c>
      <c r="N424" s="107">
        <f t="shared" si="396"/>
        <v>0</v>
      </c>
      <c r="O424" s="107">
        <f t="shared" si="396"/>
        <v>2.467047746712026</v>
      </c>
      <c r="P424" s="107">
        <f t="shared" si="396"/>
        <v>0</v>
      </c>
      <c r="Q424" s="107">
        <f t="shared" si="396"/>
        <v>4.2154481597253941</v>
      </c>
      <c r="R424" s="107">
        <f t="shared" si="396"/>
        <v>0</v>
      </c>
      <c r="S424" s="107">
        <f t="shared" si="396"/>
        <v>0</v>
      </c>
      <c r="T424" s="107">
        <f t="shared" si="396"/>
        <v>0</v>
      </c>
      <c r="U424" s="107">
        <f t="shared" si="396"/>
        <v>0</v>
      </c>
      <c r="V424" s="107">
        <f t="shared" si="396"/>
        <v>0</v>
      </c>
      <c r="W424" s="107">
        <f t="shared" si="395"/>
        <v>0</v>
      </c>
      <c r="X424" s="107">
        <f t="shared" si="395"/>
        <v>0</v>
      </c>
      <c r="Y424" s="107">
        <f t="shared" si="395"/>
        <v>0</v>
      </c>
      <c r="Z424" s="107">
        <f t="shared" si="395"/>
        <v>0</v>
      </c>
      <c r="AA424" s="107">
        <f t="shared" si="395"/>
        <v>0</v>
      </c>
      <c r="AB424" s="107">
        <f t="shared" si="395"/>
        <v>0</v>
      </c>
      <c r="AC424" s="107">
        <f t="shared" si="395"/>
        <v>0</v>
      </c>
      <c r="AD424" s="107">
        <f t="shared" si="395"/>
        <v>0</v>
      </c>
      <c r="AE424" s="107">
        <f t="shared" si="395"/>
        <v>0</v>
      </c>
      <c r="AF424" s="107">
        <f t="shared" si="395"/>
        <v>0</v>
      </c>
      <c r="AG424" s="107">
        <f t="shared" si="395"/>
        <v>0</v>
      </c>
      <c r="AH424" s="107">
        <f t="shared" si="395"/>
        <v>0</v>
      </c>
      <c r="AI424" s="107">
        <f t="shared" si="395"/>
        <v>0</v>
      </c>
      <c r="AJ424" s="107">
        <f t="shared" si="395"/>
        <v>0</v>
      </c>
      <c r="AK424" s="107">
        <f t="shared" si="395"/>
        <v>0</v>
      </c>
      <c r="AL424" s="4"/>
      <c r="AM424" s="43">
        <v>408</v>
      </c>
      <c r="AN424">
        <v>11.861111111111111</v>
      </c>
      <c r="AO424">
        <v>8.0456059608258403</v>
      </c>
      <c r="AP424">
        <v>78.026208377099039</v>
      </c>
      <c r="AQ424">
        <v>43.295009671897191</v>
      </c>
      <c r="AR424">
        <v>7.4204435236648125</v>
      </c>
      <c r="AS424">
        <v>50.049580593734753</v>
      </c>
      <c r="AT424" t="e">
        <v>#DIV/0!</v>
      </c>
      <c r="AU424" t="e">
        <v>#DIV/0!</v>
      </c>
      <c r="AV424"/>
      <c r="AW424"/>
      <c r="FY424" s="212">
        <v>419</v>
      </c>
      <c r="FZ424">
        <v>0.32688178390433098</v>
      </c>
      <c r="GA424">
        <v>2.715518158168452</v>
      </c>
      <c r="GB424">
        <v>6.6762328931555075</v>
      </c>
      <c r="GC424">
        <v>3.2069952644924484</v>
      </c>
      <c r="GD424">
        <v>0.77597904390712036</v>
      </c>
      <c r="GE424">
        <v>4.4161292177036842</v>
      </c>
      <c r="GF424">
        <v>12.261137475501412</v>
      </c>
      <c r="GG424">
        <v>8.0726260224830853</v>
      </c>
      <c r="GH424">
        <v>2.9104423988264552</v>
      </c>
      <c r="GI424">
        <v>5.6230485471885743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94"/>
        <v>8.3432238050754979</v>
      </c>
      <c r="D425" s="191">
        <f>A$407</f>
        <v>4.03</v>
      </c>
      <c r="E425" s="8"/>
      <c r="F425" s="124"/>
      <c r="G425" s="107">
        <f t="shared" si="396"/>
        <v>0</v>
      </c>
      <c r="H425" s="107">
        <f t="shared" si="395"/>
        <v>0</v>
      </c>
      <c r="I425" s="107">
        <f t="shared" si="395"/>
        <v>0</v>
      </c>
      <c r="J425" s="107">
        <f t="shared" si="395"/>
        <v>0.51528974021625906</v>
      </c>
      <c r="K425" s="107">
        <f t="shared" si="395"/>
        <v>0.53223258492019843</v>
      </c>
      <c r="L425" s="107">
        <f t="shared" si="395"/>
        <v>1.746761851042717</v>
      </c>
      <c r="M425" s="107">
        <f t="shared" si="395"/>
        <v>1.7645966492466514</v>
      </c>
      <c r="N425" s="107">
        <f t="shared" si="395"/>
        <v>3.7843429796496726</v>
      </c>
      <c r="O425" s="107">
        <f t="shared" si="395"/>
        <v>0</v>
      </c>
      <c r="P425" s="107">
        <f t="shared" si="395"/>
        <v>0</v>
      </c>
      <c r="Q425" s="107">
        <f t="shared" si="395"/>
        <v>0</v>
      </c>
      <c r="R425" s="107">
        <f t="shared" si="395"/>
        <v>0</v>
      </c>
      <c r="S425" s="107">
        <f t="shared" si="395"/>
        <v>0</v>
      </c>
      <c r="T425" s="107">
        <f t="shared" si="395"/>
        <v>0</v>
      </c>
      <c r="U425" s="107">
        <f t="shared" si="395"/>
        <v>0</v>
      </c>
      <c r="V425" s="107">
        <f t="shared" si="395"/>
        <v>0</v>
      </c>
      <c r="W425" s="107">
        <f t="shared" si="395"/>
        <v>0</v>
      </c>
      <c r="X425" s="107">
        <f t="shared" si="395"/>
        <v>0</v>
      </c>
      <c r="Y425" s="107">
        <f t="shared" si="395"/>
        <v>0</v>
      </c>
      <c r="Z425" s="107">
        <f t="shared" si="395"/>
        <v>0</v>
      </c>
      <c r="AA425" s="107">
        <f t="shared" si="395"/>
        <v>0</v>
      </c>
      <c r="AB425" s="107">
        <f t="shared" si="395"/>
        <v>0</v>
      </c>
      <c r="AC425" s="107">
        <f t="shared" si="395"/>
        <v>0</v>
      </c>
      <c r="AD425" s="107">
        <f t="shared" si="395"/>
        <v>0</v>
      </c>
      <c r="AE425" s="107">
        <f t="shared" si="395"/>
        <v>0</v>
      </c>
      <c r="AF425" s="107">
        <f t="shared" si="395"/>
        <v>0</v>
      </c>
      <c r="AG425" s="107">
        <f t="shared" si="395"/>
        <v>0</v>
      </c>
      <c r="AH425" s="107">
        <f t="shared" si="395"/>
        <v>0</v>
      </c>
      <c r="AI425" s="107">
        <f t="shared" si="395"/>
        <v>0</v>
      </c>
      <c r="AJ425" s="107">
        <f t="shared" si="395"/>
        <v>0</v>
      </c>
      <c r="AK425" s="107">
        <f t="shared" si="395"/>
        <v>0</v>
      </c>
      <c r="AL425" s="4"/>
      <c r="AM425" s="43">
        <v>409</v>
      </c>
      <c r="AN425">
        <v>13.00933144342074</v>
      </c>
      <c r="AO425">
        <v>5.8976566871958118</v>
      </c>
      <c r="AP425">
        <v>34.363583759959567</v>
      </c>
      <c r="AQ425">
        <v>27.611199358226678</v>
      </c>
      <c r="AR425">
        <v>5.402709110042422</v>
      </c>
      <c r="AS425">
        <v>34.043074919689062</v>
      </c>
      <c r="AT425">
        <v>3.1143933886346287</v>
      </c>
      <c r="AU425">
        <v>18.185333827970663</v>
      </c>
      <c r="AV425"/>
      <c r="AW425"/>
      <c r="FY425" s="212">
        <v>420</v>
      </c>
      <c r="FZ425">
        <v>0.2344076147082175</v>
      </c>
      <c r="GA425">
        <v>3.347373713057836</v>
      </c>
      <c r="GB425">
        <v>7.018884431027562</v>
      </c>
      <c r="GC425">
        <v>3.3508645703393558</v>
      </c>
      <c r="GD425">
        <v>2.1854818809176231</v>
      </c>
      <c r="GE425">
        <v>5.6292353228837158</v>
      </c>
      <c r="GF425">
        <v>11.301807507500808</v>
      </c>
      <c r="GG425">
        <v>9.7769724672498697</v>
      </c>
      <c r="GH425">
        <v>2.7642409997795494</v>
      </c>
      <c r="GI425">
        <v>6.7282255365376997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94"/>
        <v>4.5601325171044067</v>
      </c>
      <c r="D426" s="191">
        <f>A$408</f>
        <v>0.78</v>
      </c>
      <c r="E426" s="8"/>
      <c r="F426" s="124"/>
      <c r="G426" s="107">
        <f t="shared" si="396"/>
        <v>0</v>
      </c>
      <c r="H426" s="107">
        <f t="shared" si="395"/>
        <v>0</v>
      </c>
      <c r="I426" s="107">
        <f t="shared" si="395"/>
        <v>2.7620317329038385E-2</v>
      </c>
      <c r="J426" s="107">
        <f t="shared" si="395"/>
        <v>0.23186631363849122</v>
      </c>
      <c r="K426" s="107">
        <f t="shared" si="395"/>
        <v>0.2579464431441445</v>
      </c>
      <c r="L426" s="107">
        <f t="shared" si="395"/>
        <v>0.5708888195591455</v>
      </c>
      <c r="M426" s="107">
        <f t="shared" si="395"/>
        <v>1.3417937659717258</v>
      </c>
      <c r="N426" s="107">
        <f t="shared" si="395"/>
        <v>2.1300168574618605</v>
      </c>
      <c r="O426" s="107">
        <f t="shared" si="395"/>
        <v>0</v>
      </c>
      <c r="P426" s="107">
        <f t="shared" si="395"/>
        <v>0</v>
      </c>
      <c r="Q426" s="107">
        <f t="shared" si="395"/>
        <v>0</v>
      </c>
      <c r="R426" s="107">
        <f t="shared" si="395"/>
        <v>0</v>
      </c>
      <c r="S426" s="107">
        <f t="shared" si="395"/>
        <v>0</v>
      </c>
      <c r="T426" s="107">
        <f t="shared" si="395"/>
        <v>0</v>
      </c>
      <c r="U426" s="107">
        <f t="shared" si="395"/>
        <v>0</v>
      </c>
      <c r="V426" s="107">
        <f t="shared" si="395"/>
        <v>0</v>
      </c>
      <c r="W426" s="107">
        <f t="shared" si="395"/>
        <v>0</v>
      </c>
      <c r="X426" s="107">
        <f t="shared" si="395"/>
        <v>0</v>
      </c>
      <c r="Y426" s="107">
        <f t="shared" si="395"/>
        <v>0</v>
      </c>
      <c r="Z426" s="107">
        <f t="shared" si="395"/>
        <v>0</v>
      </c>
      <c r="AA426" s="107">
        <f t="shared" si="395"/>
        <v>0</v>
      </c>
      <c r="AB426" s="107">
        <f t="shared" si="395"/>
        <v>0</v>
      </c>
      <c r="AC426" s="107">
        <f t="shared" si="395"/>
        <v>0</v>
      </c>
      <c r="AD426" s="107">
        <f t="shared" si="395"/>
        <v>0</v>
      </c>
      <c r="AE426" s="107">
        <f t="shared" si="395"/>
        <v>0</v>
      </c>
      <c r="AF426" s="107">
        <f t="shared" si="395"/>
        <v>0</v>
      </c>
      <c r="AG426" s="107">
        <f t="shared" si="395"/>
        <v>0</v>
      </c>
      <c r="AH426" s="107">
        <f t="shared" si="395"/>
        <v>0</v>
      </c>
      <c r="AI426" s="107">
        <f t="shared" si="395"/>
        <v>0</v>
      </c>
      <c r="AJ426" s="107">
        <f t="shared" si="395"/>
        <v>0</v>
      </c>
      <c r="AK426" s="107">
        <f t="shared" si="395"/>
        <v>0</v>
      </c>
      <c r="AL426" s="4"/>
      <c r="AM426" s="43">
        <v>410</v>
      </c>
      <c r="AN426">
        <v>16.81835922119852</v>
      </c>
      <c r="AO426">
        <v>13.843757670319842</v>
      </c>
      <c r="AP426">
        <v>75.882143666577605</v>
      </c>
      <c r="AQ426">
        <v>68.941594495708699</v>
      </c>
      <c r="AR426">
        <v>12.613740179916645</v>
      </c>
      <c r="AS426">
        <v>60.786509173487133</v>
      </c>
      <c r="AT426">
        <v>8.1185278413167126</v>
      </c>
      <c r="AU426">
        <v>28.198718260900552</v>
      </c>
      <c r="AV426"/>
      <c r="AW426"/>
      <c r="FY426" s="212">
        <v>421</v>
      </c>
      <c r="FZ426">
        <v>7.290708886280696E-2</v>
      </c>
      <c r="GA426">
        <v>4.1669023056271381</v>
      </c>
      <c r="GB426">
        <v>5.9166068376415071</v>
      </c>
      <c r="GC426">
        <v>2.4306884328358471</v>
      </c>
      <c r="GD426">
        <v>1.7400897068339747</v>
      </c>
      <c r="GE426">
        <v>5.797604795516845</v>
      </c>
      <c r="GF426">
        <v>10.212558484205996</v>
      </c>
      <c r="GG426">
        <v>6.6947694561159174</v>
      </c>
      <c r="GH426">
        <v>2.2363325035236148</v>
      </c>
      <c r="GI426">
        <v>5.638520465019246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94"/>
        <v>1.4827178243200521</v>
      </c>
      <c r="D427" s="191">
        <f>A$409</f>
        <v>0.14000000000000001</v>
      </c>
      <c r="E427" s="8"/>
      <c r="F427" s="124"/>
      <c r="G427" s="107">
        <f t="shared" si="396"/>
        <v>0</v>
      </c>
      <c r="H427" s="107">
        <f t="shared" si="395"/>
        <v>0</v>
      </c>
      <c r="I427" s="107">
        <f t="shared" si="395"/>
        <v>0.17055437142893931</v>
      </c>
      <c r="J427" s="107">
        <f t="shared" si="395"/>
        <v>0</v>
      </c>
      <c r="K427" s="107">
        <f t="shared" si="395"/>
        <v>0.14138534593900451</v>
      </c>
      <c r="L427" s="107">
        <f t="shared" si="395"/>
        <v>0.11696491161495882</v>
      </c>
      <c r="M427" s="107">
        <f t="shared" si="395"/>
        <v>0.40622542742721657</v>
      </c>
      <c r="N427" s="107">
        <f t="shared" si="395"/>
        <v>0.45509883000651358</v>
      </c>
      <c r="O427" s="107">
        <f t="shared" si="395"/>
        <v>0.19248893790341934</v>
      </c>
      <c r="P427" s="107">
        <f t="shared" si="395"/>
        <v>0</v>
      </c>
      <c r="Q427" s="107">
        <f t="shared" si="395"/>
        <v>0</v>
      </c>
      <c r="R427" s="107">
        <f t="shared" si="395"/>
        <v>0</v>
      </c>
      <c r="S427" s="107">
        <f t="shared" si="395"/>
        <v>0</v>
      </c>
      <c r="T427" s="107">
        <f t="shared" si="395"/>
        <v>0</v>
      </c>
      <c r="U427" s="107">
        <f t="shared" si="395"/>
        <v>0</v>
      </c>
      <c r="V427" s="107">
        <f t="shared" si="395"/>
        <v>0</v>
      </c>
      <c r="W427" s="107">
        <f t="shared" si="395"/>
        <v>0</v>
      </c>
      <c r="X427" s="107">
        <f t="shared" si="395"/>
        <v>0</v>
      </c>
      <c r="Y427" s="107">
        <f t="shared" si="395"/>
        <v>0</v>
      </c>
      <c r="Z427" s="107">
        <f t="shared" si="395"/>
        <v>0</v>
      </c>
      <c r="AA427" s="107">
        <f t="shared" si="395"/>
        <v>0</v>
      </c>
      <c r="AB427" s="107">
        <f t="shared" si="395"/>
        <v>0</v>
      </c>
      <c r="AC427" s="107">
        <f t="shared" si="395"/>
        <v>0</v>
      </c>
      <c r="AD427" s="107">
        <f t="shared" si="395"/>
        <v>0</v>
      </c>
      <c r="AE427" s="107">
        <f t="shared" si="395"/>
        <v>0</v>
      </c>
      <c r="AF427" s="107">
        <f t="shared" si="395"/>
        <v>0</v>
      </c>
      <c r="AG427" s="107">
        <f t="shared" si="395"/>
        <v>0</v>
      </c>
      <c r="AH427" s="107">
        <f t="shared" si="395"/>
        <v>0</v>
      </c>
      <c r="AI427" s="107">
        <f t="shared" si="395"/>
        <v>0</v>
      </c>
      <c r="AJ427" s="107">
        <f t="shared" si="395"/>
        <v>0</v>
      </c>
      <c r="AK427" s="107">
        <f t="shared" si="395"/>
        <v>0</v>
      </c>
      <c r="AL427" s="4"/>
      <c r="AM427" s="43">
        <v>411</v>
      </c>
      <c r="AN427">
        <v>21.805019095991806</v>
      </c>
      <c r="AO427">
        <v>8.8741143124513666</v>
      </c>
      <c r="AP427">
        <v>71.335364440750595</v>
      </c>
      <c r="AQ427">
        <v>47.717128688463738</v>
      </c>
      <c r="AR427">
        <v>8.2019579470000696</v>
      </c>
      <c r="AS427">
        <v>48.362923253449189</v>
      </c>
      <c r="AT427">
        <v>5.213522876025686</v>
      </c>
      <c r="AU427">
        <v>71.510018609618896</v>
      </c>
      <c r="AV427"/>
      <c r="AW427"/>
      <c r="FY427" s="212">
        <v>422</v>
      </c>
      <c r="FZ427">
        <v>12.736113699925141</v>
      </c>
      <c r="GA427">
        <v>16.384733271893406</v>
      </c>
      <c r="GB427">
        <v>5.8339593728857038</v>
      </c>
      <c r="GC427">
        <v>2.7446176978566141</v>
      </c>
      <c r="GD427">
        <v>2.4576038513238925</v>
      </c>
      <c r="GE427">
        <v>6.6095273760427968</v>
      </c>
      <c r="GF427">
        <v>6.7680469129017258</v>
      </c>
      <c r="GG427">
        <v>4.4697311784631708</v>
      </c>
      <c r="GH427">
        <v>2.8579386209234086</v>
      </c>
      <c r="GI427">
        <v>7.0452240415541993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94"/>
        <v>3.1881513852109542</v>
      </c>
      <c r="D428" s="191">
        <f>A$410</f>
        <v>0.21</v>
      </c>
      <c r="E428" s="8"/>
      <c r="F428" s="124"/>
      <c r="G428" s="107">
        <f t="shared" si="396"/>
        <v>0</v>
      </c>
      <c r="H428" s="107">
        <f t="shared" si="395"/>
        <v>0</v>
      </c>
      <c r="I428" s="107">
        <f t="shared" si="395"/>
        <v>0.30226221129998204</v>
      </c>
      <c r="J428" s="107">
        <f t="shared" si="395"/>
        <v>0</v>
      </c>
      <c r="K428" s="107">
        <f t="shared" si="395"/>
        <v>0.1145556184356913</v>
      </c>
      <c r="L428" s="107">
        <f t="shared" si="395"/>
        <v>0.23706224126148046</v>
      </c>
      <c r="M428" s="107">
        <f t="shared" si="395"/>
        <v>0.20605589376315223</v>
      </c>
      <c r="N428" s="107">
        <f t="shared" si="395"/>
        <v>1.5420815980390148</v>
      </c>
      <c r="O428" s="107">
        <f t="shared" si="395"/>
        <v>0.39294139185543731</v>
      </c>
      <c r="P428" s="107">
        <f t="shared" si="395"/>
        <v>0.39319243055619596</v>
      </c>
      <c r="Q428" s="107">
        <f t="shared" si="395"/>
        <v>0</v>
      </c>
      <c r="R428" s="107">
        <f t="shared" si="395"/>
        <v>0</v>
      </c>
      <c r="S428" s="107">
        <f t="shared" si="395"/>
        <v>0</v>
      </c>
      <c r="T428" s="107">
        <f t="shared" si="395"/>
        <v>0</v>
      </c>
      <c r="U428" s="107">
        <f t="shared" si="395"/>
        <v>0</v>
      </c>
      <c r="V428" s="107">
        <f t="shared" si="395"/>
        <v>0</v>
      </c>
      <c r="W428" s="107">
        <f t="shared" si="395"/>
        <v>0</v>
      </c>
      <c r="X428" s="107">
        <f t="shared" si="395"/>
        <v>0</v>
      </c>
      <c r="Y428" s="107">
        <f t="shared" si="395"/>
        <v>0</v>
      </c>
      <c r="Z428" s="107">
        <f t="shared" si="395"/>
        <v>0</v>
      </c>
      <c r="AA428" s="107">
        <f t="shared" si="395"/>
        <v>0</v>
      </c>
      <c r="AB428" s="107">
        <f t="shared" si="395"/>
        <v>0</v>
      </c>
      <c r="AC428" s="107">
        <f t="shared" si="395"/>
        <v>0</v>
      </c>
      <c r="AD428" s="107">
        <f t="shared" si="395"/>
        <v>0</v>
      </c>
      <c r="AE428" s="107">
        <f t="shared" si="395"/>
        <v>0</v>
      </c>
      <c r="AF428" s="107">
        <f t="shared" si="395"/>
        <v>0</v>
      </c>
      <c r="AG428" s="107">
        <f t="shared" si="395"/>
        <v>0</v>
      </c>
      <c r="AH428" s="107">
        <f t="shared" si="395"/>
        <v>0</v>
      </c>
      <c r="AI428" s="107">
        <f t="shared" si="395"/>
        <v>0</v>
      </c>
      <c r="AJ428" s="107">
        <f t="shared" si="395"/>
        <v>0</v>
      </c>
      <c r="AK428" s="107">
        <f t="shared" si="395"/>
        <v>0</v>
      </c>
      <c r="AL428" s="4"/>
      <c r="AM428" s="43">
        <v>412</v>
      </c>
      <c r="AN428">
        <v>12.684448578628237</v>
      </c>
      <c r="AO428">
        <v>6.5776723934275179</v>
      </c>
      <c r="AP428">
        <v>34.59059879000776</v>
      </c>
      <c r="AQ428">
        <v>30.872286727915345</v>
      </c>
      <c r="AR428">
        <v>6.0467120659273412</v>
      </c>
      <c r="AS428">
        <v>33.422937243384837</v>
      </c>
      <c r="AT428">
        <v>3.2199414942912998</v>
      </c>
      <c r="AU428">
        <v>14.065514637142249</v>
      </c>
      <c r="AV428"/>
      <c r="AW428"/>
      <c r="FY428" s="212">
        <v>423</v>
      </c>
      <c r="FZ428">
        <v>0.35937033508929739</v>
      </c>
      <c r="GA428">
        <v>2.6937107926846973</v>
      </c>
      <c r="GB428">
        <v>5.2116425675639961</v>
      </c>
      <c r="GC428">
        <v>2.6396952376381826</v>
      </c>
      <c r="GD428">
        <v>1.2023611408445172</v>
      </c>
      <c r="GE428">
        <v>3.8690353709687559</v>
      </c>
      <c r="GF428">
        <v>8.2659979984164718</v>
      </c>
      <c r="GG428">
        <v>6.2102879298240348</v>
      </c>
      <c r="GH428">
        <v>3.5264872734726227</v>
      </c>
      <c r="GI428">
        <v>4.7749695115295179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94"/>
        <v>5.5741853929101026</v>
      </c>
      <c r="D429" s="191">
        <f>A$411</f>
        <v>1.28</v>
      </c>
      <c r="E429" s="8"/>
      <c r="F429" s="124"/>
      <c r="G429" s="107">
        <f t="shared" si="396"/>
        <v>0</v>
      </c>
      <c r="H429" s="107">
        <f t="shared" si="395"/>
        <v>0</v>
      </c>
      <c r="I429" s="107">
        <f t="shared" si="395"/>
        <v>0</v>
      </c>
      <c r="J429" s="107">
        <f t="shared" si="395"/>
        <v>0</v>
      </c>
      <c r="K429" s="107">
        <f t="shared" si="395"/>
        <v>0</v>
      </c>
      <c r="L429" s="107">
        <f t="shared" si="395"/>
        <v>0.37398832841392232</v>
      </c>
      <c r="M429" s="107">
        <f t="shared" si="395"/>
        <v>0.65899182061622574</v>
      </c>
      <c r="N429" s="107">
        <f t="shared" si="395"/>
        <v>1.5163559408390093</v>
      </c>
      <c r="O429" s="107">
        <f t="shared" si="395"/>
        <v>0</v>
      </c>
      <c r="P429" s="107">
        <f t="shared" si="395"/>
        <v>3.0248493030409449</v>
      </c>
      <c r="Q429" s="107">
        <f t="shared" si="395"/>
        <v>0</v>
      </c>
      <c r="R429" s="107">
        <f t="shared" si="395"/>
        <v>0</v>
      </c>
      <c r="S429" s="107">
        <f t="shared" si="395"/>
        <v>0</v>
      </c>
      <c r="T429" s="107">
        <f t="shared" si="395"/>
        <v>0</v>
      </c>
      <c r="U429" s="107">
        <f t="shared" si="395"/>
        <v>0</v>
      </c>
      <c r="V429" s="107">
        <f t="shared" si="395"/>
        <v>0</v>
      </c>
      <c r="W429" s="107">
        <f t="shared" si="395"/>
        <v>0</v>
      </c>
      <c r="X429" s="107">
        <f t="shared" si="395"/>
        <v>0</v>
      </c>
      <c r="Y429" s="107">
        <f t="shared" si="395"/>
        <v>0</v>
      </c>
      <c r="Z429" s="107">
        <f t="shared" si="395"/>
        <v>0</v>
      </c>
      <c r="AA429" s="107">
        <f t="shared" si="395"/>
        <v>0</v>
      </c>
      <c r="AB429" s="107">
        <f t="shared" si="395"/>
        <v>0</v>
      </c>
      <c r="AC429" s="107">
        <f t="shared" si="395"/>
        <v>0</v>
      </c>
      <c r="AD429" s="107">
        <f t="shared" si="395"/>
        <v>0</v>
      </c>
      <c r="AE429" s="107">
        <f t="shared" si="395"/>
        <v>0</v>
      </c>
      <c r="AF429" s="107">
        <f t="shared" si="395"/>
        <v>0</v>
      </c>
      <c r="AG429" s="107">
        <f t="shared" si="395"/>
        <v>0</v>
      </c>
      <c r="AH429" s="107">
        <f t="shared" si="395"/>
        <v>0</v>
      </c>
      <c r="AI429" s="107">
        <f t="shared" si="395"/>
        <v>0</v>
      </c>
      <c r="AJ429" s="107">
        <f t="shared" si="395"/>
        <v>0</v>
      </c>
      <c r="AK429" s="107">
        <f t="shared" si="395"/>
        <v>0</v>
      </c>
      <c r="AL429" s="4"/>
      <c r="AM429" s="43">
        <v>413</v>
      </c>
      <c r="AN429">
        <v>17.464192554531852</v>
      </c>
      <c r="AO429">
        <v>11.349537560658751</v>
      </c>
      <c r="AP429">
        <v>54.007133472795616</v>
      </c>
      <c r="AQ429">
        <v>51.978991899230849</v>
      </c>
      <c r="AR429">
        <v>10.373057920773455</v>
      </c>
      <c r="AS429">
        <v>58.868951353833658</v>
      </c>
      <c r="AT429">
        <v>6.2685671932620375</v>
      </c>
      <c r="AU429">
        <v>26.5616256439579</v>
      </c>
      <c r="AV429"/>
      <c r="AW429"/>
      <c r="FY429" s="212">
        <v>424</v>
      </c>
      <c r="FZ429">
        <v>6.3837457494824168</v>
      </c>
      <c r="GA429">
        <v>10.866725553722613</v>
      </c>
      <c r="GB429">
        <v>5.5936612762026892</v>
      </c>
      <c r="GC429">
        <v>2.628972362334522</v>
      </c>
      <c r="GD429">
        <v>0.91357196918374983</v>
      </c>
      <c r="GE429">
        <v>2.0756501307853679</v>
      </c>
      <c r="GF429">
        <v>3.3803526911384032</v>
      </c>
      <c r="GG429">
        <v>1.3913516023083414</v>
      </c>
      <c r="GH429">
        <v>2.3144124483126522</v>
      </c>
      <c r="GI429">
        <v>4.0478064555126121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94"/>
        <v>5.888527751101015</v>
      </c>
      <c r="D430" s="191">
        <f>A$412</f>
        <v>4</v>
      </c>
      <c r="E430" s="8"/>
      <c r="F430" s="124"/>
      <c r="G430" s="107">
        <f t="shared" si="396"/>
        <v>0</v>
      </c>
      <c r="H430" s="107">
        <f t="shared" si="395"/>
        <v>0</v>
      </c>
      <c r="I430" s="107">
        <f t="shared" si="395"/>
        <v>0</v>
      </c>
      <c r="J430" s="107">
        <f t="shared" si="395"/>
        <v>8.8120749597964967E-2</v>
      </c>
      <c r="K430" s="107">
        <f t="shared" si="395"/>
        <v>0</v>
      </c>
      <c r="L430" s="107">
        <f t="shared" si="395"/>
        <v>0.66082299279115631</v>
      </c>
      <c r="M430" s="107">
        <f t="shared" si="395"/>
        <v>1.1875762298767829</v>
      </c>
      <c r="N430" s="107">
        <f t="shared" si="395"/>
        <v>1.4138875401042976</v>
      </c>
      <c r="O430" s="107">
        <f t="shared" si="395"/>
        <v>0</v>
      </c>
      <c r="P430" s="107">
        <f t="shared" si="395"/>
        <v>2.538120238730813</v>
      </c>
      <c r="Q430" s="107">
        <f t="shared" si="395"/>
        <v>0</v>
      </c>
      <c r="R430" s="107">
        <f t="shared" si="395"/>
        <v>0</v>
      </c>
      <c r="S430" s="107">
        <f t="shared" si="395"/>
        <v>0</v>
      </c>
      <c r="T430" s="107">
        <f t="shared" si="395"/>
        <v>0</v>
      </c>
      <c r="U430" s="107">
        <f t="shared" si="395"/>
        <v>0</v>
      </c>
      <c r="V430" s="107">
        <f t="shared" si="395"/>
        <v>0</v>
      </c>
      <c r="W430" s="107">
        <f t="shared" si="395"/>
        <v>0</v>
      </c>
      <c r="X430" s="107">
        <f t="shared" si="395"/>
        <v>0</v>
      </c>
      <c r="Y430" s="107">
        <f t="shared" si="395"/>
        <v>0</v>
      </c>
      <c r="Z430" s="107">
        <f t="shared" si="395"/>
        <v>0</v>
      </c>
      <c r="AA430" s="107">
        <f t="shared" si="395"/>
        <v>0</v>
      </c>
      <c r="AB430" s="107">
        <f t="shared" si="395"/>
        <v>0</v>
      </c>
      <c r="AC430" s="107">
        <f t="shared" si="395"/>
        <v>0</v>
      </c>
      <c r="AD430" s="107">
        <f t="shared" si="395"/>
        <v>0</v>
      </c>
      <c r="AE430" s="107">
        <f t="shared" si="395"/>
        <v>0</v>
      </c>
      <c r="AF430" s="107">
        <f t="shared" si="395"/>
        <v>0</v>
      </c>
      <c r="AG430" s="107">
        <f t="shared" si="395"/>
        <v>0</v>
      </c>
      <c r="AH430" s="107">
        <f t="shared" si="395"/>
        <v>0</v>
      </c>
      <c r="AI430" s="107">
        <f t="shared" si="395"/>
        <v>0</v>
      </c>
      <c r="AJ430" s="107">
        <f t="shared" si="395"/>
        <v>0</v>
      </c>
      <c r="AK430" s="107">
        <f t="shared" si="395"/>
        <v>0</v>
      </c>
      <c r="AL430" s="4"/>
      <c r="AM430" s="43">
        <v>414</v>
      </c>
      <c r="AN430">
        <v>17.578775887865184</v>
      </c>
      <c r="AO430">
        <v>9.7496991604124297</v>
      </c>
      <c r="AP430">
        <v>82.054932661440475</v>
      </c>
      <c r="AQ430">
        <v>58.588646043717958</v>
      </c>
      <c r="AR430">
        <v>8.9349182977486379</v>
      </c>
      <c r="AS430">
        <v>44.796023441015805</v>
      </c>
      <c r="AT430">
        <v>4.6662414479475087</v>
      </c>
      <c r="AU430">
        <v>16.496123916730504</v>
      </c>
      <c r="AV430"/>
      <c r="AW430"/>
      <c r="FY430" s="212">
        <v>425</v>
      </c>
      <c r="FZ430">
        <v>3.3455302265267202</v>
      </c>
      <c r="GA430">
        <v>8.6876288772857642</v>
      </c>
      <c r="GB430">
        <v>5.0868882673037019</v>
      </c>
      <c r="GC430">
        <v>1.7484941733588859</v>
      </c>
      <c r="GD430">
        <v>0.82463995777167687</v>
      </c>
      <c r="GE430">
        <v>3.2268141028581465</v>
      </c>
      <c r="GF430">
        <v>6.4238942329397339</v>
      </c>
      <c r="GG430">
        <v>3.5577978527421097</v>
      </c>
      <c r="GH430">
        <v>1.1626545503799002</v>
      </c>
      <c r="GI430">
        <v>3.9470008034141957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94"/>
        <v>4.5030086264673947</v>
      </c>
      <c r="D431" s="191">
        <f>A$413</f>
        <v>7.33</v>
      </c>
      <c r="E431" s="8"/>
      <c r="F431" s="124"/>
      <c r="G431" s="107">
        <f t="shared" si="396"/>
        <v>0</v>
      </c>
      <c r="H431" s="107">
        <f t="shared" si="395"/>
        <v>0</v>
      </c>
      <c r="I431" s="107">
        <f t="shared" si="395"/>
        <v>0</v>
      </c>
      <c r="J431" s="107">
        <f t="shared" si="395"/>
        <v>0.15477205861445878</v>
      </c>
      <c r="K431" s="107">
        <f t="shared" si="395"/>
        <v>0.10361766535623983</v>
      </c>
      <c r="L431" s="107">
        <f t="shared" si="395"/>
        <v>1.0997712681362914</v>
      </c>
      <c r="M431" s="107">
        <f t="shared" si="395"/>
        <v>1.2003709567987475</v>
      </c>
      <c r="N431" s="107">
        <f t="shared" si="395"/>
        <v>1.9444766775616571</v>
      </c>
      <c r="O431" s="107">
        <f t="shared" si="395"/>
        <v>0</v>
      </c>
      <c r="P431" s="107">
        <f t="shared" si="395"/>
        <v>0</v>
      </c>
      <c r="Q431" s="107">
        <f t="shared" si="395"/>
        <v>0</v>
      </c>
      <c r="R431" s="107">
        <f t="shared" si="395"/>
        <v>0</v>
      </c>
      <c r="S431" s="107">
        <f t="shared" si="395"/>
        <v>0</v>
      </c>
      <c r="T431" s="107">
        <f t="shared" si="395"/>
        <v>0</v>
      </c>
      <c r="U431" s="107">
        <f t="shared" si="395"/>
        <v>0</v>
      </c>
      <c r="V431" s="107">
        <f t="shared" si="395"/>
        <v>0</v>
      </c>
      <c r="W431" s="107">
        <f t="shared" si="395"/>
        <v>0</v>
      </c>
      <c r="X431" s="107">
        <f t="shared" si="395"/>
        <v>0</v>
      </c>
      <c r="Y431" s="107">
        <f t="shared" si="395"/>
        <v>0</v>
      </c>
      <c r="Z431" s="107">
        <f t="shared" si="395"/>
        <v>0</v>
      </c>
      <c r="AA431" s="107">
        <f t="shared" si="395"/>
        <v>0</v>
      </c>
      <c r="AB431" s="107">
        <f t="shared" si="395"/>
        <v>0</v>
      </c>
      <c r="AC431" s="107">
        <f t="shared" si="395"/>
        <v>0</v>
      </c>
      <c r="AD431" s="107">
        <f t="shared" si="395"/>
        <v>0</v>
      </c>
      <c r="AE431" s="107">
        <f t="shared" si="395"/>
        <v>0</v>
      </c>
      <c r="AF431" s="107">
        <f t="shared" si="395"/>
        <v>0</v>
      </c>
      <c r="AG431" s="107">
        <f t="shared" si="395"/>
        <v>0</v>
      </c>
      <c r="AH431" s="107">
        <f t="shared" si="395"/>
        <v>0</v>
      </c>
      <c r="AI431" s="107">
        <f t="shared" si="395"/>
        <v>0</v>
      </c>
      <c r="AJ431" s="107">
        <f t="shared" si="395"/>
        <v>0</v>
      </c>
      <c r="AK431" s="107">
        <f t="shared" si="395"/>
        <v>0</v>
      </c>
      <c r="AL431" s="4"/>
      <c r="AM431" s="43">
        <v>415</v>
      </c>
      <c r="AN431">
        <v>16.37316176470588</v>
      </c>
      <c r="AO431">
        <v>10.448974339614391</v>
      </c>
      <c r="AP431">
        <v>51.309416955403258</v>
      </c>
      <c r="AQ431">
        <v>55.126651385468904</v>
      </c>
      <c r="AR431">
        <v>9.6589854526782357</v>
      </c>
      <c r="AS431">
        <v>52.777979122242527</v>
      </c>
      <c r="AT431">
        <v>5.7584804260918458</v>
      </c>
      <c r="AU431">
        <v>6.0320894038120656</v>
      </c>
      <c r="AV431"/>
      <c r="AW431"/>
      <c r="FY431" s="212">
        <v>426</v>
      </c>
      <c r="FZ431">
        <v>6.5074102922623549</v>
      </c>
      <c r="GA431">
        <v>10.01230007772164</v>
      </c>
      <c r="GB431">
        <v>4.1312715605443726</v>
      </c>
      <c r="GC431">
        <v>2.1952654471318538</v>
      </c>
      <c r="GD431">
        <v>1.5487771215017965</v>
      </c>
      <c r="GE431">
        <v>4.6678086059381183</v>
      </c>
      <c r="GF431">
        <v>10.143914217578313</v>
      </c>
      <c r="GG431">
        <v>6.3096004318777004</v>
      </c>
      <c r="GH431">
        <v>0.86429921289185652</v>
      </c>
      <c r="GI431">
        <v>5.619118733752666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94"/>
        <v>6.1122339645719279</v>
      </c>
      <c r="D432" s="191">
        <f>A$414</f>
        <v>10.51</v>
      </c>
      <c r="E432" s="8"/>
      <c r="F432" s="124"/>
      <c r="G432" s="107">
        <f t="shared" si="396"/>
        <v>0</v>
      </c>
      <c r="H432" s="107">
        <f t="shared" ref="H432:AK432" si="397">(($A$453+$A$455*(H$422)+($A$457*$D432))*($E30*H46))</f>
        <v>0</v>
      </c>
      <c r="I432" s="107">
        <f t="shared" si="397"/>
        <v>0.12823213688956422</v>
      </c>
      <c r="J432" s="107">
        <f t="shared" si="397"/>
        <v>0.17493991154153923</v>
      </c>
      <c r="K432" s="107">
        <f t="shared" si="397"/>
        <v>0.22926512640721725</v>
      </c>
      <c r="L432" s="107">
        <f t="shared" si="397"/>
        <v>0.74873701147808891</v>
      </c>
      <c r="M432" s="107">
        <f t="shared" si="397"/>
        <v>1.0225981045422488</v>
      </c>
      <c r="N432" s="107">
        <f t="shared" si="397"/>
        <v>1.9315388912341103</v>
      </c>
      <c r="O432" s="107">
        <f t="shared" si="397"/>
        <v>0.46941476884477007</v>
      </c>
      <c r="P432" s="107">
        <f t="shared" si="397"/>
        <v>0.86179443650341747</v>
      </c>
      <c r="Q432" s="107">
        <f t="shared" si="397"/>
        <v>0.54571357713097246</v>
      </c>
      <c r="R432" s="107">
        <f t="shared" si="397"/>
        <v>0</v>
      </c>
      <c r="S432" s="107">
        <f t="shared" si="397"/>
        <v>0</v>
      </c>
      <c r="T432" s="107">
        <f t="shared" si="397"/>
        <v>0</v>
      </c>
      <c r="U432" s="107">
        <f t="shared" si="397"/>
        <v>0</v>
      </c>
      <c r="V432" s="107">
        <f t="shared" si="397"/>
        <v>0</v>
      </c>
      <c r="W432" s="107">
        <f t="shared" si="397"/>
        <v>0</v>
      </c>
      <c r="X432" s="107">
        <f t="shared" si="397"/>
        <v>0</v>
      </c>
      <c r="Y432" s="107">
        <f t="shared" si="397"/>
        <v>0</v>
      </c>
      <c r="Z432" s="107">
        <f t="shared" si="397"/>
        <v>0</v>
      </c>
      <c r="AA432" s="107">
        <f t="shared" si="397"/>
        <v>0</v>
      </c>
      <c r="AB432" s="107">
        <f t="shared" si="397"/>
        <v>0</v>
      </c>
      <c r="AC432" s="107">
        <f t="shared" si="397"/>
        <v>0</v>
      </c>
      <c r="AD432" s="107">
        <f t="shared" si="397"/>
        <v>0</v>
      </c>
      <c r="AE432" s="107">
        <f t="shared" si="397"/>
        <v>0</v>
      </c>
      <c r="AF432" s="107">
        <f t="shared" si="397"/>
        <v>0</v>
      </c>
      <c r="AG432" s="107">
        <f t="shared" si="397"/>
        <v>0</v>
      </c>
      <c r="AH432" s="107">
        <f t="shared" si="397"/>
        <v>0</v>
      </c>
      <c r="AI432" s="107">
        <f t="shared" si="397"/>
        <v>0</v>
      </c>
      <c r="AJ432" s="107">
        <f t="shared" si="397"/>
        <v>0</v>
      </c>
      <c r="AK432" s="107">
        <f t="shared" si="397"/>
        <v>0</v>
      </c>
      <c r="AL432" s="4"/>
      <c r="AM432" s="43">
        <v>416</v>
      </c>
      <c r="AN432">
        <v>17.288743208126622</v>
      </c>
      <c r="AO432">
        <v>9.4515305275109291</v>
      </c>
      <c r="AP432">
        <v>70.224812023140672</v>
      </c>
      <c r="AQ432">
        <v>51.034422880602818</v>
      </c>
      <c r="AR432">
        <v>8.6573592738876215</v>
      </c>
      <c r="AS432">
        <v>48.249741533513287</v>
      </c>
      <c r="AT432">
        <v>4.7175104273680155</v>
      </c>
      <c r="AU432">
        <v>30.993478179186209</v>
      </c>
      <c r="AV432"/>
      <c r="AW432"/>
      <c r="FY432" s="212">
        <v>427</v>
      </c>
      <c r="FZ432">
        <v>3.2726231376639134</v>
      </c>
      <c r="GA432">
        <v>6.2174450945736774</v>
      </c>
      <c r="GB432">
        <v>2.5590179060971292</v>
      </c>
      <c r="GC432">
        <v>1.4203721053181262</v>
      </c>
      <c r="GD432">
        <v>1.9851978938262542</v>
      </c>
      <c r="GE432">
        <v>4.4392606893138629</v>
      </c>
      <c r="GF432">
        <v>6.083150733152106</v>
      </c>
      <c r="GG432">
        <v>4.3329796194871602</v>
      </c>
      <c r="GH432">
        <v>1.5902805058912715</v>
      </c>
      <c r="GI432">
        <v>4.1029415753187006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12.648220332309631</v>
      </c>
      <c r="AO433">
        <v>7.3813596642188006</v>
      </c>
      <c r="AP433">
        <v>45.858066179582408</v>
      </c>
      <c r="AQ433">
        <v>37.117460641629521</v>
      </c>
      <c r="AR433">
        <v>6.8697382156024016</v>
      </c>
      <c r="AS433">
        <v>35.412168172923963</v>
      </c>
      <c r="AT433">
        <v>4.8850607988297652</v>
      </c>
      <c r="AU433">
        <v>17.68864839989542</v>
      </c>
      <c r="AV433"/>
      <c r="AW433"/>
      <c r="FY433" s="212">
        <v>428</v>
      </c>
      <c r="FZ433">
        <v>9.7386915655590194</v>
      </c>
      <c r="GA433">
        <v>14.964922829587323</v>
      </c>
      <c r="GB433">
        <v>4.7475916880176623</v>
      </c>
      <c r="GC433">
        <v>2.1360763119859891</v>
      </c>
      <c r="GD433">
        <v>1.6391597593256362</v>
      </c>
      <c r="GE433">
        <v>5.0689520408844118</v>
      </c>
      <c r="GF433">
        <v>10.575586606576525</v>
      </c>
      <c r="GG433">
        <v>6.9632093243633353</v>
      </c>
      <c r="GH433">
        <v>1.8377370627636522</v>
      </c>
      <c r="GI433">
        <v>6.5152147106955463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16.062167788802267</v>
      </c>
      <c r="AO434">
        <v>10.550640886146482</v>
      </c>
      <c r="AP434">
        <v>51.262150969131362</v>
      </c>
      <c r="AQ434">
        <v>52.870029426959746</v>
      </c>
      <c r="AR434">
        <v>9.690454122364093</v>
      </c>
      <c r="AS434">
        <v>48.330863444658249</v>
      </c>
      <c r="AT434">
        <v>6.0110616726274912</v>
      </c>
      <c r="AU434">
        <v>21.875329531162958</v>
      </c>
      <c r="AV434"/>
      <c r="AW434"/>
      <c r="FY434" s="212">
        <v>429</v>
      </c>
      <c r="FZ434">
        <v>3.3955517792103063</v>
      </c>
      <c r="GA434">
        <v>5.8365848469599753</v>
      </c>
      <c r="GB434">
        <v>8.6648971562765773</v>
      </c>
      <c r="GC434">
        <v>4.7036799008912045</v>
      </c>
      <c r="GD434">
        <v>1.9901264397756784</v>
      </c>
      <c r="GE434">
        <v>4.8830824338101841</v>
      </c>
      <c r="GF434">
        <v>8.0372359532147026</v>
      </c>
      <c r="GG434">
        <v>6.4039478672436019</v>
      </c>
      <c r="GH434">
        <v>4.2489121775262575</v>
      </c>
      <c r="GI434">
        <v>6.7037634941651572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55.299040343832246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19.440767973856207</v>
      </c>
      <c r="AO435">
        <v>9.1229278059458103</v>
      </c>
      <c r="AP435">
        <v>59.344027703235191</v>
      </c>
      <c r="AQ435">
        <v>46.984990805331073</v>
      </c>
      <c r="AR435">
        <v>8.473604433304585</v>
      </c>
      <c r="AS435">
        <v>48.095080842147659</v>
      </c>
      <c r="AT435">
        <v>5.7696745386228265</v>
      </c>
      <c r="AU435">
        <v>38.874559630916316</v>
      </c>
      <c r="AV435"/>
      <c r="AW435"/>
      <c r="FY435" s="212">
        <v>430</v>
      </c>
      <c r="FZ435">
        <v>0.1653812580589204</v>
      </c>
      <c r="GA435">
        <v>4.6217106601515647</v>
      </c>
      <c r="GB435">
        <v>6.8030745282031457</v>
      </c>
      <c r="GC435">
        <v>2.8426578226990924</v>
      </c>
      <c r="GD435">
        <v>1.2596929547294771</v>
      </c>
      <c r="GE435">
        <v>3.3251036220884895</v>
      </c>
      <c r="GF435">
        <v>6.4579300812175493</v>
      </c>
      <c r="GG435">
        <v>4.9407176688138801</v>
      </c>
      <c r="GH435">
        <v>2.7930139702207835</v>
      </c>
      <c r="GI435">
        <v>4.7951713940202829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21.51171844239704</v>
      </c>
      <c r="AO436">
        <v>11.189994735025124</v>
      </c>
      <c r="AP436">
        <v>69.719979551692077</v>
      </c>
      <c r="AQ436">
        <v>52.337494044002241</v>
      </c>
      <c r="AR436">
        <v>10.33011704805368</v>
      </c>
      <c r="AS436">
        <v>56.866026617609215</v>
      </c>
      <c r="AT436">
        <v>6.2739669012781505</v>
      </c>
      <c r="AU436">
        <v>29.390941044023542</v>
      </c>
      <c r="AV436"/>
      <c r="AW436"/>
      <c r="FY436" s="212">
        <v>431</v>
      </c>
      <c r="FZ436">
        <v>3.2940368713760426</v>
      </c>
      <c r="GA436">
        <v>7.9632151726263007</v>
      </c>
      <c r="GB436">
        <v>7.6978370814272514</v>
      </c>
      <c r="GC436">
        <v>3.3128546338154963</v>
      </c>
      <c r="GD436">
        <v>0.51736958626810892</v>
      </c>
      <c r="GE436">
        <v>2.1274344693885894</v>
      </c>
      <c r="GF436">
        <v>6.580419702227454</v>
      </c>
      <c r="GG436">
        <v>4.9390340200384593</v>
      </c>
      <c r="GH436">
        <v>2.001416042704554</v>
      </c>
      <c r="GI436">
        <v>4.5575485648104088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10.941725234270416</v>
      </c>
      <c r="AO437">
        <v>9.3519269928555282</v>
      </c>
      <c r="AP437">
        <v>44.902988696294223</v>
      </c>
      <c r="AQ437">
        <v>44.90698007618289</v>
      </c>
      <c r="AR437">
        <v>8.5935944638981994</v>
      </c>
      <c r="AS437">
        <v>43.967656377641937</v>
      </c>
      <c r="AT437">
        <v>5.8705882484862455</v>
      </c>
      <c r="AU437">
        <v>9.8424103455561252</v>
      </c>
      <c r="AV437"/>
      <c r="AW437"/>
      <c r="FY437" s="212">
        <v>432</v>
      </c>
      <c r="FZ437">
        <v>0.23533094139762875</v>
      </c>
      <c r="GA437">
        <v>2.9030238937662549</v>
      </c>
      <c r="GB437">
        <v>3.6906884610947852</v>
      </c>
      <c r="GC437">
        <v>1.6801110697849437</v>
      </c>
      <c r="GD437">
        <v>1.4987383579492759</v>
      </c>
      <c r="GE437">
        <v>4.337109485971002</v>
      </c>
      <c r="GF437">
        <v>3.5566740327380932</v>
      </c>
      <c r="GG437">
        <v>0.7227835565421008</v>
      </c>
      <c r="GH437">
        <v>1.4591605372899092</v>
      </c>
      <c r="GI437">
        <v>2.9528633434168952</v>
      </c>
      <c r="GJ437"/>
      <c r="GK437"/>
      <c r="GL437"/>
      <c r="GM437"/>
    </row>
    <row r="438" spans="1:195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15.711805555555552</v>
      </c>
      <c r="AO438">
        <v>12.0234602562743</v>
      </c>
      <c r="AP438">
        <v>92.313019604559557</v>
      </c>
      <c r="AQ438">
        <v>67.907496023770051</v>
      </c>
      <c r="AR438">
        <v>11.029319216469094</v>
      </c>
      <c r="AS438">
        <v>54.040181633423877</v>
      </c>
      <c r="AT438">
        <v>5.3828119679044955</v>
      </c>
      <c r="AU438">
        <v>15.171184315817859</v>
      </c>
      <c r="AV438"/>
      <c r="AW438"/>
      <c r="FY438" s="212">
        <v>433</v>
      </c>
      <c r="FZ438">
        <v>3.3955517792103063</v>
      </c>
      <c r="GA438">
        <v>8.3595564459088791</v>
      </c>
      <c r="GB438">
        <v>4.5859926059215024</v>
      </c>
      <c r="GC438">
        <v>1.4683602224090895</v>
      </c>
      <c r="GD438">
        <v>0.94813031853102347</v>
      </c>
      <c r="GE438">
        <v>3.4559766257016222</v>
      </c>
      <c r="GF438">
        <v>5.4391030656258801</v>
      </c>
      <c r="GG438">
        <v>2.1541799648208597</v>
      </c>
      <c r="GH438">
        <v>1.1238192235159965</v>
      </c>
      <c r="GI438">
        <v>3.7038286081605079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21.084763071895424</v>
      </c>
      <c r="AO439">
        <v>7.700351817827146</v>
      </c>
      <c r="AP439">
        <v>54.509861997533754</v>
      </c>
      <c r="AQ439">
        <v>38.753558158032099</v>
      </c>
      <c r="AR439">
        <v>7.1834020280442195</v>
      </c>
      <c r="AS439">
        <v>40.233495832493901</v>
      </c>
      <c r="AT439">
        <v>4.7839029198702345</v>
      </c>
      <c r="AU439">
        <v>57.131617446779607</v>
      </c>
      <c r="AV439"/>
      <c r="AW439"/>
      <c r="FY439" s="212">
        <v>434</v>
      </c>
      <c r="FZ439">
        <v>0.13381603356336516</v>
      </c>
      <c r="GA439">
        <v>4.5506154342742162</v>
      </c>
      <c r="GB439">
        <v>8.6548865871114273</v>
      </c>
      <c r="GC439">
        <v>3.4166369218753045</v>
      </c>
      <c r="GD439">
        <v>1.0227161590128364</v>
      </c>
      <c r="GE439">
        <v>4.0279763977263547</v>
      </c>
      <c r="GF439">
        <v>8.6537489581767986</v>
      </c>
      <c r="GG439">
        <v>5.8352343405978067</v>
      </c>
      <c r="GH439">
        <v>0.49185669073218868</v>
      </c>
      <c r="GI439">
        <v>5.0901178753034069</v>
      </c>
      <c r="GJ439"/>
      <c r="GK439"/>
      <c r="GL439"/>
      <c r="GM439"/>
    </row>
    <row r="440" spans="1:195" s="7" customFormat="1">
      <c r="A440" s="1">
        <v>10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13.557189542483661</v>
      </c>
      <c r="AO440">
        <v>6.6208917301290997</v>
      </c>
      <c r="AP440">
        <v>52.533079459034163</v>
      </c>
      <c r="AQ440">
        <v>39.596250238983373</v>
      </c>
      <c r="AR440">
        <v>6.1873044426019685</v>
      </c>
      <c r="AS440">
        <v>34.166726933065675</v>
      </c>
      <c r="AT440">
        <v>3.0683040241261885</v>
      </c>
      <c r="AU440">
        <v>23.125289315511807</v>
      </c>
      <c r="AV440"/>
      <c r="AW440"/>
      <c r="FY440" s="212">
        <v>435</v>
      </c>
      <c r="FZ440">
        <v>3.2421686653136343</v>
      </c>
      <c r="GA440">
        <v>6.3750470890775626</v>
      </c>
      <c r="GB440">
        <v>6.7692843919784496</v>
      </c>
      <c r="GC440">
        <v>3.2671359208891588</v>
      </c>
      <c r="GD440">
        <v>2.0073547883226781</v>
      </c>
      <c r="GE440">
        <v>4.2028868103461399</v>
      </c>
      <c r="GF440">
        <v>11.708937545885076</v>
      </c>
      <c r="GG440">
        <v>12.358725579919055</v>
      </c>
      <c r="GH440">
        <v>2.095871174091795</v>
      </c>
      <c r="GI440">
        <v>7.1248511084167259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98">SUM(G441:AK441)</f>
        <v>6.4955995735559711</v>
      </c>
      <c r="D441" s="191">
        <f>$A$405</f>
        <v>13.69</v>
      </c>
      <c r="E441" s="8"/>
      <c r="F441" s="124"/>
      <c r="G441" s="107" t="str">
        <f t="shared" ref="G441:G450" si="399">IF(G423&lt;=0, "0.000", G423)</f>
        <v>0.000</v>
      </c>
      <c r="H441" s="107" t="str">
        <f t="shared" ref="H441:AK441" si="400">IF(H423&lt;=0, "0.000", H423)</f>
        <v>0.000</v>
      </c>
      <c r="I441" s="107">
        <f t="shared" si="400"/>
        <v>0.21318130645195357</v>
      </c>
      <c r="J441" s="107">
        <f t="shared" si="400"/>
        <v>0.16464535682537415</v>
      </c>
      <c r="K441" s="107" t="str">
        <f t="shared" si="400"/>
        <v>0.000</v>
      </c>
      <c r="L441" s="107" t="str">
        <f t="shared" si="400"/>
        <v>0.000</v>
      </c>
      <c r="M441" s="107" t="str">
        <f t="shared" si="400"/>
        <v>0.000</v>
      </c>
      <c r="N441" s="107" t="str">
        <f t="shared" si="400"/>
        <v>0.000</v>
      </c>
      <c r="O441" s="107">
        <f t="shared" si="400"/>
        <v>2.1672979355087669</v>
      </c>
      <c r="P441" s="107" t="str">
        <f t="shared" si="400"/>
        <v>0.000</v>
      </c>
      <c r="Q441" s="107">
        <f t="shared" si="400"/>
        <v>3.9504749747698766</v>
      </c>
      <c r="R441" s="107" t="str">
        <f t="shared" si="400"/>
        <v>0.000</v>
      </c>
      <c r="S441" s="107" t="str">
        <f t="shared" si="400"/>
        <v>0.000</v>
      </c>
      <c r="T441" s="107" t="str">
        <f t="shared" si="400"/>
        <v>0.000</v>
      </c>
      <c r="U441" s="107" t="str">
        <f t="shared" si="400"/>
        <v>0.000</v>
      </c>
      <c r="V441" s="107" t="str">
        <f t="shared" si="400"/>
        <v>0.000</v>
      </c>
      <c r="W441" s="107" t="str">
        <f t="shared" si="400"/>
        <v>0.000</v>
      </c>
      <c r="X441" s="107" t="str">
        <f t="shared" si="400"/>
        <v>0.000</v>
      </c>
      <c r="Y441" s="107" t="str">
        <f t="shared" si="400"/>
        <v>0.000</v>
      </c>
      <c r="Z441" s="107" t="str">
        <f t="shared" si="400"/>
        <v>0.000</v>
      </c>
      <c r="AA441" s="107" t="str">
        <f t="shared" si="400"/>
        <v>0.000</v>
      </c>
      <c r="AB441" s="107" t="str">
        <f t="shared" si="400"/>
        <v>0.000</v>
      </c>
      <c r="AC441" s="107" t="str">
        <f t="shared" si="400"/>
        <v>0.000</v>
      </c>
      <c r="AD441" s="107" t="str">
        <f t="shared" si="400"/>
        <v>0.000</v>
      </c>
      <c r="AE441" s="107" t="str">
        <f t="shared" si="400"/>
        <v>0.000</v>
      </c>
      <c r="AF441" s="107" t="str">
        <f t="shared" si="400"/>
        <v>0.000</v>
      </c>
      <c r="AG441" s="107" t="str">
        <f t="shared" si="400"/>
        <v>0.000</v>
      </c>
      <c r="AH441" s="107" t="str">
        <f t="shared" si="400"/>
        <v>0.000</v>
      </c>
      <c r="AI441" s="107" t="str">
        <f t="shared" si="400"/>
        <v>0.000</v>
      </c>
      <c r="AJ441" s="107" t="str">
        <f t="shared" si="400"/>
        <v>0.000</v>
      </c>
      <c r="AK441" s="107" t="str">
        <f t="shared" si="400"/>
        <v>0.000</v>
      </c>
      <c r="AL441" s="4"/>
      <c r="AM441" s="43">
        <v>425</v>
      </c>
      <c r="AN441">
        <v>22.228630207102917</v>
      </c>
      <c r="AO441">
        <v>6.5035558011112986</v>
      </c>
      <c r="AP441">
        <v>55.080978581541117</v>
      </c>
      <c r="AQ441">
        <v>38.011343044580833</v>
      </c>
      <c r="AR441">
        <v>5.9637618793991907</v>
      </c>
      <c r="AS441">
        <v>35.136200002920141</v>
      </c>
      <c r="AT441">
        <v>3.4420058258131796</v>
      </c>
      <c r="AU441">
        <v>39.693305299682621</v>
      </c>
      <c r="AV441"/>
      <c r="AW441"/>
      <c r="FY441" s="212">
        <v>436</v>
      </c>
      <c r="FZ441">
        <v>3.5092522566626831</v>
      </c>
      <c r="GA441">
        <v>7.5537915848646664</v>
      </c>
      <c r="GB441">
        <v>5.9503879905589159</v>
      </c>
      <c r="GC441">
        <v>2.894321942513574</v>
      </c>
      <c r="GD441">
        <v>2.1630086513916931</v>
      </c>
      <c r="GE441">
        <v>6.0662899312224781</v>
      </c>
      <c r="GF441">
        <v>15.018286704912924</v>
      </c>
      <c r="GG441">
        <v>13.386159311302652</v>
      </c>
      <c r="GH441">
        <v>3.5572519067021799</v>
      </c>
      <c r="GI441">
        <v>7.9103985023609305</v>
      </c>
      <c r="GJ441"/>
      <c r="GK441"/>
      <c r="GL441"/>
      <c r="GM441"/>
    </row>
    <row r="442" spans="1:195" s="7" customFormat="1">
      <c r="A442" s="1">
        <v>385</v>
      </c>
      <c r="B442" s="48" t="s">
        <v>39</v>
      </c>
      <c r="C442" s="107">
        <f t="shared" si="398"/>
        <v>9.1512595035149271</v>
      </c>
      <c r="D442" s="191">
        <f>$A$406</f>
        <v>9.4499999999999993</v>
      </c>
      <c r="E442" s="8"/>
      <c r="F442" s="124"/>
      <c r="G442" s="173" t="str">
        <f t="shared" si="399"/>
        <v>0.000</v>
      </c>
      <c r="H442" s="173" t="str">
        <f t="shared" ref="H442:V442" si="401">IF(H424&lt;=0, "0.000", H424)</f>
        <v>0.000</v>
      </c>
      <c r="I442" s="173">
        <f t="shared" si="401"/>
        <v>0.16817931604281497</v>
      </c>
      <c r="J442" s="173">
        <f t="shared" si="401"/>
        <v>0.38933255601451894</v>
      </c>
      <c r="K442" s="173">
        <f t="shared" si="401"/>
        <v>0.52207473134628279</v>
      </c>
      <c r="L442" s="173">
        <f t="shared" si="401"/>
        <v>1.3891769936738905</v>
      </c>
      <c r="M442" s="173" t="str">
        <f t="shared" si="401"/>
        <v>0.000</v>
      </c>
      <c r="N442" s="173" t="str">
        <f t="shared" si="401"/>
        <v>0.000</v>
      </c>
      <c r="O442" s="173">
        <f t="shared" si="401"/>
        <v>2.467047746712026</v>
      </c>
      <c r="P442" s="173" t="str">
        <f t="shared" si="401"/>
        <v>0.000</v>
      </c>
      <c r="Q442" s="173">
        <f t="shared" si="401"/>
        <v>4.2154481597253941</v>
      </c>
      <c r="R442" s="173" t="str">
        <f t="shared" si="401"/>
        <v>0.000</v>
      </c>
      <c r="S442" s="173" t="str">
        <f t="shared" si="401"/>
        <v>0.000</v>
      </c>
      <c r="T442" s="173" t="str">
        <f t="shared" si="401"/>
        <v>0.000</v>
      </c>
      <c r="U442" s="173" t="str">
        <f t="shared" si="401"/>
        <v>0.000</v>
      </c>
      <c r="V442" s="173" t="str">
        <f t="shared" si="401"/>
        <v>0.000</v>
      </c>
      <c r="W442" s="173" t="str">
        <f t="shared" ref="W442:AK442" si="402">IF(W424&lt;=0, "0.000", W424)</f>
        <v>0.000</v>
      </c>
      <c r="X442" s="173" t="str">
        <f t="shared" si="402"/>
        <v>0.000</v>
      </c>
      <c r="Y442" s="173" t="str">
        <f t="shared" si="402"/>
        <v>0.000</v>
      </c>
      <c r="Z442" s="173" t="str">
        <f t="shared" si="402"/>
        <v>0.000</v>
      </c>
      <c r="AA442" s="173" t="str">
        <f t="shared" si="402"/>
        <v>0.000</v>
      </c>
      <c r="AB442" s="173" t="str">
        <f t="shared" si="402"/>
        <v>0.000</v>
      </c>
      <c r="AC442" s="173" t="str">
        <f t="shared" si="402"/>
        <v>0.000</v>
      </c>
      <c r="AD442" s="173" t="str">
        <f t="shared" si="402"/>
        <v>0.000</v>
      </c>
      <c r="AE442" s="173" t="str">
        <f t="shared" si="402"/>
        <v>0.000</v>
      </c>
      <c r="AF442" s="173" t="str">
        <f t="shared" si="402"/>
        <v>0.000</v>
      </c>
      <c r="AG442" s="173" t="str">
        <f t="shared" si="402"/>
        <v>0.000</v>
      </c>
      <c r="AH442" s="173" t="str">
        <f t="shared" si="402"/>
        <v>0.000</v>
      </c>
      <c r="AI442" s="173" t="str">
        <f t="shared" si="402"/>
        <v>0.000</v>
      </c>
      <c r="AJ442" s="173" t="str">
        <f t="shared" si="402"/>
        <v>0.000</v>
      </c>
      <c r="AK442" s="173" t="str">
        <f t="shared" si="402"/>
        <v>0.000</v>
      </c>
      <c r="AL442" s="4"/>
      <c r="AM442" s="43">
        <v>426</v>
      </c>
      <c r="AN442">
        <v>16.878140011024492</v>
      </c>
      <c r="AO442">
        <v>9.5713014949004798</v>
      </c>
      <c r="AP442">
        <v>74.864032994554094</v>
      </c>
      <c r="AQ442">
        <v>51.999765701200673</v>
      </c>
      <c r="AR442">
        <v>8.7882512753716195</v>
      </c>
      <c r="AS442">
        <v>45.872155376078886</v>
      </c>
      <c r="AT442">
        <v>4.6712011199316876</v>
      </c>
      <c r="AU442">
        <v>20.476933375245768</v>
      </c>
      <c r="AV442"/>
      <c r="AW442"/>
      <c r="FY442" s="212">
        <v>437</v>
      </c>
      <c r="FZ442">
        <v>3.5203270741355208</v>
      </c>
      <c r="GA442">
        <v>8.2004803774694288</v>
      </c>
      <c r="GB442">
        <v>10.668308240607459</v>
      </c>
      <c r="GC442">
        <v>5.1911613704237887</v>
      </c>
      <c r="GD442">
        <v>1.7298582938159175</v>
      </c>
      <c r="GE442">
        <v>4.5212323639661633</v>
      </c>
      <c r="GF442">
        <v>10.190169681835126</v>
      </c>
      <c r="GG442">
        <v>9.9173120941938322</v>
      </c>
      <c r="GH442">
        <v>4.3732611314674079</v>
      </c>
      <c r="GI442">
        <v>7.8571895625179717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98"/>
        <v>8.3432238050754979</v>
      </c>
      <c r="D443" s="191">
        <f>A$407</f>
        <v>4.03</v>
      </c>
      <c r="E443" s="8"/>
      <c r="F443" s="124"/>
      <c r="G443" s="173" t="str">
        <f t="shared" si="399"/>
        <v>0.000</v>
      </c>
      <c r="H443" s="173" t="str">
        <f t="shared" ref="H443:V443" si="403">IF(H425&lt;=0, "0.000", H425)</f>
        <v>0.000</v>
      </c>
      <c r="I443" s="173" t="str">
        <f t="shared" si="403"/>
        <v>0.000</v>
      </c>
      <c r="J443" s="173">
        <f t="shared" si="403"/>
        <v>0.51528974021625906</v>
      </c>
      <c r="K443" s="173">
        <f t="shared" si="403"/>
        <v>0.53223258492019843</v>
      </c>
      <c r="L443" s="173">
        <f t="shared" si="403"/>
        <v>1.746761851042717</v>
      </c>
      <c r="M443" s="173">
        <f t="shared" si="403"/>
        <v>1.7645966492466514</v>
      </c>
      <c r="N443" s="173">
        <f t="shared" si="403"/>
        <v>3.7843429796496726</v>
      </c>
      <c r="O443" s="173" t="str">
        <f t="shared" si="403"/>
        <v>0.000</v>
      </c>
      <c r="P443" s="173" t="str">
        <f t="shared" si="403"/>
        <v>0.000</v>
      </c>
      <c r="Q443" s="173" t="str">
        <f t="shared" si="403"/>
        <v>0.000</v>
      </c>
      <c r="R443" s="173" t="str">
        <f t="shared" si="403"/>
        <v>0.000</v>
      </c>
      <c r="S443" s="173" t="str">
        <f t="shared" si="403"/>
        <v>0.000</v>
      </c>
      <c r="T443" s="173" t="str">
        <f t="shared" si="403"/>
        <v>0.000</v>
      </c>
      <c r="U443" s="173" t="str">
        <f t="shared" si="403"/>
        <v>0.000</v>
      </c>
      <c r="V443" s="173" t="str">
        <f t="shared" si="403"/>
        <v>0.000</v>
      </c>
      <c r="W443" s="173" t="str">
        <f t="shared" ref="W443:AK443" si="404">IF(W425&lt;=0, "0.000", W425)</f>
        <v>0.000</v>
      </c>
      <c r="X443" s="173" t="str">
        <f t="shared" si="404"/>
        <v>0.000</v>
      </c>
      <c r="Y443" s="173" t="str">
        <f t="shared" si="404"/>
        <v>0.000</v>
      </c>
      <c r="Z443" s="173" t="str">
        <f t="shared" si="404"/>
        <v>0.000</v>
      </c>
      <c r="AA443" s="173" t="str">
        <f t="shared" si="404"/>
        <v>0.000</v>
      </c>
      <c r="AB443" s="173" t="str">
        <f t="shared" si="404"/>
        <v>0.000</v>
      </c>
      <c r="AC443" s="173" t="str">
        <f t="shared" si="404"/>
        <v>0.000</v>
      </c>
      <c r="AD443" s="173" t="str">
        <f t="shared" si="404"/>
        <v>0.000</v>
      </c>
      <c r="AE443" s="173" t="str">
        <f t="shared" si="404"/>
        <v>0.000</v>
      </c>
      <c r="AF443" s="173" t="str">
        <f t="shared" si="404"/>
        <v>0.000</v>
      </c>
      <c r="AG443" s="173" t="str">
        <f t="shared" si="404"/>
        <v>0.000</v>
      </c>
      <c r="AH443" s="173" t="str">
        <f t="shared" si="404"/>
        <v>0.000</v>
      </c>
      <c r="AI443" s="173" t="str">
        <f t="shared" si="404"/>
        <v>0.000</v>
      </c>
      <c r="AJ443" s="173" t="str">
        <f t="shared" si="404"/>
        <v>0.000</v>
      </c>
      <c r="AK443" s="173" t="str">
        <f t="shared" si="404"/>
        <v>0.000</v>
      </c>
      <c r="AL443" s="4"/>
      <c r="AM443" s="43">
        <v>427</v>
      </c>
      <c r="AN443">
        <v>10.886169678714859</v>
      </c>
      <c r="AO443">
        <v>6.8113508168688828</v>
      </c>
      <c r="AP443">
        <v>34.487945954185065</v>
      </c>
      <c r="AQ443">
        <v>36.003269260642199</v>
      </c>
      <c r="AR443">
        <v>6.2253010923576815</v>
      </c>
      <c r="AS443">
        <v>33.780861937225829</v>
      </c>
      <c r="AT443">
        <v>3.4953685548707156</v>
      </c>
      <c r="AU443">
        <v>7.125579355967246</v>
      </c>
      <c r="AV443"/>
      <c r="AW443"/>
      <c r="FY443" s="212">
        <v>438</v>
      </c>
      <c r="FZ443">
        <v>3.3335320823644716</v>
      </c>
      <c r="GA443">
        <v>5.5692263828733557</v>
      </c>
      <c r="GB443">
        <v>7.7180741713236074</v>
      </c>
      <c r="GC443">
        <v>4.0563699092866994</v>
      </c>
      <c r="GD443">
        <v>0.5743335957188449</v>
      </c>
      <c r="GE443">
        <v>0.74378670880369213</v>
      </c>
      <c r="GF443">
        <v>5.7045201807603263</v>
      </c>
      <c r="GG443">
        <v>6.2671963082675921</v>
      </c>
      <c r="GH443">
        <v>1.9223594896807494</v>
      </c>
      <c r="GI443">
        <v>4.5671176667358591</v>
      </c>
      <c r="GJ443"/>
      <c r="GK443"/>
      <c r="GL443"/>
      <c r="GM443"/>
    </row>
    <row r="444" spans="1:195" s="7" customFormat="1">
      <c r="A444" s="1">
        <v>345</v>
      </c>
      <c r="B444" s="48" t="s">
        <v>41</v>
      </c>
      <c r="C444" s="107">
        <f t="shared" si="398"/>
        <v>4.5601325171044067</v>
      </c>
      <c r="D444" s="191">
        <f>A$408</f>
        <v>0.78</v>
      </c>
      <c r="E444" s="8"/>
      <c r="F444" s="124"/>
      <c r="G444" s="173" t="str">
        <f t="shared" si="399"/>
        <v>0.000</v>
      </c>
      <c r="H444" s="173" t="str">
        <f t="shared" ref="H444:V444" si="405">IF(H426&lt;=0, "0.000", H426)</f>
        <v>0.000</v>
      </c>
      <c r="I444" s="173">
        <f t="shared" si="405"/>
        <v>2.7620317329038385E-2</v>
      </c>
      <c r="J444" s="173">
        <f t="shared" si="405"/>
        <v>0.23186631363849122</v>
      </c>
      <c r="K444" s="173">
        <f t="shared" si="405"/>
        <v>0.2579464431441445</v>
      </c>
      <c r="L444" s="173">
        <f t="shared" si="405"/>
        <v>0.5708888195591455</v>
      </c>
      <c r="M444" s="173">
        <f t="shared" si="405"/>
        <v>1.3417937659717258</v>
      </c>
      <c r="N444" s="173">
        <f t="shared" si="405"/>
        <v>2.1300168574618605</v>
      </c>
      <c r="O444" s="173" t="str">
        <f t="shared" si="405"/>
        <v>0.000</v>
      </c>
      <c r="P444" s="173" t="str">
        <f t="shared" si="405"/>
        <v>0.000</v>
      </c>
      <c r="Q444" s="173" t="str">
        <f t="shared" si="405"/>
        <v>0.000</v>
      </c>
      <c r="R444" s="173" t="str">
        <f t="shared" si="405"/>
        <v>0.000</v>
      </c>
      <c r="S444" s="173" t="str">
        <f t="shared" si="405"/>
        <v>0.000</v>
      </c>
      <c r="T444" s="173" t="str">
        <f t="shared" si="405"/>
        <v>0.000</v>
      </c>
      <c r="U444" s="173" t="str">
        <f t="shared" si="405"/>
        <v>0.000</v>
      </c>
      <c r="V444" s="173" t="str">
        <f t="shared" si="405"/>
        <v>0.000</v>
      </c>
      <c r="W444" s="173" t="str">
        <f t="shared" ref="W444:AK444" si="406">IF(W426&lt;=0, "0.000", W426)</f>
        <v>0.000</v>
      </c>
      <c r="X444" s="173" t="str">
        <f t="shared" si="406"/>
        <v>0.000</v>
      </c>
      <c r="Y444" s="173" t="str">
        <f t="shared" si="406"/>
        <v>0.000</v>
      </c>
      <c r="Z444" s="173" t="str">
        <f t="shared" si="406"/>
        <v>0.000</v>
      </c>
      <c r="AA444" s="173" t="str">
        <f t="shared" si="406"/>
        <v>0.000</v>
      </c>
      <c r="AB444" s="173" t="str">
        <f t="shared" si="406"/>
        <v>0.000</v>
      </c>
      <c r="AC444" s="173" t="str">
        <f t="shared" si="406"/>
        <v>0.000</v>
      </c>
      <c r="AD444" s="173" t="str">
        <f t="shared" si="406"/>
        <v>0.000</v>
      </c>
      <c r="AE444" s="173" t="str">
        <f t="shared" si="406"/>
        <v>0.000</v>
      </c>
      <c r="AF444" s="173" t="str">
        <f t="shared" si="406"/>
        <v>0.000</v>
      </c>
      <c r="AG444" s="173" t="str">
        <f t="shared" si="406"/>
        <v>0.000</v>
      </c>
      <c r="AH444" s="173" t="str">
        <f t="shared" si="406"/>
        <v>0.000</v>
      </c>
      <c r="AI444" s="173" t="str">
        <f t="shared" si="406"/>
        <v>0.000</v>
      </c>
      <c r="AJ444" s="173" t="str">
        <f t="shared" si="406"/>
        <v>0.000</v>
      </c>
      <c r="AK444" s="173" t="str">
        <f t="shared" si="406"/>
        <v>0.000</v>
      </c>
      <c r="AL444" s="4"/>
      <c r="AM444" s="43">
        <v>428</v>
      </c>
      <c r="AN444">
        <v>17.876633986928102</v>
      </c>
      <c r="AO444">
        <v>11.17287321428547</v>
      </c>
      <c r="AP444">
        <v>83.551165361104736</v>
      </c>
      <c r="AQ444">
        <v>64.187141899759098</v>
      </c>
      <c r="AR444">
        <v>10.222269986546364</v>
      </c>
      <c r="AS444">
        <v>55.430851041700294</v>
      </c>
      <c r="AT444">
        <v>5.2887701296782712</v>
      </c>
      <c r="AU444">
        <v>32.143614872615025</v>
      </c>
      <c r="AV444"/>
      <c r="AW444"/>
      <c r="FY444" s="212">
        <v>439</v>
      </c>
      <c r="FZ444">
        <v>3.5182929953008335</v>
      </c>
      <c r="GA444">
        <v>8.3514894183969908</v>
      </c>
      <c r="GB444">
        <v>6.9922159346687938</v>
      </c>
      <c r="GC444">
        <v>2.6801305005996383</v>
      </c>
      <c r="GD444">
        <v>0.60203560620595531</v>
      </c>
      <c r="GE444">
        <v>4.2183218579059645</v>
      </c>
      <c r="GF444">
        <v>7.7793161450891972</v>
      </c>
      <c r="GG444">
        <v>2.7865377039930204</v>
      </c>
      <c r="GH444">
        <v>1.7979522077753849</v>
      </c>
      <c r="GI444">
        <v>4.6520709961993347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98"/>
        <v>1.4827178243200521</v>
      </c>
      <c r="D445" s="191">
        <f>A$409</f>
        <v>0.14000000000000001</v>
      </c>
      <c r="E445" s="8"/>
      <c r="F445" s="124"/>
      <c r="G445" s="173" t="str">
        <f t="shared" si="399"/>
        <v>0.000</v>
      </c>
      <c r="H445" s="173" t="str">
        <f t="shared" ref="H445:V445" si="407">IF(H427&lt;=0, "0.000", H427)</f>
        <v>0.000</v>
      </c>
      <c r="I445" s="173">
        <f t="shared" si="407"/>
        <v>0.17055437142893931</v>
      </c>
      <c r="J445" s="173" t="str">
        <f t="shared" si="407"/>
        <v>0.000</v>
      </c>
      <c r="K445" s="173">
        <f t="shared" si="407"/>
        <v>0.14138534593900451</v>
      </c>
      <c r="L445" s="173">
        <f t="shared" si="407"/>
        <v>0.11696491161495882</v>
      </c>
      <c r="M445" s="173">
        <f t="shared" si="407"/>
        <v>0.40622542742721657</v>
      </c>
      <c r="N445" s="173">
        <f t="shared" si="407"/>
        <v>0.45509883000651358</v>
      </c>
      <c r="O445" s="173">
        <f t="shared" si="407"/>
        <v>0.19248893790341934</v>
      </c>
      <c r="P445" s="173" t="str">
        <f t="shared" si="407"/>
        <v>0.000</v>
      </c>
      <c r="Q445" s="173" t="str">
        <f t="shared" si="407"/>
        <v>0.000</v>
      </c>
      <c r="R445" s="173" t="str">
        <f t="shared" si="407"/>
        <v>0.000</v>
      </c>
      <c r="S445" s="173" t="str">
        <f t="shared" si="407"/>
        <v>0.000</v>
      </c>
      <c r="T445" s="173" t="str">
        <f t="shared" si="407"/>
        <v>0.000</v>
      </c>
      <c r="U445" s="173" t="str">
        <f t="shared" si="407"/>
        <v>0.000</v>
      </c>
      <c r="V445" s="173" t="str">
        <f t="shared" si="407"/>
        <v>0.000</v>
      </c>
      <c r="W445" s="173" t="str">
        <f t="shared" ref="W445:AK445" si="408">IF(W427&lt;=0, "0.000", W427)</f>
        <v>0.000</v>
      </c>
      <c r="X445" s="173" t="str">
        <f t="shared" si="408"/>
        <v>0.000</v>
      </c>
      <c r="Y445" s="173" t="str">
        <f t="shared" si="408"/>
        <v>0.000</v>
      </c>
      <c r="Z445" s="173" t="str">
        <f t="shared" si="408"/>
        <v>0.000</v>
      </c>
      <c r="AA445" s="173" t="str">
        <f t="shared" si="408"/>
        <v>0.000</v>
      </c>
      <c r="AB445" s="173" t="str">
        <f t="shared" si="408"/>
        <v>0.000</v>
      </c>
      <c r="AC445" s="173" t="str">
        <f t="shared" si="408"/>
        <v>0.000</v>
      </c>
      <c r="AD445" s="173" t="str">
        <f t="shared" si="408"/>
        <v>0.000</v>
      </c>
      <c r="AE445" s="173" t="str">
        <f t="shared" si="408"/>
        <v>0.000</v>
      </c>
      <c r="AF445" s="173" t="str">
        <f t="shared" si="408"/>
        <v>0.000</v>
      </c>
      <c r="AG445" s="173" t="str">
        <f t="shared" si="408"/>
        <v>0.000</v>
      </c>
      <c r="AH445" s="173" t="str">
        <f t="shared" si="408"/>
        <v>0.000</v>
      </c>
      <c r="AI445" s="173" t="str">
        <f t="shared" si="408"/>
        <v>0.000</v>
      </c>
      <c r="AJ445" s="173" t="str">
        <f t="shared" si="408"/>
        <v>0.000</v>
      </c>
      <c r="AK445" s="173" t="str">
        <f t="shared" si="408"/>
        <v>0.000</v>
      </c>
      <c r="AL445" s="4"/>
      <c r="AM445" s="43">
        <v>429</v>
      </c>
      <c r="AN445">
        <v>21.096136998976299</v>
      </c>
      <c r="AO445">
        <v>10.876951039988686</v>
      </c>
      <c r="AP445">
        <v>56.444149668712939</v>
      </c>
      <c r="AQ445">
        <v>54.867782049073647</v>
      </c>
      <c r="AR445">
        <v>10.138794896669845</v>
      </c>
      <c r="AS445">
        <v>57.971337169627162</v>
      </c>
      <c r="AT445">
        <v>5.1227662654164714</v>
      </c>
      <c r="AU445">
        <v>14.55190827363379</v>
      </c>
      <c r="AV445"/>
      <c r="AW445"/>
      <c r="FY445" s="212">
        <v>440</v>
      </c>
      <c r="FZ445">
        <v>0.35955776054516247</v>
      </c>
      <c r="GA445">
        <v>2.1205595847003278</v>
      </c>
      <c r="GB445">
        <v>7.3030804510098219</v>
      </c>
      <c r="GC445">
        <v>3.7486589027689057</v>
      </c>
      <c r="GD445">
        <v>1.2053258194061383</v>
      </c>
      <c r="GE445">
        <v>3.7088270798350127</v>
      </c>
      <c r="GF445">
        <v>7.7270138060743854</v>
      </c>
      <c r="GG445">
        <v>5.3145425077118436</v>
      </c>
      <c r="GH445">
        <v>1.6387512525469778</v>
      </c>
      <c r="GI445">
        <v>4.9746021222741739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98"/>
        <v>3.1881513852109542</v>
      </c>
      <c r="D446" s="191">
        <f>A$410</f>
        <v>0.21</v>
      </c>
      <c r="E446" s="8"/>
      <c r="F446" s="124"/>
      <c r="G446" s="173" t="str">
        <f t="shared" si="399"/>
        <v>0.000</v>
      </c>
      <c r="H446" s="173" t="str">
        <f t="shared" ref="H446:V446" si="409">IF(H428&lt;=0, "0.000", H428)</f>
        <v>0.000</v>
      </c>
      <c r="I446" s="173">
        <f t="shared" si="409"/>
        <v>0.30226221129998204</v>
      </c>
      <c r="J446" s="173" t="str">
        <f t="shared" si="409"/>
        <v>0.000</v>
      </c>
      <c r="K446" s="173">
        <f t="shared" si="409"/>
        <v>0.1145556184356913</v>
      </c>
      <c r="L446" s="173">
        <f t="shared" si="409"/>
        <v>0.23706224126148046</v>
      </c>
      <c r="M446" s="173">
        <f t="shared" si="409"/>
        <v>0.20605589376315223</v>
      </c>
      <c r="N446" s="173">
        <f t="shared" si="409"/>
        <v>1.5420815980390148</v>
      </c>
      <c r="O446" s="173">
        <f t="shared" si="409"/>
        <v>0.39294139185543731</v>
      </c>
      <c r="P446" s="173">
        <f t="shared" si="409"/>
        <v>0.39319243055619596</v>
      </c>
      <c r="Q446" s="173" t="str">
        <f t="shared" si="409"/>
        <v>0.000</v>
      </c>
      <c r="R446" s="173" t="str">
        <f t="shared" si="409"/>
        <v>0.000</v>
      </c>
      <c r="S446" s="173" t="str">
        <f t="shared" si="409"/>
        <v>0.000</v>
      </c>
      <c r="T446" s="173" t="str">
        <f t="shared" si="409"/>
        <v>0.000</v>
      </c>
      <c r="U446" s="173" t="str">
        <f t="shared" si="409"/>
        <v>0.000</v>
      </c>
      <c r="V446" s="173" t="str">
        <f t="shared" si="409"/>
        <v>0.000</v>
      </c>
      <c r="W446" s="173" t="str">
        <f t="shared" ref="W446:AK446" si="410">IF(W428&lt;=0, "0.000", W428)</f>
        <v>0.000</v>
      </c>
      <c r="X446" s="173" t="str">
        <f t="shared" si="410"/>
        <v>0.000</v>
      </c>
      <c r="Y446" s="173" t="str">
        <f t="shared" si="410"/>
        <v>0.000</v>
      </c>
      <c r="Z446" s="173" t="str">
        <f t="shared" si="410"/>
        <v>0.000</v>
      </c>
      <c r="AA446" s="173" t="str">
        <f t="shared" si="410"/>
        <v>0.000</v>
      </c>
      <c r="AB446" s="173" t="str">
        <f t="shared" si="410"/>
        <v>0.000</v>
      </c>
      <c r="AC446" s="173" t="str">
        <f t="shared" si="410"/>
        <v>0.000</v>
      </c>
      <c r="AD446" s="173" t="str">
        <f t="shared" si="410"/>
        <v>0.000</v>
      </c>
      <c r="AE446" s="173" t="str">
        <f t="shared" si="410"/>
        <v>0.000</v>
      </c>
      <c r="AF446" s="173" t="str">
        <f t="shared" si="410"/>
        <v>0.000</v>
      </c>
      <c r="AG446" s="173" t="str">
        <f t="shared" si="410"/>
        <v>0.000</v>
      </c>
      <c r="AH446" s="173" t="str">
        <f t="shared" si="410"/>
        <v>0.000</v>
      </c>
      <c r="AI446" s="173" t="str">
        <f t="shared" si="410"/>
        <v>0.000</v>
      </c>
      <c r="AJ446" s="173" t="str">
        <f t="shared" si="410"/>
        <v>0.000</v>
      </c>
      <c r="AK446" s="173" t="str">
        <f t="shared" si="410"/>
        <v>0.000</v>
      </c>
      <c r="AL446" s="4"/>
      <c r="AM446" s="43">
        <v>430</v>
      </c>
      <c r="AN446">
        <v>13.164828431372547</v>
      </c>
      <c r="AO446">
        <v>7.8539024350064652</v>
      </c>
      <c r="AP446">
        <v>48.346910408692622</v>
      </c>
      <c r="AQ446">
        <v>38.004453960203179</v>
      </c>
      <c r="AR446">
        <v>7.2927134049882749</v>
      </c>
      <c r="AS446">
        <v>42.450734047586238</v>
      </c>
      <c r="AT446">
        <v>4.7578285024187217</v>
      </c>
      <c r="AU446">
        <v>47.855271112756789</v>
      </c>
      <c r="AV446"/>
      <c r="AW446"/>
      <c r="FY446" s="212">
        <v>441</v>
      </c>
      <c r="FZ446">
        <v>3.3233805915810453</v>
      </c>
      <c r="GA446">
        <v>6.1019969151156479</v>
      </c>
      <c r="GB446">
        <v>3.2380397120119317</v>
      </c>
      <c r="GC446">
        <v>1.3687609335250261</v>
      </c>
      <c r="GD446">
        <v>1.5862750013339071</v>
      </c>
      <c r="GE446">
        <v>2.897833327801254</v>
      </c>
      <c r="GF446">
        <v>4.4318177804850158</v>
      </c>
      <c r="GG446">
        <v>5.3381529786650068</v>
      </c>
      <c r="GH446">
        <v>1.9416758671916401</v>
      </c>
      <c r="GI446">
        <v>3.8218016828373975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98"/>
        <v>5.5741853929101026</v>
      </c>
      <c r="D447" s="191">
        <f>A$411</f>
        <v>1.28</v>
      </c>
      <c r="E447" s="8"/>
      <c r="F447" s="124"/>
      <c r="G447" s="173" t="str">
        <f t="shared" si="399"/>
        <v>0.000</v>
      </c>
      <c r="H447" s="173" t="str">
        <f t="shared" ref="H447:V447" si="411">IF(H429&lt;=0, "0.000", H429)</f>
        <v>0.000</v>
      </c>
      <c r="I447" s="173" t="str">
        <f t="shared" si="411"/>
        <v>0.000</v>
      </c>
      <c r="J447" s="173" t="str">
        <f t="shared" si="411"/>
        <v>0.000</v>
      </c>
      <c r="K447" s="173" t="str">
        <f t="shared" si="411"/>
        <v>0.000</v>
      </c>
      <c r="L447" s="173">
        <f t="shared" si="411"/>
        <v>0.37398832841392232</v>
      </c>
      <c r="M447" s="173">
        <f t="shared" si="411"/>
        <v>0.65899182061622574</v>
      </c>
      <c r="N447" s="173">
        <f t="shared" si="411"/>
        <v>1.5163559408390093</v>
      </c>
      <c r="O447" s="173" t="str">
        <f t="shared" si="411"/>
        <v>0.000</v>
      </c>
      <c r="P447" s="173">
        <f t="shared" si="411"/>
        <v>3.0248493030409449</v>
      </c>
      <c r="Q447" s="173" t="str">
        <f t="shared" si="411"/>
        <v>0.000</v>
      </c>
      <c r="R447" s="173" t="str">
        <f t="shared" si="411"/>
        <v>0.000</v>
      </c>
      <c r="S447" s="173" t="str">
        <f t="shared" si="411"/>
        <v>0.000</v>
      </c>
      <c r="T447" s="173" t="str">
        <f t="shared" si="411"/>
        <v>0.000</v>
      </c>
      <c r="U447" s="173" t="str">
        <f t="shared" si="411"/>
        <v>0.000</v>
      </c>
      <c r="V447" s="173" t="str">
        <f t="shared" si="411"/>
        <v>0.000</v>
      </c>
      <c r="W447" s="173" t="str">
        <f t="shared" ref="W447:AK447" si="412">IF(W429&lt;=0, "0.000", W429)</f>
        <v>0.000</v>
      </c>
      <c r="X447" s="173" t="str">
        <f t="shared" si="412"/>
        <v>0.000</v>
      </c>
      <c r="Y447" s="173" t="str">
        <f t="shared" si="412"/>
        <v>0.000</v>
      </c>
      <c r="Z447" s="173" t="str">
        <f t="shared" si="412"/>
        <v>0.000</v>
      </c>
      <c r="AA447" s="173" t="str">
        <f t="shared" si="412"/>
        <v>0.000</v>
      </c>
      <c r="AB447" s="173" t="str">
        <f t="shared" si="412"/>
        <v>0.000</v>
      </c>
      <c r="AC447" s="173" t="str">
        <f t="shared" si="412"/>
        <v>0.000</v>
      </c>
      <c r="AD447" s="173" t="str">
        <f t="shared" si="412"/>
        <v>0.000</v>
      </c>
      <c r="AE447" s="173" t="str">
        <f t="shared" si="412"/>
        <v>0.000</v>
      </c>
      <c r="AF447" s="173" t="str">
        <f t="shared" si="412"/>
        <v>0.000</v>
      </c>
      <c r="AG447" s="173" t="str">
        <f t="shared" si="412"/>
        <v>0.000</v>
      </c>
      <c r="AH447" s="173" t="str">
        <f t="shared" si="412"/>
        <v>0.000</v>
      </c>
      <c r="AI447" s="173" t="str">
        <f t="shared" si="412"/>
        <v>0.000</v>
      </c>
      <c r="AJ447" s="173" t="str">
        <f t="shared" si="412"/>
        <v>0.000</v>
      </c>
      <c r="AK447" s="173" t="str">
        <f t="shared" si="412"/>
        <v>0.000</v>
      </c>
      <c r="AL447" s="4"/>
      <c r="AM447" s="43">
        <v>431</v>
      </c>
      <c r="AN447">
        <v>16.014309689739346</v>
      </c>
      <c r="AO447">
        <v>7.4411870845561152</v>
      </c>
      <c r="AP447">
        <v>45.762702467165688</v>
      </c>
      <c r="AQ447">
        <v>42.991166144682666</v>
      </c>
      <c r="AR447">
        <v>6.825116273804972</v>
      </c>
      <c r="AS447">
        <v>37.966885219603881</v>
      </c>
      <c r="AT447">
        <v>3.8734484614589846</v>
      </c>
      <c r="AU447">
        <v>4.3419740710272094</v>
      </c>
      <c r="AV447"/>
      <c r="AW447"/>
      <c r="FY447" s="212">
        <v>442</v>
      </c>
      <c r="FZ447">
        <v>3.045447235027908E-2</v>
      </c>
      <c r="GA447">
        <v>4.0269702397876417</v>
      </c>
      <c r="GB447">
        <v>7.3617926376353751</v>
      </c>
      <c r="GC447">
        <v>3.5671562143921256</v>
      </c>
      <c r="GD447">
        <v>1.0038140483896092</v>
      </c>
      <c r="GE447">
        <v>5.0104626388334674</v>
      </c>
      <c r="GF447">
        <v>14.77615253045682</v>
      </c>
      <c r="GG447">
        <v>9.2044355056249501</v>
      </c>
      <c r="GH447">
        <v>1.7070534653339235</v>
      </c>
      <c r="GI447">
        <v>6.3824399165690098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98"/>
        <v>5.888527751101015</v>
      </c>
      <c r="D448" s="191">
        <f>A$412</f>
        <v>4</v>
      </c>
      <c r="E448" s="8"/>
      <c r="F448" s="124"/>
      <c r="G448" s="173" t="str">
        <f t="shared" si="399"/>
        <v>0.000</v>
      </c>
      <c r="H448" s="173" t="str">
        <f t="shared" ref="H448:V448" si="413">IF(H430&lt;=0, "0.000", H430)</f>
        <v>0.000</v>
      </c>
      <c r="I448" s="173" t="str">
        <f t="shared" si="413"/>
        <v>0.000</v>
      </c>
      <c r="J448" s="173">
        <f t="shared" si="413"/>
        <v>8.8120749597964967E-2</v>
      </c>
      <c r="K448" s="173" t="str">
        <f t="shared" si="413"/>
        <v>0.000</v>
      </c>
      <c r="L448" s="173">
        <f t="shared" si="413"/>
        <v>0.66082299279115631</v>
      </c>
      <c r="M448" s="173">
        <f t="shared" si="413"/>
        <v>1.1875762298767829</v>
      </c>
      <c r="N448" s="173">
        <f t="shared" si="413"/>
        <v>1.4138875401042976</v>
      </c>
      <c r="O448" s="173" t="str">
        <f t="shared" si="413"/>
        <v>0.000</v>
      </c>
      <c r="P448" s="173">
        <f t="shared" si="413"/>
        <v>2.538120238730813</v>
      </c>
      <c r="Q448" s="173" t="str">
        <f t="shared" si="413"/>
        <v>0.000</v>
      </c>
      <c r="R448" s="173" t="str">
        <f t="shared" si="413"/>
        <v>0.000</v>
      </c>
      <c r="S448" s="173" t="str">
        <f t="shared" si="413"/>
        <v>0.000</v>
      </c>
      <c r="T448" s="173" t="str">
        <f t="shared" si="413"/>
        <v>0.000</v>
      </c>
      <c r="U448" s="173" t="str">
        <f t="shared" si="413"/>
        <v>0.000</v>
      </c>
      <c r="V448" s="173" t="str">
        <f t="shared" si="413"/>
        <v>0.000</v>
      </c>
      <c r="W448" s="173" t="str">
        <f t="shared" ref="W448:AK448" si="414">IF(W430&lt;=0, "0.000", W430)</f>
        <v>0.000</v>
      </c>
      <c r="X448" s="173" t="str">
        <f t="shared" si="414"/>
        <v>0.000</v>
      </c>
      <c r="Y448" s="173" t="str">
        <f t="shared" si="414"/>
        <v>0.000</v>
      </c>
      <c r="Z448" s="173" t="str">
        <f t="shared" si="414"/>
        <v>0.000</v>
      </c>
      <c r="AA448" s="173" t="str">
        <f t="shared" si="414"/>
        <v>0.000</v>
      </c>
      <c r="AB448" s="173" t="str">
        <f t="shared" si="414"/>
        <v>0.000</v>
      </c>
      <c r="AC448" s="173" t="str">
        <f t="shared" si="414"/>
        <v>0.000</v>
      </c>
      <c r="AD448" s="173" t="str">
        <f t="shared" si="414"/>
        <v>0.000</v>
      </c>
      <c r="AE448" s="173" t="str">
        <f t="shared" si="414"/>
        <v>0.000</v>
      </c>
      <c r="AF448" s="173" t="str">
        <f t="shared" si="414"/>
        <v>0.000</v>
      </c>
      <c r="AG448" s="173" t="str">
        <f t="shared" si="414"/>
        <v>0.000</v>
      </c>
      <c r="AH448" s="173" t="str">
        <f t="shared" si="414"/>
        <v>0.000</v>
      </c>
      <c r="AI448" s="173" t="str">
        <f t="shared" si="414"/>
        <v>0.000</v>
      </c>
      <c r="AJ448" s="173" t="str">
        <f t="shared" si="414"/>
        <v>0.000</v>
      </c>
      <c r="AK448" s="173" t="str">
        <f t="shared" si="414"/>
        <v>0.000</v>
      </c>
      <c r="AL448" s="4"/>
      <c r="AM448" s="43">
        <v>432</v>
      </c>
      <c r="AN448">
        <v>9.9633115796519398</v>
      </c>
      <c r="AO448">
        <v>4.5963780635665339</v>
      </c>
      <c r="AP448">
        <v>29.185821131410378</v>
      </c>
      <c r="AQ448">
        <v>23.036483679950891</v>
      </c>
      <c r="AR448">
        <v>4.2655868125086673</v>
      </c>
      <c r="AS448">
        <v>25.868107925287749</v>
      </c>
      <c r="AT448">
        <v>2.8734230582454892</v>
      </c>
      <c r="AU448">
        <v>12.232114603371537</v>
      </c>
      <c r="AV448"/>
      <c r="AW448"/>
      <c r="FY448" s="212">
        <v>443</v>
      </c>
      <c r="FZ448">
        <v>6.424539138071987</v>
      </c>
      <c r="GA448">
        <v>9.041913556222525</v>
      </c>
      <c r="GB448">
        <v>1.675690278841504</v>
      </c>
      <c r="GC448">
        <v>1.7345451229355038</v>
      </c>
      <c r="GD448">
        <v>1.5943019030166989</v>
      </c>
      <c r="GE448">
        <v>4.2498357515393481</v>
      </c>
      <c r="GF448">
        <v>10.238488073803332</v>
      </c>
      <c r="GG448">
        <v>6.9916635135851131</v>
      </c>
      <c r="GH448">
        <v>2.7024726468271423</v>
      </c>
      <c r="GI448">
        <v>5.3369718949505698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98"/>
        <v>4.5030086264673947</v>
      </c>
      <c r="D449" s="191">
        <f>A$413</f>
        <v>7.33</v>
      </c>
      <c r="E449" s="8"/>
      <c r="F449" s="124"/>
      <c r="G449" s="173" t="str">
        <f t="shared" si="399"/>
        <v>0.000</v>
      </c>
      <c r="H449" s="173" t="str">
        <f t="shared" ref="H449:V449" si="415">IF(H431&lt;=0, "0.000", H431)</f>
        <v>0.000</v>
      </c>
      <c r="I449" s="173" t="str">
        <f t="shared" si="415"/>
        <v>0.000</v>
      </c>
      <c r="J449" s="173">
        <f t="shared" si="415"/>
        <v>0.15477205861445878</v>
      </c>
      <c r="K449" s="173">
        <f t="shared" si="415"/>
        <v>0.10361766535623983</v>
      </c>
      <c r="L449" s="173">
        <f t="shared" si="415"/>
        <v>1.0997712681362914</v>
      </c>
      <c r="M449" s="173">
        <f t="shared" si="415"/>
        <v>1.2003709567987475</v>
      </c>
      <c r="N449" s="173">
        <f t="shared" si="415"/>
        <v>1.9444766775616571</v>
      </c>
      <c r="O449" s="173" t="str">
        <f t="shared" si="415"/>
        <v>0.000</v>
      </c>
      <c r="P449" s="173" t="str">
        <f t="shared" si="415"/>
        <v>0.000</v>
      </c>
      <c r="Q449" s="173" t="str">
        <f t="shared" si="415"/>
        <v>0.000</v>
      </c>
      <c r="R449" s="173" t="str">
        <f t="shared" si="415"/>
        <v>0.000</v>
      </c>
      <c r="S449" s="173" t="str">
        <f t="shared" si="415"/>
        <v>0.000</v>
      </c>
      <c r="T449" s="173" t="str">
        <f t="shared" si="415"/>
        <v>0.000</v>
      </c>
      <c r="U449" s="173" t="str">
        <f t="shared" si="415"/>
        <v>0.000</v>
      </c>
      <c r="V449" s="173" t="str">
        <f t="shared" si="415"/>
        <v>0.000</v>
      </c>
      <c r="W449" s="173" t="str">
        <f t="shared" ref="W449:AK449" si="416">IF(W431&lt;=0, "0.000", W431)</f>
        <v>0.000</v>
      </c>
      <c r="X449" s="173" t="str">
        <f t="shared" si="416"/>
        <v>0.000</v>
      </c>
      <c r="Y449" s="173" t="str">
        <f t="shared" si="416"/>
        <v>0.000</v>
      </c>
      <c r="Z449" s="173" t="str">
        <f t="shared" si="416"/>
        <v>0.000</v>
      </c>
      <c r="AA449" s="173" t="str">
        <f t="shared" si="416"/>
        <v>0.000</v>
      </c>
      <c r="AB449" s="173" t="str">
        <f t="shared" si="416"/>
        <v>0.000</v>
      </c>
      <c r="AC449" s="173" t="str">
        <f t="shared" si="416"/>
        <v>0.000</v>
      </c>
      <c r="AD449" s="173" t="str">
        <f t="shared" si="416"/>
        <v>0.000</v>
      </c>
      <c r="AE449" s="173" t="str">
        <f t="shared" si="416"/>
        <v>0.000</v>
      </c>
      <c r="AF449" s="173" t="str">
        <f t="shared" si="416"/>
        <v>0.000</v>
      </c>
      <c r="AG449" s="173" t="str">
        <f t="shared" si="416"/>
        <v>0.000</v>
      </c>
      <c r="AH449" s="173" t="str">
        <f t="shared" si="416"/>
        <v>0.000</v>
      </c>
      <c r="AI449" s="173" t="str">
        <f t="shared" si="416"/>
        <v>0.000</v>
      </c>
      <c r="AJ449" s="173" t="str">
        <f t="shared" si="416"/>
        <v>0.000</v>
      </c>
      <c r="AK449" s="173" t="str">
        <f t="shared" si="416"/>
        <v>0.000</v>
      </c>
      <c r="AL449" s="4"/>
      <c r="AM449" s="43">
        <v>433</v>
      </c>
      <c r="AN449">
        <v>13.126633986928104</v>
      </c>
      <c r="AO449">
        <v>6.027690801454634</v>
      </c>
      <c r="AP449">
        <v>55.020639382623443</v>
      </c>
      <c r="AQ449">
        <v>34.634498859805667</v>
      </c>
      <c r="AR449">
        <v>5.6068842902299743</v>
      </c>
      <c r="AS449">
        <v>31.917939144889036</v>
      </c>
      <c r="AT449" t="e">
        <v>#DIV/0!</v>
      </c>
      <c r="AU449" t="e">
        <v>#DIV/0!</v>
      </c>
      <c r="AV449"/>
      <c r="AW449"/>
      <c r="FY449" s="212">
        <v>444</v>
      </c>
      <c r="FZ449">
        <v>0.26781949258259524</v>
      </c>
      <c r="GA449">
        <v>3.1771669674716776</v>
      </c>
      <c r="GB449">
        <v>7.945412198160934</v>
      </c>
      <c r="GC449">
        <v>3.9171717831462054</v>
      </c>
      <c r="GD449">
        <v>1.9499296788581229</v>
      </c>
      <c r="GE449">
        <v>3.936482880397258</v>
      </c>
      <c r="GF449">
        <v>6.4420917898200765</v>
      </c>
      <c r="GG449">
        <v>5.8386139415269902</v>
      </c>
      <c r="GH449">
        <v>2.2080726900351113</v>
      </c>
      <c r="GI449">
        <v>5.4295894334409871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98"/>
        <v>6.1122339645719279</v>
      </c>
      <c r="D450" s="191">
        <f>A$414</f>
        <v>10.51</v>
      </c>
      <c r="E450" s="8"/>
      <c r="F450" s="124"/>
      <c r="G450" s="173" t="str">
        <f t="shared" si="399"/>
        <v>0.000</v>
      </c>
      <c r="H450" s="173" t="str">
        <f t="shared" ref="H450:V450" si="417">IF(H432&lt;=0, "0.000", H432)</f>
        <v>0.000</v>
      </c>
      <c r="I450" s="173">
        <f t="shared" si="417"/>
        <v>0.12823213688956422</v>
      </c>
      <c r="J450" s="173">
        <f t="shared" si="417"/>
        <v>0.17493991154153923</v>
      </c>
      <c r="K450" s="173">
        <f t="shared" si="417"/>
        <v>0.22926512640721725</v>
      </c>
      <c r="L450" s="173">
        <f t="shared" si="417"/>
        <v>0.74873701147808891</v>
      </c>
      <c r="M450" s="173">
        <f t="shared" si="417"/>
        <v>1.0225981045422488</v>
      </c>
      <c r="N450" s="173">
        <f t="shared" si="417"/>
        <v>1.9315388912341103</v>
      </c>
      <c r="O450" s="173">
        <f t="shared" si="417"/>
        <v>0.46941476884477007</v>
      </c>
      <c r="P450" s="173">
        <f t="shared" si="417"/>
        <v>0.86179443650341747</v>
      </c>
      <c r="Q450" s="173">
        <f t="shared" si="417"/>
        <v>0.54571357713097246</v>
      </c>
      <c r="R450" s="173" t="str">
        <f t="shared" si="417"/>
        <v>0.000</v>
      </c>
      <c r="S450" s="173" t="str">
        <f t="shared" si="417"/>
        <v>0.000</v>
      </c>
      <c r="T450" s="173" t="str">
        <f t="shared" si="417"/>
        <v>0.000</v>
      </c>
      <c r="U450" s="173" t="str">
        <f t="shared" si="417"/>
        <v>0.000</v>
      </c>
      <c r="V450" s="173" t="str">
        <f t="shared" si="417"/>
        <v>0.000</v>
      </c>
      <c r="W450" s="173" t="str">
        <f t="shared" ref="W450:AK450" si="418">IF(W432&lt;=0, "0.000", W432)</f>
        <v>0.000</v>
      </c>
      <c r="X450" s="173" t="str">
        <f t="shared" si="418"/>
        <v>0.000</v>
      </c>
      <c r="Y450" s="173" t="str">
        <f t="shared" si="418"/>
        <v>0.000</v>
      </c>
      <c r="Z450" s="173" t="str">
        <f t="shared" si="418"/>
        <v>0.000</v>
      </c>
      <c r="AA450" s="173" t="str">
        <f t="shared" si="418"/>
        <v>0.000</v>
      </c>
      <c r="AB450" s="173" t="str">
        <f t="shared" si="418"/>
        <v>0.000</v>
      </c>
      <c r="AC450" s="173" t="str">
        <f t="shared" si="418"/>
        <v>0.000</v>
      </c>
      <c r="AD450" s="173" t="str">
        <f t="shared" si="418"/>
        <v>0.000</v>
      </c>
      <c r="AE450" s="173" t="str">
        <f t="shared" si="418"/>
        <v>0.000</v>
      </c>
      <c r="AF450" s="173" t="str">
        <f t="shared" si="418"/>
        <v>0.000</v>
      </c>
      <c r="AG450" s="173" t="str">
        <f t="shared" si="418"/>
        <v>0.000</v>
      </c>
      <c r="AH450" s="173" t="str">
        <f t="shared" si="418"/>
        <v>0.000</v>
      </c>
      <c r="AI450" s="173" t="str">
        <f t="shared" si="418"/>
        <v>0.000</v>
      </c>
      <c r="AJ450" s="173" t="str">
        <f t="shared" si="418"/>
        <v>0.000</v>
      </c>
      <c r="AK450" s="173" t="str">
        <f t="shared" si="418"/>
        <v>0.000</v>
      </c>
      <c r="AL450" s="4"/>
      <c r="AM450" s="43">
        <v>434</v>
      </c>
      <c r="AN450">
        <v>12.284722222222221</v>
      </c>
      <c r="AO450">
        <v>8.3310420874373943</v>
      </c>
      <c r="AP450">
        <v>66.076224165663419</v>
      </c>
      <c r="AQ450">
        <v>41.87760539837371</v>
      </c>
      <c r="AR450">
        <v>7.6280518377497151</v>
      </c>
      <c r="AS450">
        <v>46.57916226792311</v>
      </c>
      <c r="AT450" t="e">
        <v>#DIV/0!</v>
      </c>
      <c r="AU450" t="e">
        <v>#DIV/0!</v>
      </c>
      <c r="AV450"/>
      <c r="AW450"/>
      <c r="FY450" s="212">
        <v>445</v>
      </c>
      <c r="FZ450">
        <v>6.4965229002453828</v>
      </c>
      <c r="GA450">
        <v>10.346391510073337</v>
      </c>
      <c r="GB450">
        <v>4.1911494199484816</v>
      </c>
      <c r="GC450">
        <v>2.0417236000854131</v>
      </c>
      <c r="GD450">
        <v>1.3089081118979082</v>
      </c>
      <c r="GE450">
        <v>3.2509290662102144</v>
      </c>
      <c r="GF450">
        <v>7.1002947875849705</v>
      </c>
      <c r="GG450">
        <v>5.0612813241810208</v>
      </c>
      <c r="GH450">
        <v>1.5788322501726046</v>
      </c>
      <c r="GI450">
        <v>4.9443748424981555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16.894748110087409</v>
      </c>
      <c r="AO451">
        <v>12.269128530504663</v>
      </c>
      <c r="AP451">
        <v>76.080207889437617</v>
      </c>
      <c r="AQ451">
        <v>59.152263074240281</v>
      </c>
      <c r="AR451">
        <v>11.228121397823433</v>
      </c>
      <c r="AS451">
        <v>53.189676948593743</v>
      </c>
      <c r="AT451">
        <v>6.6949564176671599</v>
      </c>
      <c r="AU451">
        <v>7.6182070394763821</v>
      </c>
      <c r="AV451"/>
      <c r="AW451"/>
      <c r="FY451" s="212">
        <v>446</v>
      </c>
      <c r="FZ451">
        <v>3.3357535866550241</v>
      </c>
      <c r="GA451">
        <v>6.5982442556259819</v>
      </c>
      <c r="GB451">
        <v>5.2394374946869871</v>
      </c>
      <c r="GC451">
        <v>2.5265509205313741</v>
      </c>
      <c r="GD451">
        <v>0.91838623979232814</v>
      </c>
      <c r="GE451">
        <v>3.8644628821598292</v>
      </c>
      <c r="GF451">
        <v>6.9110192460871511</v>
      </c>
      <c r="GG451">
        <v>3.116949200388599</v>
      </c>
      <c r="GH451">
        <v>2.7930139702207835</v>
      </c>
      <c r="GI451">
        <v>4.5173469221273503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16.333333333333332</v>
      </c>
      <c r="AO452">
        <v>13.417459037742617</v>
      </c>
      <c r="AP452">
        <v>74.183363988139462</v>
      </c>
      <c r="AQ452">
        <v>68.009148782492701</v>
      </c>
      <c r="AR452">
        <v>12.306883850366455</v>
      </c>
      <c r="AS452">
        <v>59.844408378396317</v>
      </c>
      <c r="AT452">
        <v>8.004784675504558</v>
      </c>
      <c r="AU452">
        <v>14.638445098166493</v>
      </c>
      <c r="AV452"/>
      <c r="AW452"/>
      <c r="FY452" s="212">
        <v>447</v>
      </c>
      <c r="FZ452">
        <v>0.15411901513021786</v>
      </c>
      <c r="GA452">
        <v>4.0169627708898616</v>
      </c>
      <c r="GB452">
        <v>8.9288197660609985</v>
      </c>
      <c r="GC452">
        <v>4.2022243577758269</v>
      </c>
      <c r="GD452">
        <v>1.4893056537610323</v>
      </c>
      <c r="GE452">
        <v>5.3527370271681978</v>
      </c>
      <c r="GF452">
        <v>8.2911113378983448</v>
      </c>
      <c r="GG452">
        <v>5.3282460106917888</v>
      </c>
      <c r="GH452">
        <v>3.6237702953402833</v>
      </c>
      <c r="GI452">
        <v>5.7700117410591103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55.299040343832246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20.951056677691156</v>
      </c>
      <c r="AO453">
        <v>13.269920377863238</v>
      </c>
      <c r="AP453">
        <v>63.614295690756997</v>
      </c>
      <c r="AQ453">
        <v>66.169300190432608</v>
      </c>
      <c r="AR453">
        <v>12.107701814911881</v>
      </c>
      <c r="AS453">
        <v>62.098983568387133</v>
      </c>
      <c r="AT453">
        <v>7.1140432308775319</v>
      </c>
      <c r="AU453">
        <v>16.418231391880433</v>
      </c>
      <c r="AV453"/>
      <c r="AW453"/>
      <c r="FY453" s="212">
        <v>448</v>
      </c>
      <c r="FZ453">
        <v>0.21613871197605222</v>
      </c>
      <c r="GA453">
        <v>2.330555063235062</v>
      </c>
      <c r="GB453">
        <v>2.8277326702606311</v>
      </c>
      <c r="GC453">
        <v>1.3588005710283397</v>
      </c>
      <c r="GD453">
        <v>1.1012871197372212</v>
      </c>
      <c r="GE453">
        <v>2.3544360334244283</v>
      </c>
      <c r="GF453">
        <v>2.1473425118068334</v>
      </c>
      <c r="GG453">
        <v>1.7502172879256983</v>
      </c>
      <c r="GH453">
        <v>3.0233246392320559</v>
      </c>
      <c r="GI453">
        <v>2.3590381309873298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13.312167788802267</v>
      </c>
      <c r="AO454">
        <v>7.5920897564059189</v>
      </c>
      <c r="AP454">
        <v>53.661075034617532</v>
      </c>
      <c r="AQ454">
        <v>40.456516495815201</v>
      </c>
      <c r="AR454">
        <v>6.9789026223606063</v>
      </c>
      <c r="AS454">
        <v>42.657380213879279</v>
      </c>
      <c r="AT454">
        <v>4.3862534098027082</v>
      </c>
      <c r="AU454">
        <v>-1.7278216124979449</v>
      </c>
      <c r="AV454"/>
      <c r="AW454"/>
      <c r="FY454" s="212">
        <v>449</v>
      </c>
      <c r="FZ454">
        <v>6.5696174145640551</v>
      </c>
      <c r="GA454">
        <v>9.701273180608867</v>
      </c>
      <c r="GB454">
        <v>3.2583095974132883</v>
      </c>
      <c r="GC454">
        <v>1.5004219036567126</v>
      </c>
      <c r="GD454">
        <v>1.1084901971122847</v>
      </c>
      <c r="GE454">
        <v>6.5795822774004824</v>
      </c>
      <c r="GF454">
        <v>13.571278146693736</v>
      </c>
      <c r="GG454">
        <v>5.698482781621796</v>
      </c>
      <c r="GH454">
        <v>0.17973302746735731</v>
      </c>
      <c r="GI454">
        <v>5.7071891910706753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16"/>
      <c r="P455" s="216"/>
      <c r="Q455" s="216"/>
      <c r="R455" s="216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12.725694444444441</v>
      </c>
      <c r="AO455">
        <v>7.495185789858942</v>
      </c>
      <c r="AP455">
        <v>38.782812478056385</v>
      </c>
      <c r="AQ455">
        <v>43.378363366135112</v>
      </c>
      <c r="AR455">
        <v>6.9485018935182215</v>
      </c>
      <c r="AS455">
        <v>37.293619895172455</v>
      </c>
      <c r="AT455">
        <v>4.1719786559877052</v>
      </c>
      <c r="AU455">
        <v>13.47239712791251</v>
      </c>
      <c r="AV455"/>
      <c r="AW455"/>
      <c r="FY455" s="212">
        <v>450</v>
      </c>
      <c r="FZ455">
        <v>0.13400345901923011</v>
      </c>
      <c r="GA455">
        <v>4.0599316759713284</v>
      </c>
      <c r="GB455">
        <v>7.2569426757630469</v>
      </c>
      <c r="GC455">
        <v>3.1737873207247156</v>
      </c>
      <c r="GD455">
        <v>1.0775183289964991</v>
      </c>
      <c r="GE455">
        <v>3.6189492855979166</v>
      </c>
      <c r="GF455">
        <v>10.137441594796925</v>
      </c>
      <c r="GG455">
        <v>7.7310898721832384</v>
      </c>
      <c r="GH455">
        <v>1.6294098917165196</v>
      </c>
      <c r="GI455">
        <v>5.5145271249878896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14.575303665642963</v>
      </c>
      <c r="AO456">
        <v>8.1849205689966702</v>
      </c>
      <c r="AP456">
        <v>46.233056631519752</v>
      </c>
      <c r="AQ456">
        <v>38.100919286872752</v>
      </c>
      <c r="AR456">
        <v>7.5471507887672207</v>
      </c>
      <c r="AS456">
        <v>41.237347672730813</v>
      </c>
      <c r="AT456">
        <v>4.6283257465202521</v>
      </c>
      <c r="AU456">
        <v>24.036506004514827</v>
      </c>
      <c r="AV456"/>
      <c r="AW456"/>
      <c r="FY456" s="212">
        <v>451</v>
      </c>
      <c r="FZ456">
        <v>3.3761721243328644</v>
      </c>
      <c r="GA456">
        <v>6.8761466954672112</v>
      </c>
      <c r="GB456">
        <v>9.7729457492910861</v>
      </c>
      <c r="GC456">
        <v>5.0582331195159469</v>
      </c>
      <c r="GD456">
        <v>1.3760204327990833</v>
      </c>
      <c r="GE456">
        <v>4.7083595953474671</v>
      </c>
      <c r="GF456">
        <v>9.2391180250276115</v>
      </c>
      <c r="GG456">
        <v>5.4512940666878542</v>
      </c>
      <c r="GH456">
        <v>1.5510088078557345</v>
      </c>
      <c r="GI456">
        <v>6.30546140114369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1.6033136695055734E-4</v>
      </c>
      <c r="F457" s="102">
        <f>+D457-D459</f>
        <v>0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10.799364123159302</v>
      </c>
      <c r="AO457">
        <v>6.4024302837946765</v>
      </c>
      <c r="AP457">
        <v>46.072091837683132</v>
      </c>
      <c r="AQ457">
        <v>34.049734790547873</v>
      </c>
      <c r="AR457">
        <v>5.8858614561376088</v>
      </c>
      <c r="AS457">
        <v>29.929987338395666</v>
      </c>
      <c r="AT457">
        <v>3.2343458069512998</v>
      </c>
      <c r="AU457">
        <v>0.934705145595353</v>
      </c>
      <c r="AV457"/>
      <c r="AW457"/>
      <c r="FY457" s="212">
        <v>452</v>
      </c>
      <c r="FZ457">
        <v>0.11258972530710119</v>
      </c>
      <c r="GA457">
        <v>1.7467080543546827</v>
      </c>
      <c r="GB457">
        <v>3.4822885996823452</v>
      </c>
      <c r="GC457">
        <v>1.7537019313460798</v>
      </c>
      <c r="GD457">
        <v>0.41030906764118263</v>
      </c>
      <c r="GE457">
        <v>2.9239200974344093</v>
      </c>
      <c r="GF457">
        <v>5.7158708888957914</v>
      </c>
      <c r="GG457">
        <v>1.0843421098271551</v>
      </c>
      <c r="GH457">
        <v>0.43754599972375197</v>
      </c>
      <c r="GI457">
        <v>2.4944917911242763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5.3186374567697908E-4</v>
      </c>
      <c r="I458" s="101">
        <f>+H458*F457</f>
        <v>0</v>
      </c>
      <c r="J458" s="101">
        <f>+I458*$A$440</f>
        <v>0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14.161356209150327</v>
      </c>
      <c r="AO458">
        <v>10.569376053126867</v>
      </c>
      <c r="AP458">
        <v>65.678731928214418</v>
      </c>
      <c r="AQ458">
        <v>53.070731669373203</v>
      </c>
      <c r="AR458">
        <v>9.7136221393095816</v>
      </c>
      <c r="AS458">
        <v>51.091779173296281</v>
      </c>
      <c r="AT458">
        <v>6.3372740781692878</v>
      </c>
      <c r="AU458">
        <v>25.826031208601364</v>
      </c>
      <c r="AV458"/>
      <c r="AW458"/>
      <c r="FY458" s="212">
        <v>453</v>
      </c>
      <c r="FZ458">
        <v>6.5177492085016464</v>
      </c>
      <c r="GA458">
        <v>9.5345356128099539</v>
      </c>
      <c r="GB458">
        <v>3.3485654655357981</v>
      </c>
      <c r="GC458">
        <v>1.4831592053260636</v>
      </c>
      <c r="GD458">
        <v>1.7112159885050209</v>
      </c>
      <c r="GE458">
        <v>4.4000122090168912</v>
      </c>
      <c r="GF458">
        <v>10.51142992321085</v>
      </c>
      <c r="GG458">
        <v>10.770899824104301</v>
      </c>
      <c r="GH458">
        <v>3.7851345417534952</v>
      </c>
      <c r="GI458">
        <v>6.2821138169362039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0</v>
      </c>
      <c r="E459" s="97">
        <f>+H36</f>
        <v>1.7643399999999999E-3</v>
      </c>
      <c r="F459" s="102">
        <f>+D459-D461</f>
        <v>-8.8697638146167552</v>
      </c>
      <c r="G459" s="101">
        <f>+D459*E459</f>
        <v>0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11.733391900937081</v>
      </c>
      <c r="AO459">
        <v>9.1569089074949499</v>
      </c>
      <c r="AP459">
        <v>56.557261765109764</v>
      </c>
      <c r="AQ459">
        <v>49.990421879793729</v>
      </c>
      <c r="AR459">
        <v>8.3978567342675383</v>
      </c>
      <c r="AS459">
        <v>41.836493285515402</v>
      </c>
      <c r="AT459">
        <v>4.5636957204615811</v>
      </c>
      <c r="AU459">
        <v>7.1500529282665521</v>
      </c>
      <c r="AV459"/>
      <c r="AW459"/>
      <c r="FY459" s="212">
        <v>454</v>
      </c>
      <c r="FZ459">
        <v>6.5971144813902356</v>
      </c>
      <c r="GA459">
        <v>10.741639883612404</v>
      </c>
      <c r="GB459">
        <v>5.5907997236062918</v>
      </c>
      <c r="GC459">
        <v>2.5557321449324277</v>
      </c>
      <c r="GD459">
        <v>0.97051438819402314</v>
      </c>
      <c r="GE459">
        <v>3.2475388672643435</v>
      </c>
      <c r="GF459">
        <v>7.1651624056099692</v>
      </c>
      <c r="GG459">
        <v>4.0561079650031742</v>
      </c>
      <c r="GH459">
        <v>1.4860841571531092</v>
      </c>
      <c r="GI459">
        <v>4.8895973964177282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5.8528065898490068E-3</v>
      </c>
      <c r="I460" s="101">
        <f>+H460*F459</f>
        <v>-5.1913012104593211E-2</v>
      </c>
      <c r="J460" s="101">
        <f>+I460*$A$440</f>
        <v>-0.51913012104593215</v>
      </c>
      <c r="K460" s="61">
        <f>IF(AND(J460&lt;0, J458&lt;0), 0, J460)</f>
        <v>-0.51913012104593215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16.63161223324671</v>
      </c>
      <c r="AO460">
        <v>8.7949109323234715</v>
      </c>
      <c r="AP460">
        <v>40.681559201651439</v>
      </c>
      <c r="AQ460">
        <v>41.112350855439956</v>
      </c>
      <c r="AR460">
        <v>8.1574329864625454</v>
      </c>
      <c r="AS460">
        <v>45.505073375558979</v>
      </c>
      <c r="AT460">
        <v>4.3798696361527236</v>
      </c>
      <c r="AU460">
        <v>9.4928347485570761</v>
      </c>
      <c r="AV460"/>
      <c r="AW460"/>
      <c r="FY460" s="212">
        <v>455</v>
      </c>
      <c r="FZ460">
        <v>0.23644169354290495</v>
      </c>
      <c r="GA460">
        <v>2.473086554360405</v>
      </c>
      <c r="GB460">
        <v>6.6192534875436806</v>
      </c>
      <c r="GC460">
        <v>3.1457917624119052</v>
      </c>
      <c r="GD460">
        <v>1.0088470839318799</v>
      </c>
      <c r="GE460">
        <v>2.2460056797271162</v>
      </c>
      <c r="GF460">
        <v>6.2578221627241168</v>
      </c>
      <c r="GG460">
        <v>6.2042154612271538</v>
      </c>
      <c r="GH460">
        <v>1.114041491513905</v>
      </c>
      <c r="GI460">
        <v>4.1941143153891476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8.8697638146167552</v>
      </c>
      <c r="E461" s="97">
        <f>+I36</f>
        <v>1.9415387611333396E-2</v>
      </c>
      <c r="F461" s="102">
        <f>+D461-D463</f>
        <v>5.8836527035056427</v>
      </c>
      <c r="G461" s="101">
        <f>+D461*E461</f>
        <v>0.1722099024817634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11.697916666666666</v>
      </c>
      <c r="AO461">
        <v>8.4629521338851106</v>
      </c>
      <c r="AP461">
        <v>55.762818117672261</v>
      </c>
      <c r="AQ461">
        <v>46.320407812897486</v>
      </c>
      <c r="AR461">
        <v>7.7891126579423897</v>
      </c>
      <c r="AS461">
        <v>41.36649465720933</v>
      </c>
      <c r="AT461">
        <v>4.1901909191953406</v>
      </c>
      <c r="AU461">
        <v>12.633243730114827</v>
      </c>
      <c r="AV461"/>
      <c r="AW461"/>
      <c r="FY461" s="212">
        <v>456</v>
      </c>
      <c r="FZ461">
        <v>3.4991007658792572</v>
      </c>
      <c r="GA461">
        <v>6.6133574461506068</v>
      </c>
      <c r="GB461">
        <v>8.9300263455801066</v>
      </c>
      <c r="GC461">
        <v>4.3613727907382485</v>
      </c>
      <c r="GD461">
        <v>0.83157992272059666</v>
      </c>
      <c r="GE461">
        <v>4.133408339803716</v>
      </c>
      <c r="GF461">
        <v>9.4359687617263823</v>
      </c>
      <c r="GG461">
        <v>5.2308758922002685</v>
      </c>
      <c r="GH461">
        <v>2.8374151709779802</v>
      </c>
      <c r="GI461">
        <v>5.9392666464367938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3.9154703845923164E-2</v>
      </c>
      <c r="I462" s="101">
        <f>+H462*F461</f>
        <v>0.23037267913802861</v>
      </c>
      <c r="J462" s="101">
        <f>+I462*$A$440</f>
        <v>2.3037267913802859</v>
      </c>
      <c r="K462" s="61">
        <f>IF(AND(J462&lt;0, J460&lt;0), 0, J462)</f>
        <v>2.3037267913802859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10.583333333333334</v>
      </c>
      <c r="AO462">
        <v>7.3984135825915631</v>
      </c>
      <c r="AP462">
        <v>33.04825606114094</v>
      </c>
      <c r="AQ462">
        <v>39.821164718275405</v>
      </c>
      <c r="AR462">
        <v>6.8767940516933521</v>
      </c>
      <c r="AS462">
        <v>35.307536006304431</v>
      </c>
      <c r="AT462">
        <v>4.1524471616834626</v>
      </c>
      <c r="AU462">
        <v>5.3647687516925924</v>
      </c>
      <c r="AV462"/>
      <c r="AW462"/>
      <c r="FY462" s="212">
        <v>457</v>
      </c>
      <c r="FZ462">
        <v>3.3547583906207352</v>
      </c>
      <c r="GA462">
        <v>7.5193002295854203</v>
      </c>
      <c r="GB462">
        <v>8.6868690371191448</v>
      </c>
      <c r="GC462">
        <v>3.8523249899252301</v>
      </c>
      <c r="GD462">
        <v>0.618925943124913</v>
      </c>
      <c r="GE462">
        <v>3.2088136175067135</v>
      </c>
      <c r="GF462">
        <v>7.8837740010701562</v>
      </c>
      <c r="GG462">
        <v>5.3642478502470956</v>
      </c>
      <c r="GH462">
        <v>2.5460705703011333</v>
      </c>
      <c r="GI462">
        <v>5.3802625571106901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2.986111111111112</v>
      </c>
      <c r="E463" s="97">
        <f>+J36</f>
        <v>7.8962669401822033E-2</v>
      </c>
      <c r="F463" s="102">
        <f>+D463-D465</f>
        <v>1.5277777777777786</v>
      </c>
      <c r="G463" s="101">
        <f>+D463*E463</f>
        <v>0.23579130446377419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14.146586345381525</v>
      </c>
      <c r="AO463">
        <v>9.2480770592154968</v>
      </c>
      <c r="AP463">
        <v>42.586699495392374</v>
      </c>
      <c r="AQ463">
        <v>47.157307975775659</v>
      </c>
      <c r="AR463">
        <v>8.5025596280207889</v>
      </c>
      <c r="AS463">
        <v>45.492107354641469</v>
      </c>
      <c r="AT463">
        <v>5.2579255559514246</v>
      </c>
      <c r="AU463">
        <v>6.0098775878546657</v>
      </c>
      <c r="AV463"/>
      <c r="AW463"/>
      <c r="FY463" s="212">
        <v>458</v>
      </c>
      <c r="FZ463">
        <v>0.22536687607006739</v>
      </c>
      <c r="GA463">
        <v>4.9015108542326029</v>
      </c>
      <c r="GB463">
        <v>5.8884204555490136</v>
      </c>
      <c r="GC463">
        <v>2.7435649453846089</v>
      </c>
      <c r="GD463">
        <v>1.626052521011389</v>
      </c>
      <c r="GE463">
        <v>4.8649841716120807</v>
      </c>
      <c r="GF463">
        <v>11.088092734044992</v>
      </c>
      <c r="GG463">
        <v>7.4487000695474936</v>
      </c>
      <c r="GH463">
        <v>2.1712290259595308</v>
      </c>
      <c r="GI463">
        <v>5.6598130805982114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0.12988704483999988</v>
      </c>
      <c r="I464" s="101">
        <f>+H464*F463</f>
        <v>0.1984385407277777</v>
      </c>
      <c r="J464" s="101">
        <f>+I464*$A$440</f>
        <v>1.9843854072777769</v>
      </c>
      <c r="K464" s="61">
        <f>IF(AND(J464&lt;0, J462&lt;0), 0, J464)</f>
        <v>1.9843854072777769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11.69683144342074</v>
      </c>
      <c r="AO464">
        <v>3.4869740345585014</v>
      </c>
      <c r="AP464">
        <v>18.301633818918845</v>
      </c>
      <c r="AQ464">
        <v>19.468872739613651</v>
      </c>
      <c r="AR464">
        <v>3.3482852060740926</v>
      </c>
      <c r="AS464">
        <v>24.058190292917587</v>
      </c>
      <c r="AT464">
        <v>1.916833984389527</v>
      </c>
      <c r="AU464">
        <v>8.8206200385443037</v>
      </c>
      <c r="AV464"/>
      <c r="AW464"/>
      <c r="FY464" s="212">
        <v>459</v>
      </c>
      <c r="FZ464">
        <v>6.5057510643393979</v>
      </c>
      <c r="GA464">
        <v>9.5045648306095849</v>
      </c>
      <c r="GB464">
        <v>8.1560260035647918</v>
      </c>
      <c r="GC464">
        <v>4.051411941156676</v>
      </c>
      <c r="GD464">
        <v>1.3514851605622544</v>
      </c>
      <c r="GE464">
        <v>5.2025830120933048</v>
      </c>
      <c r="GF464">
        <v>11.485260884481308</v>
      </c>
      <c r="GG464">
        <v>7.6826132799762537</v>
      </c>
      <c r="GH464">
        <v>2.8597879715014431</v>
      </c>
      <c r="GI464">
        <v>7.260946587791488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1.4583333333333335</v>
      </c>
      <c r="E465" s="97">
        <f>+K36</f>
        <v>0.21365342059825113</v>
      </c>
      <c r="F465" s="102">
        <f>+D465-D467</f>
        <v>-0.77651515151515049</v>
      </c>
      <c r="G465" s="101">
        <f>+D465*E465</f>
        <v>0.31157790503911625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15.589192554531852</v>
      </c>
      <c r="AO465">
        <v>9.8272388446990604</v>
      </c>
      <c r="AP465">
        <v>86.331054968638981</v>
      </c>
      <c r="AQ465">
        <v>53.874377717609256</v>
      </c>
      <c r="AR465">
        <v>8.9513855804293243</v>
      </c>
      <c r="AS465">
        <v>44.856494678645625</v>
      </c>
      <c r="AT465">
        <v>5.3819450457060194</v>
      </c>
      <c r="AU465">
        <v>36.995058708039458</v>
      </c>
      <c r="AV465"/>
      <c r="AW465"/>
      <c r="FY465" s="212">
        <v>460</v>
      </c>
      <c r="FZ465">
        <v>3.4575714760561405</v>
      </c>
      <c r="GA465">
        <v>8.1187853306774755</v>
      </c>
      <c r="GB465">
        <v>7.4103508561493392</v>
      </c>
      <c r="GC465">
        <v>3.5930914041544497</v>
      </c>
      <c r="GD465">
        <v>1.4429654201204851</v>
      </c>
      <c r="GE465">
        <v>3.3639667162263311</v>
      </c>
      <c r="GF465">
        <v>11.117615768596863</v>
      </c>
      <c r="GG465">
        <v>9.6301054732618692</v>
      </c>
      <c r="GH465">
        <v>2.2809912485909853</v>
      </c>
      <c r="GI465">
        <v>6.551522785538717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0.31431432367542644</v>
      </c>
      <c r="I466" s="101">
        <f>+H466*F465</f>
        <v>-0.24406983467220583</v>
      </c>
      <c r="J466" s="101">
        <f>+I466*$A$440</f>
        <v>-2.4406983467220584</v>
      </c>
      <c r="K466" s="61">
        <f>IF(AND(J466&lt;0, J464&lt;0), 0, J466)</f>
        <v>-2.4406983467220584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11.895833333333332</v>
      </c>
      <c r="AO466">
        <v>9.2305554030371919</v>
      </c>
      <c r="AP466">
        <v>38.714902837321787</v>
      </c>
      <c r="AQ466">
        <v>44.333601229757306</v>
      </c>
      <c r="AR466">
        <v>8.4903119911219029</v>
      </c>
      <c r="AS466">
        <v>41.282049796724635</v>
      </c>
      <c r="AT466">
        <v>5.6328772432518157</v>
      </c>
      <c r="AU466">
        <v>6.9113580423520764</v>
      </c>
      <c r="AV466"/>
      <c r="AW466"/>
      <c r="FY466" s="212">
        <v>461</v>
      </c>
      <c r="FZ466">
        <v>6.7624957394491556</v>
      </c>
      <c r="GA466">
        <v>10.403378562834568</v>
      </c>
      <c r="GB466">
        <v>6.1749085844305842</v>
      </c>
      <c r="GC466">
        <v>3.0038261744041375</v>
      </c>
      <c r="GD466">
        <v>1.0090846881245359</v>
      </c>
      <c r="GE466">
        <v>4.1575853758656223</v>
      </c>
      <c r="GF466">
        <v>8.1939182600184637</v>
      </c>
      <c r="GG466">
        <v>4.1617124670897088</v>
      </c>
      <c r="GH466">
        <v>2.2892726525982945</v>
      </c>
      <c r="GI466">
        <v>5.4960353068396008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2.234848484848484</v>
      </c>
      <c r="E467" s="97">
        <f>L36</f>
        <v>0.46240071322475906</v>
      </c>
      <c r="F467" s="102">
        <f>+D467-D469</f>
        <v>0.56818181818181746</v>
      </c>
      <c r="G467" s="101">
        <f>+D467*E467</f>
        <v>1.0333955333432112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21.864379084967318</v>
      </c>
      <c r="AO467">
        <v>10.411743318092608</v>
      </c>
      <c r="AP467">
        <v>65.506995006831204</v>
      </c>
      <c r="AQ467">
        <v>53.714760017468549</v>
      </c>
      <c r="AR467">
        <v>9.5038432981853642</v>
      </c>
      <c r="AS467">
        <v>53.196713698386816</v>
      </c>
      <c r="AT467">
        <v>5.4650188820813872</v>
      </c>
      <c r="AU467">
        <v>39.68007583190667</v>
      </c>
      <c r="AV467"/>
      <c r="AW467"/>
      <c r="FY467" s="212">
        <v>462</v>
      </c>
      <c r="FZ467">
        <v>3.4571966251444106</v>
      </c>
      <c r="GA467">
        <v>7.5444187459064729</v>
      </c>
      <c r="GB467">
        <v>4.5897021182811342</v>
      </c>
      <c r="GC467">
        <v>2.1574417431478938</v>
      </c>
      <c r="GD467">
        <v>1.2807600751524562</v>
      </c>
      <c r="GE467">
        <v>1.8925444330730903</v>
      </c>
      <c r="GF467">
        <v>5.9893678965786084</v>
      </c>
      <c r="GG467">
        <v>7.5593567569414155</v>
      </c>
      <c r="GH467">
        <v>3.9829152112032506</v>
      </c>
      <c r="GI467">
        <v>4.7744294516574008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0.63387270470248169</v>
      </c>
      <c r="I468" s="101">
        <f>+H468*F467</f>
        <v>0.3601549458536823</v>
      </c>
      <c r="J468" s="101">
        <f>+I468*$A$440</f>
        <v>3.6015494585368231</v>
      </c>
      <c r="K468" s="61">
        <f>IF(AND(J468&lt;0, J466&lt;0), 0, J468)</f>
        <v>3.6015494585368231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10.391275887865186</v>
      </c>
      <c r="AO468">
        <v>3.9895705292524903</v>
      </c>
      <c r="AP468">
        <v>45.136022638845233</v>
      </c>
      <c r="AQ468">
        <v>20.161768265336775</v>
      </c>
      <c r="AR468">
        <v>3.6744599197727434</v>
      </c>
      <c r="AS468">
        <v>21.437087500224909</v>
      </c>
      <c r="AT468">
        <v>2.4876198590674843</v>
      </c>
      <c r="AU468">
        <v>17.473971264406799</v>
      </c>
      <c r="AV468"/>
      <c r="AW468"/>
      <c r="FY468" s="212">
        <v>463</v>
      </c>
      <c r="FZ468">
        <v>6.4151235485221072</v>
      </c>
      <c r="GA468">
        <v>8.5803611361240275</v>
      </c>
      <c r="GB468">
        <v>5.2200596886796031</v>
      </c>
      <c r="GC468">
        <v>2.987285856873954</v>
      </c>
      <c r="GD468">
        <v>0.77301461586800757</v>
      </c>
      <c r="GE468">
        <v>2.8340423031973132</v>
      </c>
      <c r="GF468">
        <v>6.8728700405108185</v>
      </c>
      <c r="GG468">
        <v>5.0960164490384514</v>
      </c>
      <c r="GH468">
        <v>4.1017931338664928</v>
      </c>
      <c r="GI468">
        <v>5.0679409877843353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1.6666666666666665</v>
      </c>
      <c r="E469" s="97">
        <f>M36</f>
        <v>0.86893163067319767</v>
      </c>
      <c r="F469" s="102">
        <f>+D469-D471</f>
        <v>-0.25568181818181768</v>
      </c>
      <c r="G469" s="101">
        <f>+D469*E469</f>
        <v>1.4482193844553293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12.704861111111111</v>
      </c>
      <c r="AO469">
        <v>10.764392139736671</v>
      </c>
      <c r="AP469">
        <v>75.110224431802635</v>
      </c>
      <c r="AQ469">
        <v>58.344815795700228</v>
      </c>
      <c r="AR469">
        <v>9.9232157937113339</v>
      </c>
      <c r="AS469">
        <v>47.339661502121032</v>
      </c>
      <c r="AT469">
        <v>6.2151476158012828</v>
      </c>
      <c r="AU469">
        <v>6.9997772333565385</v>
      </c>
      <c r="AV469"/>
      <c r="AW469"/>
      <c r="FY469" s="212">
        <v>464</v>
      </c>
      <c r="FZ469">
        <v>3.2440153186924565</v>
      </c>
      <c r="GA469">
        <v>7.621050758217665</v>
      </c>
      <c r="GB469">
        <v>9.8319599018525103</v>
      </c>
      <c r="GC469">
        <v>4.4613948028833654</v>
      </c>
      <c r="GD469">
        <v>3.0257811652754278</v>
      </c>
      <c r="GE469">
        <v>8.1709809018228494</v>
      </c>
      <c r="GF469">
        <v>11.002303022028649</v>
      </c>
      <c r="GG469">
        <v>7.9146343745908165</v>
      </c>
      <c r="GH469">
        <v>1.5349547603292788</v>
      </c>
      <c r="GI469">
        <v>8.0447701422551052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1.1344975247351814</v>
      </c>
      <c r="I470" s="101">
        <f>+H470*F469</f>
        <v>-0.29007038984706285</v>
      </c>
      <c r="J470" s="101">
        <f>+I470*$A$440</f>
        <v>-2.9007038984706286</v>
      </c>
      <c r="K470" s="61">
        <f>IF(AND(J470&lt;0, J468&lt;0), 0, J470)</f>
        <v>-2.9007038984706286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18.388684640522875</v>
      </c>
      <c r="AO470">
        <v>8.1677732796779789</v>
      </c>
      <c r="AP470">
        <v>68.307727429983601</v>
      </c>
      <c r="AQ470">
        <v>47.3002914131837</v>
      </c>
      <c r="AR470">
        <v>7.5288033049866234</v>
      </c>
      <c r="AS470">
        <v>41.804136436888207</v>
      </c>
      <c r="AT470">
        <v>4.0470139675607486</v>
      </c>
      <c r="AU470">
        <v>33.164886827777728</v>
      </c>
      <c r="AV470"/>
      <c r="AW470"/>
      <c r="FY470" s="212">
        <v>465</v>
      </c>
      <c r="FZ470">
        <v>3.415854760777159</v>
      </c>
      <c r="GA470">
        <v>7.6517837077682502</v>
      </c>
      <c r="GB470">
        <v>5.6846849553335481</v>
      </c>
      <c r="GC470">
        <v>2.2396901264583802</v>
      </c>
      <c r="GD470">
        <v>1.1193223794797538</v>
      </c>
      <c r="GE470">
        <v>4.0505040221552635</v>
      </c>
      <c r="GF470">
        <v>7.0007929051501012</v>
      </c>
      <c r="GG470">
        <v>3.4857107895819577</v>
      </c>
      <c r="GH470">
        <v>0.21715537492486015</v>
      </c>
      <c r="GI470">
        <v>4.3309503331713337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1.9223484848484842</v>
      </c>
      <c r="E471" s="97">
        <f>+N36</f>
        <v>1.4812265869906192</v>
      </c>
      <c r="F471" s="102">
        <f>+D471-D473</f>
        <v>1.6098484848484842</v>
      </c>
      <c r="G471" s="101">
        <f>+D471*E471</f>
        <v>2.8474336852187081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13.352328431372547</v>
      </c>
      <c r="AO471">
        <v>6.9334670881822902</v>
      </c>
      <c r="AP471">
        <v>48.23966263715176</v>
      </c>
      <c r="AQ471">
        <v>33.499619692372214</v>
      </c>
      <c r="AR471">
        <v>6.3535518056829172</v>
      </c>
      <c r="AS471">
        <v>36.525299119015195</v>
      </c>
      <c r="AT471">
        <v>4.0697946500365791</v>
      </c>
      <c r="AU471">
        <v>12.256540551987332</v>
      </c>
      <c r="AV471"/>
      <c r="AW471"/>
      <c r="FY471" s="212">
        <v>466</v>
      </c>
      <c r="FZ471">
        <v>3.2929261192307662</v>
      </c>
      <c r="GA471">
        <v>7.8580391137600394</v>
      </c>
      <c r="GB471">
        <v>5.7832382572685788</v>
      </c>
      <c r="GC471">
        <v>2.5942579572293516</v>
      </c>
      <c r="GD471">
        <v>2.2609377752116782</v>
      </c>
      <c r="GE471">
        <v>6.3651282772098394</v>
      </c>
      <c r="GF471">
        <v>8.0678604245179653</v>
      </c>
      <c r="GG471">
        <v>3.457256600360179</v>
      </c>
      <c r="GH471">
        <v>1.045739278726959</v>
      </c>
      <c r="GI471">
        <v>5.5490514421703612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1.866154373736854</v>
      </c>
      <c r="I472" s="101">
        <f>+H472*F471</f>
        <v>3.0042257910536465</v>
      </c>
      <c r="J472" s="101">
        <f>+I472*$A$440</f>
        <v>30.042257910536463</v>
      </c>
      <c r="K472" s="61">
        <f>IF(AND(J472&lt;0, J470&lt;0), 0, J472)</f>
        <v>30.042257910536463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19.462226356406013</v>
      </c>
      <c r="AO472">
        <v>9.6315890344923183</v>
      </c>
      <c r="AP472">
        <v>56.608545092237037</v>
      </c>
      <c r="AQ472">
        <v>51.812372082213955</v>
      </c>
      <c r="AR472">
        <v>8.9190784362319899</v>
      </c>
      <c r="AS472">
        <v>50.11889988398093</v>
      </c>
      <c r="AT472">
        <v>4.956871691417942</v>
      </c>
      <c r="AU472">
        <v>9.3076155788816948</v>
      </c>
      <c r="AV472"/>
      <c r="AW472"/>
      <c r="FY472" s="212">
        <v>467</v>
      </c>
      <c r="FZ472">
        <v>0.24455910549164389</v>
      </c>
      <c r="GA472">
        <v>2.5664739125871492</v>
      </c>
      <c r="GB472">
        <v>9.472152158537348</v>
      </c>
      <c r="GC472">
        <v>5.250337179487726</v>
      </c>
      <c r="GD472">
        <v>1.6673791309970418</v>
      </c>
      <c r="GE472">
        <v>3.4396592405241808</v>
      </c>
      <c r="GF472">
        <v>6.8353538814017947</v>
      </c>
      <c r="GG472">
        <v>5.2660659155048553</v>
      </c>
      <c r="GH472">
        <v>1.7325911859011263</v>
      </c>
      <c r="GI472">
        <v>5.6360418511607726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0.3125</v>
      </c>
      <c r="E473" s="97">
        <f>O36</f>
        <v>2.35111371697195</v>
      </c>
      <c r="F473" s="102">
        <f>+D473-D475</f>
        <v>-0.10416666666666663</v>
      </c>
      <c r="G473" s="101">
        <f>+D473*E473</f>
        <v>0.73472303655373439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15.94955065359477</v>
      </c>
      <c r="AO473">
        <v>8.8574149568022875</v>
      </c>
      <c r="AP473">
        <v>58.668926563191071</v>
      </c>
      <c r="AQ473">
        <v>48.415347186611235</v>
      </c>
      <c r="AR473">
        <v>8.1346630828330078</v>
      </c>
      <c r="AS473">
        <v>47.150605011136527</v>
      </c>
      <c r="AT473">
        <v>4.9984119005306615</v>
      </c>
      <c r="AU473">
        <v>20.260110268474996</v>
      </c>
      <c r="AV473"/>
      <c r="AW473"/>
      <c r="FY473" s="212">
        <v>468</v>
      </c>
      <c r="FZ473">
        <v>9.6667078033856235</v>
      </c>
      <c r="GA473">
        <v>14.073112573228995</v>
      </c>
      <c r="GB473">
        <v>3.9170725111665075</v>
      </c>
      <c r="GC473">
        <v>1.8148447111312598</v>
      </c>
      <c r="GD473">
        <v>0.75896919174711264</v>
      </c>
      <c r="GE473">
        <v>2.8863210287704346</v>
      </c>
      <c r="GF473">
        <v>7.5153126350702486</v>
      </c>
      <c r="GG473">
        <v>3.6275255982625718</v>
      </c>
      <c r="GH473">
        <v>0.7496696629885834</v>
      </c>
      <c r="GI473">
        <v>4.6821077987655491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2.8824879411747952</v>
      </c>
      <c r="I474" s="101">
        <f>+H474*F473</f>
        <v>-0.30025916053904106</v>
      </c>
      <c r="J474" s="101">
        <f>+I474*$A$440</f>
        <v>-3.0025916053904105</v>
      </c>
      <c r="K474" s="61">
        <f>IF(AND(J474&lt;0, J472&lt;0), 0, J474)</f>
        <v>-3.0025916053904105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23.082796873769588</v>
      </c>
      <c r="AO474">
        <v>9.3214844762845583</v>
      </c>
      <c r="AP474">
        <v>62.968915909307277</v>
      </c>
      <c r="AQ474">
        <v>46.617734734009993</v>
      </c>
      <c r="AR474">
        <v>8.5611448948116937</v>
      </c>
      <c r="AS474">
        <v>47.034725154839066</v>
      </c>
      <c r="AT474">
        <v>5.0749848773251562</v>
      </c>
      <c r="AU474">
        <v>41.117739839083129</v>
      </c>
      <c r="AV474"/>
      <c r="AW474"/>
      <c r="FY474" s="212">
        <v>469</v>
      </c>
      <c r="FZ474">
        <v>0.16242385253482178</v>
      </c>
      <c r="GA474">
        <v>2.9922606571597212</v>
      </c>
      <c r="GB474">
        <v>5.0725981955395278</v>
      </c>
      <c r="GC474">
        <v>2.7657248895499196</v>
      </c>
      <c r="GD474">
        <v>1.6087629499105414</v>
      </c>
      <c r="GE474">
        <v>4.5902202620426467</v>
      </c>
      <c r="GF474">
        <v>9.7552175974506117</v>
      </c>
      <c r="GG474">
        <v>6.5580178971399077</v>
      </c>
      <c r="GH474">
        <v>1.8476571069760324</v>
      </c>
      <c r="GI474">
        <v>5.2149329324043432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0.41666666666666663</v>
      </c>
      <c r="E475" s="97">
        <f>P36</f>
        <v>3.5339578307250537</v>
      </c>
      <c r="F475" s="102">
        <f>+D475-D477</f>
        <v>0.20833333333333331</v>
      </c>
      <c r="G475" s="101">
        <f>+D475*E475</f>
        <v>1.4724824294687722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12.472222222222223</v>
      </c>
      <c r="AO475">
        <v>12.252239243987388</v>
      </c>
      <c r="AP475">
        <v>67.960046637160445</v>
      </c>
      <c r="AQ475">
        <v>64.060430736076498</v>
      </c>
      <c r="AR475">
        <v>11.297636437455749</v>
      </c>
      <c r="AS475">
        <v>56.783279456187515</v>
      </c>
      <c r="AT475">
        <v>7.1573931199411112</v>
      </c>
      <c r="AU475">
        <v>12.950090236370402</v>
      </c>
      <c r="AV475"/>
      <c r="AW475"/>
      <c r="FY475" s="212">
        <v>470</v>
      </c>
      <c r="FZ475">
        <v>3.2940368713760426</v>
      </c>
      <c r="GA475">
        <v>5.1914238303494225</v>
      </c>
      <c r="GB475">
        <v>7.3923690083085063</v>
      </c>
      <c r="GC475">
        <v>4.041809431593558</v>
      </c>
      <c r="GD475">
        <v>1.3083855488642078</v>
      </c>
      <c r="GE475">
        <v>2.7954597427914485</v>
      </c>
      <c r="GF475">
        <v>2.2336028109074504</v>
      </c>
      <c r="GG475">
        <v>0.96276923556773886</v>
      </c>
      <c r="GH475">
        <v>1.3329039048065106</v>
      </c>
      <c r="GI475">
        <v>3.8604411457526644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4.2405464195050886</v>
      </c>
      <c r="I476" s="101">
        <f>+H476*F475</f>
        <v>0.88344717073022672</v>
      </c>
      <c r="J476" s="101">
        <f>+I476*$A$440</f>
        <v>8.8344717073022672</v>
      </c>
      <c r="K476" s="61">
        <f>IF(AND(J476&lt;0, J474&lt;0), 0, J476)</f>
        <v>8.8344717073022672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15.103706492637219</v>
      </c>
      <c r="AO476">
        <v>10.951004323216804</v>
      </c>
      <c r="AP476">
        <v>69.487773661085456</v>
      </c>
      <c r="AQ476">
        <v>56.966966479372658</v>
      </c>
      <c r="AR476">
        <v>10.121185520763461</v>
      </c>
      <c r="AS476">
        <v>57.132181243240936</v>
      </c>
      <c r="AT476">
        <v>6.7386631528931948</v>
      </c>
      <c r="AU476">
        <v>-5.8460588460026353</v>
      </c>
      <c r="AV476"/>
      <c r="AW476"/>
      <c r="FY476" s="212">
        <v>471</v>
      </c>
      <c r="FZ476">
        <v>0.37874998996673892</v>
      </c>
      <c r="GA476">
        <v>4.3704810096873175</v>
      </c>
      <c r="GB476">
        <v>8.3323214874023392</v>
      </c>
      <c r="GC476">
        <v>3.5824523720217467</v>
      </c>
      <c r="GD476">
        <v>1.6349107616697494</v>
      </c>
      <c r="GE476">
        <v>5.3055599848837787</v>
      </c>
      <c r="GF476">
        <v>6.5554357729974928</v>
      </c>
      <c r="GG476">
        <v>4.0645397512397432</v>
      </c>
      <c r="GH476">
        <v>2.2864737738958962</v>
      </c>
      <c r="GI476">
        <v>5.1149296605930665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0.20833333333333331</v>
      </c>
      <c r="E477" s="97">
        <f>Q36</f>
        <v>5.0884121422263986</v>
      </c>
      <c r="F477" s="102">
        <f>+D477-D479</f>
        <v>0.20833333333333331</v>
      </c>
      <c r="G477" s="101">
        <f>+D477*E477</f>
        <v>1.060085862963833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17.876633986928102</v>
      </c>
      <c r="AO477">
        <v>9.1733358241419154</v>
      </c>
      <c r="AP477">
        <v>64.149193615325828</v>
      </c>
      <c r="AQ477">
        <v>51.652217811654666</v>
      </c>
      <c r="AR477">
        <v>8.4593253260278516</v>
      </c>
      <c r="AS477">
        <v>46.551928748640613</v>
      </c>
      <c r="AT477">
        <v>4.3352712178141504</v>
      </c>
      <c r="AU477">
        <v>24.687160219159672</v>
      </c>
      <c r="AV477"/>
      <c r="AW477"/>
      <c r="FY477" s="212">
        <v>472</v>
      </c>
      <c r="FZ477">
        <v>6.5982252335355112</v>
      </c>
      <c r="GA477">
        <v>10.88501677327878</v>
      </c>
      <c r="GB477">
        <v>9.6967168720397545</v>
      </c>
      <c r="GC477">
        <v>4.4730667413352538</v>
      </c>
      <c r="GD477">
        <v>0.45390553172420778</v>
      </c>
      <c r="GE477">
        <v>2.0953572776823242</v>
      </c>
      <c r="GF477">
        <v>5.5371123936212223</v>
      </c>
      <c r="GG477">
        <v>3.0733163264502257</v>
      </c>
      <c r="GH477">
        <v>1.7307418353230917</v>
      </c>
      <c r="GI477">
        <v>5.2806721440886744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6.0005578302502114</v>
      </c>
      <c r="I478" s="101">
        <f>+H478*F477</f>
        <v>1.2501162146354605</v>
      </c>
      <c r="J478" s="101">
        <f>+I478*$A$440</f>
        <v>12.501162146354606</v>
      </c>
      <c r="K478" s="61">
        <f>IF(AND(J478&lt;0, J476&lt;0), 0, J478)</f>
        <v>12.501162146354606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16.048278899913377</v>
      </c>
      <c r="AO478">
        <v>7.9676122621864831</v>
      </c>
      <c r="AP478">
        <v>39.074457451711829</v>
      </c>
      <c r="AQ478">
        <v>43.228133057086126</v>
      </c>
      <c r="AR478">
        <v>7.3897583121411055</v>
      </c>
      <c r="AS478">
        <v>39.159257674606508</v>
      </c>
      <c r="AT478">
        <v>3.8464805614562159</v>
      </c>
      <c r="AU478">
        <v>-4.3025355576150757</v>
      </c>
      <c r="AV478"/>
      <c r="AW478"/>
      <c r="FY478" s="212">
        <v>473</v>
      </c>
      <c r="FZ478">
        <v>6.4741858398438428</v>
      </c>
      <c r="GA478">
        <v>11.683186215662834</v>
      </c>
      <c r="GB478">
        <v>5.3733763961852725</v>
      </c>
      <c r="GC478">
        <v>2.4697053101007391</v>
      </c>
      <c r="GD478">
        <v>2.3103079820686792</v>
      </c>
      <c r="GE478">
        <v>3.7089986127562202</v>
      </c>
      <c r="GF478">
        <v>8.018282622614155</v>
      </c>
      <c r="GG478">
        <v>8.6702486367978153</v>
      </c>
      <c r="GH478">
        <v>1.4601100654142731</v>
      </c>
      <c r="GI478">
        <v>6.2579510631051587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7.0762142035182416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12.211805555555555</v>
      </c>
      <c r="AO479">
        <v>8.4822339100985538</v>
      </c>
      <c r="AP479">
        <v>53.260796321014439</v>
      </c>
      <c r="AQ479">
        <v>47.948507760465105</v>
      </c>
      <c r="AR479">
        <v>7.8575464338979186</v>
      </c>
      <c r="AS479">
        <v>40.657192988132493</v>
      </c>
      <c r="AT479">
        <v>4.1904437146091551</v>
      </c>
      <c r="AU479">
        <v>3.8881197574390298</v>
      </c>
      <c r="AV479"/>
      <c r="AW479"/>
      <c r="FY479" s="212">
        <v>474</v>
      </c>
      <c r="FZ479">
        <v>0.18568423962577313</v>
      </c>
      <c r="GA479">
        <v>2.5821525488435579</v>
      </c>
      <c r="GB479">
        <v>6.5043122665655444</v>
      </c>
      <c r="GC479">
        <v>3.0349160619134135</v>
      </c>
      <c r="GD479">
        <v>0.91131254956438734</v>
      </c>
      <c r="GE479">
        <v>3.1724257044494815</v>
      </c>
      <c r="GF479">
        <v>8.329764179690077</v>
      </c>
      <c r="GG479">
        <v>6.7980035761655451</v>
      </c>
      <c r="GH479">
        <v>1.7855313349758055</v>
      </c>
      <c r="GI479">
        <v>4.7057378604516851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8.225743846842958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18.253140011024492</v>
      </c>
      <c r="AO480">
        <v>13.382617497599664</v>
      </c>
      <c r="AP480">
        <v>68.189938553072849</v>
      </c>
      <c r="AQ480">
        <v>64.851845147948126</v>
      </c>
      <c r="AR480">
        <v>12.252785027758474</v>
      </c>
      <c r="AS480">
        <v>66.079694608654691</v>
      </c>
      <c r="AT480">
        <v>7.3226558805533308</v>
      </c>
      <c r="AU480">
        <v>27.640964151464772</v>
      </c>
      <c r="AV480"/>
      <c r="AW480"/>
      <c r="FY480" s="212">
        <v>475</v>
      </c>
      <c r="FZ480">
        <v>0.19398907703037704</v>
      </c>
      <c r="GA480">
        <v>2.6602717931042266</v>
      </c>
      <c r="GB480">
        <v>8.0247871939040571</v>
      </c>
      <c r="GC480">
        <v>4.3956224513474176</v>
      </c>
      <c r="GD480">
        <v>1.7468163699737078</v>
      </c>
      <c r="GE480">
        <v>4.6554202320811484</v>
      </c>
      <c r="GF480">
        <v>6.3489331199146832</v>
      </c>
      <c r="GG480">
        <v>1.8148817837415567</v>
      </c>
      <c r="GH480">
        <v>0.64605199763234344</v>
      </c>
      <c r="GI480">
        <v>4.7795255445884974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9.5620143607627508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12.095256024096383</v>
      </c>
      <c r="AO481">
        <v>7.1904623172137621</v>
      </c>
      <c r="AP481">
        <v>39.613293091664602</v>
      </c>
      <c r="AQ481">
        <v>39.196449354800606</v>
      </c>
      <c r="AR481">
        <v>6.5644281910357156</v>
      </c>
      <c r="AS481">
        <v>35.013029355700723</v>
      </c>
      <c r="AT481">
        <v>3.9874311150981803</v>
      </c>
      <c r="AU481">
        <v>4.8997703809713062</v>
      </c>
      <c r="AV481"/>
      <c r="AW481"/>
      <c r="FY481" s="212">
        <v>476</v>
      </c>
      <c r="FZ481">
        <v>0.22702610399302481</v>
      </c>
      <c r="GA481">
        <v>5.4279764781457818</v>
      </c>
      <c r="GB481">
        <v>7.9592024571347846</v>
      </c>
      <c r="GC481">
        <v>3.5897457560507506</v>
      </c>
      <c r="GD481">
        <v>1.6293171840622585</v>
      </c>
      <c r="GE481">
        <v>2.7044269238912557</v>
      </c>
      <c r="GF481">
        <v>5.2407581932834537</v>
      </c>
      <c r="GG481">
        <v>6.4425174914773713</v>
      </c>
      <c r="GH481">
        <v>3.8893308904916579</v>
      </c>
      <c r="GI481">
        <v>5.1704292580939875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10.982161738364939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11.368808567603747</v>
      </c>
      <c r="AO482">
        <v>9.133655218925643</v>
      </c>
      <c r="AP482">
        <v>44.223720808986158</v>
      </c>
      <c r="AQ482">
        <v>46.27443524568573</v>
      </c>
      <c r="AR482">
        <v>8.4124591210402802</v>
      </c>
      <c r="AS482">
        <v>43.430549124775204</v>
      </c>
      <c r="AT482">
        <v>5.4133369909501949</v>
      </c>
      <c r="AU482">
        <v>16.02595048618258</v>
      </c>
      <c r="AV482"/>
      <c r="AW482"/>
      <c r="FY482" s="212">
        <v>477</v>
      </c>
      <c r="FZ482">
        <v>0.29753806369932806</v>
      </c>
      <c r="GA482">
        <v>3.580010759670901</v>
      </c>
      <c r="GB482">
        <v>6.5173452270226369</v>
      </c>
      <c r="GC482">
        <v>2.9184140281987951</v>
      </c>
      <c r="GD482">
        <v>1.164324597960956</v>
      </c>
      <c r="GE482">
        <v>2.654429404074885</v>
      </c>
      <c r="GF482">
        <v>9.084717095514705</v>
      </c>
      <c r="GG482">
        <v>9.431601817573684</v>
      </c>
      <c r="GH482">
        <v>2.0956923472303357</v>
      </c>
      <c r="GI482">
        <v>5.2162740268560013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12.613228959633782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18.596136998976295</v>
      </c>
      <c r="AO483">
        <v>9.267291237128223</v>
      </c>
      <c r="AP483">
        <v>48.911252148733382</v>
      </c>
      <c r="AQ483">
        <v>42.110613561593638</v>
      </c>
      <c r="AR483">
        <v>8.4819413112357118</v>
      </c>
      <c r="AS483">
        <v>44.872778563167657</v>
      </c>
      <c r="AT483">
        <v>4.6215973644384052</v>
      </c>
      <c r="AU483">
        <v>12.717775943475647</v>
      </c>
      <c r="AV483"/>
      <c r="AW483"/>
      <c r="FY483" s="212">
        <v>478</v>
      </c>
      <c r="FZ483">
        <v>3.3244913437263213</v>
      </c>
      <c r="GA483">
        <v>6.7619484822954936</v>
      </c>
      <c r="GB483">
        <v>7.9053849170942012</v>
      </c>
      <c r="GC483">
        <v>3.6065274271928596</v>
      </c>
      <c r="GD483">
        <v>1.9811928146327737</v>
      </c>
      <c r="GE483">
        <v>5.1415578017716195</v>
      </c>
      <c r="GF483">
        <v>9.6615378795330642</v>
      </c>
      <c r="GG483">
        <v>8.557107548774967</v>
      </c>
      <c r="GH483">
        <v>2.0455510768580543</v>
      </c>
      <c r="GI483">
        <v>6.735009366656687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14.338568039885654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14.786356209150323</v>
      </c>
      <c r="AO484">
        <v>8.0145497262705483</v>
      </c>
      <c r="AP484">
        <v>88.418942368576211</v>
      </c>
      <c r="AQ484">
        <v>49.691643514516883</v>
      </c>
      <c r="AR484">
        <v>7.369457755434011</v>
      </c>
      <c r="AS484">
        <v>39.883705200752523</v>
      </c>
      <c r="AT484" t="e">
        <v>#DIV/0!</v>
      </c>
      <c r="AU484" t="e">
        <v>#DIV/0!</v>
      </c>
      <c r="AV484"/>
      <c r="AW484"/>
      <c r="FY484" s="212">
        <v>479</v>
      </c>
      <c r="FZ484">
        <v>0.23644169354290495</v>
      </c>
      <c r="GA484">
        <v>5.977726463952882</v>
      </c>
      <c r="GB484">
        <v>9.5649568042949262</v>
      </c>
      <c r="GC484">
        <v>3.9226645865265803</v>
      </c>
      <c r="GD484">
        <v>0.60941038789155977</v>
      </c>
      <c r="GE484">
        <v>1.8639199502488883</v>
      </c>
      <c r="GF484">
        <v>7.2736042086375363</v>
      </c>
      <c r="GG484">
        <v>6.8013831770947286</v>
      </c>
      <c r="GH484">
        <v>2.5840716011405584</v>
      </c>
      <c r="GI484">
        <v>5.1129160910575262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16.299912900368032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13.63161223324671</v>
      </c>
      <c r="AO485">
        <v>8.7518708213749523</v>
      </c>
      <c r="AP485">
        <v>52.010686621543563</v>
      </c>
      <c r="AQ485">
        <v>40.56781634070807</v>
      </c>
      <c r="AR485">
        <v>8.0140620280856787</v>
      </c>
      <c r="AS485">
        <v>45.36711453006712</v>
      </c>
      <c r="AT485">
        <v>4.964566093848064</v>
      </c>
      <c r="AU485">
        <v>14.934779847337476</v>
      </c>
      <c r="AV485"/>
      <c r="AW485"/>
      <c r="FY485" s="212">
        <v>480</v>
      </c>
      <c r="FZ485">
        <v>6.37359425869899</v>
      </c>
      <c r="GA485">
        <v>8.7603858324583914</v>
      </c>
      <c r="GB485">
        <v>5.1587490303506476</v>
      </c>
      <c r="GC485">
        <v>2.6669822988583816</v>
      </c>
      <c r="GD485">
        <v>1.0061673587593734</v>
      </c>
      <c r="GE485">
        <v>3.7280114334189838</v>
      </c>
      <c r="GF485">
        <v>8.3179098353392114</v>
      </c>
      <c r="GG485">
        <v>5.8487293765389801</v>
      </c>
      <c r="GH485">
        <v>2.5068643986947885</v>
      </c>
      <c r="GI485">
        <v>5.2772615791982869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18.366299418633893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13.203022875816993</v>
      </c>
      <c r="AO486">
        <v>6.1806777057356754</v>
      </c>
      <c r="AP486">
        <v>35.375198413828905</v>
      </c>
      <c r="AQ486">
        <v>32.413201530317544</v>
      </c>
      <c r="AR486">
        <v>5.6885080506369858</v>
      </c>
      <c r="AS486">
        <v>33.455942180689448</v>
      </c>
      <c r="AT486">
        <v>2.9501976557303942</v>
      </c>
      <c r="AU486">
        <v>8.3196116361792036</v>
      </c>
      <c r="AV486"/>
      <c r="AW486"/>
      <c r="FY486" s="212">
        <v>481</v>
      </c>
      <c r="FZ486">
        <v>3.3457176519825857</v>
      </c>
      <c r="GA486">
        <v>7.469316652690841</v>
      </c>
      <c r="GB486">
        <v>5.9760891760938586</v>
      </c>
      <c r="GC486">
        <v>2.7215783646433991</v>
      </c>
      <c r="GD486">
        <v>0.7258253943345423</v>
      </c>
      <c r="GE486">
        <v>2.9672814870802857</v>
      </c>
      <c r="GF486">
        <v>7.4089464920937509</v>
      </c>
      <c r="GG486">
        <v>4.7091637760248126</v>
      </c>
      <c r="GH486">
        <v>1.7043968988418143</v>
      </c>
      <c r="GI486">
        <v>4.4316965009229232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20.694647658350089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14.966783801874161</v>
      </c>
      <c r="AO487">
        <v>8.1858477886206877</v>
      </c>
      <c r="AP487">
        <v>34.305405950756203</v>
      </c>
      <c r="AQ487">
        <v>41.625854564357866</v>
      </c>
      <c r="AR487">
        <v>7.4868561593812828</v>
      </c>
      <c r="AS487">
        <v>43.977791614040655</v>
      </c>
      <c r="AT487">
        <v>4.6042252469289151</v>
      </c>
      <c r="AU487">
        <v>1.0881576170589713</v>
      </c>
      <c r="AV487"/>
      <c r="AW487"/>
      <c r="FY487" s="212">
        <v>482</v>
      </c>
      <c r="FZ487">
        <v>9.514248016178362</v>
      </c>
      <c r="GA487">
        <v>13.989320018508344</v>
      </c>
      <c r="GB487">
        <v>6.8812647466923895</v>
      </c>
      <c r="GC487">
        <v>3.3939660639469267</v>
      </c>
      <c r="GD487">
        <v>1.4948816749782463</v>
      </c>
      <c r="GE487">
        <v>2.9365184878510977</v>
      </c>
      <c r="GF487">
        <v>4.9419646424706141</v>
      </c>
      <c r="GG487">
        <v>4.4585954601616873</v>
      </c>
      <c r="GH487">
        <v>2.2005806797826875</v>
      </c>
      <c r="GI487">
        <v>5.6402670802887105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23.139167424127077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15.073669678714856</v>
      </c>
      <c r="AO488">
        <v>8.7332883574043727</v>
      </c>
      <c r="AP488">
        <v>48.250636945140869</v>
      </c>
      <c r="AQ488">
        <v>49.824131129079049</v>
      </c>
      <c r="AR488">
        <v>8.054866649922289</v>
      </c>
      <c r="AS488">
        <v>43.488771989273097</v>
      </c>
      <c r="AT488">
        <v>4.2370414273879229</v>
      </c>
      <c r="AU488">
        <v>5.7868415398037989</v>
      </c>
      <c r="AV488"/>
      <c r="AW488"/>
      <c r="FY488" s="212">
        <v>483</v>
      </c>
      <c r="FZ488">
        <v>6.37359425869899</v>
      </c>
      <c r="GA488">
        <v>10.569458107140672</v>
      </c>
      <c r="GB488">
        <v>7.7383362627522398</v>
      </c>
      <c r="GC488">
        <v>3.829323688151999</v>
      </c>
      <c r="GD488">
        <v>1.804738878886774</v>
      </c>
      <c r="GE488">
        <v>4.763396288516347</v>
      </c>
      <c r="GF488">
        <v>7.146757550285705</v>
      </c>
      <c r="GG488">
        <v>5.1343776062334481</v>
      </c>
      <c r="GH488">
        <v>2.9080798912956904</v>
      </c>
      <c r="GI488">
        <v>6.379583343673791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25.872441895175079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16.071078431372548</v>
      </c>
      <c r="AO489">
        <v>10.70300914929164</v>
      </c>
      <c r="AP489">
        <v>74.581305043794401</v>
      </c>
      <c r="AQ489">
        <v>56.426352744548993</v>
      </c>
      <c r="AR489">
        <v>9.8259703302489694</v>
      </c>
      <c r="AS489">
        <v>49.35189026915662</v>
      </c>
      <c r="AT489">
        <v>5.3137716947635161</v>
      </c>
      <c r="AU489">
        <v>12.359869607627568</v>
      </c>
      <c r="AV489"/>
      <c r="AW489"/>
      <c r="FY489" s="212">
        <v>484</v>
      </c>
      <c r="FZ489">
        <v>3.2753931177321469</v>
      </c>
      <c r="GA489">
        <v>5.8357799924636753</v>
      </c>
      <c r="GB489">
        <v>7.8478793099877571</v>
      </c>
      <c r="GC489">
        <v>3.622568171025712</v>
      </c>
      <c r="GD489">
        <v>0.65890616576913685</v>
      </c>
      <c r="GE489">
        <v>3.8897665365417442</v>
      </c>
      <c r="GF489">
        <v>10.953115722216911</v>
      </c>
      <c r="GG489">
        <v>7.0652146940846956</v>
      </c>
      <c r="GH489">
        <v>0.24592834536609434</v>
      </c>
      <c r="GI489">
        <v>5.7262504794345155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28.733364637871084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17.246323529411764</v>
      </c>
      <c r="AO490">
        <v>7.8298788621794291</v>
      </c>
      <c r="AP490">
        <v>41.332893886141221</v>
      </c>
      <c r="AQ490">
        <v>38.009840322245267</v>
      </c>
      <c r="AR490">
        <v>7.1711141370911164</v>
      </c>
      <c r="AS490">
        <v>39.950660172383898</v>
      </c>
      <c r="AT490">
        <v>4.3994172626086909</v>
      </c>
      <c r="AU490">
        <v>48.567259757520802</v>
      </c>
      <c r="AV490"/>
      <c r="AW490"/>
      <c r="FY490" s="212">
        <v>485</v>
      </c>
      <c r="FZ490">
        <v>0.28701172200417174</v>
      </c>
      <c r="GA490">
        <v>2.0791551882140999</v>
      </c>
      <c r="GB490">
        <v>3.4917581184306576</v>
      </c>
      <c r="GC490">
        <v>2.0645706103972428</v>
      </c>
      <c r="GD490">
        <v>0.80231327902757343</v>
      </c>
      <c r="GE490">
        <v>2.480098352938088</v>
      </c>
      <c r="GF490">
        <v>8.1195123052687137</v>
      </c>
      <c r="GG490">
        <v>6.981756545611896</v>
      </c>
      <c r="GH490">
        <v>4.0491105291019878</v>
      </c>
      <c r="GI490">
        <v>4.1586280625134417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31.910642480438877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20.022263071895427</v>
      </c>
      <c r="AO491">
        <v>7.6421778212225515</v>
      </c>
      <c r="AP491">
        <v>69.760712906636385</v>
      </c>
      <c r="AQ491">
        <v>35.266299563318015</v>
      </c>
      <c r="AR491">
        <v>7.0226602543782768</v>
      </c>
      <c r="AS491">
        <v>42.842517608509127</v>
      </c>
      <c r="AT491" t="e">
        <v>#DIV/0!</v>
      </c>
      <c r="AU491" t="e">
        <v>#DIV/0!</v>
      </c>
      <c r="AV491"/>
      <c r="AW491"/>
      <c r="FY491" s="212">
        <v>486</v>
      </c>
      <c r="FZ491">
        <v>0.48303487786923627</v>
      </c>
      <c r="GA491">
        <v>4.5176833461888064</v>
      </c>
      <c r="GB491">
        <v>5.60420904010223</v>
      </c>
      <c r="GC491">
        <v>2.4469591009898535</v>
      </c>
      <c r="GD491">
        <v>1.1796800999321133</v>
      </c>
      <c r="GE491">
        <v>2.2925793342308647</v>
      </c>
      <c r="GF491">
        <v>5.6154574563566957</v>
      </c>
      <c r="GG491">
        <v>4.7653964856041009</v>
      </c>
      <c r="GH491">
        <v>1.446954771327861</v>
      </c>
      <c r="GI491">
        <v>4.0153575623726567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35.227380317746565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17.519748110087409</v>
      </c>
      <c r="AO492">
        <v>8.3322971376352832</v>
      </c>
      <c r="AP492">
        <v>49.028437298276465</v>
      </c>
      <c r="AQ492">
        <v>42.280730736624328</v>
      </c>
      <c r="AR492">
        <v>7.7195746507446685</v>
      </c>
      <c r="AS492">
        <v>49.809772998117879</v>
      </c>
      <c r="AT492">
        <v>4.8504075730848344</v>
      </c>
      <c r="AU492">
        <v>5.114698949081637</v>
      </c>
      <c r="AV492"/>
      <c r="AW492"/>
      <c r="FY492" s="212">
        <v>487</v>
      </c>
      <c r="FZ492">
        <v>3.5793893654572564</v>
      </c>
      <c r="GA492">
        <v>7.9012187874429518</v>
      </c>
      <c r="GB492">
        <v>8.8924732678311518</v>
      </c>
      <c r="GC492">
        <v>3.8968804823014702</v>
      </c>
      <c r="GD492">
        <v>0.65124586812248031</v>
      </c>
      <c r="GE492">
        <v>4.1222835541942571</v>
      </c>
      <c r="GF492">
        <v>11.882454265381561</v>
      </c>
      <c r="GG492">
        <v>8.3718793975919716</v>
      </c>
      <c r="GH492">
        <v>2.8085183461433392</v>
      </c>
      <c r="GI492">
        <v>6.533437303247343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38.88885423763773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12.404283801874161</v>
      </c>
      <c r="AO493">
        <v>8.7331318803022757</v>
      </c>
      <c r="AP493">
        <v>57.370869019645411</v>
      </c>
      <c r="AQ493">
        <v>42.960347367802221</v>
      </c>
      <c r="AR493">
        <v>8.0124239699603734</v>
      </c>
      <c r="AS493">
        <v>41.225443286587037</v>
      </c>
      <c r="AT493">
        <v>5.2929131990810072</v>
      </c>
      <c r="AU493">
        <v>-2.9705113808100299</v>
      </c>
      <c r="AV493"/>
      <c r="AW493"/>
      <c r="FY493" s="212">
        <v>488</v>
      </c>
      <c r="FZ493">
        <v>0.28904580083885917</v>
      </c>
      <c r="GA493">
        <v>2.0512324325508073</v>
      </c>
      <c r="GB493">
        <v>8.3856848634676417</v>
      </c>
      <c r="GC493">
        <v>4.7891261478595029</v>
      </c>
      <c r="GD493">
        <v>1.3526147691643189</v>
      </c>
      <c r="GE493">
        <v>1.7617804302707269</v>
      </c>
      <c r="GF493">
        <v>5.0832069786361593</v>
      </c>
      <c r="GG493">
        <v>5.7281657211718393</v>
      </c>
      <c r="GH493">
        <v>2.1589464742163855</v>
      </c>
      <c r="GI493">
        <v>4.6703158482961129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42.701924048883697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17.22460922119852</v>
      </c>
      <c r="AO494">
        <v>11.394492396745537</v>
      </c>
      <c r="AP494">
        <v>60.878796750078926</v>
      </c>
      <c r="AQ494">
        <v>55.720308658536041</v>
      </c>
      <c r="AR494">
        <v>10.428342401232138</v>
      </c>
      <c r="AS494">
        <v>55.053438047502524</v>
      </c>
      <c r="AT494">
        <v>5.7354421865255532</v>
      </c>
      <c r="AU494">
        <v>16.923233950600046</v>
      </c>
      <c r="AV494"/>
      <c r="AW494"/>
      <c r="FY494" s="212">
        <v>489</v>
      </c>
      <c r="FZ494">
        <v>0.22444354938065614</v>
      </c>
      <c r="GA494">
        <v>2.8333660092234405</v>
      </c>
      <c r="GB494">
        <v>6.83782299194438</v>
      </c>
      <c r="GC494">
        <v>3.0803153108822601</v>
      </c>
      <c r="GD494">
        <v>0.72872800464900056</v>
      </c>
      <c r="GE494">
        <v>3.9570761794157896</v>
      </c>
      <c r="GF494">
        <v>13.514097722324841</v>
      </c>
      <c r="GG494">
        <v>11.260433535703569</v>
      </c>
      <c r="GH494">
        <v>3.014638747564617</v>
      </c>
      <c r="GI494">
        <v>6.2007037122058399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46.88886708603107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13.984144912985276</v>
      </c>
      <c r="AO495">
        <v>8.341722026087325</v>
      </c>
      <c r="AP495">
        <v>27.912975098968296</v>
      </c>
      <c r="AQ495">
        <v>43.947094964388093</v>
      </c>
      <c r="AR495">
        <v>7.6502194267727068</v>
      </c>
      <c r="AS495">
        <v>41.670555163131219</v>
      </c>
      <c r="AT495">
        <v>4.7666564238191187</v>
      </c>
      <c r="AU495">
        <v>-7.2443797197807598</v>
      </c>
      <c r="AV495"/>
      <c r="AW495"/>
      <c r="FY495" s="212">
        <v>490</v>
      </c>
      <c r="FZ495">
        <v>9.7276167480861808</v>
      </c>
      <c r="GA495">
        <v>12.765787692889859</v>
      </c>
      <c r="GB495">
        <v>6.4961213648556759</v>
      </c>
      <c r="GC495">
        <v>3.0686956584804919</v>
      </c>
      <c r="GD495">
        <v>0.69359407207989787</v>
      </c>
      <c r="GE495">
        <v>2.9262237455938114</v>
      </c>
      <c r="GF495">
        <v>6.8283249646769368</v>
      </c>
      <c r="GG495">
        <v>4.2162504634963591</v>
      </c>
      <c r="GH495">
        <v>1.1755885801322095</v>
      </c>
      <c r="GI495">
        <v>5.2877905170450132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51.239856219314412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12.292419678714857</v>
      </c>
      <c r="AO496">
        <v>8.8741427310393952</v>
      </c>
      <c r="AP496">
        <v>59.578648098997014</v>
      </c>
      <c r="AQ496">
        <v>49.64465540231604</v>
      </c>
      <c r="AR496">
        <v>8.1881944442879568</v>
      </c>
      <c r="AS496">
        <v>40.947100094244462</v>
      </c>
      <c r="AT496">
        <v>4.4068658740543336</v>
      </c>
      <c r="AU496">
        <v>4.2779524207099451</v>
      </c>
      <c r="AV496"/>
      <c r="AW496"/>
      <c r="FY496" s="212">
        <v>491</v>
      </c>
      <c r="FZ496">
        <v>0.34737219092704863</v>
      </c>
      <c r="GA496">
        <v>2.1067634015684646</v>
      </c>
      <c r="GB496">
        <v>3.0964802299291341</v>
      </c>
      <c r="GC496">
        <v>1.802507980734203</v>
      </c>
      <c r="GD496">
        <v>1.0060628691665268</v>
      </c>
      <c r="GE496">
        <v>2.7396598122853915</v>
      </c>
      <c r="GF496">
        <v>7.5382050736565187</v>
      </c>
      <c r="GG496">
        <v>5.1990421020493063</v>
      </c>
      <c r="GH496">
        <v>0.8273132366059871</v>
      </c>
      <c r="GI496">
        <v>3.4864934938164871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55.994589516499502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13.013428714859435</v>
      </c>
      <c r="AO497">
        <v>7.3413449805518294</v>
      </c>
      <c r="AP497">
        <v>32.051297372655782</v>
      </c>
      <c r="AQ497">
        <v>41.460012394708819</v>
      </c>
      <c r="AR497">
        <v>6.6979786978824025</v>
      </c>
      <c r="AS497">
        <v>37.244130507039337</v>
      </c>
      <c r="AT497">
        <v>3.7693408662790877</v>
      </c>
      <c r="AU497">
        <v>-8.1983258227322988</v>
      </c>
      <c r="AV497"/>
      <c r="AW497"/>
      <c r="FY497" s="212">
        <v>492</v>
      </c>
      <c r="FZ497">
        <v>3.3944410270650298</v>
      </c>
      <c r="GA497">
        <v>7.7181304414737655</v>
      </c>
      <c r="GB497">
        <v>6.3093193808305923</v>
      </c>
      <c r="GC497">
        <v>2.9205793721373619</v>
      </c>
      <c r="GD497">
        <v>1.240423644899308</v>
      </c>
      <c r="GE497">
        <v>2.8314093998224283</v>
      </c>
      <c r="GF497">
        <v>5.7426693863366589</v>
      </c>
      <c r="GG497">
        <v>3.9813280341753252</v>
      </c>
      <c r="GH497">
        <v>1.3293475158607306</v>
      </c>
      <c r="GI497">
        <v>4.5150070160286795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60.926124368613976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16.606553665642963</v>
      </c>
      <c r="AO498">
        <v>9.5501270240800356</v>
      </c>
      <c r="AP498">
        <v>70.631054319291863</v>
      </c>
      <c r="AQ498">
        <v>55.451606870859067</v>
      </c>
      <c r="AR498">
        <v>8.7607281537686621</v>
      </c>
      <c r="AS498">
        <v>47.841181319080412</v>
      </c>
      <c r="AT498">
        <v>3.8991707214080047</v>
      </c>
      <c r="AU498">
        <v>19.953522948527347</v>
      </c>
      <c r="AV498"/>
      <c r="AW498"/>
      <c r="FY498" s="212">
        <v>493</v>
      </c>
      <c r="FZ498">
        <v>3.4481558865062603</v>
      </c>
      <c r="GA498">
        <v>4.5024301107010558</v>
      </c>
      <c r="GB498">
        <v>1.3360783273585921</v>
      </c>
      <c r="GC498">
        <v>0.81582255418045002</v>
      </c>
      <c r="GD498">
        <v>0.49004002494462046</v>
      </c>
      <c r="GE498">
        <v>2.1049352513027664</v>
      </c>
      <c r="GF498">
        <v>8.6509465328737871</v>
      </c>
      <c r="GG498">
        <v>7.5793791599266251</v>
      </c>
      <c r="GH498">
        <v>1.5534368418156912</v>
      </c>
      <c r="GI498">
        <v>3.5577378722100139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66.291987540796825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23.069993208126625</v>
      </c>
      <c r="AO499">
        <v>10.709023937479056</v>
      </c>
      <c r="AP499">
        <v>77.57325269655523</v>
      </c>
      <c r="AQ499">
        <v>56.647645875635661</v>
      </c>
      <c r="AR499">
        <v>9.8323615933968522</v>
      </c>
      <c r="AS499">
        <v>51.765060077101772</v>
      </c>
      <c r="AT499">
        <v>4.8070409981762579</v>
      </c>
      <c r="AU499">
        <v>47.008440724336026</v>
      </c>
      <c r="AV499"/>
      <c r="AW499"/>
      <c r="FY499" s="212">
        <v>494</v>
      </c>
      <c r="FZ499">
        <v>12.847780098542831</v>
      </c>
      <c r="GA499">
        <v>15.745047955155298</v>
      </c>
      <c r="GB499">
        <v>7.8870699607735233</v>
      </c>
      <c r="GC499">
        <v>4.463808844687625</v>
      </c>
      <c r="GD499">
        <v>1.2771374868450349</v>
      </c>
      <c r="GE499">
        <v>2.4930195974034683</v>
      </c>
      <c r="GF499">
        <v>3.8181072008259314</v>
      </c>
      <c r="GG499">
        <v>2.3389532175567025</v>
      </c>
      <c r="GH499">
        <v>2.3237538091431102</v>
      </c>
      <c r="GI499">
        <v>5.9655909685663033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71.847704633242131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11.732638888888891</v>
      </c>
      <c r="AO500">
        <v>9.7790922301937719</v>
      </c>
      <c r="AP500">
        <v>60.979009143523641</v>
      </c>
      <c r="AQ500">
        <v>49.120802534622385</v>
      </c>
      <c r="AR500">
        <v>8.9177320966270894</v>
      </c>
      <c r="AS500">
        <v>44.483584018733545</v>
      </c>
      <c r="AT500" t="e">
        <v>#DIV/0!</v>
      </c>
      <c r="AU500" t="e">
        <v>#DIV/0!</v>
      </c>
      <c r="AV500"/>
      <c r="AW500"/>
      <c r="FY500" s="212">
        <v>495</v>
      </c>
      <c r="FZ500">
        <v>3.344794325293174</v>
      </c>
      <c r="GA500">
        <v>4.7950825570668458</v>
      </c>
      <c r="GB500">
        <v>9.1419077747826343</v>
      </c>
      <c r="GC500">
        <v>4.850543092269727</v>
      </c>
      <c r="GD500">
        <v>1.5869077575509929</v>
      </c>
      <c r="GE500">
        <v>2.9304333128205045</v>
      </c>
      <c r="GF500">
        <v>5.8887119196642743</v>
      </c>
      <c r="GG500">
        <v>7.2601033818325309</v>
      </c>
      <c r="GH500">
        <v>3.1154940488696288</v>
      </c>
      <c r="GI500">
        <v>5.9620582792434274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77.869028408430097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9.9278363453815253</v>
      </c>
      <c r="AO501">
        <v>6.8201375634092711</v>
      </c>
      <c r="AP501">
        <v>29.43760259201548</v>
      </c>
      <c r="AQ501">
        <v>34.513914713507873</v>
      </c>
      <c r="AR501">
        <v>6.3539577932605074</v>
      </c>
      <c r="AS501">
        <v>35.247503989934586</v>
      </c>
      <c r="AT501">
        <v>4.2099902664363871</v>
      </c>
      <c r="AU501">
        <v>-0.97146122855686268</v>
      </c>
      <c r="AV501"/>
      <c r="AW501"/>
      <c r="FY501" s="212">
        <v>496</v>
      </c>
      <c r="FZ501">
        <v>0.4509211775959997</v>
      </c>
      <c r="GA501">
        <v>6.7085756464225392</v>
      </c>
      <c r="GB501">
        <v>11.206601084453592</v>
      </c>
      <c r="GC501">
        <v>4.559641750554599</v>
      </c>
      <c r="GD501">
        <v>0.34739491826925772</v>
      </c>
      <c r="GE501">
        <v>1.5122796481490655</v>
      </c>
      <c r="GF501">
        <v>7.8502417890077414</v>
      </c>
      <c r="GG501">
        <v>7.5207871327076461</v>
      </c>
      <c r="GH501">
        <v>3.41323418832458</v>
      </c>
      <c r="GI501">
        <v>5.6383530251985228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84.093547648318605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14.205614123159302</v>
      </c>
      <c r="AO502">
        <v>6.582904719142725</v>
      </c>
      <c r="AP502">
        <v>32.861937385099488</v>
      </c>
      <c r="AQ502">
        <v>32.367312074974414</v>
      </c>
      <c r="AR502">
        <v>6.0816391148212343</v>
      </c>
      <c r="AS502">
        <v>33.215044480615717</v>
      </c>
      <c r="AT502">
        <v>3.8013179818879972</v>
      </c>
      <c r="AU502">
        <v>6.1477999062581112</v>
      </c>
      <c r="AV502"/>
      <c r="AW502"/>
      <c r="FY502" s="212">
        <v>497</v>
      </c>
      <c r="FZ502">
        <v>9.6554455604569203</v>
      </c>
      <c r="GA502">
        <v>12.912259010247036</v>
      </c>
      <c r="GB502">
        <v>8.0753416052107081</v>
      </c>
      <c r="GC502">
        <v>3.9652348637764812</v>
      </c>
      <c r="GD502">
        <v>0.42429267403742299</v>
      </c>
      <c r="GE502">
        <v>3.9812596166444849</v>
      </c>
      <c r="GF502">
        <v>12.110322172275858</v>
      </c>
      <c r="GG502">
        <v>7.5692637249146344</v>
      </c>
      <c r="GH502">
        <v>2.2999864870301283</v>
      </c>
      <c r="GI502">
        <v>6.9458642521238056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90.815628506216825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25.398769095991806</v>
      </c>
      <c r="AO503">
        <v>10.897704768823417</v>
      </c>
      <c r="AP503">
        <v>78.546574643799644</v>
      </c>
      <c r="AQ503">
        <v>58.639780637713784</v>
      </c>
      <c r="AR503">
        <v>9.9951646746733509</v>
      </c>
      <c r="AS503">
        <v>53.251666167028034</v>
      </c>
      <c r="AT503">
        <v>6.0356116717133395</v>
      </c>
      <c r="AU503">
        <v>43.677117980126241</v>
      </c>
      <c r="AV503"/>
      <c r="AW503"/>
      <c r="FY503" s="212">
        <v>498</v>
      </c>
      <c r="FZ503">
        <v>6.4649576757498277</v>
      </c>
      <c r="GA503">
        <v>10.804729168539263</v>
      </c>
      <c r="GB503">
        <v>7.540155994813488</v>
      </c>
      <c r="GC503">
        <v>3.4194893850613175</v>
      </c>
      <c r="GD503">
        <v>0.36219175013078164</v>
      </c>
      <c r="GE503">
        <v>1.3223944491720028</v>
      </c>
      <c r="GF503">
        <v>4.5069346698940871</v>
      </c>
      <c r="GG503">
        <v>3.4321820120675826</v>
      </c>
      <c r="GH503">
        <v>2.5695033276477455</v>
      </c>
      <c r="GI503">
        <v>4.4865710116723871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97.754528372449172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16.266275887865184</v>
      </c>
      <c r="AO504">
        <v>7.4982359134668446</v>
      </c>
      <c r="AP504">
        <v>35.962857266741011</v>
      </c>
      <c r="AQ504">
        <v>36.270119466472352</v>
      </c>
      <c r="AR504">
        <v>6.9073782541544961</v>
      </c>
      <c r="AS504">
        <v>39.493558246357388</v>
      </c>
      <c r="AT504">
        <v>4.0520789615987072</v>
      </c>
      <c r="AU504">
        <v>-1.8160183012236213</v>
      </c>
      <c r="AV504"/>
      <c r="AW504"/>
      <c r="FY504" s="212">
        <v>499</v>
      </c>
      <c r="FZ504">
        <v>3.3874343672615668</v>
      </c>
      <c r="GA504">
        <v>7.1901642465633007</v>
      </c>
      <c r="GB504">
        <v>9.5662458733873699</v>
      </c>
      <c r="GC504">
        <v>4.1684127610123163</v>
      </c>
      <c r="GD504">
        <v>0.33682196858570573</v>
      </c>
      <c r="GE504">
        <v>2.4171956298921979</v>
      </c>
      <c r="GF504">
        <v>7.1050675574829105</v>
      </c>
      <c r="GG504">
        <v>4.4535432748543009</v>
      </c>
      <c r="GH504">
        <v>2.0282628767866568</v>
      </c>
      <c r="GI504">
        <v>5.1977045405165558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105.22360495105548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18.715826541459961</v>
      </c>
      <c r="AO505">
        <v>10.426430892421788</v>
      </c>
      <c r="AP505">
        <v>67.698234399062557</v>
      </c>
      <c r="AQ505">
        <v>51.65162576329439</v>
      </c>
      <c r="AR505">
        <v>9.5872970672032025</v>
      </c>
      <c r="AS505">
        <v>49.261020930237962</v>
      </c>
      <c r="AT505">
        <v>6.4341459467936906</v>
      </c>
      <c r="AU505">
        <v>26.984384191435318</v>
      </c>
      <c r="AV505"/>
      <c r="AW505"/>
      <c r="FY505" s="212">
        <v>500</v>
      </c>
      <c r="FZ505">
        <v>3.438191821178699</v>
      </c>
      <c r="GA505">
        <v>6.4420151136748549</v>
      </c>
      <c r="GB505">
        <v>8.3984373032826323</v>
      </c>
      <c r="GC505">
        <v>3.7402160372402253</v>
      </c>
      <c r="GD505">
        <v>1.063256078028965</v>
      </c>
      <c r="GE505">
        <v>5.3700592275212982</v>
      </c>
      <c r="GF505">
        <v>6.663061325909597</v>
      </c>
      <c r="GG505">
        <v>1.4248690412347238</v>
      </c>
      <c r="GH505">
        <v>1.410547478423914</v>
      </c>
      <c r="GI505">
        <v>5.0144224620996791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112.92339938723488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16.578775887865181</v>
      </c>
      <c r="AO506">
        <v>9.0355834732425908</v>
      </c>
      <c r="AP506">
        <v>77.499671961506635</v>
      </c>
      <c r="AQ506">
        <v>53.185993807336423</v>
      </c>
      <c r="AR506">
        <v>8.2785369603891574</v>
      </c>
      <c r="AS506">
        <v>42.99135638210425</v>
      </c>
      <c r="AT506">
        <v>3.9362524620610952</v>
      </c>
      <c r="AU506">
        <v>17.654209808877326</v>
      </c>
      <c r="AV506"/>
      <c r="AW506"/>
      <c r="FY506" s="212">
        <v>501</v>
      </c>
      <c r="FZ506">
        <v>3.2227890104361929</v>
      </c>
      <c r="GA506">
        <v>5.527563289238195</v>
      </c>
      <c r="GB506">
        <v>5.0823157359588071</v>
      </c>
      <c r="GC506">
        <v>2.6493369561722595</v>
      </c>
      <c r="GD506">
        <v>1.9699463243279363</v>
      </c>
      <c r="GE506">
        <v>5.0943807594872013</v>
      </c>
      <c r="GF506">
        <v>9.1265628647015262</v>
      </c>
      <c r="GG506">
        <v>7.2449246971159358</v>
      </c>
      <c r="GH506">
        <v>2.3360363608862555</v>
      </c>
      <c r="GI506">
        <v>5.8104868502667149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121.18663046281658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11.737745098039214</v>
      </c>
      <c r="AO507">
        <v>5.8034657390022852</v>
      </c>
      <c r="AP507">
        <v>32.247094328484039</v>
      </c>
      <c r="AQ507">
        <v>28.149900390739067</v>
      </c>
      <c r="AR507">
        <v>5.3126574813941474</v>
      </c>
      <c r="AS507">
        <v>31.084378310745009</v>
      </c>
      <c r="AT507">
        <v>3.207720608228037</v>
      </c>
      <c r="AU507">
        <v>15.396958280257978</v>
      </c>
      <c r="AV507"/>
      <c r="AW507"/>
      <c r="FY507" s="212">
        <v>502</v>
      </c>
      <c r="FZ507">
        <v>5.0757453917131795E-2</v>
      </c>
      <c r="GA507">
        <v>2.9032053142694245</v>
      </c>
      <c r="GB507">
        <v>2.2179731556893705</v>
      </c>
      <c r="GC507">
        <v>0.7271849673107682</v>
      </c>
      <c r="GD507">
        <v>1.7514040225357186</v>
      </c>
      <c r="GE507">
        <v>5.8668267586249732</v>
      </c>
      <c r="GF507">
        <v>7.3671786110989421</v>
      </c>
      <c r="GG507">
        <v>3.7391915045487689</v>
      </c>
      <c r="GH507">
        <v>1.887620788825759</v>
      </c>
      <c r="GI507">
        <v>3.7688070470754211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129.69474729147646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15.937167788802265</v>
      </c>
      <c r="AO508">
        <v>7.4366644662966355</v>
      </c>
      <c r="AP508">
        <v>38.20914373201191</v>
      </c>
      <c r="AQ508">
        <v>39.982655218629887</v>
      </c>
      <c r="AR508">
        <v>6.8422677693348088</v>
      </c>
      <c r="AS508">
        <v>38.405427178051504</v>
      </c>
      <c r="AT508">
        <v>3.6462974775768662</v>
      </c>
      <c r="AU508">
        <v>21.921271327136999</v>
      </c>
      <c r="AV508"/>
      <c r="AW508"/>
      <c r="FY508" s="212">
        <v>503</v>
      </c>
      <c r="FZ508">
        <v>6.3625194412261523</v>
      </c>
      <c r="GA508">
        <v>11.700419124975172</v>
      </c>
      <c r="GB508">
        <v>7.0188042822726757</v>
      </c>
      <c r="GC508">
        <v>3.2796759143402228</v>
      </c>
      <c r="GD508">
        <v>0.83968095861811576</v>
      </c>
      <c r="GE508">
        <v>2.4560523228632478</v>
      </c>
      <c r="GF508">
        <v>8.5768531920240978</v>
      </c>
      <c r="GG508">
        <v>6.1706980223007717</v>
      </c>
      <c r="GH508">
        <v>1.4879335077311437</v>
      </c>
      <c r="GI508">
        <v>5.5588085587372831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138.80019116598018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10.257697456492634</v>
      </c>
      <c r="AO509">
        <v>6.1981491640053736</v>
      </c>
      <c r="AP509">
        <v>39.631781349187889</v>
      </c>
      <c r="AQ509">
        <v>34.038962561819865</v>
      </c>
      <c r="AR509">
        <v>5.6623253244826346</v>
      </c>
      <c r="AS509">
        <v>28.827791030854563</v>
      </c>
      <c r="AT509">
        <v>3.3257691043846656</v>
      </c>
      <c r="AU509">
        <v>-1.5367426470618013</v>
      </c>
      <c r="AV509"/>
      <c r="AW509"/>
      <c r="FY509" s="212">
        <v>504</v>
      </c>
      <c r="FZ509">
        <v>0.39001223289544151</v>
      </c>
      <c r="GA509">
        <v>3.9621269281159681</v>
      </c>
      <c r="GB509">
        <v>8.5570857007202221</v>
      </c>
      <c r="GC509">
        <v>4.1321495340801562</v>
      </c>
      <c r="GD509">
        <v>1.5240354188455392</v>
      </c>
      <c r="GE509">
        <v>3.2526971187230496</v>
      </c>
      <c r="GF509">
        <v>5.9441645438134776</v>
      </c>
      <c r="GG509">
        <v>5.8872990007727495</v>
      </c>
      <c r="GH509">
        <v>3.0135469072299643</v>
      </c>
      <c r="GI509">
        <v>5.351962817901823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148.16495186563503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18.589192554531852</v>
      </c>
      <c r="AO510">
        <v>10.137314543564781</v>
      </c>
      <c r="AP510">
        <v>103.14491240757118</v>
      </c>
      <c r="AQ510">
        <v>59.160269139499825</v>
      </c>
      <c r="AR510">
        <v>9.3376246968646406</v>
      </c>
      <c r="AS510">
        <v>49.526125241504175</v>
      </c>
      <c r="AT510">
        <v>4.2178112049649883</v>
      </c>
      <c r="AU510">
        <v>50.912902937436755</v>
      </c>
      <c r="AV510"/>
      <c r="AW510"/>
      <c r="FY510" s="212">
        <v>505</v>
      </c>
      <c r="FZ510">
        <v>3.4797211110018154</v>
      </c>
      <c r="GA510">
        <v>5.6943068115821616</v>
      </c>
      <c r="GB510">
        <v>7.4388807987756778</v>
      </c>
      <c r="GC510">
        <v>4.0440080165654582</v>
      </c>
      <c r="GD510">
        <v>0.8912083757211976</v>
      </c>
      <c r="GE510">
        <v>3.3076371540141416</v>
      </c>
      <c r="GF510">
        <v>10.953748768684221</v>
      </c>
      <c r="GG510">
        <v>8.6938591077509777</v>
      </c>
      <c r="GH510">
        <v>2.8597879715014431</v>
      </c>
      <c r="GI510">
        <v>6.25923505835617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158.16154701901141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15.473856209150327</v>
      </c>
      <c r="AO511">
        <v>9.8640394082389111</v>
      </c>
      <c r="AP511">
        <v>54.170835449343784</v>
      </c>
      <c r="AQ511">
        <v>48.876036449393744</v>
      </c>
      <c r="AR511">
        <v>9.0956933706739527</v>
      </c>
      <c r="AS511">
        <v>48.641812296854702</v>
      </c>
      <c r="AT511">
        <v>5.0573910180926722</v>
      </c>
      <c r="AU511">
        <v>17.106003924666691</v>
      </c>
      <c r="AV511"/>
      <c r="AW511"/>
      <c r="FY511" s="212">
        <v>506</v>
      </c>
      <c r="FZ511">
        <v>3.4481558865062603</v>
      </c>
      <c r="GA511">
        <v>7.547041564745542</v>
      </c>
      <c r="GB511">
        <v>5.86348708102242</v>
      </c>
      <c r="GC511">
        <v>2.9035511170622703</v>
      </c>
      <c r="GD511">
        <v>1.9975438452222001</v>
      </c>
      <c r="GE511">
        <v>5.1718200128641172</v>
      </c>
      <c r="GF511">
        <v>8.1687774932724615</v>
      </c>
      <c r="GG511">
        <v>4.9803075763371432</v>
      </c>
      <c r="GH511">
        <v>1.5247771718067238</v>
      </c>
      <c r="GI511">
        <v>5.5328634089359401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168.43214772765637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16.820950468540829</v>
      </c>
      <c r="AO512">
        <v>9.0770076103733484</v>
      </c>
      <c r="AP512">
        <v>35.256776505941744</v>
      </c>
      <c r="AQ512">
        <v>49.208030360683551</v>
      </c>
      <c r="AR512">
        <v>8.4029066783390114</v>
      </c>
      <c r="AS512">
        <v>48.059436245203479</v>
      </c>
      <c r="AT512">
        <v>5.0880062442050038</v>
      </c>
      <c r="AU512">
        <v>-12.660615034104145</v>
      </c>
      <c r="AV512"/>
      <c r="AW512"/>
      <c r="FY512" s="212">
        <v>507</v>
      </c>
      <c r="FZ512">
        <v>3.4878385229505544</v>
      </c>
      <c r="GA512">
        <v>7.5994004592767128</v>
      </c>
      <c r="GB512">
        <v>10.135440581271542</v>
      </c>
      <c r="GC512">
        <v>4.5151794106903687</v>
      </c>
      <c r="GD512">
        <v>1.0018710119070273</v>
      </c>
      <c r="GE512">
        <v>5.2340279724494589</v>
      </c>
      <c r="GF512">
        <v>12.08793336990499</v>
      </c>
      <c r="GG512">
        <v>6.9084517965206951</v>
      </c>
      <c r="GH512">
        <v>1.446954771327861</v>
      </c>
      <c r="GI512">
        <v>7.0631194951064113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179.36969461193365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14.966783801874163</v>
      </c>
      <c r="AO513">
        <v>11.823881377177869</v>
      </c>
      <c r="AP513">
        <v>87.975820169916091</v>
      </c>
      <c r="AQ513">
        <v>67.939269966717475</v>
      </c>
      <c r="AR513">
        <v>10.855415122029399</v>
      </c>
      <c r="AS513">
        <v>56.586163657771067</v>
      </c>
      <c r="AT513">
        <v>6.0748869256545062</v>
      </c>
      <c r="AU513">
        <v>8.5692836759600048</v>
      </c>
      <c r="AV513"/>
      <c r="AW513"/>
      <c r="FY513" s="212">
        <v>508</v>
      </c>
      <c r="FZ513">
        <v>3.2746572164986008</v>
      </c>
      <c r="GA513">
        <v>5.5701276265743829</v>
      </c>
      <c r="GB513">
        <v>9.0657849145336726</v>
      </c>
      <c r="GC513">
        <v>4.9675058806853842</v>
      </c>
      <c r="GD513">
        <v>1.3325834046438012</v>
      </c>
      <c r="GE513">
        <v>4.2060825745675521</v>
      </c>
      <c r="GF513">
        <v>5.4725299622321559</v>
      </c>
      <c r="GG513">
        <v>2.0471113453948941</v>
      </c>
      <c r="GH513">
        <v>2.4941454757800097</v>
      </c>
      <c r="GI513">
        <v>5.1559127325027276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190.59618823892112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13.734144912985276</v>
      </c>
      <c r="AO514">
        <v>7.3508745451042898</v>
      </c>
      <c r="AP514">
        <v>87.944262709473989</v>
      </c>
      <c r="AQ514">
        <v>44.909109444748488</v>
      </c>
      <c r="AR514">
        <v>6.819039898525288</v>
      </c>
      <c r="AS514">
        <v>37.449448456840187</v>
      </c>
      <c r="AT514" t="e">
        <v>#DIV/0!</v>
      </c>
      <c r="AU514" t="e">
        <v>#DIV/0!</v>
      </c>
      <c r="AV514"/>
      <c r="AW514"/>
      <c r="FY514" s="212">
        <v>509</v>
      </c>
      <c r="FZ514">
        <v>0.11277715076296616</v>
      </c>
      <c r="GA514">
        <v>3.4712994423180854</v>
      </c>
      <c r="GB514">
        <v>4.3579887190959399</v>
      </c>
      <c r="GC514">
        <v>1.6382254403136851</v>
      </c>
      <c r="GD514">
        <v>0.89835487527181068</v>
      </c>
      <c r="GE514">
        <v>3.2921118497433182</v>
      </c>
      <c r="GF514">
        <v>6.853596277343021</v>
      </c>
      <c r="GG514">
        <v>4.2051258095920918</v>
      </c>
      <c r="GH514">
        <v>1.2648592363297391</v>
      </c>
      <c r="GI514">
        <v>3.5480777582690433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202.5253321069622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14.229919678714859</v>
      </c>
      <c r="AO515">
        <v>8.5323614551912179</v>
      </c>
      <c r="AP515">
        <v>39.674500662527038</v>
      </c>
      <c r="AQ515">
        <v>45.850853096342874</v>
      </c>
      <c r="AR515">
        <v>7.8929940537463672</v>
      </c>
      <c r="AS515">
        <v>42.46916337121732</v>
      </c>
      <c r="AT515">
        <v>4.5040209456797315</v>
      </c>
      <c r="AU515">
        <v>-2.226448528543064</v>
      </c>
      <c r="AV515"/>
      <c r="AW515"/>
      <c r="FY515" s="212">
        <v>510</v>
      </c>
      <c r="FZ515">
        <v>6.5269773725956615</v>
      </c>
      <c r="GA515">
        <v>11.720932876619385</v>
      </c>
      <c r="GB515">
        <v>7.266390392246131</v>
      </c>
      <c r="GC515">
        <v>2.9695498331446268</v>
      </c>
      <c r="GD515">
        <v>1.577158680282444</v>
      </c>
      <c r="GE515">
        <v>5.1910043664480874</v>
      </c>
      <c r="GF515">
        <v>5.4246020723560235</v>
      </c>
      <c r="GG515">
        <v>2.566119529505436</v>
      </c>
      <c r="GH515">
        <v>3.073823328652157</v>
      </c>
      <c r="GI515">
        <v>5.431966639935415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214.75861145045107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25.968341503267972</v>
      </c>
      <c r="AO516">
        <v>8.1234120591349388</v>
      </c>
      <c r="AP516">
        <v>69.680312972393352</v>
      </c>
      <c r="AQ516">
        <v>42.96507588859459</v>
      </c>
      <c r="AR516">
        <v>7.4663463914956942</v>
      </c>
      <c r="AS516">
        <v>44.723717443497584</v>
      </c>
      <c r="AT516">
        <v>4.0493190094857852</v>
      </c>
      <c r="AU516">
        <v>75.590758496965762</v>
      </c>
      <c r="AV516"/>
      <c r="AW516"/>
      <c r="FY516" s="212">
        <v>511</v>
      </c>
      <c r="FZ516">
        <v>0.16445793136950917</v>
      </c>
      <c r="GA516">
        <v>3.0304421943669722</v>
      </c>
      <c r="GB516">
        <v>6.9512771127613089</v>
      </c>
      <c r="GC516">
        <v>3.3514014470382971</v>
      </c>
      <c r="GD516">
        <v>1.4296145699413307</v>
      </c>
      <c r="GE516">
        <v>4.3582597040698694</v>
      </c>
      <c r="GF516">
        <v>7.476253460593818</v>
      </c>
      <c r="GG516">
        <v>5.026080236479217</v>
      </c>
      <c r="GH516">
        <v>2.24651009204617</v>
      </c>
      <c r="GI516">
        <v>4.9926443662598814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227.73082612582618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16.159390011024488</v>
      </c>
      <c r="AO517">
        <v>9.7650284176311999</v>
      </c>
      <c r="AP517">
        <v>52.356699980992126</v>
      </c>
      <c r="AQ517">
        <v>48.064342848591018</v>
      </c>
      <c r="AR517">
        <v>8.9834999519644416</v>
      </c>
      <c r="AS517">
        <v>48.014927134848215</v>
      </c>
      <c r="AT517">
        <v>4.614549401994978</v>
      </c>
      <c r="AU517">
        <v>13.491737058002498</v>
      </c>
      <c r="AV517"/>
      <c r="AW517"/>
      <c r="FY517" s="212">
        <v>512</v>
      </c>
      <c r="FZ517">
        <v>3.4474199852727141</v>
      </c>
      <c r="GA517">
        <v>7.7082688431723305</v>
      </c>
      <c r="GB517">
        <v>6.3348744957146836</v>
      </c>
      <c r="GC517">
        <v>2.5414138316678985</v>
      </c>
      <c r="GD517">
        <v>1.6344284259202411</v>
      </c>
      <c r="GE517">
        <v>4.5365662574017156</v>
      </c>
      <c r="GF517">
        <v>4.0137275360573561</v>
      </c>
      <c r="GG517">
        <v>2.2357080331098578</v>
      </c>
      <c r="GH517">
        <v>1.7038182154598918</v>
      </c>
      <c r="GI517">
        <v>4.2913633298723308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227.73082612582618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8.3688085676037467</v>
      </c>
      <c r="AO518">
        <v>6.1318302294186378</v>
      </c>
      <c r="AP518">
        <v>28.922335270718094</v>
      </c>
      <c r="AQ518">
        <v>30.280149623896275</v>
      </c>
      <c r="AR518">
        <v>5.6314108673252807</v>
      </c>
      <c r="AS518">
        <v>31.685787094832136</v>
      </c>
      <c r="AT518">
        <v>3.6429072677533871</v>
      </c>
      <c r="AU518">
        <v>9.101450803821864</v>
      </c>
      <c r="AV518"/>
      <c r="AW518"/>
      <c r="FY518" s="212">
        <v>513</v>
      </c>
      <c r="FZ518">
        <v>0.29864881584460429</v>
      </c>
      <c r="GA518">
        <v>4.1391497745205585</v>
      </c>
      <c r="GB518">
        <v>4.8211852320783342</v>
      </c>
      <c r="GC518">
        <v>2.2489488828356308</v>
      </c>
      <c r="GD518">
        <v>1.562397600792079</v>
      </c>
      <c r="GE518">
        <v>2.9628457236826877</v>
      </c>
      <c r="GF518">
        <v>5.2064349615695154</v>
      </c>
      <c r="GG518">
        <v>4.3915716467061392</v>
      </c>
      <c r="GH518">
        <v>1.914288796046403</v>
      </c>
      <c r="GI518">
        <v>3.8363453369907665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15.560661764705884</v>
      </c>
      <c r="AO519">
        <v>9.4019851599562472</v>
      </c>
      <c r="AP519">
        <v>67.848718499071623</v>
      </c>
      <c r="AQ519">
        <v>53.451445325088876</v>
      </c>
      <c r="AR519">
        <v>8.6288087860829155</v>
      </c>
      <c r="AS519">
        <v>44.080602535011565</v>
      </c>
      <c r="AT519">
        <v>4.8201248171933173</v>
      </c>
      <c r="AU519">
        <v>20.090937920917447</v>
      </c>
      <c r="AV519"/>
      <c r="AW519"/>
      <c r="FY519" s="212">
        <v>514</v>
      </c>
      <c r="FZ519">
        <v>0.21429205859722977</v>
      </c>
      <c r="GA519">
        <v>3.6397888937604614</v>
      </c>
      <c r="GB519">
        <v>6.5521354695761609</v>
      </c>
      <c r="GC519">
        <v>3.1656578685267802</v>
      </c>
      <c r="GD519">
        <v>0.73927992101209772</v>
      </c>
      <c r="GE519">
        <v>3.4874279872245681</v>
      </c>
      <c r="GF519">
        <v>9.0666753150183865</v>
      </c>
      <c r="GG519">
        <v>5.2175893232978678</v>
      </c>
      <c r="GH519">
        <v>2.742180716034313</v>
      </c>
      <c r="GI519">
        <v>4.6586511440399541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9.3159190439882416</v>
      </c>
      <c r="H520" s="63" t="s">
        <v>30</v>
      </c>
      <c r="I520" s="101">
        <f>SUM(K458:K518)</f>
        <v>50.404429449759192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26.142705626427272</v>
      </c>
      <c r="AO520">
        <v>8.7511210210191983</v>
      </c>
      <c r="AP520">
        <v>50.063399671588826</v>
      </c>
      <c r="AQ520">
        <v>42.015080203098393</v>
      </c>
      <c r="AR520">
        <v>8.0653815057778129</v>
      </c>
      <c r="AS520">
        <v>46.139407356924458</v>
      </c>
      <c r="AT520">
        <v>4.5122786739382619</v>
      </c>
      <c r="AU520">
        <v>50.206486370574744</v>
      </c>
      <c r="AV520"/>
      <c r="AW520"/>
      <c r="FY520" s="212">
        <v>515</v>
      </c>
      <c r="FZ520">
        <v>9.717465257302754</v>
      </c>
      <c r="GA520">
        <v>13.308600283529611</v>
      </c>
      <c r="GB520">
        <v>8.638622124819797</v>
      </c>
      <c r="GC520">
        <v>4.825290561938381</v>
      </c>
      <c r="GD520">
        <v>1.1604164936924826</v>
      </c>
      <c r="GE520">
        <v>1.6864043588547786</v>
      </c>
      <c r="GF520">
        <v>5.0380036258710295</v>
      </c>
      <c r="GG520">
        <v>4.6238012083594757</v>
      </c>
      <c r="GH520">
        <v>2.1348217330555839</v>
      </c>
      <c r="GI520">
        <v>5.8954099106936919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21.65420751633987</v>
      </c>
      <c r="AO521">
        <v>10.592759535967581</v>
      </c>
      <c r="AP521">
        <v>76.960789560412096</v>
      </c>
      <c r="AQ521">
        <v>53.622393173953263</v>
      </c>
      <c r="AR521">
        <v>9.7259819517607582</v>
      </c>
      <c r="AS521">
        <v>52.205157470734086</v>
      </c>
      <c r="AT521">
        <v>6.0718579267911954</v>
      </c>
      <c r="AU521">
        <v>45.89672787106641</v>
      </c>
      <c r="AV521"/>
      <c r="AW521"/>
      <c r="FY521" s="212">
        <v>516</v>
      </c>
      <c r="FZ521">
        <v>6.7209664496260384</v>
      </c>
      <c r="GA521">
        <v>9.8204268431101642</v>
      </c>
      <c r="GB521">
        <v>7.7289323693660279</v>
      </c>
      <c r="GC521">
        <v>3.4443900937026464</v>
      </c>
      <c r="GD521">
        <v>0.42189134291370173</v>
      </c>
      <c r="GE521">
        <v>2.6464383099770012</v>
      </c>
      <c r="GF521">
        <v>11.285969216103338</v>
      </c>
      <c r="GG521">
        <v>10.337254207659095</v>
      </c>
      <c r="GH521">
        <v>2.3364727320578891</v>
      </c>
      <c r="GI521">
        <v>6.4545022390966098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5.4105697153182355</v>
      </c>
      <c r="G522" s="63"/>
      <c r="H522" s="63" t="s">
        <v>101</v>
      </c>
      <c r="I522">
        <v>354.82888793945312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16.345383986928105</v>
      </c>
      <c r="AO522">
        <v>9.1946521128116458</v>
      </c>
      <c r="AP522">
        <v>46.165763769526485</v>
      </c>
      <c r="AQ522">
        <v>47.138325157775078</v>
      </c>
      <c r="AR522">
        <v>8.4011931319964503</v>
      </c>
      <c r="AS522">
        <v>46.796130180605104</v>
      </c>
      <c r="AT522">
        <v>4.5544963070855831</v>
      </c>
      <c r="AU522">
        <v>34.778756827303177</v>
      </c>
      <c r="AV522"/>
      <c r="AW522"/>
      <c r="FY522" s="212">
        <v>517</v>
      </c>
      <c r="FZ522">
        <v>0.14507827649206767</v>
      </c>
      <c r="GA522">
        <v>2.6204032702586124</v>
      </c>
      <c r="GB522">
        <v>7.4427773489643032</v>
      </c>
      <c r="GC522">
        <v>4.2213650087681032</v>
      </c>
      <c r="GD522">
        <v>2.0363938640935531</v>
      </c>
      <c r="GE522">
        <v>5.1201446750716642</v>
      </c>
      <c r="GF522">
        <v>6.9885732891711019</v>
      </c>
      <c r="GG522">
        <v>4.7565098009203757</v>
      </c>
      <c r="GH522">
        <v>3.7324519369889901</v>
      </c>
      <c r="GI522">
        <v>5.472431351834306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5.5656628116145361</v>
      </c>
      <c r="G523" s="63"/>
      <c r="H523" s="63" t="s">
        <v>103</v>
      </c>
      <c r="I523" s="123">
        <f>+I520*(365/I522)</f>
        <v>51.849264179137002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23.021382097015511</v>
      </c>
      <c r="AO523">
        <v>11.870253576723984</v>
      </c>
      <c r="AP523">
        <v>72.749545039576105</v>
      </c>
      <c r="AQ523">
        <v>59.480217391405617</v>
      </c>
      <c r="AR523">
        <v>10.88831989444056</v>
      </c>
      <c r="AS523">
        <v>57.975105296277405</v>
      </c>
      <c r="AT523">
        <v>6.1913837949317978</v>
      </c>
      <c r="AU523">
        <v>48.518917117289583</v>
      </c>
      <c r="AV523"/>
      <c r="AW523"/>
      <c r="FY523" s="212">
        <v>518</v>
      </c>
      <c r="FZ523">
        <v>9.8618076325612769</v>
      </c>
      <c r="GA523">
        <v>15.204309896319513</v>
      </c>
      <c r="GB523">
        <v>5.4256481930411233</v>
      </c>
      <c r="GC523">
        <v>2.2507477929379505</v>
      </c>
      <c r="GD523">
        <v>1.2899702489035221</v>
      </c>
      <c r="GE523">
        <v>3.3493896589611638</v>
      </c>
      <c r="GF523">
        <v>8.2769582044598646</v>
      </c>
      <c r="GG523">
        <v>8.1447130856432377</v>
      </c>
      <c r="GH523">
        <v>3.4284539398265572</v>
      </c>
      <c r="GI523">
        <v>6.2632200164074714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20.868604319237733</v>
      </c>
      <c r="AO524">
        <v>8.1920956708331403</v>
      </c>
      <c r="AP524">
        <v>94.875829643358742</v>
      </c>
      <c r="AQ524">
        <v>43.586441133413182</v>
      </c>
      <c r="AR524">
        <v>7.5637321530558372</v>
      </c>
      <c r="AS524">
        <v>48.891215453142294</v>
      </c>
      <c r="AT524" t="e">
        <v>#DIV/0!</v>
      </c>
      <c r="AU524" t="e">
        <v>#DIV/0!</v>
      </c>
      <c r="AV524"/>
      <c r="AW524"/>
      <c r="FY524" s="212">
        <v>519</v>
      </c>
      <c r="FZ524">
        <v>0.21595128652018725</v>
      </c>
      <c r="GA524">
        <v>2.9573881276884171</v>
      </c>
      <c r="GB524">
        <v>3.119041352158062</v>
      </c>
      <c r="GC524">
        <v>1.4481406237470802</v>
      </c>
      <c r="GD524">
        <v>1.3352420964958529</v>
      </c>
      <c r="GE524">
        <v>4.3144039274540944</v>
      </c>
      <c r="GF524">
        <v>9.3812292690366892</v>
      </c>
      <c r="GG524">
        <v>5.5667944723503897</v>
      </c>
      <c r="GH524">
        <v>0.59420368889231667</v>
      </c>
      <c r="GI524">
        <v>4.2472415050525525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13.169053665642959</v>
      </c>
      <c r="AO525">
        <v>5.6986008133239805</v>
      </c>
      <c r="AP525">
        <v>38.0475460898287</v>
      </c>
      <c r="AQ525">
        <v>29.642416559039695</v>
      </c>
      <c r="AR525">
        <v>5.3058769800757304</v>
      </c>
      <c r="AS525">
        <v>29.834552584965738</v>
      </c>
      <c r="AT525">
        <v>3.1355453993105193</v>
      </c>
      <c r="AU525">
        <v>13.084006279967547</v>
      </c>
      <c r="AV525"/>
      <c r="AW525"/>
      <c r="FY525" s="212">
        <v>520</v>
      </c>
      <c r="FZ525">
        <v>3.3761721243328644</v>
      </c>
      <c r="GA525">
        <v>6.1567716713281433</v>
      </c>
      <c r="GB525">
        <v>4.8937960698506568</v>
      </c>
      <c r="GC525">
        <v>2.4744256159956395</v>
      </c>
      <c r="GD525">
        <v>0.6534528301256517</v>
      </c>
      <c r="GE525">
        <v>2.853612042940413</v>
      </c>
      <c r="GF525">
        <v>9.9799956956057745</v>
      </c>
      <c r="GG525">
        <v>6.5011095186963495</v>
      </c>
      <c r="GH525">
        <v>1.3715969194601252</v>
      </c>
      <c r="GI525">
        <v>4.9957770341116721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14.734897925033465</v>
      </c>
      <c r="AO526">
        <v>8.8153061650920552</v>
      </c>
      <c r="AP526">
        <v>54.778655767008239</v>
      </c>
      <c r="AQ526">
        <v>51.748525091785375</v>
      </c>
      <c r="AR526">
        <v>8.1266088197051012</v>
      </c>
      <c r="AS526">
        <v>46.003800066972644</v>
      </c>
      <c r="AT526">
        <v>4.6777219572438353</v>
      </c>
      <c r="AU526">
        <v>9.1459866530489187</v>
      </c>
      <c r="AV526"/>
      <c r="AW526"/>
      <c r="FY526" s="212">
        <v>521</v>
      </c>
      <c r="FZ526">
        <v>0.10243823452367483</v>
      </c>
      <c r="GA526">
        <v>2.0848123085897159</v>
      </c>
      <c r="GB526">
        <v>5.7834049615790546</v>
      </c>
      <c r="GC526">
        <v>2.7622804285929385</v>
      </c>
      <c r="GD526">
        <v>1.3884755511161428</v>
      </c>
      <c r="GE526">
        <v>5.0011191674710256</v>
      </c>
      <c r="GF526">
        <v>6.6520232316741925</v>
      </c>
      <c r="GG526">
        <v>2.9466912668834224</v>
      </c>
      <c r="GH526">
        <v>1.5374960947215026</v>
      </c>
      <c r="GI526">
        <v>4.1576572842001402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19.762471454445233</v>
      </c>
      <c r="AO527">
        <v>8.1722369020891481</v>
      </c>
      <c r="AP527">
        <v>52.850699338517728</v>
      </c>
      <c r="AQ527">
        <v>39.026941114926373</v>
      </c>
      <c r="AR527">
        <v>7.5180909105527505</v>
      </c>
      <c r="AS527">
        <v>41.559709995043868</v>
      </c>
      <c r="AT527">
        <v>4.3868717506102977</v>
      </c>
      <c r="AU527">
        <v>35.66698820336017</v>
      </c>
      <c r="AV527"/>
      <c r="AW527"/>
      <c r="FY527" s="212">
        <v>522</v>
      </c>
      <c r="FZ527">
        <v>3.3669439602388493</v>
      </c>
      <c r="GA527">
        <v>6.9108356613339925</v>
      </c>
      <c r="GB527">
        <v>9.9255861186690275</v>
      </c>
      <c r="GC527">
        <v>4.4054897338162142</v>
      </c>
      <c r="GD527">
        <v>1.4868337399749993</v>
      </c>
      <c r="GE527">
        <v>3.9887904495398212</v>
      </c>
      <c r="GF527">
        <v>6.4831487361555631</v>
      </c>
      <c r="GG527">
        <v>6.2042154612271538</v>
      </c>
      <c r="GH527">
        <v>2.5205964444955047</v>
      </c>
      <c r="GI527">
        <v>6.1184564684634282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20.252054787778562</v>
      </c>
      <c r="AO528">
        <v>6.9163946555181921</v>
      </c>
      <c r="AP528">
        <v>46.14457494337077</v>
      </c>
      <c r="AQ528">
        <v>38.447588953649017</v>
      </c>
      <c r="AR528">
        <v>6.3263728322578325</v>
      </c>
      <c r="AS528">
        <v>37.655574425744085</v>
      </c>
      <c r="AT528">
        <v>3.0803918158976575</v>
      </c>
      <c r="AU528">
        <v>44.600646698654586</v>
      </c>
      <c r="AV528"/>
      <c r="AW528"/>
      <c r="FY528" s="212">
        <v>523</v>
      </c>
      <c r="FZ528">
        <v>6.0908944700558167E-2</v>
      </c>
      <c r="GA528">
        <v>1.6807658883944474</v>
      </c>
      <c r="GB528">
        <v>8.2910495570150093</v>
      </c>
      <c r="GC528">
        <v>4.341655184141449</v>
      </c>
      <c r="GD528">
        <v>0.50217816495409262</v>
      </c>
      <c r="GE528">
        <v>1.3374658934070691</v>
      </c>
      <c r="GF528">
        <v>4.0419911606736196</v>
      </c>
      <c r="GG528">
        <v>3.9815365012140971</v>
      </c>
      <c r="GH528">
        <v>2.9767032431543843</v>
      </c>
      <c r="GI528">
        <v>3.8978513135637938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9.6041666666666643</v>
      </c>
      <c r="AO529">
        <v>6.0818737575414747</v>
      </c>
      <c r="AP529">
        <v>30.802114715334209</v>
      </c>
      <c r="AQ529">
        <v>31.38181677106672</v>
      </c>
      <c r="AR529">
        <v>5.6561455077366478</v>
      </c>
      <c r="AS529">
        <v>33.201687895305632</v>
      </c>
      <c r="AT529">
        <v>3.838186690415037</v>
      </c>
      <c r="AU529">
        <v>9.7089293677902084</v>
      </c>
      <c r="AV529"/>
      <c r="AW529"/>
      <c r="FY529" s="212">
        <v>524</v>
      </c>
      <c r="FZ529">
        <v>3.3658332080935729</v>
      </c>
      <c r="GA529">
        <v>6.398200810052356</v>
      </c>
      <c r="GB529">
        <v>12.393141908010502</v>
      </c>
      <c r="GC529">
        <v>6.1840465814558421</v>
      </c>
      <c r="GD529">
        <v>1.5046097189263401</v>
      </c>
      <c r="GE529">
        <v>4.739185126687091</v>
      </c>
      <c r="GF529">
        <v>9.2878621650192041</v>
      </c>
      <c r="GG529">
        <v>7.1284150725611237</v>
      </c>
      <c r="GH529">
        <v>2.5730597165935252</v>
      </c>
      <c r="GI529">
        <v>7.4027770105230815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14.873914776754072</v>
      </c>
      <c r="AO530">
        <v>7.4087592806692468</v>
      </c>
      <c r="AP530">
        <v>43.73723150523594</v>
      </c>
      <c r="AQ530">
        <v>39.483678697087825</v>
      </c>
      <c r="AR530">
        <v>6.8807948426397472</v>
      </c>
      <c r="AS530">
        <v>43.03387202739659</v>
      </c>
      <c r="AT530">
        <v>4.3381340396986046</v>
      </c>
      <c r="AU530">
        <v>11.705992391904386</v>
      </c>
      <c r="AV530"/>
      <c r="AW530"/>
      <c r="FY530" s="212">
        <v>525</v>
      </c>
      <c r="FZ530">
        <v>0.24474653094750887</v>
      </c>
      <c r="GA530">
        <v>3.082801088898143</v>
      </c>
      <c r="GB530">
        <v>4.1590232401083629</v>
      </c>
      <c r="GC530">
        <v>1.8401587513142781</v>
      </c>
      <c r="GD530">
        <v>1.6003622842285481</v>
      </c>
      <c r="GE530">
        <v>3.3421494592674748</v>
      </c>
      <c r="GF530">
        <v>9.6169675732352431</v>
      </c>
      <c r="GG530">
        <v>10.618168828558193</v>
      </c>
      <c r="GH530">
        <v>2.654759410414818</v>
      </c>
      <c r="GI530">
        <v>5.2079838777434855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7.291666666666667</v>
      </c>
      <c r="E531" s="108">
        <f>E405</f>
        <v>1.9415387611333396E-2</v>
      </c>
      <c r="F531" s="102"/>
      <c r="G531" s="101">
        <f>D531*E531</f>
        <v>0.14157053466597269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24.377182750610285</v>
      </c>
      <c r="AO531">
        <v>9.9401392100451744</v>
      </c>
      <c r="AP531">
        <v>79.935898084874324</v>
      </c>
      <c r="AQ531">
        <v>57.028835558117578</v>
      </c>
      <c r="AR531">
        <v>9.1234322638036733</v>
      </c>
      <c r="AS531">
        <v>48.395936935996794</v>
      </c>
      <c r="AT531">
        <v>4.3786650010939789</v>
      </c>
      <c r="AU531">
        <v>20.195448735244085</v>
      </c>
      <c r="AV531"/>
      <c r="AW531"/>
      <c r="FY531" s="212">
        <v>526</v>
      </c>
      <c r="FZ531">
        <v>0.15430644058608284</v>
      </c>
      <c r="GA531">
        <v>5.1841314777402463</v>
      </c>
      <c r="GB531">
        <v>7.7157861337630838</v>
      </c>
      <c r="GC531">
        <v>3.1059277947136996</v>
      </c>
      <c r="GD531">
        <v>1.2365522428775739</v>
      </c>
      <c r="GE531">
        <v>6.5600061364905891</v>
      </c>
      <c r="GF531">
        <v>13.900774057001847</v>
      </c>
      <c r="GG531">
        <v>7.3420863485686843</v>
      </c>
      <c r="GH531">
        <v>1.0738202653540041</v>
      </c>
      <c r="GI531">
        <v>6.2448170930774829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0.10923610638653898</v>
      </c>
      <c r="I532" s="101">
        <f>AVERAGE(D531:D533)</f>
        <v>15.104166666666666</v>
      </c>
      <c r="J532" s="101">
        <f>I532*H532</f>
        <v>1.6499203568800158</v>
      </c>
      <c r="K532" s="61">
        <f>J532/(C533-C531)</f>
        <v>6.1108161365926512E-2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16.35144745649264</v>
      </c>
      <c r="AO532">
        <v>11.082529857042907</v>
      </c>
      <c r="AP532">
        <v>87.405159422865566</v>
      </c>
      <c r="AQ532">
        <v>61.197243803612515</v>
      </c>
      <c r="AR532">
        <v>10.139213574580342</v>
      </c>
      <c r="AS532">
        <v>53.549712239307972</v>
      </c>
      <c r="AT532">
        <v>6.5003142744949614</v>
      </c>
      <c r="AU532">
        <v>4.0560718346024274</v>
      </c>
      <c r="AV532"/>
      <c r="AW532"/>
      <c r="FY532" s="212">
        <v>527</v>
      </c>
      <c r="FZ532">
        <v>0.26616026465963777</v>
      </c>
      <c r="GA532">
        <v>3.6419401037477996</v>
      </c>
      <c r="GB532">
        <v>8.0520280674379521</v>
      </c>
      <c r="GC532">
        <v>3.6599865397988194</v>
      </c>
      <c r="GD532">
        <v>1.3152470895737767</v>
      </c>
      <c r="GE532">
        <v>4.4060973840474844</v>
      </c>
      <c r="GF532">
        <v>8.8419246441273565</v>
      </c>
      <c r="GG532">
        <v>7.0251809525114961</v>
      </c>
      <c r="GH532">
        <v>3.307945999251765</v>
      </c>
      <c r="GI532">
        <v>5.6635640089984935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22.916666666666664</v>
      </c>
      <c r="E533" s="108">
        <f>E406</f>
        <v>0.12865149399787237</v>
      </c>
      <c r="F533" s="102"/>
      <c r="G533" s="101">
        <f>D533*E533</f>
        <v>2.9482634041179083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16.189886998976299</v>
      </c>
      <c r="AO533">
        <v>8.7048542553492698</v>
      </c>
      <c r="AP533">
        <v>41.40362159903615</v>
      </c>
      <c r="AQ533">
        <v>42.536128822563072</v>
      </c>
      <c r="AR533">
        <v>8.0362537237900273</v>
      </c>
      <c r="AS533">
        <v>48.871430912894922</v>
      </c>
      <c r="AT533" t="e">
        <v>#DIV/0!</v>
      </c>
      <c r="AU533" t="e">
        <v>#DIV/0!</v>
      </c>
      <c r="AV533"/>
      <c r="AW533"/>
      <c r="FY533" s="212">
        <v>528</v>
      </c>
      <c r="FZ533">
        <v>0.26578541374790782</v>
      </c>
      <c r="GA533">
        <v>5.0924960031569633</v>
      </c>
      <c r="GB533">
        <v>9.3886831227226057</v>
      </c>
      <c r="GC533">
        <v>4.2531864417614642</v>
      </c>
      <c r="GD533">
        <v>1.2842897380934615</v>
      </c>
      <c r="GE533">
        <v>2.865164409504775</v>
      </c>
      <c r="GF533">
        <v>4.9337289735382219</v>
      </c>
      <c r="GG533">
        <v>4.9443057367818355</v>
      </c>
      <c r="GH533">
        <v>3.5085255474039179</v>
      </c>
      <c r="GI533">
        <v>4.9584860769523607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9.9557517666051976E-2</v>
      </c>
      <c r="I534" s="101">
        <f>AVERAGE(D533:D535)</f>
        <v>18.229166666666664</v>
      </c>
      <c r="J534" s="101">
        <f>I534*H534</f>
        <v>1.8148505824540722</v>
      </c>
      <c r="K534" s="61">
        <f>J534/(C535-C533)</f>
        <v>4.4264648352538342E-2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17.786356209150327</v>
      </c>
      <c r="AO534">
        <v>10.719119494466879</v>
      </c>
      <c r="AP534">
        <v>82.195928899602009</v>
      </c>
      <c r="AQ534">
        <v>63.495218669061686</v>
      </c>
      <c r="AR534">
        <v>9.8382121044402275</v>
      </c>
      <c r="AS534">
        <v>49.817585067414683</v>
      </c>
      <c r="AT534">
        <v>5.3909843405831479</v>
      </c>
      <c r="AU534">
        <v>16.676299258179004</v>
      </c>
      <c r="AV534"/>
      <c r="AW534"/>
      <c r="FY534" s="212">
        <v>529</v>
      </c>
      <c r="FZ534">
        <v>7.1983762173395749E-2</v>
      </c>
      <c r="GA534">
        <v>1.9134699761139635</v>
      </c>
      <c r="GB534">
        <v>9.8589287111861239</v>
      </c>
      <c r="GC534">
        <v>5.3894218806287091</v>
      </c>
      <c r="GD534">
        <v>2.0470035160238447</v>
      </c>
      <c r="GE534">
        <v>4.0893547733601245</v>
      </c>
      <c r="GF534">
        <v>6.5134605935587633</v>
      </c>
      <c r="GG534">
        <v>5.9703022507983965</v>
      </c>
      <c r="GH534">
        <v>1.715958454992748</v>
      </c>
      <c r="GI534">
        <v>5.9713016768701532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13.541666666666664</v>
      </c>
      <c r="E535" s="108">
        <f>E407</f>
        <v>0.22820901166392435</v>
      </c>
      <c r="F535" s="102"/>
      <c r="G535" s="101">
        <f>D535*E535</f>
        <v>3.0903303662823083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16.931104319237736</v>
      </c>
      <c r="AO535">
        <v>7.1878277802240351</v>
      </c>
      <c r="AP535">
        <v>55.76974921082693</v>
      </c>
      <c r="AQ535">
        <v>33.179636349395643</v>
      </c>
      <c r="AR535">
        <v>6.6006592420284971</v>
      </c>
      <c r="AS535">
        <v>35.487437512854861</v>
      </c>
      <c r="AT535">
        <v>4.1882893388038225</v>
      </c>
      <c r="AU535">
        <v>53.375683459922406</v>
      </c>
      <c r="AV535"/>
      <c r="AW535"/>
      <c r="FY535" s="212">
        <v>530</v>
      </c>
      <c r="FZ535">
        <v>3.253243482786472</v>
      </c>
      <c r="GA535">
        <v>7.5136696062715229</v>
      </c>
      <c r="GB535">
        <v>6.5423113970542301</v>
      </c>
      <c r="GC535">
        <v>3.2310816173522783</v>
      </c>
      <c r="GD535">
        <v>0.78376369666785883</v>
      </c>
      <c r="GE535">
        <v>2.3262654106359837</v>
      </c>
      <c r="GF535">
        <v>8.7934482789749389</v>
      </c>
      <c r="GG535">
        <v>6.2973341462647916</v>
      </c>
      <c r="GH535">
        <v>0.98234283953062029</v>
      </c>
      <c r="GI535">
        <v>4.9880475118517698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0.15722636380543656</v>
      </c>
      <c r="I536" s="101">
        <f>AVERAGE(D535:D537)</f>
        <v>29.987373737373733</v>
      </c>
      <c r="J536" s="101">
        <f>I536*H536</f>
        <v>4.7148057328019162</v>
      </c>
      <c r="K536" s="61">
        <f>J536/(C537-C535)</f>
        <v>0.14287290099399746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10.718749999999998</v>
      </c>
      <c r="AO536">
        <v>8.6004430688271167</v>
      </c>
      <c r="AP536">
        <v>36.064310671980429</v>
      </c>
      <c r="AQ536">
        <v>43.256709522447295</v>
      </c>
      <c r="AR536">
        <v>7.8957106638568169</v>
      </c>
      <c r="AS536">
        <v>37.779971574969665</v>
      </c>
      <c r="AT536">
        <v>4.8160741731464451</v>
      </c>
      <c r="AU536">
        <v>3.0475404067699099</v>
      </c>
      <c r="AV536"/>
      <c r="AW536"/>
      <c r="FY536" s="212">
        <v>531</v>
      </c>
      <c r="FZ536">
        <v>0.31784104526618079</v>
      </c>
      <c r="GA536">
        <v>1.6395133170496192</v>
      </c>
      <c r="GB536">
        <v>1.5047459463826551</v>
      </c>
      <c r="GC536">
        <v>0.75652850276443862</v>
      </c>
      <c r="GD536">
        <v>0.50257275440658522</v>
      </c>
      <c r="GE536">
        <v>1.9279712967910845</v>
      </c>
      <c r="GF536">
        <v>6.8811057094432098</v>
      </c>
      <c r="GG536">
        <v>5.3246579427238343</v>
      </c>
      <c r="GH536">
        <v>1.1256685740940306</v>
      </c>
      <c r="GI536">
        <v>2.6829790462874188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46.433080808080803</v>
      </c>
      <c r="E537" s="108">
        <f>E408</f>
        <v>0.38543537546936091</v>
      </c>
      <c r="F537" s="102"/>
      <c r="G537" s="101">
        <f>D537*E537</f>
        <v>17.8969519354618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8.9513888888888893</v>
      </c>
      <c r="AO537">
        <v>6.6208898945202979</v>
      </c>
      <c r="AP537">
        <v>30.725307053489026</v>
      </c>
      <c r="AQ537">
        <v>32.41639852935181</v>
      </c>
      <c r="AR537">
        <v>6.115995327119923</v>
      </c>
      <c r="AS537">
        <v>37.624225901576807</v>
      </c>
      <c r="AT537">
        <v>4.331389965232785</v>
      </c>
      <c r="AU537">
        <v>11.225130428318462</v>
      </c>
      <c r="AV537"/>
      <c r="AW537"/>
      <c r="FY537" s="212">
        <v>532</v>
      </c>
      <c r="FZ537">
        <v>3.3763595497887295</v>
      </c>
      <c r="GA537">
        <v>7.6888479912716257</v>
      </c>
      <c r="GB537">
        <v>6.269624039638102</v>
      </c>
      <c r="GC537">
        <v>2.8395080740124401</v>
      </c>
      <c r="GD537">
        <v>0.79648784892524005</v>
      </c>
      <c r="GE537">
        <v>2.1880271431082869</v>
      </c>
      <c r="GF537">
        <v>7.074443086179647</v>
      </c>
      <c r="GG537">
        <v>6.7495269839585585</v>
      </c>
      <c r="GH537">
        <v>2.9761245597724617</v>
      </c>
      <c r="GI537">
        <v>4.8741025190128084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-0.24634373388698347</v>
      </c>
      <c r="I538" s="101">
        <f>AVERAGE(D537:D539)</f>
        <v>31.029040404040401</v>
      </c>
      <c r="J538" s="101">
        <f>I538*H538</f>
        <v>-7.6438096720613862</v>
      </c>
      <c r="K538" s="61">
        <f>J538/(C539-C537)</f>
        <v>-0.27299320257362092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13.236111111111109</v>
      </c>
      <c r="AO538">
        <v>10.09643512669698</v>
      </c>
      <c r="AP538">
        <v>59.219546021813954</v>
      </c>
      <c r="AQ538">
        <v>51.410896773914558</v>
      </c>
      <c r="AR538">
        <v>9.3088046806369782</v>
      </c>
      <c r="AS538">
        <v>47.165347675537056</v>
      </c>
      <c r="AT538">
        <v>5.8953576263032552</v>
      </c>
      <c r="AU538">
        <v>4.0555840191151296</v>
      </c>
      <c r="AV538"/>
      <c r="AW538"/>
      <c r="FY538" s="212">
        <v>533</v>
      </c>
      <c r="FZ538">
        <v>3.3678672869282602</v>
      </c>
      <c r="GA538">
        <v>5.7070019973241104</v>
      </c>
      <c r="GB538">
        <v>6.1427496090854632</v>
      </c>
      <c r="GC538">
        <v>3.0641729782921541</v>
      </c>
      <c r="GD538">
        <v>0.55229570745073786</v>
      </c>
      <c r="GE538">
        <v>4.8513970072555948</v>
      </c>
      <c r="GF538">
        <v>11.941968724769383</v>
      </c>
      <c r="GG538">
        <v>5.4898636909216236</v>
      </c>
      <c r="GH538">
        <v>1.1787085979063556</v>
      </c>
      <c r="GI538">
        <v>5.4175044277387538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15.625</v>
      </c>
      <c r="E539" s="108">
        <f>E409</f>
        <v>0.13909164158237744</v>
      </c>
      <c r="F539" s="102"/>
      <c r="G539" s="101">
        <f>D539*E539</f>
        <v>2.1733068997246474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11.424364123159302</v>
      </c>
      <c r="AO539">
        <v>6.2064797455730041</v>
      </c>
      <c r="AP539">
        <v>45.681601930969649</v>
      </c>
      <c r="AQ539">
        <v>31.112105851218519</v>
      </c>
      <c r="AR539">
        <v>5.7364393545073025</v>
      </c>
      <c r="AS539">
        <v>31.969115012783821</v>
      </c>
      <c r="AT539" t="e">
        <v>#DIV/0!</v>
      </c>
      <c r="AU539" t="e">
        <v>#DIV/0!</v>
      </c>
      <c r="AV539"/>
      <c r="AW539"/>
      <c r="FY539" s="212">
        <v>534</v>
      </c>
      <c r="FZ539">
        <v>3.3975858580449936</v>
      </c>
      <c r="GA539">
        <v>5.8798315617493389</v>
      </c>
      <c r="GB539">
        <v>6.9052000248226406</v>
      </c>
      <c r="GC539">
        <v>4.0029196760015786</v>
      </c>
      <c r="GD539">
        <v>1.0525474269285398</v>
      </c>
      <c r="GE539">
        <v>1.9817968343532222</v>
      </c>
      <c r="GF539">
        <v>6.6476487825355122</v>
      </c>
      <c r="GG539">
        <v>5.2214238226742067</v>
      </c>
      <c r="GH539">
        <v>1.4352509029666385</v>
      </c>
      <c r="GI539">
        <v>4.9215622368519725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-9.8923014656896652E-2</v>
      </c>
      <c r="I540" s="101">
        <f>AVERAGE(D539:D541)</f>
        <v>41.223819073083781</v>
      </c>
      <c r="J540" s="101">
        <f>I540*H540</f>
        <v>-4.0779844583799223</v>
      </c>
      <c r="K540" s="61">
        <f>J540/(C541-C539)</f>
        <v>-0.16991601909916343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20.296772875816991</v>
      </c>
      <c r="AO540">
        <v>12.269133103819</v>
      </c>
      <c r="AP540">
        <v>61.384525248869714</v>
      </c>
      <c r="AQ540">
        <v>60.977131317922641</v>
      </c>
      <c r="AR540">
        <v>11.232660395301437</v>
      </c>
      <c r="AS540">
        <v>57.40819697497421</v>
      </c>
      <c r="AT540">
        <v>6.1372200117750921</v>
      </c>
      <c r="AU540">
        <v>21.76985063217289</v>
      </c>
      <c r="AV540"/>
      <c r="AW540"/>
      <c r="FY540" s="212">
        <v>535</v>
      </c>
      <c r="FZ540">
        <v>6.382822422793005</v>
      </c>
      <c r="GA540">
        <v>10.185123687601816</v>
      </c>
      <c r="GB540">
        <v>8.182831302498446</v>
      </c>
      <c r="GC540">
        <v>4.180743831068102</v>
      </c>
      <c r="GD540">
        <v>1.7807488344936542</v>
      </c>
      <c r="GE540">
        <v>3.1388422276883414</v>
      </c>
      <c r="GF540">
        <v>4.1254490344712238</v>
      </c>
      <c r="GG540">
        <v>3.8462601239747349</v>
      </c>
      <c r="GH540">
        <v>1.0597288688378497</v>
      </c>
      <c r="GI540">
        <v>5.4460168235818349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66.822638146167563</v>
      </c>
      <c r="E541" s="108">
        <f>E410</f>
        <v>4.0168626925480795E-2</v>
      </c>
      <c r="F541" s="102"/>
      <c r="G541" s="101">
        <f>D541*E541</f>
        <v>2.6841736218698062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17.184576541459954</v>
      </c>
      <c r="AO541">
        <v>8.8499877027907328</v>
      </c>
      <c r="AP541">
        <v>40.851828454080568</v>
      </c>
      <c r="AQ541">
        <v>42.367121044716058</v>
      </c>
      <c r="AR541">
        <v>8.1135522954614192</v>
      </c>
      <c r="AS541">
        <v>41.430496700507831</v>
      </c>
      <c r="AT541">
        <v>4.9047520405403384</v>
      </c>
      <c r="AU541">
        <v>24.508674820506762</v>
      </c>
      <c r="AV541"/>
      <c r="AW541"/>
      <c r="FY541" s="212">
        <v>536</v>
      </c>
      <c r="FZ541">
        <v>3.3040009367036038</v>
      </c>
      <c r="GA541">
        <v>5.2686883294988487</v>
      </c>
      <c r="GB541">
        <v>4.4992183055890793</v>
      </c>
      <c r="GC541">
        <v>2.3423354613391316</v>
      </c>
      <c r="GD541">
        <v>1.7076458958645897</v>
      </c>
      <c r="GE541">
        <v>3.8129526761217933</v>
      </c>
      <c r="GF541">
        <v>8.591432073485965</v>
      </c>
      <c r="GG541">
        <v>8.9806377302081835</v>
      </c>
      <c r="GH541">
        <v>2.5068643986947885</v>
      </c>
      <c r="GI541">
        <v>5.3999090033964876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1.8404219325037765</v>
      </c>
      <c r="I542" s="101">
        <f>AVERAGE(D541:D543)</f>
        <v>35.494652406417117</v>
      </c>
      <c r="J542" s="101">
        <f>I542*H542</f>
        <v>65.325136775368009</v>
      </c>
      <c r="K542" s="61">
        <f>J542/(C543-C541)</f>
        <v>1.3609403494868335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21.575099417276949</v>
      </c>
      <c r="AO542">
        <v>10.30428534218381</v>
      </c>
      <c r="AP542">
        <v>83.011240271266075</v>
      </c>
      <c r="AQ542">
        <v>52.518207990173295</v>
      </c>
      <c r="AR542">
        <v>9.4052965460024183</v>
      </c>
      <c r="AS542">
        <v>52.454400584054731</v>
      </c>
      <c r="AT542">
        <v>6.4739533863465821</v>
      </c>
      <c r="AU542">
        <v>68.489356064931002</v>
      </c>
      <c r="AV542"/>
      <c r="AW542"/>
      <c r="FY542" s="212">
        <v>537</v>
      </c>
      <c r="FZ542">
        <v>0.28738657291590169</v>
      </c>
      <c r="GA542">
        <v>1.8806949545713549</v>
      </c>
      <c r="GB542">
        <v>5.6812972012425327</v>
      </c>
      <c r="GC542">
        <v>2.9317634321622754</v>
      </c>
      <c r="GD542">
        <v>0.89477846836162866</v>
      </c>
      <c r="GE542">
        <v>3.2329906535686188</v>
      </c>
      <c r="GF542">
        <v>9.0749384112149087</v>
      </c>
      <c r="GG542">
        <v>6.7767524228520717</v>
      </c>
      <c r="GH542">
        <v>1.407748599721516</v>
      </c>
      <c r="GI542">
        <v>4.6452859642505127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4.1666666666666661</v>
      </c>
      <c r="E543" s="108">
        <f>E411</f>
        <v>1.8805905594292573</v>
      </c>
      <c r="F543" s="102"/>
      <c r="G543" s="101">
        <f>D543*E543</f>
        <v>7.8357939976219049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12.907003012048193</v>
      </c>
      <c r="AO543">
        <v>9.1751721876526933</v>
      </c>
      <c r="AP543">
        <v>39.535860699545296</v>
      </c>
      <c r="AQ543">
        <v>46.180075054154578</v>
      </c>
      <c r="AR543">
        <v>8.4858863022262394</v>
      </c>
      <c r="AS543">
        <v>44.708032901438749</v>
      </c>
      <c r="AT543">
        <v>5.4914087440457022</v>
      </c>
      <c r="AU543">
        <v>0.20839901060136062</v>
      </c>
      <c r="AV543"/>
      <c r="AW543"/>
      <c r="FY543" s="212">
        <v>538</v>
      </c>
      <c r="FZ543">
        <v>3.3741380454981771</v>
      </c>
      <c r="GA543">
        <v>6.9570863691544833</v>
      </c>
      <c r="GB543">
        <v>6.865582782743922</v>
      </c>
      <c r="GC543">
        <v>3.2758889410342782</v>
      </c>
      <c r="GD543">
        <v>0.70459196659406198</v>
      </c>
      <c r="GE543">
        <v>3.5015042563530447</v>
      </c>
      <c r="GF543">
        <v>9.4453859524023684</v>
      </c>
      <c r="GG543">
        <v>5.7766423133788285</v>
      </c>
      <c r="GH543">
        <v>2.3237538091431102</v>
      </c>
      <c r="GI543">
        <v>5.3337282379137356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-0.39936397243863819</v>
      </c>
      <c r="I544" s="101">
        <f>AVERAGE(D543:D545)</f>
        <v>5.7291666666666661</v>
      </c>
      <c r="J544" s="101">
        <f>I544*H544</f>
        <v>-2.2880227587630313</v>
      </c>
      <c r="K544" s="61">
        <f>J544/(C545-C543)</f>
        <v>-3.6317821567667163E-2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18.446831443420741</v>
      </c>
      <c r="AO544">
        <v>7.8506311364363954</v>
      </c>
      <c r="AP544">
        <v>35.899718168658467</v>
      </c>
      <c r="AQ544">
        <v>41.494651463663523</v>
      </c>
      <c r="AR544">
        <v>7.2284759155445863</v>
      </c>
      <c r="AS544">
        <v>44.18263186555091</v>
      </c>
      <c r="AT544">
        <v>3.931105691192188</v>
      </c>
      <c r="AU544">
        <v>9.7527529831228712</v>
      </c>
      <c r="AV544"/>
      <c r="AW544"/>
      <c r="FY544" s="212">
        <v>539</v>
      </c>
      <c r="FZ544">
        <v>6.3938972402658427</v>
      </c>
      <c r="GA544">
        <v>10.498784599500114</v>
      </c>
      <c r="GB544">
        <v>5.1138834599850806</v>
      </c>
      <c r="GC544">
        <v>2.1559987800097922</v>
      </c>
      <c r="GD544">
        <v>1.4697350345495603</v>
      </c>
      <c r="GE544">
        <v>5.3723067669112972</v>
      </c>
      <c r="GF544">
        <v>9.1933661969861937</v>
      </c>
      <c r="GG544">
        <v>4.8374835487642525</v>
      </c>
      <c r="GH544">
        <v>1.9644300664186845</v>
      </c>
      <c r="GI544">
        <v>5.7594872217030799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7.2916666666666661</v>
      </c>
      <c r="E545" s="108">
        <f>E412</f>
        <v>1.4812265869906192</v>
      </c>
      <c r="F545" s="102"/>
      <c r="G545" s="101">
        <f>D545*E545</f>
        <v>10.800610530139931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12.831367135207492</v>
      </c>
      <c r="AO545">
        <v>9.8674769900979573</v>
      </c>
      <c r="AP545">
        <v>40.875388966828773</v>
      </c>
      <c r="AQ545">
        <v>43.541185595706224</v>
      </c>
      <c r="AR545">
        <v>9.0135984485299598</v>
      </c>
      <c r="AS545">
        <v>49.789939109144349</v>
      </c>
      <c r="AT545">
        <v>5.7586580213973724</v>
      </c>
      <c r="AU545">
        <v>3.3397568393142496</v>
      </c>
      <c r="AV545"/>
      <c r="AW545"/>
      <c r="FY545" s="212">
        <v>540</v>
      </c>
      <c r="FZ545">
        <v>6.6185282151023639</v>
      </c>
      <c r="GA545">
        <v>9.0427589547635563</v>
      </c>
      <c r="GB545">
        <v>8.0122334125776629</v>
      </c>
      <c r="GC545">
        <v>4.2989051546878017</v>
      </c>
      <c r="GD545">
        <v>1.0837271064307989</v>
      </c>
      <c r="GE545">
        <v>4.2042391876106979</v>
      </c>
      <c r="GF545">
        <v>9.7672013520533874</v>
      </c>
      <c r="GG545">
        <v>5.4300429133743791</v>
      </c>
      <c r="GH545">
        <v>0.65597204184472391</v>
      </c>
      <c r="GI545">
        <v>6.1964605960630701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-0.95161942532789201</v>
      </c>
      <c r="I546" s="101">
        <f>AVERAGE(D545:D547)</f>
        <v>8.8541666666666661</v>
      </c>
      <c r="J546" s="101">
        <f>I546*H546</f>
        <v>-8.4257969950907103</v>
      </c>
      <c r="K546" s="61">
        <f>J546/(C547-C545)</f>
        <v>-0.2160460767971977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17.666462418300647</v>
      </c>
      <c r="AO546">
        <v>8.4162873005765562</v>
      </c>
      <c r="AP546">
        <v>59.382652884164905</v>
      </c>
      <c r="AQ546">
        <v>44.711507987390462</v>
      </c>
      <c r="AR546">
        <v>7.6915156208499704</v>
      </c>
      <c r="AS546">
        <v>40.480225525646581</v>
      </c>
      <c r="AT546">
        <v>4.5906148317833004</v>
      </c>
      <c r="AU546">
        <v>32.684897789851789</v>
      </c>
      <c r="AV546"/>
      <c r="AW546"/>
      <c r="FY546" s="212">
        <v>541</v>
      </c>
      <c r="FZ546">
        <v>6.5888096439856305</v>
      </c>
      <c r="GA546">
        <v>9.4625339018301755</v>
      </c>
      <c r="GB546">
        <v>6.1571352197125151</v>
      </c>
      <c r="GC546">
        <v>2.9725262184071788</v>
      </c>
      <c r="GD546">
        <v>0.92058418633533412</v>
      </c>
      <c r="GE546">
        <v>6.1863898468442864</v>
      </c>
      <c r="GF546">
        <v>14.035040134170607</v>
      </c>
      <c r="GG546">
        <v>7.3917916911039363</v>
      </c>
      <c r="GH546">
        <v>2.4702763472617639</v>
      </c>
      <c r="GI546">
        <v>6.7369371394365816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10.416666666666666</v>
      </c>
      <c r="E547" s="108">
        <f>E413</f>
        <v>0.52960716166272714</v>
      </c>
      <c r="F547" s="102"/>
      <c r="G547" s="101">
        <f>D547*E547</f>
        <v>5.5167412673200742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9.5780228758169912</v>
      </c>
      <c r="AO547">
        <v>4.5407102522839784</v>
      </c>
      <c r="AP547">
        <v>28.931817753806264</v>
      </c>
      <c r="AQ547">
        <v>22.663584135209057</v>
      </c>
      <c r="AR547">
        <v>4.1847505294921739</v>
      </c>
      <c r="AS547">
        <v>20.881036898533758</v>
      </c>
      <c r="AT547">
        <v>2.9484019672801707</v>
      </c>
      <c r="AU547">
        <v>27.011460888096234</v>
      </c>
      <c r="AV547"/>
      <c r="AW547"/>
      <c r="FY547" s="212">
        <v>542</v>
      </c>
      <c r="FZ547">
        <v>9.136341705083724E-2</v>
      </c>
      <c r="GA547">
        <v>3.1978387460658393</v>
      </c>
      <c r="GB547">
        <v>2.8908112459267623</v>
      </c>
      <c r="GC547">
        <v>1.5776228153249467</v>
      </c>
      <c r="GD547">
        <v>1.4570633399083701</v>
      </c>
      <c r="GE547">
        <v>3.1595044599841016</v>
      </c>
      <c r="GF547">
        <v>7.4790558858968321</v>
      </c>
      <c r="GG547">
        <v>5.3145425077118436</v>
      </c>
      <c r="GH547">
        <v>0.50330494645085544</v>
      </c>
      <c r="GI547">
        <v>3.6018537381374776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-0.16540229695267289</v>
      </c>
      <c r="I548" s="101">
        <f>AVERAGE(D547:D549)</f>
        <v>8.3333333333333321</v>
      </c>
      <c r="J548" s="101">
        <f>I548*H548</f>
        <v>-1.3783524746056073</v>
      </c>
      <c r="K548" s="61">
        <f>J548/(C549-C547)</f>
        <v>-3.6272433542252826E-2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20.567401960784309</v>
      </c>
      <c r="AO548">
        <v>8.2009219844037524</v>
      </c>
      <c r="AP548">
        <v>58.177996437794263</v>
      </c>
      <c r="AQ548">
        <v>44.833051795667899</v>
      </c>
      <c r="AR548">
        <v>7.4948096805976432</v>
      </c>
      <c r="AS548">
        <v>43.741950169619777</v>
      </c>
      <c r="AT548">
        <v>4.6068401677554212</v>
      </c>
      <c r="AU548">
        <v>32.947569880053727</v>
      </c>
      <c r="AV548"/>
      <c r="AW548"/>
      <c r="FY548" s="212">
        <v>543</v>
      </c>
      <c r="FZ548">
        <v>0.36841107372744764</v>
      </c>
      <c r="GA548">
        <v>4.3581003662542965</v>
      </c>
      <c r="GB548">
        <v>5.5950508275685351</v>
      </c>
      <c r="GC548">
        <v>2.4537103779988603</v>
      </c>
      <c r="GD548">
        <v>1.7732953219711995</v>
      </c>
      <c r="GE548">
        <v>4.2528277619925072</v>
      </c>
      <c r="GF548">
        <v>7.7975137019695406</v>
      </c>
      <c r="GG548">
        <v>6.981756545611896</v>
      </c>
      <c r="GH548">
        <v>2.1753640982872335</v>
      </c>
      <c r="GI548">
        <v>4.9081578962658261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6.25</v>
      </c>
      <c r="E549" s="108">
        <f>E414</f>
        <v>0.36420486471005425</v>
      </c>
      <c r="F549" s="102"/>
      <c r="G549" s="101">
        <f>D549*E549</f>
        <v>2.2762804044378391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16.890522875816991</v>
      </c>
      <c r="AO549">
        <v>9.1115223155403928</v>
      </c>
      <c r="AP549">
        <v>77.997698493043714</v>
      </c>
      <c r="AQ549">
        <v>47.713530027672441</v>
      </c>
      <c r="AR549">
        <v>8.3366600286572066</v>
      </c>
      <c r="AS549">
        <v>46.817686773452628</v>
      </c>
      <c r="AT549">
        <v>5.0697049652628152</v>
      </c>
      <c r="AU549">
        <v>29.247868234474968</v>
      </c>
      <c r="AV549"/>
      <c r="AW549"/>
      <c r="FY549" s="212">
        <v>544</v>
      </c>
      <c r="FZ549">
        <v>0.31691771857676954</v>
      </c>
      <c r="GA549">
        <v>3.4592866340293131</v>
      </c>
      <c r="GB549">
        <v>4.8709564369121106</v>
      </c>
      <c r="GC549">
        <v>2.1636617446812965</v>
      </c>
      <c r="GD549">
        <v>1.4171198676181604</v>
      </c>
      <c r="GE549">
        <v>4.5223873886292596</v>
      </c>
      <c r="GF549">
        <v>9.0332484184121125</v>
      </c>
      <c r="GG549">
        <v>5.8436661268343766</v>
      </c>
      <c r="GH549">
        <v>1.5890098386951597</v>
      </c>
      <c r="GI549">
        <v>4.772805103109425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-0.36420486471005425</v>
      </c>
      <c r="I550" s="101">
        <f>AVERAGE(D549:D551)</f>
        <v>3.125</v>
      </c>
      <c r="J550" s="101">
        <f>I550*H550</f>
        <v>-1.1381402022189195</v>
      </c>
      <c r="K550" s="61">
        <f>J550/(C551-C549)</f>
        <v>2.8462755450994563E-5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10.969503012048193</v>
      </c>
      <c r="AO550">
        <v>8.2821098744854229</v>
      </c>
      <c r="AP550">
        <v>47.595577925472</v>
      </c>
      <c r="AQ550">
        <v>41.445767126928644</v>
      </c>
      <c r="AR550">
        <v>7.6043590451246876</v>
      </c>
      <c r="AS550">
        <v>37.917771446367858</v>
      </c>
      <c r="AT550">
        <v>4.6950032326511453</v>
      </c>
      <c r="AU550">
        <v>6.8004946420130805</v>
      </c>
      <c r="AV550"/>
      <c r="AW550"/>
      <c r="FY550" s="212">
        <v>545</v>
      </c>
      <c r="FZ550">
        <v>9.5751569608789211</v>
      </c>
      <c r="GA550">
        <v>11.385813313617449</v>
      </c>
      <c r="GB550">
        <v>5.445332698095096</v>
      </c>
      <c r="GC550">
        <v>3.1073906728032079</v>
      </c>
      <c r="GD550">
        <v>1.4535493614020549</v>
      </c>
      <c r="GE550">
        <v>4.611770795896458</v>
      </c>
      <c r="GF550">
        <v>12.534001436716917</v>
      </c>
      <c r="GG550">
        <v>10.682833324374052</v>
      </c>
      <c r="GH550">
        <v>2.3820207456177904</v>
      </c>
      <c r="GI550">
        <v>7.3438573507395866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19.944240196078432</v>
      </c>
      <c r="AO551">
        <v>9.1632457269221081</v>
      </c>
      <c r="AP551">
        <v>66.951479968563021</v>
      </c>
      <c r="AQ551">
        <v>48.328567157009012</v>
      </c>
      <c r="AR551">
        <v>8.3780462612210993</v>
      </c>
      <c r="AS551">
        <v>45.664062005482869</v>
      </c>
      <c r="AT551">
        <v>4.0387003286082654</v>
      </c>
      <c r="AU551">
        <v>23.210234068063279</v>
      </c>
      <c r="AV551"/>
      <c r="AW551"/>
      <c r="FY551" s="212">
        <v>546</v>
      </c>
      <c r="FZ551">
        <v>6.4854480827725443</v>
      </c>
      <c r="GA551">
        <v>9.4511130363349061</v>
      </c>
      <c r="GB551">
        <v>3.265249799973311</v>
      </c>
      <c r="GC551">
        <v>1.743359652932295</v>
      </c>
      <c r="GD551">
        <v>1.490719610524929</v>
      </c>
      <c r="GE551">
        <v>4.0369221399966859</v>
      </c>
      <c r="GF551">
        <v>7.9056944131569447</v>
      </c>
      <c r="GG551">
        <v>5.6907266642494951</v>
      </c>
      <c r="GH551">
        <v>1.6367886015366766</v>
      </c>
      <c r="GI551">
        <v>5.0307207585593554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17.2540209859044</v>
      </c>
      <c r="AO552">
        <v>9.1625945249301743</v>
      </c>
      <c r="AP552">
        <v>53.097823762659672</v>
      </c>
      <c r="AQ552">
        <v>46.413684810902467</v>
      </c>
      <c r="AR552">
        <v>8.3956603811869623</v>
      </c>
      <c r="AS552">
        <v>43.659031818678109</v>
      </c>
      <c r="AT552">
        <v>4.4495872287926428</v>
      </c>
      <c r="AU552">
        <v>13.732382991861147</v>
      </c>
      <c r="AV552"/>
      <c r="AW552"/>
      <c r="FY552" s="212">
        <v>547</v>
      </c>
      <c r="FZ552">
        <v>3.2024860288693402</v>
      </c>
      <c r="GA552">
        <v>7.0649023973513252</v>
      </c>
      <c r="GB552">
        <v>7.296031375528699</v>
      </c>
      <c r="GC552">
        <v>3.5838326477771991</v>
      </c>
      <c r="GD552">
        <v>0.77600475455584228</v>
      </c>
      <c r="GE552">
        <v>2.9239200974344093</v>
      </c>
      <c r="GF552">
        <v>12.245013997468007</v>
      </c>
      <c r="GG552">
        <v>10.809469448338071</v>
      </c>
      <c r="GH552">
        <v>3.631954289406897</v>
      </c>
      <c r="GI552">
        <v>6.6113219326933237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13.701056677691156</v>
      </c>
      <c r="AO553">
        <v>7.7829030502431404</v>
      </c>
      <c r="AP553">
        <v>45.177496066544641</v>
      </c>
      <c r="AQ553">
        <v>36.813636680861322</v>
      </c>
      <c r="AR553">
        <v>7.1487537023883423</v>
      </c>
      <c r="AS553">
        <v>37.867292137099966</v>
      </c>
      <c r="AT553">
        <v>4.700321351127295</v>
      </c>
      <c r="AU553">
        <v>14.685004521182796</v>
      </c>
      <c r="AV553"/>
      <c r="AW553"/>
      <c r="FY553" s="212">
        <v>548</v>
      </c>
      <c r="FZ553">
        <v>3.3261505716492792</v>
      </c>
      <c r="GA553">
        <v>9.3890864715579667</v>
      </c>
      <c r="GB553">
        <v>9.7075277168322902</v>
      </c>
      <c r="GC553">
        <v>4.2512141682350446</v>
      </c>
      <c r="GD553">
        <v>1.4156265367393319</v>
      </c>
      <c r="GE553">
        <v>3.9796443307788412</v>
      </c>
      <c r="GF553">
        <v>8.4222623758640296</v>
      </c>
      <c r="GG553">
        <v>6.6127754249825479</v>
      </c>
      <c r="GH553">
        <v>3.1423043683005618</v>
      </c>
      <c r="GI553">
        <v>6.437615592602091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15.769748110087409</v>
      </c>
      <c r="AO554">
        <v>8.8243644853201975</v>
      </c>
      <c r="AP554">
        <v>66.006617081560563</v>
      </c>
      <c r="AQ554">
        <v>47.558302674216009</v>
      </c>
      <c r="AR554">
        <v>8.1477108915686784</v>
      </c>
      <c r="AS554">
        <v>44.495942281032306</v>
      </c>
      <c r="AT554">
        <v>4.9480656039778106</v>
      </c>
      <c r="AU554">
        <v>20.97375219206171</v>
      </c>
      <c r="AV554"/>
      <c r="AW554"/>
      <c r="FY554" s="212">
        <v>549</v>
      </c>
      <c r="FZ554">
        <v>9.7903723461655616</v>
      </c>
      <c r="GA554">
        <v>13.931306146702912</v>
      </c>
      <c r="GB554">
        <v>9.3716598327299145</v>
      </c>
      <c r="GC554">
        <v>4.577585966909357</v>
      </c>
      <c r="GD554">
        <v>1.2482444047359793</v>
      </c>
      <c r="GE554">
        <v>3.5341443310800811</v>
      </c>
      <c r="GF554">
        <v>11.009990215684759</v>
      </c>
      <c r="GG554">
        <v>9.9583661190565298</v>
      </c>
      <c r="GH554">
        <v>2.4303126654120373</v>
      </c>
      <c r="GI554">
        <v>7.843894985284229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12.424364123159304</v>
      </c>
      <c r="AO555">
        <v>9.7212419695097019</v>
      </c>
      <c r="AP555">
        <v>62.715556263507793</v>
      </c>
      <c r="AQ555">
        <v>52.759372915093905</v>
      </c>
      <c r="AR555">
        <v>8.9654044165532607</v>
      </c>
      <c r="AS555">
        <v>49.016060622371697</v>
      </c>
      <c r="AT555">
        <v>5.061733625030814</v>
      </c>
      <c r="AU555">
        <v>12.152705137352104</v>
      </c>
      <c r="AV555"/>
      <c r="AW555"/>
      <c r="FY555" s="212">
        <v>550</v>
      </c>
      <c r="FZ555">
        <v>3.51940374744611</v>
      </c>
      <c r="GA555">
        <v>4.994601100953421</v>
      </c>
      <c r="GB555">
        <v>4.9960499008380301</v>
      </c>
      <c r="GC555">
        <v>2.9040499623212268</v>
      </c>
      <c r="GD555">
        <v>1.5201328049997787</v>
      </c>
      <c r="GE555">
        <v>4.169529529755903</v>
      </c>
      <c r="GF555">
        <v>7.5132990326185674</v>
      </c>
      <c r="GG555">
        <v>4.1877962742745805</v>
      </c>
      <c r="GH555">
        <v>1.5626358904358604</v>
      </c>
      <c r="GI555">
        <v>4.7876695510857044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4.6136685801368493</v>
      </c>
      <c r="H556" s="63" t="s">
        <v>103</v>
      </c>
      <c r="I556" s="123">
        <f>SUM(J532:J552)+G531</f>
        <v>48.694177421050412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21.522135109063704</v>
      </c>
      <c r="AO556">
        <v>10.504789000278715</v>
      </c>
      <c r="AP556">
        <v>83.513001209324003</v>
      </c>
      <c r="AQ556">
        <v>55.31006893450845</v>
      </c>
      <c r="AR556">
        <v>9.6195759397141316</v>
      </c>
      <c r="AS556">
        <v>58.16516024157805</v>
      </c>
      <c r="AT556">
        <v>5.1736856777318323</v>
      </c>
      <c r="AU556">
        <v>32.139662041035301</v>
      </c>
      <c r="AV556"/>
      <c r="AW556"/>
      <c r="FY556" s="212">
        <v>551</v>
      </c>
      <c r="FZ556">
        <v>6.3726709320095782</v>
      </c>
      <c r="GA556">
        <v>10.742956891005166</v>
      </c>
      <c r="GB556">
        <v>3.624192183484761</v>
      </c>
      <c r="GC556">
        <v>1.4130143499939778</v>
      </c>
      <c r="GD556">
        <v>1.8382931044944859</v>
      </c>
      <c r="GE556">
        <v>6.4274676800086006</v>
      </c>
      <c r="GF556">
        <v>15.809923699138491</v>
      </c>
      <c r="GG556">
        <v>13.249407752326642</v>
      </c>
      <c r="GH556">
        <v>3.995055450736106</v>
      </c>
      <c r="GI556">
        <v>7.7193049658885053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18.57455065359477</v>
      </c>
      <c r="AO557">
        <v>11.268018426600682</v>
      </c>
      <c r="AP557">
        <v>82.467968184588429</v>
      </c>
      <c r="AQ557">
        <v>62.922024329088018</v>
      </c>
      <c r="AR557">
        <v>10.371063747565993</v>
      </c>
      <c r="AS557">
        <v>54.109753101582989</v>
      </c>
      <c r="AT557">
        <v>5.8808428474466465</v>
      </c>
      <c r="AU557">
        <v>29.711816758084087</v>
      </c>
      <c r="AV557"/>
      <c r="AW557"/>
      <c r="FY557" s="212">
        <v>552</v>
      </c>
      <c r="FZ557">
        <v>9.6554455604569203</v>
      </c>
      <c r="GA557">
        <v>13.923644647343448</v>
      </c>
      <c r="GB557">
        <v>5.0040145831421601</v>
      </c>
      <c r="GC557">
        <v>2.6760632723071627</v>
      </c>
      <c r="GD557">
        <v>0.91523477771275841</v>
      </c>
      <c r="GE557">
        <v>2.7688359319920206</v>
      </c>
      <c r="GF557">
        <v>8.4907760965716328</v>
      </c>
      <c r="GG557">
        <v>5.4312716637026437</v>
      </c>
      <c r="GH557">
        <v>2.0434441819698455</v>
      </c>
      <c r="GI557">
        <v>5.6892533006843795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10.985025887865184</v>
      </c>
      <c r="AO558">
        <v>5.9311925741863396</v>
      </c>
      <c r="AP558">
        <v>37.684609617366476</v>
      </c>
      <c r="AQ558">
        <v>29.272961102457863</v>
      </c>
      <c r="AR558">
        <v>5.4452126301653161</v>
      </c>
      <c r="AS558">
        <v>30.395482212524428</v>
      </c>
      <c r="AT558">
        <v>3.3849084069753044</v>
      </c>
      <c r="AU558">
        <v>9.5754077847041277</v>
      </c>
      <c r="AV558"/>
      <c r="AW558"/>
      <c r="FY558" s="212">
        <v>553</v>
      </c>
      <c r="FZ558">
        <v>3.489136700551696</v>
      </c>
      <c r="GA558">
        <v>5.0264025962871477</v>
      </c>
      <c r="GB558">
        <v>7.8018022220490888</v>
      </c>
      <c r="GC558">
        <v>3.8855009334965316</v>
      </c>
      <c r="GD558">
        <v>0.8782767667821163</v>
      </c>
      <c r="GE558">
        <v>2.821803019858899</v>
      </c>
      <c r="GF558">
        <v>8.4970940786371685</v>
      </c>
      <c r="GG558">
        <v>7.4341958147140428</v>
      </c>
      <c r="GH558">
        <v>1.3077641090921528</v>
      </c>
      <c r="GI558">
        <v>5.6026895246010593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10.554329288127162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15.91210922119852</v>
      </c>
      <c r="AO559">
        <v>8.063949762561915</v>
      </c>
      <c r="AP559">
        <v>41.815725533837053</v>
      </c>
      <c r="AQ559">
        <v>40.664187971647337</v>
      </c>
      <c r="AR559">
        <v>7.3594845973036502</v>
      </c>
      <c r="AS559">
        <v>43.768099828753698</v>
      </c>
      <c r="AT559">
        <v>4.2278312723261298</v>
      </c>
      <c r="AU559">
        <v>13.360864298139608</v>
      </c>
      <c r="AV559"/>
      <c r="AW559"/>
      <c r="FY559" s="212">
        <v>554</v>
      </c>
      <c r="FZ559">
        <v>6.4760324932226645</v>
      </c>
      <c r="GA559">
        <v>10.503345716623723</v>
      </c>
      <c r="GB559">
        <v>3.0700266288503659</v>
      </c>
      <c r="GC559">
        <v>1.3070654771587011</v>
      </c>
      <c r="GD559">
        <v>1.6390728261230665</v>
      </c>
      <c r="GE559">
        <v>4.4471892513013094</v>
      </c>
      <c r="GF559">
        <v>6.4713722799967073</v>
      </c>
      <c r="GG559">
        <v>5.7081543825838477</v>
      </c>
      <c r="GH559">
        <v>4.5356404324341755</v>
      </c>
      <c r="GI559">
        <v>4.9976930828251662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11.15081157965194</v>
      </c>
      <c r="AO560">
        <v>7.9023608236949743</v>
      </c>
      <c r="AP560">
        <v>31.828279458547041</v>
      </c>
      <c r="AQ560">
        <v>37.989059277497986</v>
      </c>
      <c r="AR560">
        <v>7.2801033345926456</v>
      </c>
      <c r="AS560">
        <v>39.371834101837784</v>
      </c>
      <c r="AT560">
        <v>4.7122928514998561</v>
      </c>
      <c r="AU560">
        <v>1.1136958948020852</v>
      </c>
      <c r="AV560"/>
      <c r="AW560"/>
      <c r="FY560" s="212">
        <v>555</v>
      </c>
      <c r="FZ560">
        <v>6.6596826540137499</v>
      </c>
      <c r="GA560">
        <v>11.982223698040057</v>
      </c>
      <c r="GB560">
        <v>5.3888402519635532</v>
      </c>
      <c r="GC560">
        <v>1.9040155618242083</v>
      </c>
      <c r="GD560">
        <v>1.0580579029684125</v>
      </c>
      <c r="GE560">
        <v>3.6284984156489175</v>
      </c>
      <c r="GF560">
        <v>3.97460630398154</v>
      </c>
      <c r="GG560">
        <v>0.99122342478951775</v>
      </c>
      <c r="GH560">
        <v>1.8102347595185297</v>
      </c>
      <c r="GI560">
        <v>4.1400759413816512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14.260416666666668</v>
      </c>
      <c r="AO561">
        <v>12.833485417312195</v>
      </c>
      <c r="AP561">
        <v>86.446303491302942</v>
      </c>
      <c r="AQ561">
        <v>68.521726660141525</v>
      </c>
      <c r="AR561">
        <v>11.710146682701732</v>
      </c>
      <c r="AS561">
        <v>59.101616484873162</v>
      </c>
      <c r="AT561">
        <v>6.7245975969293097</v>
      </c>
      <c r="AU561">
        <v>4.9227444113553451</v>
      </c>
      <c r="AV561"/>
      <c r="AW561"/>
      <c r="FY561" s="212">
        <v>556</v>
      </c>
      <c r="FZ561">
        <v>0.11370047745237738</v>
      </c>
      <c r="GA561">
        <v>2.9485900810322159</v>
      </c>
      <c r="GB561">
        <v>7.6790656203128407</v>
      </c>
      <c r="GC561">
        <v>3.8203553558319543</v>
      </c>
      <c r="GD561">
        <v>1.1743900583662856</v>
      </c>
      <c r="GE561">
        <v>2.5246424918476209</v>
      </c>
      <c r="GF561">
        <v>6.5921182701942991</v>
      </c>
      <c r="GG561">
        <v>6.335903770498561</v>
      </c>
      <c r="GH561">
        <v>2.3541973033009196</v>
      </c>
      <c r="GI561">
        <v>4.8947142674652957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16.879646035120878</v>
      </c>
      <c r="AO562">
        <v>8.6429671177853429</v>
      </c>
      <c r="AP562">
        <v>69.230016535940436</v>
      </c>
      <c r="AQ562">
        <v>46.736742760037146</v>
      </c>
      <c r="AR562">
        <v>7.9459630509519101</v>
      </c>
      <c r="AS562">
        <v>39.594236230514881</v>
      </c>
      <c r="AT562">
        <v>4.0749583617952654</v>
      </c>
      <c r="AU562">
        <v>5.9318599813610025</v>
      </c>
      <c r="AV562"/>
      <c r="AW562"/>
      <c r="FY562" s="212">
        <v>557</v>
      </c>
      <c r="FZ562">
        <v>7.1983762173395749E-2</v>
      </c>
      <c r="GA562">
        <v>3.5524925717528881</v>
      </c>
      <c r="GB562">
        <v>11.675776539001433</v>
      </c>
      <c r="GC562">
        <v>5.6526914951072218</v>
      </c>
      <c r="GD562">
        <v>1.3386166461326083</v>
      </c>
      <c r="GE562">
        <v>3.6503782047182103</v>
      </c>
      <c r="GF562">
        <v>6.085797382071096</v>
      </c>
      <c r="GG562">
        <v>3.5192282285083403</v>
      </c>
      <c r="GH562">
        <v>1.8060229014097309</v>
      </c>
      <c r="GI562">
        <v>5.64258475577111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16.564133986928102</v>
      </c>
      <c r="AO563">
        <v>11.233837794016019</v>
      </c>
      <c r="AP563">
        <v>68.636749776423017</v>
      </c>
      <c r="AQ563">
        <v>58.144936969423114</v>
      </c>
      <c r="AR563">
        <v>10.324413440420303</v>
      </c>
      <c r="AS563">
        <v>51.218930677471448</v>
      </c>
      <c r="AT563">
        <v>6.4575466013158298</v>
      </c>
      <c r="AU563">
        <v>13.615091619263984</v>
      </c>
      <c r="AV563"/>
      <c r="AW563"/>
      <c r="FY563" s="212">
        <v>558</v>
      </c>
      <c r="FZ563">
        <v>0.29550398486464063</v>
      </c>
      <c r="GA563">
        <v>2.7303411603445165</v>
      </c>
      <c r="GB563">
        <v>3.430558394429104</v>
      </c>
      <c r="GC563">
        <v>1.8721240380764979</v>
      </c>
      <c r="GD563">
        <v>1.3570721733774862</v>
      </c>
      <c r="GE563">
        <v>4.1420312280253571</v>
      </c>
      <c r="GF563">
        <v>7.2431870357781953</v>
      </c>
      <c r="GG563">
        <v>3.2971141018669936</v>
      </c>
      <c r="GH563">
        <v>0.28462136001970906</v>
      </c>
      <c r="GI563">
        <v>3.5276855700520433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20.224609221198524</v>
      </c>
      <c r="AO564">
        <v>10.558421806465356</v>
      </c>
      <c r="AP564">
        <v>47.539480361872606</v>
      </c>
      <c r="AQ564">
        <v>56.684207557541981</v>
      </c>
      <c r="AR564">
        <v>9.7203918600089647</v>
      </c>
      <c r="AS564">
        <v>54.136603528090617</v>
      </c>
      <c r="AT564">
        <v>5.1807714135045604</v>
      </c>
      <c r="AU564">
        <v>12.429400262824124</v>
      </c>
      <c r="AV564"/>
      <c r="AW564"/>
      <c r="FY564" s="212">
        <v>559</v>
      </c>
      <c r="FZ564">
        <v>3.4880259484064196</v>
      </c>
      <c r="GA564">
        <v>6.7872799103193442</v>
      </c>
      <c r="GB564">
        <v>6.8339131076975335</v>
      </c>
      <c r="GC564">
        <v>3.4950363096296471</v>
      </c>
      <c r="GD564">
        <v>1.6202325813317688</v>
      </c>
      <c r="GE564">
        <v>2.4568096184342343</v>
      </c>
      <c r="GF564">
        <v>4.005023476840881</v>
      </c>
      <c r="GG564">
        <v>4.3937224973070563</v>
      </c>
      <c r="GH564">
        <v>1.1468156096909752</v>
      </c>
      <c r="GI564">
        <v>4.5640994463769307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22.927632097015511</v>
      </c>
      <c r="AO565">
        <v>13.488346364502785</v>
      </c>
      <c r="AP565">
        <v>97.260346941589901</v>
      </c>
      <c r="AQ565">
        <v>73.695877013761347</v>
      </c>
      <c r="AR565">
        <v>12.324545331405329</v>
      </c>
      <c r="AS565">
        <v>62.624909846193539</v>
      </c>
      <c r="AT565">
        <v>6.6340548602641327</v>
      </c>
      <c r="AU565">
        <v>22.802658790925324</v>
      </c>
      <c r="AV565"/>
      <c r="AW565"/>
      <c r="FY565" s="212">
        <v>560</v>
      </c>
      <c r="FZ565">
        <v>0.14323162311324525</v>
      </c>
      <c r="GA565">
        <v>4.7015817880556963</v>
      </c>
      <c r="GB565">
        <v>9.1098986051846573</v>
      </c>
      <c r="GC565">
        <v>4.0802335104757947</v>
      </c>
      <c r="GD565">
        <v>1.0360814777201863</v>
      </c>
      <c r="GE565">
        <v>3.8200213428942753</v>
      </c>
      <c r="GF565">
        <v>15.835540674835762</v>
      </c>
      <c r="GG565">
        <v>14.655729572312808</v>
      </c>
      <c r="GH565">
        <v>3.181510539906907</v>
      </c>
      <c r="GI565">
        <v>7.6677797226817725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13.848856209150323</v>
      </c>
      <c r="AO566">
        <v>7.7936655346802679</v>
      </c>
      <c r="AP566">
        <v>70.064522054128489</v>
      </c>
      <c r="AQ566">
        <v>40.155167794729188</v>
      </c>
      <c r="AR566">
        <v>7.258116513980851</v>
      </c>
      <c r="AS566">
        <v>41.325320723813427</v>
      </c>
      <c r="AT566" t="e">
        <v>#DIV/0!</v>
      </c>
      <c r="AU566" t="e">
        <v>#DIV/0!</v>
      </c>
      <c r="AV566"/>
      <c r="AW566"/>
      <c r="FY566" s="212">
        <v>561</v>
      </c>
      <c r="FZ566">
        <v>9.5945366157563612</v>
      </c>
      <c r="GA566">
        <v>14.413379233397823</v>
      </c>
      <c r="GB566">
        <v>7.1971458371855608</v>
      </c>
      <c r="GC566">
        <v>3.2902125571039833</v>
      </c>
      <c r="GD566">
        <v>1.3820939015720826</v>
      </c>
      <c r="GE566">
        <v>4.2729892061515766</v>
      </c>
      <c r="GF566">
        <v>9.4981140394405692</v>
      </c>
      <c r="GG566">
        <v>7.6623824099522722</v>
      </c>
      <c r="GH566">
        <v>2.9047023292113696</v>
      </c>
      <c r="GI566">
        <v>6.9481780223540239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16.37391477675407</v>
      </c>
      <c r="AO567">
        <v>13.251978859961085</v>
      </c>
      <c r="AP567">
        <v>85.778867695566106</v>
      </c>
      <c r="AQ567">
        <v>71.192287009086314</v>
      </c>
      <c r="AR567">
        <v>12.187119970174827</v>
      </c>
      <c r="AS567">
        <v>59.810837513892245</v>
      </c>
      <c r="AT567">
        <v>7.4823174848548115</v>
      </c>
      <c r="AU567">
        <v>24.809656728660585</v>
      </c>
      <c r="AV567"/>
      <c r="AW567"/>
      <c r="FY567" s="212">
        <v>562</v>
      </c>
      <c r="FZ567">
        <v>0.14212087096796905</v>
      </c>
      <c r="GA567">
        <v>6.0571128249913704</v>
      </c>
      <c r="GB567">
        <v>12.280879848676427</v>
      </c>
      <c r="GC567">
        <v>5.3288857107607246</v>
      </c>
      <c r="GD567">
        <v>0.77162143645012748</v>
      </c>
      <c r="GE567">
        <v>2.3891681336818738</v>
      </c>
      <c r="GF567">
        <v>8.5462287207208352</v>
      </c>
      <c r="GG567">
        <v>8.3099188338410279</v>
      </c>
      <c r="GH567">
        <v>3.1949869730650668</v>
      </c>
      <c r="GI567">
        <v>6.3708403647480667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13.611864123159304</v>
      </c>
      <c r="AO568">
        <v>9.8306933886794923</v>
      </c>
      <c r="AP568">
        <v>63.847119751271549</v>
      </c>
      <c r="AQ568">
        <v>56.597984015882979</v>
      </c>
      <c r="AR568">
        <v>9.018957847500447</v>
      </c>
      <c r="AS568">
        <v>46.097243230775028</v>
      </c>
      <c r="AT568">
        <v>4.6870398573602357</v>
      </c>
      <c r="AU568">
        <v>-0.68666600739738293</v>
      </c>
      <c r="AV568"/>
      <c r="AW568"/>
      <c r="FY568" s="212">
        <v>563</v>
      </c>
      <c r="FZ568">
        <v>0.19398907703037704</v>
      </c>
      <c r="GA568">
        <v>2.4332653698050573</v>
      </c>
      <c r="GB568">
        <v>4.9358482732328186</v>
      </c>
      <c r="GC568">
        <v>2.4890309630010128</v>
      </c>
      <c r="GD568">
        <v>1.580703014166879</v>
      </c>
      <c r="GE568">
        <v>5.1290342863983494</v>
      </c>
      <c r="GF568">
        <v>9.567354525400118</v>
      </c>
      <c r="GG568">
        <v>8.124690682658029</v>
      </c>
      <c r="GH568">
        <v>3.4804445607768733</v>
      </c>
      <c r="GI568">
        <v>5.1965843817743362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18.5796568627451</v>
      </c>
      <c r="AO569">
        <v>9.5734639756072788</v>
      </c>
      <c r="AP569">
        <v>76.49205672904742</v>
      </c>
      <c r="AQ569">
        <v>46.744665766069907</v>
      </c>
      <c r="AR569">
        <v>8.7718850198106928</v>
      </c>
      <c r="AS569">
        <v>44.741984938170503</v>
      </c>
      <c r="AT569">
        <v>5.6314643540552076</v>
      </c>
      <c r="AU569">
        <v>30.123232617434841</v>
      </c>
      <c r="AV569"/>
      <c r="AW569"/>
      <c r="FY569" s="212">
        <v>564</v>
      </c>
      <c r="FZ569">
        <v>3.2635823990257631</v>
      </c>
      <c r="GA569">
        <v>8.141965548713987</v>
      </c>
      <c r="GB569">
        <v>8.3382158833446773</v>
      </c>
      <c r="GC569">
        <v>3.7319853538211314</v>
      </c>
      <c r="GD569">
        <v>0.65799309544040452</v>
      </c>
      <c r="GE569">
        <v>2.1324335530333141</v>
      </c>
      <c r="GF569">
        <v>10.89365392055716</v>
      </c>
      <c r="GG569">
        <v>10.308800018437317</v>
      </c>
      <c r="GH569">
        <v>3.746441527099881</v>
      </c>
      <c r="GI569">
        <v>6.4607373606146155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12.663947456492632</v>
      </c>
      <c r="AO570">
        <v>8.246690492684321</v>
      </c>
      <c r="AP570">
        <v>41.284423711583337</v>
      </c>
      <c r="AQ570">
        <v>49.155592571119733</v>
      </c>
      <c r="AR570">
        <v>7.6416312007400347</v>
      </c>
      <c r="AS570">
        <v>41.973837668057463</v>
      </c>
      <c r="AT570">
        <v>4.1513536005253115</v>
      </c>
      <c r="AU570">
        <v>4.1699402761120812</v>
      </c>
      <c r="AV570"/>
      <c r="AW570"/>
      <c r="FY570" s="212">
        <v>565</v>
      </c>
      <c r="FZ570">
        <v>3.4756529533324407</v>
      </c>
      <c r="GA570">
        <v>6.2833445733878284</v>
      </c>
      <c r="GB570">
        <v>8.2943025645809083</v>
      </c>
      <c r="GC570">
        <v>3.9746984815807349</v>
      </c>
      <c r="GD570">
        <v>3.3564684425342861</v>
      </c>
      <c r="GE570">
        <v>7.6669859955333131</v>
      </c>
      <c r="GF570">
        <v>3.8181072008259314</v>
      </c>
      <c r="GG570">
        <v>3.0484502051964024</v>
      </c>
      <c r="GH570">
        <v>3.6876798914893532</v>
      </c>
      <c r="GI570">
        <v>6.5101745984041663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19.639437652571068</v>
      </c>
      <c r="AO571">
        <v>6.7545840711023146</v>
      </c>
      <c r="AP571">
        <v>58.106869201161196</v>
      </c>
      <c r="AQ571">
        <v>41.537458914130141</v>
      </c>
      <c r="AR571">
        <v>6.2742534184844452</v>
      </c>
      <c r="AS571">
        <v>38.510882236487141</v>
      </c>
      <c r="AT571">
        <v>2.9763969947784097</v>
      </c>
      <c r="AU571">
        <v>30.811281312618309</v>
      </c>
      <c r="AV571"/>
      <c r="AW571"/>
      <c r="FY571" s="212">
        <v>566</v>
      </c>
      <c r="FZ571">
        <v>3.2015627021799289</v>
      </c>
      <c r="GA571">
        <v>4.6172143121212228</v>
      </c>
      <c r="GB571">
        <v>6.2960776407168701</v>
      </c>
      <c r="GC571">
        <v>3.4352544292020539</v>
      </c>
      <c r="GD571">
        <v>1.5239047549136366</v>
      </c>
      <c r="GE571">
        <v>3.329228214802094</v>
      </c>
      <c r="GF571">
        <v>5.3036554667135256</v>
      </c>
      <c r="GG571">
        <v>5.5680232226786543</v>
      </c>
      <c r="GH571">
        <v>3.6059801976680608</v>
      </c>
      <c r="GI571">
        <v>4.9741062298596344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12.518995098039214</v>
      </c>
      <c r="AO572">
        <v>8.0554649736227653</v>
      </c>
      <c r="AP572">
        <v>46.576557988527583</v>
      </c>
      <c r="AQ572">
        <v>38.437677696302373</v>
      </c>
      <c r="AR572">
        <v>7.4292321391802876</v>
      </c>
      <c r="AS572">
        <v>42.048774822356307</v>
      </c>
      <c r="AT572">
        <v>4.967504484921089</v>
      </c>
      <c r="AU572">
        <v>14.583495729706359</v>
      </c>
      <c r="AV572"/>
      <c r="AW572"/>
      <c r="FY572" s="212">
        <v>567</v>
      </c>
      <c r="FZ572">
        <v>0.29753806369932806</v>
      </c>
      <c r="GA572">
        <v>5.0686832982822168</v>
      </c>
      <c r="GB572">
        <v>8.8631427186914635</v>
      </c>
      <c r="GC572">
        <v>3.9316670196095806</v>
      </c>
      <c r="GD572">
        <v>1.5043400898152117</v>
      </c>
      <c r="GE572">
        <v>2.9706652848593653</v>
      </c>
      <c r="GF572">
        <v>4.6270476136243692</v>
      </c>
      <c r="GG572">
        <v>4.7605527673354864</v>
      </c>
      <c r="GH572">
        <v>2.4712914018153196</v>
      </c>
      <c r="GI572">
        <v>4.953579797274851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13.692478246318609</v>
      </c>
      <c r="AO573">
        <v>8.9545007433417592</v>
      </c>
      <c r="AP573">
        <v>46.272030189585543</v>
      </c>
      <c r="AQ573">
        <v>42.99557248664604</v>
      </c>
      <c r="AR573">
        <v>8.3207219260065113</v>
      </c>
      <c r="AS573">
        <v>46.326499092732149</v>
      </c>
      <c r="AT573">
        <v>5.1968245863744436</v>
      </c>
      <c r="AU573">
        <v>11.291273694661886</v>
      </c>
      <c r="AV573"/>
      <c r="AW573"/>
      <c r="FY573" s="212">
        <v>568</v>
      </c>
      <c r="FZ573">
        <v>6.4142002218326954</v>
      </c>
      <c r="GA573">
        <v>10.364941426778437</v>
      </c>
      <c r="GB573">
        <v>7.2636967125658147</v>
      </c>
      <c r="GC573">
        <v>3.454125322284828</v>
      </c>
      <c r="GD573">
        <v>1.3272660209396978</v>
      </c>
      <c r="GE573">
        <v>2.9229366056925201</v>
      </c>
      <c r="GF573">
        <v>5.2591630486077161</v>
      </c>
      <c r="GG573">
        <v>4.1130163434467315</v>
      </c>
      <c r="GH573">
        <v>1.637480585350866</v>
      </c>
      <c r="GI573">
        <v>5.1851995772201285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11.786356209150325</v>
      </c>
      <c r="AO574">
        <v>5.732662826796405</v>
      </c>
      <c r="AP574">
        <v>40.403383072814805</v>
      </c>
      <c r="AQ574">
        <v>28.18023904683454</v>
      </c>
      <c r="AR574">
        <v>5.2557687230821557</v>
      </c>
      <c r="AS574">
        <v>31.538087208840967</v>
      </c>
      <c r="AT574" t="e">
        <v>#DIV/0!</v>
      </c>
      <c r="AU574" t="e">
        <v>#DIV/0!</v>
      </c>
      <c r="AV574"/>
      <c r="AW574"/>
      <c r="FY574" s="212">
        <v>569</v>
      </c>
      <c r="FZ574">
        <v>9.6148395973232148</v>
      </c>
      <c r="GA574">
        <v>14.528827412855851</v>
      </c>
      <c r="GB574">
        <v>6.2024732261655799</v>
      </c>
      <c r="GC574">
        <v>2.4857120122885688</v>
      </c>
      <c r="GD574">
        <v>1.3086551779753364</v>
      </c>
      <c r="GE574">
        <v>4.9931216722063505</v>
      </c>
      <c r="GF574">
        <v>8.2623793229979974</v>
      </c>
      <c r="GG574">
        <v>4.7704597353087044</v>
      </c>
      <c r="GH574">
        <v>1.7060384107803674</v>
      </c>
      <c r="GI574">
        <v>6.0597372689165026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14.068231258366799</v>
      </c>
      <c r="AO575">
        <v>7.565897839821945</v>
      </c>
      <c r="AP575">
        <v>47.75006247757279</v>
      </c>
      <c r="AQ575">
        <v>38.790958506034798</v>
      </c>
      <c r="AR575">
        <v>6.9323429460769095</v>
      </c>
      <c r="AS575">
        <v>37.166621466910776</v>
      </c>
      <c r="AT575">
        <v>3.8280451500446944</v>
      </c>
      <c r="AU575">
        <v>-5.5939989974042588</v>
      </c>
      <c r="AV575"/>
      <c r="AW575"/>
      <c r="FY575" s="212">
        <v>570</v>
      </c>
      <c r="FZ575">
        <v>3.1812597206130762</v>
      </c>
      <c r="GA575">
        <v>5.175942804680548</v>
      </c>
      <c r="GB575">
        <v>8.8274203016375647</v>
      </c>
      <c r="GC575">
        <v>4.9538038442151997</v>
      </c>
      <c r="GD575">
        <v>1.0571087255637472</v>
      </c>
      <c r="GE575">
        <v>3.4794994252371207</v>
      </c>
      <c r="GF575">
        <v>13.978598071725168</v>
      </c>
      <c r="GG575">
        <v>12.92507978892516</v>
      </c>
      <c r="GH575">
        <v>3.4499355401898719</v>
      </c>
      <c r="GI575">
        <v>7.629712463638171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16.90441176470588</v>
      </c>
      <c r="AO576">
        <v>12.98152760463098</v>
      </c>
      <c r="AP576">
        <v>61.362450241610681</v>
      </c>
      <c r="AQ576">
        <v>64.231608857181115</v>
      </c>
      <c r="AR576">
        <v>11.868343813569568</v>
      </c>
      <c r="AS576">
        <v>61.459405422722163</v>
      </c>
      <c r="AT576">
        <v>8.0260689812486756</v>
      </c>
      <c r="AU576">
        <v>12.796263427705741</v>
      </c>
      <c r="AV576"/>
      <c r="AW576"/>
      <c r="FY576" s="212">
        <v>571</v>
      </c>
      <c r="FZ576">
        <v>4.0605963133705437E-2</v>
      </c>
      <c r="GA576">
        <v>4.2832223806879188</v>
      </c>
      <c r="GB576">
        <v>5.1329325597373696</v>
      </c>
      <c r="GC576">
        <v>2.0065738479206221</v>
      </c>
      <c r="GD576">
        <v>0.88013695221958843</v>
      </c>
      <c r="GE576">
        <v>2.7492661922489199</v>
      </c>
      <c r="GF576">
        <v>6.3044407018088746</v>
      </c>
      <c r="GG576">
        <v>4.8597439209700042</v>
      </c>
      <c r="GH576">
        <v>2.7776519065085177</v>
      </c>
      <c r="GI576">
        <v>3.7562415360950947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18.294806677691156</v>
      </c>
      <c r="AO577">
        <v>11.841456915552996</v>
      </c>
      <c r="AP577">
        <v>92.775566461221473</v>
      </c>
      <c r="AQ577">
        <v>67.163734152125627</v>
      </c>
      <c r="AR577">
        <v>10.870358264309379</v>
      </c>
      <c r="AS577">
        <v>56.513597102117224</v>
      </c>
      <c r="AT577">
        <v>6.0743967084408927</v>
      </c>
      <c r="AU577">
        <v>15.367727140972772</v>
      </c>
      <c r="AV577"/>
      <c r="AW577"/>
      <c r="FY577" s="212">
        <v>572</v>
      </c>
      <c r="FZ577">
        <v>6.6489826874526425</v>
      </c>
      <c r="GA577">
        <v>10.355303936126255</v>
      </c>
      <c r="GB577">
        <v>7.0171844455188355</v>
      </c>
      <c r="GC577">
        <v>3.4200606803245686</v>
      </c>
      <c r="GD577">
        <v>1.6374141378023173</v>
      </c>
      <c r="GE577">
        <v>4.6122651828663557</v>
      </c>
      <c r="GF577">
        <v>4.9678942320679473</v>
      </c>
      <c r="GG577">
        <v>3.4719803866296179</v>
      </c>
      <c r="GH577">
        <v>3.3487459087935889</v>
      </c>
      <c r="GI577">
        <v>5.5079016894316046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19.02410130718954</v>
      </c>
      <c r="AO578">
        <v>10.470538610546351</v>
      </c>
      <c r="AP578">
        <v>66.035995221653423</v>
      </c>
      <c r="AQ578">
        <v>53.391763717903494</v>
      </c>
      <c r="AR578">
        <v>9.588439221775614</v>
      </c>
      <c r="AS578">
        <v>51.23525602912467</v>
      </c>
      <c r="AT578">
        <v>6.4212317619426846</v>
      </c>
      <c r="AU578">
        <v>23.098364846287506</v>
      </c>
      <c r="AV578"/>
      <c r="AW578"/>
      <c r="FY578" s="212">
        <v>573</v>
      </c>
      <c r="FZ578">
        <v>6.4854480827725451</v>
      </c>
      <c r="GA578">
        <v>12.476714160769019</v>
      </c>
      <c r="GB578">
        <v>6.6763676396806231</v>
      </c>
      <c r="GC578">
        <v>2.970647454928864</v>
      </c>
      <c r="GD578">
        <v>1.7297239733660896</v>
      </c>
      <c r="GE578">
        <v>4.2622278015249515</v>
      </c>
      <c r="GF578">
        <v>6.6303453639626433</v>
      </c>
      <c r="GG578">
        <v>4.6908250218150247</v>
      </c>
      <c r="GH578">
        <v>2.6399760300844743</v>
      </c>
      <c r="GI578">
        <v>5.8067671563625582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12.733391900937082</v>
      </c>
      <c r="AO579">
        <v>8.5771638793655285</v>
      </c>
      <c r="AP579">
        <v>43.710490470065537</v>
      </c>
      <c r="AQ579">
        <v>43.130945134243852</v>
      </c>
      <c r="AR579">
        <v>7.8213888180654783</v>
      </c>
      <c r="AS579">
        <v>42.092244679316657</v>
      </c>
      <c r="AT579">
        <v>5.0471655219338478</v>
      </c>
      <c r="AU579">
        <v>2.4848536699123769</v>
      </c>
      <c r="AV579"/>
      <c r="AW579"/>
      <c r="FY579" s="212">
        <v>574</v>
      </c>
      <c r="FZ579">
        <v>0.21502795983077602</v>
      </c>
      <c r="GA579">
        <v>2.6535888140915533</v>
      </c>
      <c r="GB579">
        <v>10.399706751589807</v>
      </c>
      <c r="GC579">
        <v>5.1720479022753807</v>
      </c>
      <c r="GD579">
        <v>0.99670894392240783</v>
      </c>
      <c r="GE579">
        <v>4.6420046006458691</v>
      </c>
      <c r="GF579">
        <v>9.0631619550560529</v>
      </c>
      <c r="GG579">
        <v>4.9976260472574374</v>
      </c>
      <c r="GH579">
        <v>2.3251667885495113</v>
      </c>
      <c r="GI579">
        <v>5.8696704461307991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12.684027777777777</v>
      </c>
      <c r="AO580">
        <v>10.802234711677755</v>
      </c>
      <c r="AP580">
        <v>93.854439993182069</v>
      </c>
      <c r="AQ580">
        <v>57.675808660088251</v>
      </c>
      <c r="AR580">
        <v>10.011400203280321</v>
      </c>
      <c r="AS580">
        <v>56.861706244245667</v>
      </c>
      <c r="AT580" t="e">
        <v>#DIV/0!</v>
      </c>
      <c r="AU580" t="e">
        <v>#DIV/0!</v>
      </c>
      <c r="AV580"/>
      <c r="AW580"/>
      <c r="FY580" s="212">
        <v>575</v>
      </c>
      <c r="FZ580">
        <v>3.3335320823644716</v>
      </c>
      <c r="GA580">
        <v>6.6744657456468408</v>
      </c>
      <c r="GB580">
        <v>3.7846579075591826</v>
      </c>
      <c r="GC580">
        <v>1.5621213665589138</v>
      </c>
      <c r="GD580">
        <v>1.2698666702311387</v>
      </c>
      <c r="GE580">
        <v>3.7200828714315373</v>
      </c>
      <c r="GF580">
        <v>6.3413304974496025</v>
      </c>
      <c r="GG580">
        <v>3.8038560003646271</v>
      </c>
      <c r="GH580">
        <v>2.0663772080583493</v>
      </c>
      <c r="GI580">
        <v>4.0783737753511442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14.667419678714859</v>
      </c>
      <c r="AO581">
        <v>10.614190283328675</v>
      </c>
      <c r="AP581">
        <v>59.436980343022022</v>
      </c>
      <c r="AQ581">
        <v>50.115864906865355</v>
      </c>
      <c r="AR581">
        <v>9.7739663988326271</v>
      </c>
      <c r="AS581">
        <v>51.790753486902879</v>
      </c>
      <c r="AT581">
        <v>6.0761284271165783</v>
      </c>
      <c r="AU581">
        <v>27.090015926199989</v>
      </c>
      <c r="AV581"/>
      <c r="AW581"/>
      <c r="FY581" s="212">
        <v>576</v>
      </c>
      <c r="FZ581">
        <v>6.711925710987888</v>
      </c>
      <c r="GA581">
        <v>8.87536240306469</v>
      </c>
      <c r="GB581">
        <v>4.5797784355575395</v>
      </c>
      <c r="GC581">
        <v>2.5823021281573384</v>
      </c>
      <c r="GD581">
        <v>1.3012016654528817</v>
      </c>
      <c r="GE581">
        <v>2.9240916303556164</v>
      </c>
      <c r="GF581">
        <v>4.5364050467178849</v>
      </c>
      <c r="GG581">
        <v>3.335683726100763</v>
      </c>
      <c r="GH581">
        <v>2.1331512093390086</v>
      </c>
      <c r="GI581">
        <v>4.4098516475275309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15.800245098039216</v>
      </c>
      <c r="AO582">
        <v>8.0962588265697413</v>
      </c>
      <c r="AP582">
        <v>53.426709097669452</v>
      </c>
      <c r="AQ582">
        <v>41.855007170855679</v>
      </c>
      <c r="AR582">
        <v>7.5339476619717782</v>
      </c>
      <c r="AS582">
        <v>44.684838805720403</v>
      </c>
      <c r="AT582">
        <v>4.1733029018539805</v>
      </c>
      <c r="AU582">
        <v>1.0394823830990034</v>
      </c>
      <c r="AV582"/>
      <c r="AW582"/>
      <c r="FY582" s="212">
        <v>577</v>
      </c>
      <c r="FZ582">
        <v>6.6286797058857907</v>
      </c>
      <c r="GA582">
        <v>11.264125137249019</v>
      </c>
      <c r="GB582">
        <v>10.393720525795391</v>
      </c>
      <c r="GC582">
        <v>5.0660897200990522</v>
      </c>
      <c r="GD582">
        <v>1.0719096776335304</v>
      </c>
      <c r="GE582">
        <v>5.1839903629253019</v>
      </c>
      <c r="GF582">
        <v>14.83255195064157</v>
      </c>
      <c r="GG582">
        <v>9.7200640888063123</v>
      </c>
      <c r="GH582">
        <v>1.8112478824044675</v>
      </c>
      <c r="GI582">
        <v>8.3416952688073742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12.361111111111111</v>
      </c>
      <c r="AO583">
        <v>8.074254802999997</v>
      </c>
      <c r="AP583">
        <v>39.637864997582071</v>
      </c>
      <c r="AQ583">
        <v>39.448508055007188</v>
      </c>
      <c r="AR583">
        <v>7.3980446526131676</v>
      </c>
      <c r="AS583">
        <v>39.525516980478358</v>
      </c>
      <c r="AT583">
        <v>4.8145243506402737</v>
      </c>
      <c r="AU583">
        <v>9.7591854780095968</v>
      </c>
      <c r="AV583"/>
      <c r="AW583"/>
      <c r="FY583" s="212">
        <v>578</v>
      </c>
      <c r="FZ583">
        <v>6.5576192704018057</v>
      </c>
      <c r="GA583">
        <v>11.788362274529097</v>
      </c>
      <c r="GB583">
        <v>4.8442725504453499</v>
      </c>
      <c r="GC583">
        <v>1.908573855084652</v>
      </c>
      <c r="GD583">
        <v>1.5995684605941654</v>
      </c>
      <c r="GE583">
        <v>2.8028250067060121</v>
      </c>
      <c r="GF583">
        <v>5.7052311154196467</v>
      </c>
      <c r="GG583">
        <v>5.1191989215168539</v>
      </c>
      <c r="GH583">
        <v>1.4947335341693777</v>
      </c>
      <c r="GI583">
        <v>4.9336427478198868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20.865885109063708</v>
      </c>
      <c r="AO584">
        <v>8.6452267808109866</v>
      </c>
      <c r="AP584">
        <v>58.288163628971887</v>
      </c>
      <c r="AQ584">
        <v>47.942025864719426</v>
      </c>
      <c r="AR584">
        <v>7.9618722185699209</v>
      </c>
      <c r="AS584">
        <v>44.301678100980098</v>
      </c>
      <c r="AT584">
        <v>3.586385960841648</v>
      </c>
      <c r="AU584">
        <v>15.955231908187251</v>
      </c>
      <c r="AV584"/>
      <c r="AW584"/>
      <c r="FY584" s="212">
        <v>579</v>
      </c>
      <c r="FZ584">
        <v>6.4944888214106946</v>
      </c>
      <c r="GA584">
        <v>13.512740750789701</v>
      </c>
      <c r="GB584">
        <v>10.215181480999512</v>
      </c>
      <c r="GC584">
        <v>3.8388779869994574</v>
      </c>
      <c r="GD584">
        <v>0.58234577835093271</v>
      </c>
      <c r="GE584">
        <v>3.25546742925179</v>
      </c>
      <c r="GF584">
        <v>9.1193255138645775</v>
      </c>
      <c r="GG584">
        <v>6.6612520171895353</v>
      </c>
      <c r="GH584">
        <v>2.4681713840411734</v>
      </c>
      <c r="GI584">
        <v>6.4832028914021862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19.402573529411764</v>
      </c>
      <c r="AO585">
        <v>10.344052219087789</v>
      </c>
      <c r="AP585">
        <v>87.945188665906102</v>
      </c>
      <c r="AQ585">
        <v>59.932243836818465</v>
      </c>
      <c r="AR585">
        <v>9.459661083997787</v>
      </c>
      <c r="AS585">
        <v>47.207790079021798</v>
      </c>
      <c r="AT585">
        <v>4.7364927731600863</v>
      </c>
      <c r="AU585">
        <v>49.190592064677958</v>
      </c>
      <c r="AV585"/>
      <c r="AW585"/>
      <c r="FY585" s="212">
        <v>580</v>
      </c>
      <c r="FZ585">
        <v>0.14304419765738027</v>
      </c>
      <c r="GA585">
        <v>1.5068434242257096</v>
      </c>
      <c r="GB585">
        <v>7.4563109338458649</v>
      </c>
      <c r="GC585">
        <v>3.8609651236243794</v>
      </c>
      <c r="GD585">
        <v>0.82234439302558271</v>
      </c>
      <c r="GE585">
        <v>4.0328777045244086</v>
      </c>
      <c r="GF585">
        <v>6.7005841680176346</v>
      </c>
      <c r="GG585">
        <v>2.9903130764245791</v>
      </c>
      <c r="GH585">
        <v>1.7359687479854466</v>
      </c>
      <c r="GI585">
        <v>4.2563662262321067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16.873161764705877</v>
      </c>
      <c r="AO586">
        <v>13.064331192191514</v>
      </c>
      <c r="AP586">
        <v>74.840635881234789</v>
      </c>
      <c r="AQ586">
        <v>64.658360686425624</v>
      </c>
      <c r="AR586">
        <v>11.912590558546226</v>
      </c>
      <c r="AS586">
        <v>55.139441933558061</v>
      </c>
      <c r="AT586">
        <v>7.5632572968932914</v>
      </c>
      <c r="AU586">
        <v>13.289117360447161</v>
      </c>
      <c r="AV586"/>
      <c r="AW586"/>
      <c r="FY586" s="212">
        <v>581</v>
      </c>
      <c r="FZ586">
        <v>6.4252750393055331</v>
      </c>
      <c r="GA586">
        <v>10.356029000725517</v>
      </c>
      <c r="GB586">
        <v>8.3011716016933335</v>
      </c>
      <c r="GC586">
        <v>4.3067869175950912</v>
      </c>
      <c r="GD586">
        <v>1.8825480354433186</v>
      </c>
      <c r="GE586">
        <v>8.1088051630845541</v>
      </c>
      <c r="GF586">
        <v>12.714226640371013</v>
      </c>
      <c r="GG586">
        <v>4.1231317784587223</v>
      </c>
      <c r="GH586">
        <v>1.3714180925986659</v>
      </c>
      <c r="GI586">
        <v>7.3866116878481112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10.128472222222221</v>
      </c>
      <c r="AO587">
        <v>5.97191195740211</v>
      </c>
      <c r="AP587">
        <v>27.140144231480807</v>
      </c>
      <c r="AQ587">
        <v>32.790815961330615</v>
      </c>
      <c r="AR587">
        <v>5.5223382275406347</v>
      </c>
      <c r="AS587">
        <v>31.254849559929323</v>
      </c>
      <c r="AT587">
        <v>3.6638610115853378</v>
      </c>
      <c r="AU587">
        <v>3.7148536098710569</v>
      </c>
      <c r="AV587"/>
      <c r="AW587"/>
      <c r="FY587" s="212">
        <v>582</v>
      </c>
      <c r="FZ587">
        <v>0.29753806369932806</v>
      </c>
      <c r="GA587">
        <v>2.4894070240252577</v>
      </c>
      <c r="GB587">
        <v>7.5594167905787302</v>
      </c>
      <c r="GC587">
        <v>4.373970304246023</v>
      </c>
      <c r="GD587">
        <v>1.5276371917561451</v>
      </c>
      <c r="GE587">
        <v>3.5763511332892168</v>
      </c>
      <c r="GF587">
        <v>6.5693816079920495</v>
      </c>
      <c r="GG587">
        <v>4.4484800251496965</v>
      </c>
      <c r="GH587">
        <v>2.9327833158384147</v>
      </c>
      <c r="GI587">
        <v>4.940690527378961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17.623914776754074</v>
      </c>
      <c r="AO588">
        <v>9.1680019730270281</v>
      </c>
      <c r="AP588">
        <v>59.555148472145845</v>
      </c>
      <c r="AQ588">
        <v>50.987733287013732</v>
      </c>
      <c r="AR588">
        <v>8.3567334006962071</v>
      </c>
      <c r="AS588">
        <v>46.20294059390892</v>
      </c>
      <c r="AT588">
        <v>3.8616177045225588</v>
      </c>
      <c r="AU588">
        <v>26.324897721625089</v>
      </c>
      <c r="AV588"/>
      <c r="AW588"/>
      <c r="FY588" s="212">
        <v>583</v>
      </c>
      <c r="FZ588">
        <v>12.74626519070857</v>
      </c>
      <c r="GA588">
        <v>15.386677450478528</v>
      </c>
      <c r="GB588">
        <v>8.8838581156467811</v>
      </c>
      <c r="GC588">
        <v>4.9040235827208507</v>
      </c>
      <c r="GD588">
        <v>1.1129792815956263</v>
      </c>
      <c r="GE588">
        <v>4.0465285199602148</v>
      </c>
      <c r="GF588">
        <v>7.3451024226281323</v>
      </c>
      <c r="GG588">
        <v>5.4833363238775874</v>
      </c>
      <c r="GH588">
        <v>3.9447989482639398</v>
      </c>
      <c r="GI588">
        <v>7.1152574205480619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24.245991318214028</v>
      </c>
      <c r="AO589">
        <v>9.7514948474687664</v>
      </c>
      <c r="AP589">
        <v>71.10299535593883</v>
      </c>
      <c r="AQ589">
        <v>54.369042685266798</v>
      </c>
      <c r="AR589">
        <v>8.9210341703553286</v>
      </c>
      <c r="AS589">
        <v>49.152487353862313</v>
      </c>
      <c r="AT589">
        <v>4.5502107251942805</v>
      </c>
      <c r="AU589">
        <v>71.754031302543666</v>
      </c>
      <c r="AV589"/>
      <c r="AW589"/>
      <c r="FY589" s="212">
        <v>584</v>
      </c>
      <c r="FZ589">
        <v>0.16353460468009795</v>
      </c>
      <c r="GA589">
        <v>5.9111019205394699</v>
      </c>
      <c r="GB589">
        <v>8.20557099434936</v>
      </c>
      <c r="GC589">
        <v>3.073247920497383</v>
      </c>
      <c r="GD589">
        <v>0.87833986129155117</v>
      </c>
      <c r="GE589">
        <v>2.0520984876804271</v>
      </c>
      <c r="GF589">
        <v>4.4242151580199334</v>
      </c>
      <c r="GG589">
        <v>4.2497679024227422</v>
      </c>
      <c r="GH589">
        <v>1.9885548075794865</v>
      </c>
      <c r="GI589">
        <v>4.1035562038930387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18.642028899913377</v>
      </c>
      <c r="AO590">
        <v>9.4755268476904853</v>
      </c>
      <c r="AP590">
        <v>58.938165263800009</v>
      </c>
      <c r="AQ590">
        <v>46.334710209349595</v>
      </c>
      <c r="AR590">
        <v>8.7223898429510989</v>
      </c>
      <c r="AS590">
        <v>50.552189707558163</v>
      </c>
      <c r="AT590">
        <v>5.2921928484513971</v>
      </c>
      <c r="AU590">
        <v>16.489310073352993</v>
      </c>
      <c r="AV590"/>
      <c r="AW590"/>
      <c r="FY590" s="212">
        <v>585</v>
      </c>
      <c r="FZ590">
        <v>3.6096564123516708</v>
      </c>
      <c r="GA590">
        <v>10.432075993400574</v>
      </c>
      <c r="GB590">
        <v>7.4760473649656518</v>
      </c>
      <c r="GC590">
        <v>2.6681512522338711</v>
      </c>
      <c r="GD590">
        <v>1.2487885582101423</v>
      </c>
      <c r="GE590">
        <v>4.3504689864626345</v>
      </c>
      <c r="GF590">
        <v>10.702355376736344</v>
      </c>
      <c r="GG590">
        <v>8.027983929652434</v>
      </c>
      <c r="GH590">
        <v>2.9731833688597744</v>
      </c>
      <c r="GI590">
        <v>6.3731961981347265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10.388888888888889</v>
      </c>
      <c r="AO591">
        <v>6.614549379761522</v>
      </c>
      <c r="AP591">
        <v>26.555284728863771</v>
      </c>
      <c r="AQ591">
        <v>36.63466412501581</v>
      </c>
      <c r="AR591">
        <v>6.1753342185521047</v>
      </c>
      <c r="AS591">
        <v>33.321598951892938</v>
      </c>
      <c r="AT591">
        <v>3.6317837086840563</v>
      </c>
      <c r="AU591">
        <v>5.8109536938221558</v>
      </c>
      <c r="AV591"/>
      <c r="AW591"/>
      <c r="FY591" s="212">
        <v>586</v>
      </c>
      <c r="FZ591">
        <v>0.35752368171047505</v>
      </c>
      <c r="GA591">
        <v>3.4959403952423553</v>
      </c>
      <c r="GB591">
        <v>4.1608866963084168</v>
      </c>
      <c r="GC591">
        <v>1.5395808786046548</v>
      </c>
      <c r="GD591">
        <v>0.31537140740108704</v>
      </c>
      <c r="GE591">
        <v>3.1172575680671804</v>
      </c>
      <c r="GF591">
        <v>9.9173057206196216</v>
      </c>
      <c r="GG591">
        <v>6.6327978279677566</v>
      </c>
      <c r="GH591">
        <v>2.1342430496736613</v>
      </c>
      <c r="GI591">
        <v>4.0845658715813364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15.036356209150323</v>
      </c>
      <c r="AO592">
        <v>7.3141696566616954</v>
      </c>
      <c r="AP592">
        <v>52.527131398750257</v>
      </c>
      <c r="AQ592">
        <v>41.389753603261148</v>
      </c>
      <c r="AR592">
        <v>6.8076754953531466</v>
      </c>
      <c r="AS592">
        <v>36.110970536742776</v>
      </c>
      <c r="AT592">
        <v>3.1959336368638085</v>
      </c>
      <c r="AU592">
        <v>16.218070628137085</v>
      </c>
      <c r="AV592"/>
      <c r="AW592"/>
      <c r="FY592" s="212">
        <v>587</v>
      </c>
      <c r="FZ592">
        <v>6.0908944700558167E-2</v>
      </c>
      <c r="GA592">
        <v>3.2783738520078325</v>
      </c>
      <c r="GB592">
        <v>8.7334395310474306</v>
      </c>
      <c r="GC592">
        <v>4.2502100564989123</v>
      </c>
      <c r="GD592">
        <v>1.4000993304576341</v>
      </c>
      <c r="GE592">
        <v>4.7706364882100365</v>
      </c>
      <c r="GF592">
        <v>8.3179098353392114</v>
      </c>
      <c r="GG592">
        <v>4.9641196727282724</v>
      </c>
      <c r="GH592">
        <v>2.2850607944894956</v>
      </c>
      <c r="GI592">
        <v>5.5181856922146348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20.35580065359477</v>
      </c>
      <c r="AO593">
        <v>14.235888981403971</v>
      </c>
      <c r="AP593">
        <v>96.210774908207313</v>
      </c>
      <c r="AQ593">
        <v>74.314074320247812</v>
      </c>
      <c r="AR593">
        <v>13.002710326264557</v>
      </c>
      <c r="AS593">
        <v>61.334799945475083</v>
      </c>
      <c r="AT593">
        <v>7.9146839169270349</v>
      </c>
      <c r="AU593">
        <v>30.526484128742915</v>
      </c>
      <c r="AV593"/>
      <c r="AW593"/>
      <c r="FY593" s="212">
        <v>588</v>
      </c>
      <c r="FZ593">
        <v>0.35032959645114731</v>
      </c>
      <c r="GA593">
        <v>3.0688793304231057</v>
      </c>
      <c r="GB593">
        <v>7.6940947735626182</v>
      </c>
      <c r="GC593">
        <v>3.52348306798521</v>
      </c>
      <c r="GD593">
        <v>0.53425417148925336</v>
      </c>
      <c r="GE593">
        <v>1.5751823711949555</v>
      </c>
      <c r="GF593">
        <v>3.5590332982209616</v>
      </c>
      <c r="GG593">
        <v>4.3201713168074729</v>
      </c>
      <c r="GH593">
        <v>3.1112456761096601</v>
      </c>
      <c r="GI593">
        <v>3.6861485765689093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13.210592369477911</v>
      </c>
      <c r="AO594">
        <v>8.2802153411809254</v>
      </c>
      <c r="AP594">
        <v>56.738099475244546</v>
      </c>
      <c r="AQ594">
        <v>46.754027736686851</v>
      </c>
      <c r="AR594">
        <v>7.6729122942300076</v>
      </c>
      <c r="AS594">
        <v>41.824658385965904</v>
      </c>
      <c r="AT594">
        <v>4.1978760109631139</v>
      </c>
      <c r="AU594">
        <v>3.4638806085161162</v>
      </c>
      <c r="AV594"/>
      <c r="AW594"/>
      <c r="FY594" s="212">
        <v>589</v>
      </c>
      <c r="FZ594">
        <v>0.38871405529430036</v>
      </c>
      <c r="GA594">
        <v>1.8204931401775513</v>
      </c>
      <c r="GB594">
        <v>4.1017766479126569</v>
      </c>
      <c r="GC594">
        <v>2.4510586870148563</v>
      </c>
      <c r="GD594">
        <v>1.1306360519034162</v>
      </c>
      <c r="GE594">
        <v>2.5206204987779945</v>
      </c>
      <c r="GF594">
        <v>6.5921961583863098</v>
      </c>
      <c r="GG594">
        <v>4.4685024281349053</v>
      </c>
      <c r="GH594">
        <v>1.5224146642759593</v>
      </c>
      <c r="GI594">
        <v>3.7505721841934734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23.396382097015511</v>
      </c>
      <c r="AO595">
        <v>10.780922491490077</v>
      </c>
      <c r="AP595">
        <v>75.224799764076266</v>
      </c>
      <c r="AQ595">
        <v>62.631054054299547</v>
      </c>
      <c r="AR595">
        <v>9.9307618760024408</v>
      </c>
      <c r="AS595">
        <v>52.879603158430385</v>
      </c>
      <c r="AT595">
        <v>5.5625648179269094</v>
      </c>
      <c r="AU595">
        <v>25.232127267706954</v>
      </c>
      <c r="AV595"/>
      <c r="AW595"/>
      <c r="FY595" s="212">
        <v>590</v>
      </c>
      <c r="FZ595">
        <v>0.13308013232981886</v>
      </c>
      <c r="GA595">
        <v>3.4252556916553401</v>
      </c>
      <c r="GB595">
        <v>8.5075383691172046</v>
      </c>
      <c r="GC595">
        <v>3.9847722690769327</v>
      </c>
      <c r="GD595">
        <v>0.92650230133805067</v>
      </c>
      <c r="GE595">
        <v>4.0807378269046755</v>
      </c>
      <c r="GF595">
        <v>9.8193742808162909</v>
      </c>
      <c r="GG595">
        <v>5.698482781621796</v>
      </c>
      <c r="GH595">
        <v>0.72216735974346102</v>
      </c>
      <c r="GI595">
        <v>5.2505197910044528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20.650735294117645</v>
      </c>
      <c r="AO596">
        <v>6.8639257503982973</v>
      </c>
      <c r="AP596">
        <v>57.544821569922917</v>
      </c>
      <c r="AQ596">
        <v>33.505617995563085</v>
      </c>
      <c r="AR596">
        <v>6.2857935830775009</v>
      </c>
      <c r="AS596">
        <v>37.148797106216428</v>
      </c>
      <c r="AT596">
        <v>3.8326551935447557</v>
      </c>
      <c r="AU596">
        <v>42.39396404949229</v>
      </c>
      <c r="AV596"/>
      <c r="AW596"/>
      <c r="FY596" s="212">
        <v>591</v>
      </c>
      <c r="FZ596">
        <v>3.3344554090538829</v>
      </c>
      <c r="GA596">
        <v>5.7536744233813888</v>
      </c>
      <c r="GB596">
        <v>9.3538884779443308</v>
      </c>
      <c r="GC596">
        <v>4.6177401548894004</v>
      </c>
      <c r="GD596">
        <v>0.94644016786373919</v>
      </c>
      <c r="GE596">
        <v>2.0347297964527495</v>
      </c>
      <c r="GF596">
        <v>2.9980508056000783</v>
      </c>
      <c r="GG596">
        <v>3.116949200388599</v>
      </c>
      <c r="GH596">
        <v>2.7532291152325161</v>
      </c>
      <c r="GI596">
        <v>4.6262046278792077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16.584086345381522</v>
      </c>
      <c r="AO597">
        <v>12.291231279345253</v>
      </c>
      <c r="AP597">
        <v>65.464796176822091</v>
      </c>
      <c r="AQ597">
        <v>64.976003957123865</v>
      </c>
      <c r="AR597">
        <v>11.2433826305276</v>
      </c>
      <c r="AS597">
        <v>61.503248531803131</v>
      </c>
      <c r="AT597">
        <v>6.5121502589406051</v>
      </c>
      <c r="AU597">
        <v>15.078261186110526</v>
      </c>
      <c r="AV597"/>
      <c r="AW597"/>
      <c r="FY597" s="212">
        <v>592</v>
      </c>
      <c r="FZ597">
        <v>0.12274121609052756</v>
      </c>
      <c r="GA597">
        <v>3.2596110235999358</v>
      </c>
      <c r="GB597">
        <v>2.8039103363902669</v>
      </c>
      <c r="GC597">
        <v>1.4031094069874772</v>
      </c>
      <c r="GD597">
        <v>1.7032399129488658</v>
      </c>
      <c r="GE597">
        <v>6.4420447372737666</v>
      </c>
      <c r="GF597">
        <v>10.552694167990255</v>
      </c>
      <c r="GG597">
        <v>4.7207543927734523</v>
      </c>
      <c r="GH597">
        <v>1.4720945670422187</v>
      </c>
      <c r="GI597">
        <v>4.5730353346771491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15.565640011024488</v>
      </c>
      <c r="AO598">
        <v>7.792943436183732</v>
      </c>
      <c r="AP598">
        <v>42.401256125543036</v>
      </c>
      <c r="AQ598">
        <v>38.715655983953823</v>
      </c>
      <c r="AR598">
        <v>7.2510278498126404</v>
      </c>
      <c r="AS598">
        <v>41.059008621693863</v>
      </c>
      <c r="AT598">
        <v>4.4645369692709016</v>
      </c>
      <c r="AU598">
        <v>9.5563799462588133</v>
      </c>
      <c r="AV598"/>
      <c r="AW598"/>
      <c r="FY598" s="212">
        <v>593</v>
      </c>
      <c r="FZ598">
        <v>0.25489802173093523</v>
      </c>
      <c r="GA598">
        <v>4.5171764346937469</v>
      </c>
      <c r="GB598">
        <v>7.8710795726146596</v>
      </c>
      <c r="GC598">
        <v>3.8942956207152299</v>
      </c>
      <c r="GD598">
        <v>1.4729326399755704</v>
      </c>
      <c r="GE598">
        <v>2.8898422337033702</v>
      </c>
      <c r="GF598">
        <v>7.0078470523388985</v>
      </c>
      <c r="GG598">
        <v>5.9864901544072655</v>
      </c>
      <c r="GH598">
        <v>2.5050150481167539</v>
      </c>
      <c r="GI598">
        <v>5.0637242435059209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18.234144912985276</v>
      </c>
      <c r="AO599">
        <v>12.080904912481365</v>
      </c>
      <c r="AP599">
        <v>86.668008991954395</v>
      </c>
      <c r="AQ599">
        <v>70.968827256428284</v>
      </c>
      <c r="AR599">
        <v>11.044495567846679</v>
      </c>
      <c r="AS599">
        <v>65.438062471354868</v>
      </c>
      <c r="AT599">
        <v>5.1457042914384372</v>
      </c>
      <c r="AU599">
        <v>1.446122806420707</v>
      </c>
      <c r="AV599"/>
      <c r="AW599"/>
      <c r="FY599" s="212">
        <v>594</v>
      </c>
      <c r="FZ599">
        <v>9.5437791618392307</v>
      </c>
      <c r="GA599">
        <v>14.692531639525363</v>
      </c>
      <c r="GB599">
        <v>6.8413062848982742</v>
      </c>
      <c r="GC599">
        <v>3.0008490015852765</v>
      </c>
      <c r="GD599">
        <v>1.7480761788173407</v>
      </c>
      <c r="GE599">
        <v>4.2753269800783302</v>
      </c>
      <c r="GF599">
        <v>8.7037525081039995</v>
      </c>
      <c r="GG599">
        <v>7.6826132799762537</v>
      </c>
      <c r="GH599">
        <v>2.2524289885227144</v>
      </c>
      <c r="GI599">
        <v>6.8002145138789638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19.318154972832502</v>
      </c>
      <c r="AO600">
        <v>6.5764847877841435</v>
      </c>
      <c r="AP600">
        <v>44.872739904452374</v>
      </c>
      <c r="AQ600">
        <v>35.049987860953493</v>
      </c>
      <c r="AR600">
        <v>6.0565486520455893</v>
      </c>
      <c r="AS600">
        <v>38.819006384149837</v>
      </c>
      <c r="AT600">
        <v>3.908705816244447</v>
      </c>
      <c r="AU600">
        <v>19.393950630104211</v>
      </c>
      <c r="AV600"/>
      <c r="AW600"/>
      <c r="FY600" s="212">
        <v>595</v>
      </c>
      <c r="FZ600">
        <v>0.19491240371978827</v>
      </c>
      <c r="GA600">
        <v>6.128300628629745</v>
      </c>
      <c r="GB600">
        <v>5.053257251019402</v>
      </c>
      <c r="GC600">
        <v>1.5274704596530795</v>
      </c>
      <c r="GD600">
        <v>0.62940595193364368</v>
      </c>
      <c r="GE600">
        <v>1.8397429141869837</v>
      </c>
      <c r="GF600">
        <v>3.3165865098647975</v>
      </c>
      <c r="GG600">
        <v>2.0755655346166728</v>
      </c>
      <c r="GH600">
        <v>1.7313205187050142</v>
      </c>
      <c r="GI600">
        <v>2.7009992493760726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15.180555555555554</v>
      </c>
      <c r="AO601">
        <v>10.500710500827235</v>
      </c>
      <c r="AP601">
        <v>52.514608079461084</v>
      </c>
      <c r="AQ601">
        <v>57.861907441007823</v>
      </c>
      <c r="AR601">
        <v>9.746649143490103</v>
      </c>
      <c r="AS601">
        <v>53.793543709404986</v>
      </c>
      <c r="AT601">
        <v>6.4337700073925346</v>
      </c>
      <c r="AU601">
        <v>19.034654851372629</v>
      </c>
      <c r="AV601"/>
      <c r="AW601"/>
      <c r="FY601" s="212">
        <v>596</v>
      </c>
      <c r="FZ601">
        <v>0.22555430152593231</v>
      </c>
      <c r="GA601">
        <v>3.8883418422930998</v>
      </c>
      <c r="GB601">
        <v>5.1424308080084273</v>
      </c>
      <c r="GC601">
        <v>2.4067271602003393</v>
      </c>
      <c r="GD601">
        <v>1.7767631190802757</v>
      </c>
      <c r="GE601">
        <v>3.2135175717033064</v>
      </c>
      <c r="GF601">
        <v>5.3305318523464038</v>
      </c>
      <c r="GG601">
        <v>4.9306022338018902</v>
      </c>
      <c r="GH601">
        <v>1.4585818539079869</v>
      </c>
      <c r="GI601">
        <v>4.1335530044128621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14.593545751633986</v>
      </c>
      <c r="AO602">
        <v>6.7649425587303131</v>
      </c>
      <c r="AP602">
        <v>58.320200319741069</v>
      </c>
      <c r="AQ602">
        <v>35.755473097176548</v>
      </c>
      <c r="AR602">
        <v>6.2506831760100301</v>
      </c>
      <c r="AS602">
        <v>31.675110634011109</v>
      </c>
      <c r="AT602">
        <v>4.6109014947544553</v>
      </c>
      <c r="AU602">
        <v>43.403544111780469</v>
      </c>
      <c r="AV602"/>
      <c r="AW602"/>
      <c r="FY602" s="212">
        <v>597</v>
      </c>
      <c r="FZ602">
        <v>6.5777348265127937</v>
      </c>
      <c r="GA602">
        <v>9.8806825405965064</v>
      </c>
      <c r="GB602">
        <v>5.6805621857391841</v>
      </c>
      <c r="GC602">
        <v>2.9598392013871759</v>
      </c>
      <c r="GD602">
        <v>2.3669666100371276</v>
      </c>
      <c r="GE602">
        <v>4.878152283442688</v>
      </c>
      <c r="GF602">
        <v>6.4756240018824922</v>
      </c>
      <c r="GG602">
        <v>5.9804176858103872</v>
      </c>
      <c r="GH602">
        <v>2.4032467333385483</v>
      </c>
      <c r="GI602">
        <v>5.9980464473914878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15.85308144342074</v>
      </c>
      <c r="AO603">
        <v>8.9081930741992057</v>
      </c>
      <c r="AP603">
        <v>50.255457708571498</v>
      </c>
      <c r="AQ603">
        <v>43.578944197694021</v>
      </c>
      <c r="AR603">
        <v>8.2054713099064518</v>
      </c>
      <c r="AS603">
        <v>43.058628064195986</v>
      </c>
      <c r="AT603">
        <v>4.8535362314019066</v>
      </c>
      <c r="AU603">
        <v>20.152844416378159</v>
      </c>
      <c r="AV603"/>
      <c r="AW603"/>
      <c r="FY603" s="212">
        <v>598</v>
      </c>
      <c r="FZ603">
        <v>0.26689616589318405</v>
      </c>
      <c r="GA603">
        <v>3.3113779753376034</v>
      </c>
      <c r="GB603">
        <v>6.6640211728713892</v>
      </c>
      <c r="GC603">
        <v>3.1177656798518001</v>
      </c>
      <c r="GD603">
        <v>1.5725459122425183</v>
      </c>
      <c r="GE603">
        <v>4.1746312130446066</v>
      </c>
      <c r="GF603">
        <v>10.066072791058238</v>
      </c>
      <c r="GG603">
        <v>9.0392297574271634</v>
      </c>
      <c r="GH603">
        <v>1.8891490003320452</v>
      </c>
      <c r="GI603">
        <v>5.6730174384083103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14.020373159303881</v>
      </c>
      <c r="AO604">
        <v>5.8567781003552835</v>
      </c>
      <c r="AP604">
        <v>31.185362144545643</v>
      </c>
      <c r="AQ604">
        <v>31.422822178813298</v>
      </c>
      <c r="AR604">
        <v>5.3703241257046619</v>
      </c>
      <c r="AS604">
        <v>33.748897907993275</v>
      </c>
      <c r="AT604">
        <v>3.230115534870388</v>
      </c>
      <c r="AU604">
        <v>-6.62211507345501</v>
      </c>
      <c r="AV604"/>
      <c r="AW604"/>
      <c r="FY604" s="212">
        <v>599</v>
      </c>
      <c r="FZ604">
        <v>0.12458786946934999</v>
      </c>
      <c r="GA604">
        <v>1.3309693227246231</v>
      </c>
      <c r="GB604">
        <v>5.9892354116968018</v>
      </c>
      <c r="GC604">
        <v>3.2097947265561535</v>
      </c>
      <c r="GD604">
        <v>0.91757708642802915</v>
      </c>
      <c r="GE604">
        <v>3.0065299673772561</v>
      </c>
      <c r="GF604">
        <v>6.625545166800574</v>
      </c>
      <c r="GG604">
        <v>4.7605527673354864</v>
      </c>
      <c r="GH604">
        <v>1.7359687479854466</v>
      </c>
      <c r="GI604">
        <v>4.023651301568294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19.828571639499174</v>
      </c>
      <c r="AO605">
        <v>6.0638715931480442</v>
      </c>
      <c r="AP605">
        <v>45.231920186125429</v>
      </c>
      <c r="AQ605">
        <v>28.746984516071425</v>
      </c>
      <c r="AR605">
        <v>5.6858111251483994</v>
      </c>
      <c r="AS605">
        <v>33.783685700338964</v>
      </c>
      <c r="AT605">
        <v>3.6154591507315899</v>
      </c>
      <c r="AU605">
        <v>55.966855006882142</v>
      </c>
      <c r="AV605"/>
      <c r="AW605"/>
      <c r="FY605" s="212">
        <v>600</v>
      </c>
      <c r="FZ605">
        <v>0.2345950401640825</v>
      </c>
      <c r="GA605">
        <v>5.4390606567027069</v>
      </c>
      <c r="GB605">
        <v>6.8565593167353409</v>
      </c>
      <c r="GC605">
        <v>2.5381094931016843</v>
      </c>
      <c r="GD605">
        <v>1.1132489107067547</v>
      </c>
      <c r="GE605">
        <v>2.8039110980918807</v>
      </c>
      <c r="GF605">
        <v>8.3407243857334699</v>
      </c>
      <c r="GG605">
        <v>7.844906629070354</v>
      </c>
      <c r="GH605">
        <v>1.5096592267100104</v>
      </c>
      <c r="GI605">
        <v>4.9367420653681533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14.873914776754077</v>
      </c>
      <c r="AO606">
        <v>8.5841121053669163</v>
      </c>
      <c r="AP606">
        <v>55.75179806615666</v>
      </c>
      <c r="AQ606">
        <v>42.548430803608021</v>
      </c>
      <c r="AR606">
        <v>7.8762678875077405</v>
      </c>
      <c r="AS606">
        <v>44.954219964571138</v>
      </c>
      <c r="AT606">
        <v>5.2347551415365947</v>
      </c>
      <c r="AU606">
        <v>20.308639393017536</v>
      </c>
      <c r="AV606"/>
      <c r="AW606"/>
      <c r="FY606" s="212">
        <v>601</v>
      </c>
      <c r="FZ606">
        <v>0.40939188777288305</v>
      </c>
      <c r="GA606">
        <v>4.2135268031369293</v>
      </c>
      <c r="GB606">
        <v>10.172554890509737</v>
      </c>
      <c r="GC606">
        <v>5.0558483020041454</v>
      </c>
      <c r="GD606">
        <v>1.6869707835289689</v>
      </c>
      <c r="GE606">
        <v>4.8706150493805609</v>
      </c>
      <c r="GF606">
        <v>10.631672277193037</v>
      </c>
      <c r="GG606">
        <v>7.4626500039358223</v>
      </c>
      <c r="GH606">
        <v>2.5455574133484031</v>
      </c>
      <c r="GI606">
        <v>6.9007711775148204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14.94607843137255</v>
      </c>
      <c r="AO607">
        <v>7.3988376674350933</v>
      </c>
      <c r="AP607">
        <v>41.795201340265038</v>
      </c>
      <c r="AQ607">
        <v>39.535362178685887</v>
      </c>
      <c r="AR607">
        <v>6.8864849926103417</v>
      </c>
      <c r="AS607">
        <v>41.610903354923316</v>
      </c>
      <c r="AT607">
        <v>4.0283386075901051</v>
      </c>
      <c r="AU607">
        <v>3.5082772517191927</v>
      </c>
      <c r="AV607"/>
      <c r="AW607"/>
      <c r="FY607" s="212">
        <v>602</v>
      </c>
      <c r="FZ607">
        <v>0.24585728309278504</v>
      </c>
      <c r="GA607">
        <v>4.8126684230451051</v>
      </c>
      <c r="GB607">
        <v>10.27881620601314</v>
      </c>
      <c r="GC607">
        <v>4.567422659160016</v>
      </c>
      <c r="GD607">
        <v>1.7374310149819232</v>
      </c>
      <c r="GE607">
        <v>5.8926131166120879</v>
      </c>
      <c r="GF607">
        <v>16.251296884244493</v>
      </c>
      <c r="GG607">
        <v>13.36254884034949</v>
      </c>
      <c r="GH607">
        <v>2.2097797284028564</v>
      </c>
      <c r="GI607">
        <v>8.4389741140333605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10.209086345381525</v>
      </c>
      <c r="AO608">
        <v>7.4737551633315054</v>
      </c>
      <c r="AP608">
        <v>44.644751118684255</v>
      </c>
      <c r="AQ608">
        <v>37.053235095773921</v>
      </c>
      <c r="AR608">
        <v>6.8851230267587322</v>
      </c>
      <c r="AS608">
        <v>37.886970021009461</v>
      </c>
      <c r="AT608">
        <v>4.8630887187086946</v>
      </c>
      <c r="AU608">
        <v>24.888431652353209</v>
      </c>
      <c r="AV608"/>
      <c r="AW608"/>
      <c r="FY608" s="212">
        <v>603</v>
      </c>
      <c r="FZ608">
        <v>3.5915749350753705</v>
      </c>
      <c r="GA608">
        <v>7.4219558946353335</v>
      </c>
      <c r="GB608">
        <v>6.9309052763398382</v>
      </c>
      <c r="GC608">
        <v>3.1269774663502936</v>
      </c>
      <c r="GD608">
        <v>1.2691466922381758</v>
      </c>
      <c r="GE608">
        <v>2.6858743644310397</v>
      </c>
      <c r="GF608">
        <v>8.19423869258571</v>
      </c>
      <c r="GG608">
        <v>8.4538734287253394</v>
      </c>
      <c r="GH608">
        <v>1.9017121853419137</v>
      </c>
      <c r="GI608">
        <v>5.6199213593557413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11.361864123159304</v>
      </c>
      <c r="AO609">
        <v>8.0650968484984489</v>
      </c>
      <c r="AP609">
        <v>34.420464292293225</v>
      </c>
      <c r="AQ609">
        <v>41.463301021802351</v>
      </c>
      <c r="AR609">
        <v>7.470107060658516</v>
      </c>
      <c r="AS609">
        <v>43.816038831979156</v>
      </c>
      <c r="AT609">
        <v>5.2705678718963576</v>
      </c>
      <c r="AU609">
        <v>5.2383023985722099</v>
      </c>
      <c r="AV609"/>
      <c r="AW609"/>
      <c r="FY609" s="212">
        <v>604</v>
      </c>
      <c r="FZ609">
        <v>6.5565085182565301</v>
      </c>
      <c r="GA609">
        <v>9.804698316238813</v>
      </c>
      <c r="GB609">
        <v>6.1394966015195633</v>
      </c>
      <c r="GC609">
        <v>2.6987106518238528</v>
      </c>
      <c r="GD609">
        <v>1.0259184472190432</v>
      </c>
      <c r="GE609">
        <v>3.4022200214167126</v>
      </c>
      <c r="GF609">
        <v>6.0500891081739629</v>
      </c>
      <c r="GG609">
        <v>5.1059234170116694</v>
      </c>
      <c r="GH609">
        <v>3.4401578081877799</v>
      </c>
      <c r="GI609">
        <v>5.2188676148558386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20.874795751633982</v>
      </c>
      <c r="AO610">
        <v>11.614181049203262</v>
      </c>
      <c r="AP610">
        <v>85.449275287957192</v>
      </c>
      <c r="AQ610">
        <v>65.540878537225751</v>
      </c>
      <c r="AR610">
        <v>10.650692870344342</v>
      </c>
      <c r="AS610">
        <v>56.562333730646998</v>
      </c>
      <c r="AT610">
        <v>5.3148684593809152</v>
      </c>
      <c r="AU610">
        <v>36.183516076632905</v>
      </c>
      <c r="AV610"/>
      <c r="AW610"/>
      <c r="FY610" s="212">
        <v>605</v>
      </c>
      <c r="FZ610">
        <v>0.21613871197605222</v>
      </c>
      <c r="GA610">
        <v>2.3672088244481042</v>
      </c>
      <c r="GB610">
        <v>5.8313281056772999</v>
      </c>
      <c r="GC610">
        <v>3.3933744961961745</v>
      </c>
      <c r="GD610">
        <v>2.5513235614941019</v>
      </c>
      <c r="GE610">
        <v>5.8124720265830589</v>
      </c>
      <c r="GF610">
        <v>10.879075039095294</v>
      </c>
      <c r="GG610">
        <v>9.2613438840685109</v>
      </c>
      <c r="GH610">
        <v>2.1712290259595308</v>
      </c>
      <c r="GI610">
        <v>6.362204047944374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9.7584504685408273</v>
      </c>
      <c r="AO611">
        <v>4.2236669829772087</v>
      </c>
      <c r="AP611">
        <v>22.015085420415168</v>
      </c>
      <c r="AQ611">
        <v>25.197561421705196</v>
      </c>
      <c r="AR611">
        <v>3.8802195415548448</v>
      </c>
      <c r="AS611">
        <v>22.555541173677753</v>
      </c>
      <c r="AT611">
        <v>2.4508074798141606</v>
      </c>
      <c r="AU611">
        <v>1.6267838602905171</v>
      </c>
      <c r="AV611"/>
      <c r="AW611"/>
      <c r="FY611" s="212">
        <v>606</v>
      </c>
      <c r="FZ611">
        <v>0.31784104526618079</v>
      </c>
      <c r="GA611">
        <v>4.5824169296079438</v>
      </c>
      <c r="GB611">
        <v>4.8462469409728071</v>
      </c>
      <c r="GC611">
        <v>1.9306382477532673</v>
      </c>
      <c r="GD611">
        <v>1.6210055795128604</v>
      </c>
      <c r="GE611">
        <v>4.2397975167163571</v>
      </c>
      <c r="GF611">
        <v>10.25388320538066</v>
      </c>
      <c r="GG611">
        <v>8.9309323876729287</v>
      </c>
      <c r="GH611">
        <v>2.8929984608501469</v>
      </c>
      <c r="GI611">
        <v>5.6073069223675009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16.215826541459954</v>
      </c>
      <c r="AO612">
        <v>6.7259457375861187</v>
      </c>
      <c r="AP612">
        <v>34.554708453377827</v>
      </c>
      <c r="AQ612">
        <v>32.506603747280522</v>
      </c>
      <c r="AR612">
        <v>6.2006421207680553</v>
      </c>
      <c r="AS612">
        <v>35.860055292079686</v>
      </c>
      <c r="AT612">
        <v>3.4716892794575624</v>
      </c>
      <c r="AU612">
        <v>26.618604155158078</v>
      </c>
      <c r="AV612"/>
      <c r="AW612"/>
      <c r="FY612" s="212">
        <v>607</v>
      </c>
      <c r="FZ612">
        <v>3.4068140221390086</v>
      </c>
      <c r="GA612">
        <v>8.940098258497013</v>
      </c>
      <c r="GB612">
        <v>11.161930947921249</v>
      </c>
      <c r="GC612">
        <v>4.8109115263784892</v>
      </c>
      <c r="GD612">
        <v>1.110590218854703</v>
      </c>
      <c r="GE612">
        <v>3.9223665215609946</v>
      </c>
      <c r="GF612">
        <v>9.2202425826190737</v>
      </c>
      <c r="GG612">
        <v>5.9953768390909925</v>
      </c>
      <c r="GH612">
        <v>0.83850394801447947</v>
      </c>
      <c r="GI612">
        <v>6.4896446350898085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14.611864123159307</v>
      </c>
      <c r="AO613">
        <v>10.038316408548477</v>
      </c>
      <c r="AP613">
        <v>60.533281661501739</v>
      </c>
      <c r="AQ613">
        <v>53.201272516138395</v>
      </c>
      <c r="AR613">
        <v>9.2456108772277954</v>
      </c>
      <c r="AS613">
        <v>48.510707638186304</v>
      </c>
      <c r="AT613">
        <v>5.009058121667648</v>
      </c>
      <c r="AU613">
        <v>7.0372908256736979</v>
      </c>
      <c r="AV613"/>
      <c r="AW613"/>
      <c r="FY613" s="212">
        <v>608</v>
      </c>
      <c r="FZ613">
        <v>6.525866620450385</v>
      </c>
      <c r="GA613">
        <v>10.763290182553357</v>
      </c>
      <c r="GB613">
        <v>5.2552126566798849</v>
      </c>
      <c r="GC613">
        <v>2.447545067517269</v>
      </c>
      <c r="GD613">
        <v>1.3231823807257319</v>
      </c>
      <c r="GE613">
        <v>3.932467288494423</v>
      </c>
      <c r="GF613">
        <v>6.5137732074588248</v>
      </c>
      <c r="GG613">
        <v>3.8546919102113053</v>
      </c>
      <c r="GH613">
        <v>2.7642409997795494</v>
      </c>
      <c r="GI613">
        <v>5.1424452768528948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18.572712418300654</v>
      </c>
      <c r="AO614">
        <v>9.4538672013295972</v>
      </c>
      <c r="AP614">
        <v>57.833927932072029</v>
      </c>
      <c r="AQ614">
        <v>45.774707106466856</v>
      </c>
      <c r="AR614">
        <v>8.6640183627332021</v>
      </c>
      <c r="AS614">
        <v>46.534382598203344</v>
      </c>
      <c r="AT614">
        <v>5.3891064648533318</v>
      </c>
      <c r="AU614">
        <v>27.602781339567056</v>
      </c>
      <c r="AV614"/>
      <c r="AW614"/>
      <c r="FY614" s="212">
        <v>609</v>
      </c>
      <c r="FZ614">
        <v>3.344794325293174</v>
      </c>
      <c r="GA614">
        <v>7.115944284489732</v>
      </c>
      <c r="GB614">
        <v>8.0568486204538132</v>
      </c>
      <c r="GC614">
        <v>3.9018388079675894</v>
      </c>
      <c r="GD614">
        <v>1.8396562351317458</v>
      </c>
      <c r="GE614">
        <v>4.4606048827365896</v>
      </c>
      <c r="GF614">
        <v>9.3662851159466882</v>
      </c>
      <c r="GG614">
        <v>7.5072920967664736</v>
      </c>
      <c r="GH614">
        <v>1.1901568536250222</v>
      </c>
      <c r="GI614">
        <v>6.3935247364602414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10.482638888888889</v>
      </c>
      <c r="AO615">
        <v>6.5806346573817294</v>
      </c>
      <c r="AP615">
        <v>31.165211732243254</v>
      </c>
      <c r="AQ615">
        <v>31.724412367942012</v>
      </c>
      <c r="AR615">
        <v>6.0236597798589981</v>
      </c>
      <c r="AS615">
        <v>34.477295574594542</v>
      </c>
      <c r="AT615">
        <v>3.7608861654075976</v>
      </c>
      <c r="AU615">
        <v>5.6020158449545496</v>
      </c>
      <c r="AV615"/>
      <c r="AW615"/>
      <c r="FY615" s="212">
        <v>610</v>
      </c>
      <c r="FZ615">
        <v>9.6787059475478721</v>
      </c>
      <c r="GA615">
        <v>13.58668913801192</v>
      </c>
      <c r="GB615">
        <v>5.674447625576887</v>
      </c>
      <c r="GC615">
        <v>2.6282872845356655</v>
      </c>
      <c r="GD615">
        <v>1.2437408036171673</v>
      </c>
      <c r="GE615">
        <v>3.0701210527169045</v>
      </c>
      <c r="GF615">
        <v>7.2956025089163337</v>
      </c>
      <c r="GG615">
        <v>7.0847821986227508</v>
      </c>
      <c r="GH615">
        <v>2.3373070280823676</v>
      </c>
      <c r="GI615">
        <v>5.9083055290952657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16.077562701787542</v>
      </c>
      <c r="AO616">
        <v>8.1913164561767413</v>
      </c>
      <c r="AP616">
        <v>43.548694914795547</v>
      </c>
      <c r="AQ616">
        <v>41.617516822384438</v>
      </c>
      <c r="AR616">
        <v>7.526538060501089</v>
      </c>
      <c r="AS616">
        <v>40.650793852563808</v>
      </c>
      <c r="AT616">
        <v>4.7742196850741641</v>
      </c>
      <c r="AU616">
        <v>-2.8900782144969122</v>
      </c>
      <c r="AV616"/>
      <c r="AW616"/>
      <c r="FY616" s="212">
        <v>611</v>
      </c>
      <c r="FZ616">
        <v>3.4666122146942904</v>
      </c>
      <c r="GA616">
        <v>9.9209211705995539</v>
      </c>
      <c r="GB616">
        <v>7.3429892187356032</v>
      </c>
      <c r="GC616">
        <v>2.4304219893838575</v>
      </c>
      <c r="GD616">
        <v>0.97351109167411698</v>
      </c>
      <c r="GE616">
        <v>2.1077958185425052</v>
      </c>
      <c r="GF616">
        <v>8.0182826226141533</v>
      </c>
      <c r="GG616">
        <v>8.6167198592834389</v>
      </c>
      <c r="GH616">
        <v>3.3065330198453644</v>
      </c>
      <c r="GI616">
        <v>5.6965850387477115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21.5352709859044</v>
      </c>
      <c r="AO617">
        <v>11.264326216099565</v>
      </c>
      <c r="AP617">
        <v>65.904515879733893</v>
      </c>
      <c r="AQ617">
        <v>53.94955858832531</v>
      </c>
      <c r="AR617">
        <v>10.439814613104355</v>
      </c>
      <c r="AS617">
        <v>57.942361814761739</v>
      </c>
      <c r="AT617">
        <v>6.3209276384903275</v>
      </c>
      <c r="AU617">
        <v>32.90891230679604</v>
      </c>
      <c r="AV617"/>
      <c r="AW617"/>
      <c r="FY617" s="212">
        <v>612</v>
      </c>
      <c r="FZ617">
        <v>3.3353787357432942</v>
      </c>
      <c r="GA617">
        <v>6.9228484696227657</v>
      </c>
      <c r="GB617">
        <v>5.5298436190509541</v>
      </c>
      <c r="GC617">
        <v>2.9679602039736803</v>
      </c>
      <c r="GD617">
        <v>0.84721105602320357</v>
      </c>
      <c r="GE617">
        <v>1.8773419828509588</v>
      </c>
      <c r="GF617">
        <v>7.5696457950752434</v>
      </c>
      <c r="GG617">
        <v>6.3504080253320101</v>
      </c>
      <c r="GH617">
        <v>2.2864737738958962</v>
      </c>
      <c r="GI617">
        <v>4.6602782414811372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15.163194444444443</v>
      </c>
      <c r="AO618">
        <v>14.218019807258107</v>
      </c>
      <c r="AP618">
        <v>59.870031248821462</v>
      </c>
      <c r="AQ618">
        <v>67.797408269935261</v>
      </c>
      <c r="AR618">
        <v>13.029031405669013</v>
      </c>
      <c r="AS618">
        <v>66.252834417155242</v>
      </c>
      <c r="AT618">
        <v>9.2391935938827583</v>
      </c>
      <c r="AU618">
        <v>15.620455574670626</v>
      </c>
      <c r="AV618"/>
      <c r="AW618"/>
      <c r="FY618" s="212">
        <v>613</v>
      </c>
      <c r="FZ618">
        <v>9.5854958771182126</v>
      </c>
      <c r="GA618">
        <v>13.975779434225364</v>
      </c>
      <c r="GB618">
        <v>9.7041617650065035</v>
      </c>
      <c r="GC618">
        <v>4.3757521440994935</v>
      </c>
      <c r="GD618">
        <v>1.9508006499470767</v>
      </c>
      <c r="GE618">
        <v>6.0039040375491375</v>
      </c>
      <c r="GF618">
        <v>6.9516056053383632</v>
      </c>
      <c r="GG618">
        <v>4.838712299092518</v>
      </c>
      <c r="GH618">
        <v>3.6094576344900267</v>
      </c>
      <c r="GI618">
        <v>7.398440900234994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20.421440664619261</v>
      </c>
      <c r="AO619">
        <v>9.5367369572405405</v>
      </c>
      <c r="AP619">
        <v>52.191801947400499</v>
      </c>
      <c r="AQ619">
        <v>49.196180295078761</v>
      </c>
      <c r="AR619">
        <v>8.7286729229448188</v>
      </c>
      <c r="AS619">
        <v>49.646560293936695</v>
      </c>
      <c r="AT619">
        <v>4.7566205978697731</v>
      </c>
      <c r="AU619">
        <v>14.033290198725631</v>
      </c>
      <c r="AV619"/>
      <c r="AW619"/>
      <c r="FY619" s="212">
        <v>614</v>
      </c>
      <c r="FZ619">
        <v>0.21429205859722977</v>
      </c>
      <c r="GA619">
        <v>2.5818990930960277</v>
      </c>
      <c r="GB619">
        <v>8.8483769772206458</v>
      </c>
      <c r="GC619">
        <v>4.3539712845149099</v>
      </c>
      <c r="GD619">
        <v>1.7144713294982254</v>
      </c>
      <c r="GE619">
        <v>5.7937607365352175</v>
      </c>
      <c r="GF619">
        <v>6.5547248383381715</v>
      </c>
      <c r="GG619">
        <v>2.5180978357456034</v>
      </c>
      <c r="GH619">
        <v>2.312884236806366</v>
      </c>
      <c r="GI619">
        <v>5.302691447362327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14.09375</v>
      </c>
      <c r="AO620">
        <v>8.6720856768686829</v>
      </c>
      <c r="AP620">
        <v>60.918420222674641</v>
      </c>
      <c r="AQ620">
        <v>49.442590504703759</v>
      </c>
      <c r="AR620">
        <v>8.0466929525079731</v>
      </c>
      <c r="AS620">
        <v>43.426524939166327</v>
      </c>
      <c r="AT620">
        <v>4.5757296928410334</v>
      </c>
      <c r="AU620">
        <v>4.5559260529112535</v>
      </c>
      <c r="AV620"/>
      <c r="AW620"/>
      <c r="FY620" s="212">
        <v>615</v>
      </c>
      <c r="FZ620">
        <v>3.641409062303091</v>
      </c>
      <c r="GA620">
        <v>7.8233065003400277</v>
      </c>
      <c r="GB620">
        <v>10.507959857661143</v>
      </c>
      <c r="GC620">
        <v>4.9532203551735963</v>
      </c>
      <c r="GD620">
        <v>1.3946055977135923</v>
      </c>
      <c r="GE620">
        <v>5.1638289187662325</v>
      </c>
      <c r="GF620">
        <v>11.058544469029183</v>
      </c>
      <c r="GG620">
        <v>7.6524754419790533</v>
      </c>
      <c r="GH620">
        <v>3.0769433464263036</v>
      </c>
      <c r="GI620">
        <v>7.3526633700178046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22.995991318214028</v>
      </c>
      <c r="AO621">
        <v>10.582409127252319</v>
      </c>
      <c r="AP621">
        <v>60.052562568950137</v>
      </c>
      <c r="AQ621">
        <v>48.845697723442505</v>
      </c>
      <c r="AR621">
        <v>9.706520742868971</v>
      </c>
      <c r="AS621">
        <v>53.989576507304363</v>
      </c>
      <c r="AT621">
        <v>5.6523986874952863</v>
      </c>
      <c r="AU621">
        <v>51.805367277581979</v>
      </c>
      <c r="AV621"/>
      <c r="AW621"/>
      <c r="FY621" s="212">
        <v>616</v>
      </c>
      <c r="FZ621">
        <v>0.10520821459190849</v>
      </c>
      <c r="GA621">
        <v>2.4936174564961293</v>
      </c>
      <c r="GB621">
        <v>6.5145277940569777</v>
      </c>
      <c r="GC621">
        <v>3.0219846169593509</v>
      </c>
      <c r="GD621">
        <v>1.2619628088268495</v>
      </c>
      <c r="GE621">
        <v>4.052124590218817</v>
      </c>
      <c r="GF621">
        <v>5.8396540301044464</v>
      </c>
      <c r="GG621">
        <v>3.000220044397798</v>
      </c>
      <c r="GH621">
        <v>1.5510088078557345</v>
      </c>
      <c r="GI621">
        <v>4.1335654136768332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10.730672690763052</v>
      </c>
      <c r="AO622">
        <v>9.3850284651637104</v>
      </c>
      <c r="AP622">
        <v>39.049672142317391</v>
      </c>
      <c r="AQ622">
        <v>45.223067236100647</v>
      </c>
      <c r="AR622">
        <v>8.6975711043515584</v>
      </c>
      <c r="AS622">
        <v>43.357122163231487</v>
      </c>
      <c r="AT622">
        <v>6.3251482281146254</v>
      </c>
      <c r="AU622">
        <v>-1.0231578213866159</v>
      </c>
      <c r="AV622"/>
      <c r="AW622"/>
      <c r="FY622" s="212">
        <v>617</v>
      </c>
      <c r="FZ622">
        <v>6.5175617830457817</v>
      </c>
      <c r="GA622">
        <v>8.7632733029914469</v>
      </c>
      <c r="GB622">
        <v>5.9908726484911181</v>
      </c>
      <c r="GC622">
        <v>3.0917349916937074</v>
      </c>
      <c r="GD622">
        <v>1.4058941546593395</v>
      </c>
      <c r="GE622">
        <v>4.8970897696614326</v>
      </c>
      <c r="GF622">
        <v>8.7002117208775349</v>
      </c>
      <c r="GG622">
        <v>5.8933714693696286</v>
      </c>
      <c r="GH622">
        <v>2.9213350601197474</v>
      </c>
      <c r="GI622">
        <v>5.9189217729641923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17.023220332309627</v>
      </c>
      <c r="AO623">
        <v>10.758878420936771</v>
      </c>
      <c r="AP623">
        <v>60.519633317728797</v>
      </c>
      <c r="AQ623">
        <v>55.89647950016581</v>
      </c>
      <c r="AR623">
        <v>9.8660252709915959</v>
      </c>
      <c r="AS623">
        <v>53.156210578158891</v>
      </c>
      <c r="AT623">
        <v>5.9711904880490545</v>
      </c>
      <c r="AU623">
        <v>21.754663288745501</v>
      </c>
      <c r="AV623"/>
      <c r="AW623"/>
      <c r="FY623" s="212">
        <v>618</v>
      </c>
      <c r="FZ623">
        <v>6.4944888214106946</v>
      </c>
      <c r="GA623">
        <v>10.413832103929504</v>
      </c>
      <c r="GB623">
        <v>6.072689889766659</v>
      </c>
      <c r="GC623">
        <v>2.9342093295055331</v>
      </c>
      <c r="GD623">
        <v>1.869046207676579</v>
      </c>
      <c r="GE623">
        <v>5.1443217111335695</v>
      </c>
      <c r="GF623">
        <v>10.953826656876231</v>
      </c>
      <c r="GG623">
        <v>8.6685649880223927</v>
      </c>
      <c r="GH623">
        <v>2.7998139966590179</v>
      </c>
      <c r="GI623">
        <v>6.9608595671457376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15.25661223324671</v>
      </c>
      <c r="AO624">
        <v>8.5509648368969717</v>
      </c>
      <c r="AP624">
        <v>69.268331500601761</v>
      </c>
      <c r="AQ624">
        <v>48.522715590723628</v>
      </c>
      <c r="AR624">
        <v>7.9282410912878376</v>
      </c>
      <c r="AS624">
        <v>44.643187191552983</v>
      </c>
      <c r="AT624">
        <v>4.3240265527988262</v>
      </c>
      <c r="AU624">
        <v>15.817243825106718</v>
      </c>
      <c r="AV624"/>
      <c r="AW624"/>
      <c r="FY624" s="212">
        <v>619</v>
      </c>
      <c r="FZ624">
        <v>6.4346906288554138</v>
      </c>
      <c r="GA624">
        <v>10.89618418302652</v>
      </c>
      <c r="GB624">
        <v>6.9811483814318693</v>
      </c>
      <c r="GC624">
        <v>3.777391454028411</v>
      </c>
      <c r="GD624">
        <v>1.5361358303460007</v>
      </c>
      <c r="GE624">
        <v>2.0650950665898264</v>
      </c>
      <c r="GF624">
        <v>10.384217993230884</v>
      </c>
      <c r="GG624">
        <v>11.508642533927006</v>
      </c>
      <c r="GH624">
        <v>2.219699772615237</v>
      </c>
      <c r="GI624">
        <v>6.8686630570609157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20.274854319237733</v>
      </c>
      <c r="AO625">
        <v>10.783493178682827</v>
      </c>
      <c r="AP625">
        <v>60.113181821297218</v>
      </c>
      <c r="AQ625">
        <v>53.176945958871073</v>
      </c>
      <c r="AR625">
        <v>9.8573142870755373</v>
      </c>
      <c r="AS625">
        <v>52.349992210435047</v>
      </c>
      <c r="AT625">
        <v>5.4058189551432152</v>
      </c>
      <c r="AU625">
        <v>42.707873528873186</v>
      </c>
      <c r="AV625"/>
      <c r="AW625"/>
      <c r="FY625" s="212">
        <v>620</v>
      </c>
      <c r="FZ625">
        <v>9.7490304817983109</v>
      </c>
      <c r="GA625">
        <v>13.044928903070945</v>
      </c>
      <c r="GB625">
        <v>4.9194162345589749</v>
      </c>
      <c r="GC625">
        <v>2.4254405428421451</v>
      </c>
      <c r="GD625">
        <v>0.98914682159884737</v>
      </c>
      <c r="GE625">
        <v>2.2655353297624301</v>
      </c>
      <c r="GF625">
        <v>6.655962339659915</v>
      </c>
      <c r="GG625">
        <v>6.0735363708480241</v>
      </c>
      <c r="GH625">
        <v>2.8413058900150308</v>
      </c>
      <c r="GI625">
        <v>5.4677967430369865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17.401692554531856</v>
      </c>
      <c r="AO626">
        <v>10.210619765069014</v>
      </c>
      <c r="AP626">
        <v>78.760199698180273</v>
      </c>
      <c r="AQ626">
        <v>58.507989116723131</v>
      </c>
      <c r="AR626">
        <v>9.3320430560905709</v>
      </c>
      <c r="AS626">
        <v>48.412072451964868</v>
      </c>
      <c r="AT626">
        <v>4.4679980275617384</v>
      </c>
      <c r="AU626">
        <v>9.8882297016877221</v>
      </c>
      <c r="AV626"/>
      <c r="AW626"/>
      <c r="FY626" s="212">
        <v>621</v>
      </c>
      <c r="FZ626">
        <v>15.856464475837662</v>
      </c>
      <c r="GA626">
        <v>20.612603832053658</v>
      </c>
      <c r="GB626">
        <v>5.0654271924912297</v>
      </c>
      <c r="GC626">
        <v>2.4955707860280008</v>
      </c>
      <c r="GD626">
        <v>1.1173425926431579</v>
      </c>
      <c r="GE626">
        <v>3.5532821937894754</v>
      </c>
      <c r="GF626">
        <v>4.9081119978409493</v>
      </c>
      <c r="GG626">
        <v>2.4160924660242413</v>
      </c>
      <c r="GH626">
        <v>2.7548996389490914</v>
      </c>
      <c r="GI626">
        <v>5.6649097516060305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15.880106209150323</v>
      </c>
      <c r="AO627">
        <v>9.4352711931429205</v>
      </c>
      <c r="AP627">
        <v>42.824458673719498</v>
      </c>
      <c r="AQ627">
        <v>51.880372044120591</v>
      </c>
      <c r="AR627">
        <v>8.8054212130433402</v>
      </c>
      <c r="AS627">
        <v>48.5896627272624</v>
      </c>
      <c r="AT627">
        <v>5.1452403546316203</v>
      </c>
      <c r="AU627">
        <v>10.65545292635546</v>
      </c>
      <c r="AV627"/>
      <c r="AW627"/>
      <c r="FY627" s="212">
        <v>622</v>
      </c>
      <c r="FZ627">
        <v>3.3558691427660117</v>
      </c>
      <c r="GA627">
        <v>7.5959322418966115</v>
      </c>
      <c r="GB627">
        <v>7.5400758460586017</v>
      </c>
      <c r="GC627">
        <v>2.9618875438105698</v>
      </c>
      <c r="GD627">
        <v>0.62979423256831524</v>
      </c>
      <c r="GE627">
        <v>3.6026378421866654</v>
      </c>
      <c r="GF627">
        <v>7.4643991162429524</v>
      </c>
      <c r="GG627">
        <v>5.7717985951102122</v>
      </c>
      <c r="GH627">
        <v>3.3646211294585848</v>
      </c>
      <c r="GI627">
        <v>5.1016813082990122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11.293172690763052</v>
      </c>
      <c r="AO628">
        <v>7.8244005621423423</v>
      </c>
      <c r="AP628">
        <v>32.899540025197027</v>
      </c>
      <c r="AQ628">
        <v>42.347389903049148</v>
      </c>
      <c r="AR628">
        <v>7.1518327473706984</v>
      </c>
      <c r="AS628">
        <v>40.038405937504102</v>
      </c>
      <c r="AT628">
        <v>4.4356943867420844</v>
      </c>
      <c r="AU628">
        <v>-5.3995571409445144</v>
      </c>
      <c r="AV628"/>
      <c r="AW628"/>
      <c r="FY628" s="212">
        <v>623</v>
      </c>
      <c r="FZ628">
        <v>3.4584948027455518</v>
      </c>
      <c r="GA628">
        <v>7.2229149141455418</v>
      </c>
      <c r="GB628">
        <v>4.8106374681787933</v>
      </c>
      <c r="GC628">
        <v>2.1383684070059941</v>
      </c>
      <c r="GD628">
        <v>1.5259219256109453</v>
      </c>
      <c r="GE628">
        <v>4.3622816971394949</v>
      </c>
      <c r="GF628">
        <v>8.7406423037447265</v>
      </c>
      <c r="GG628">
        <v>7.1284150725611237</v>
      </c>
      <c r="GH628">
        <v>3.1154940488696288</v>
      </c>
      <c r="GI628">
        <v>5.4452674980882989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22.571078431372548</v>
      </c>
      <c r="AO629">
        <v>12.384447770222327</v>
      </c>
      <c r="AP629">
        <v>86.030355265258052</v>
      </c>
      <c r="AQ629">
        <v>68.394110347101702</v>
      </c>
      <c r="AR629">
        <v>11.35870912160739</v>
      </c>
      <c r="AS629">
        <v>61.349895472771188</v>
      </c>
      <c r="AT629">
        <v>5.0606929280163646</v>
      </c>
      <c r="AU629">
        <v>24.068732325761463</v>
      </c>
      <c r="AV629"/>
      <c r="AW629"/>
      <c r="FY629" s="212">
        <v>624</v>
      </c>
      <c r="FZ629">
        <v>6.525866620450385</v>
      </c>
      <c r="GA629">
        <v>9.823471380186021</v>
      </c>
      <c r="GB629">
        <v>5.329391039902168</v>
      </c>
      <c r="GC629">
        <v>2.3780391207169713</v>
      </c>
      <c r="GD629">
        <v>0.52857529216874666</v>
      </c>
      <c r="GE629">
        <v>1.9150436511589128</v>
      </c>
      <c r="GF629">
        <v>5.7166092508192436</v>
      </c>
      <c r="GG629">
        <v>4.1817238056776995</v>
      </c>
      <c r="GH629">
        <v>1.2563521715237593</v>
      </c>
      <c r="GI629">
        <v>4.2621548299149561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13.004225234270413</v>
      </c>
      <c r="AO630">
        <v>8.3717608822894078</v>
      </c>
      <c r="AP630">
        <v>28.117150191719077</v>
      </c>
      <c r="AQ630">
        <v>40.195169837714722</v>
      </c>
      <c r="AR630">
        <v>7.7838962817955464</v>
      </c>
      <c r="AS630">
        <v>44.114726798612857</v>
      </c>
      <c r="AT630">
        <v>4.7649409382901</v>
      </c>
      <c r="AU630">
        <v>6.858762107566081</v>
      </c>
      <c r="AV630"/>
      <c r="AW630"/>
      <c r="FY630" s="212">
        <v>625</v>
      </c>
      <c r="FZ630">
        <v>6.4769558199120763</v>
      </c>
      <c r="GA630">
        <v>9.4162772394646339</v>
      </c>
      <c r="GB630">
        <v>3.6015027268879534</v>
      </c>
      <c r="GC630">
        <v>2.0122318635318268</v>
      </c>
      <c r="GD630">
        <v>2.0727088265621636</v>
      </c>
      <c r="GE630">
        <v>4.6938514713595278</v>
      </c>
      <c r="GF630">
        <v>9.6886489908739932</v>
      </c>
      <c r="GG630">
        <v>10.783583043794755</v>
      </c>
      <c r="GH630">
        <v>5.3756142639907276</v>
      </c>
      <c r="GI630">
        <v>6.6186956948825584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20.058695566580042</v>
      </c>
      <c r="AO631">
        <v>12.166020872595926</v>
      </c>
      <c r="AP631">
        <v>59.860539521225036</v>
      </c>
      <c r="AQ631">
        <v>62.624956919410025</v>
      </c>
      <c r="AR631">
        <v>11.182025218437445</v>
      </c>
      <c r="AS631">
        <v>57.907736577670867</v>
      </c>
      <c r="AT631">
        <v>6.3854000925688448</v>
      </c>
      <c r="AU631">
        <v>15.67403564270718</v>
      </c>
      <c r="AV631"/>
      <c r="AW631"/>
      <c r="FY631" s="212">
        <v>626</v>
      </c>
      <c r="FZ631">
        <v>0.11166639861768997</v>
      </c>
      <c r="GA631">
        <v>1.2237452373212836</v>
      </c>
      <c r="GB631">
        <v>4.4965870383806763</v>
      </c>
      <c r="GC631">
        <v>2.8138113894739489</v>
      </c>
      <c r="GD631">
        <v>1.4148751289987032</v>
      </c>
      <c r="GE631">
        <v>2.0375967648592792</v>
      </c>
      <c r="GF631">
        <v>4.0947192477118204</v>
      </c>
      <c r="GG631">
        <v>4.8760531729980219</v>
      </c>
      <c r="GH631">
        <v>1.9922535087355551</v>
      </c>
      <c r="GI631">
        <v>3.481794854682482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16.576184640522875</v>
      </c>
      <c r="AO632">
        <v>6.5590291441565229</v>
      </c>
      <c r="AP632">
        <v>72.958302528947755</v>
      </c>
      <c r="AQ632">
        <v>31.973873777184846</v>
      </c>
      <c r="AR632">
        <v>6.1191754032857908</v>
      </c>
      <c r="AS632">
        <v>36.231535525583908</v>
      </c>
      <c r="AT632" t="e">
        <v>#DIV/0!</v>
      </c>
      <c r="AU632" t="e">
        <v>#DIV/0!</v>
      </c>
      <c r="AV632"/>
      <c r="AW632"/>
      <c r="FY632" s="212">
        <v>627</v>
      </c>
      <c r="FZ632">
        <v>6.6089252000966194</v>
      </c>
      <c r="GA632">
        <v>10.41433306087951</v>
      </c>
      <c r="GB632">
        <v>6.8217022594851535</v>
      </c>
      <c r="GC632">
        <v>2.9588322606461435</v>
      </c>
      <c r="GD632">
        <v>1.1231533036947872</v>
      </c>
      <c r="GE632">
        <v>5.3773683604922144</v>
      </c>
      <c r="GF632">
        <v>10.039822768893655</v>
      </c>
      <c r="GG632">
        <v>5.5619507540817752</v>
      </c>
      <c r="GH632">
        <v>1.9172299869590903</v>
      </c>
      <c r="GI632">
        <v>6.130789241861522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23.088988306165838</v>
      </c>
      <c r="AO633">
        <v>9.9059373514784781</v>
      </c>
      <c r="AP633">
        <v>74.395043095377929</v>
      </c>
      <c r="AQ633">
        <v>54.100266673873918</v>
      </c>
      <c r="AR633">
        <v>9.1128105393181986</v>
      </c>
      <c r="AS633">
        <v>47.466143836589602</v>
      </c>
      <c r="AT633">
        <v>4.6274046747184441</v>
      </c>
      <c r="AU633">
        <v>53.705114067786845</v>
      </c>
      <c r="AV633"/>
      <c r="AW633"/>
      <c r="FY633" s="212">
        <v>628</v>
      </c>
      <c r="FZ633">
        <v>3.4068140221390086</v>
      </c>
      <c r="GA633">
        <v>5.1486678369707528</v>
      </c>
      <c r="GB633">
        <v>4.2976433616583263</v>
      </c>
      <c r="GC633">
        <v>2.1338942553346683</v>
      </c>
      <c r="GD633">
        <v>0.87730247389953575</v>
      </c>
      <c r="GE633">
        <v>2.5201726026826727</v>
      </c>
      <c r="GF633">
        <v>4.8363526920101894</v>
      </c>
      <c r="GG633">
        <v>5.0808488287190743</v>
      </c>
      <c r="GH633">
        <v>3.2062139644496312</v>
      </c>
      <c r="GI633">
        <v>3.8400335395057223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20.542087467517128</v>
      </c>
      <c r="AO634">
        <v>11.755067909039511</v>
      </c>
      <c r="AP634">
        <v>75.185423997221676</v>
      </c>
      <c r="AQ634">
        <v>62.311653272125923</v>
      </c>
      <c r="AR634">
        <v>10.846520179768987</v>
      </c>
      <c r="AS634">
        <v>56.026195268658647</v>
      </c>
      <c r="AT634">
        <v>5.6684311999204864</v>
      </c>
      <c r="AU634">
        <v>8.9531477210867791</v>
      </c>
      <c r="AV634"/>
      <c r="AW634"/>
      <c r="FY634" s="212">
        <v>629</v>
      </c>
      <c r="FZ634">
        <v>0.28738657291590169</v>
      </c>
      <c r="GA634">
        <v>3.1960928169674299</v>
      </c>
      <c r="GB634">
        <v>8.8332171487845397</v>
      </c>
      <c r="GC634">
        <v>4.673146021161501</v>
      </c>
      <c r="GD634">
        <v>2.0553000468177647</v>
      </c>
      <c r="GE634">
        <v>6.1958989093617447</v>
      </c>
      <c r="GF634">
        <v>11.653692220179792</v>
      </c>
      <c r="GG634">
        <v>6.9916635135851131</v>
      </c>
      <c r="GH634">
        <v>1.1252322029223973</v>
      </c>
      <c r="GI634">
        <v>6.7435001357998141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16.845256024096379</v>
      </c>
      <c r="AO635">
        <v>11.885408964110756</v>
      </c>
      <c r="AP635">
        <v>143.57892696568501</v>
      </c>
      <c r="AQ635">
        <v>62.671868901112084</v>
      </c>
      <c r="AR635">
        <v>10.83262709710827</v>
      </c>
      <c r="AS635">
        <v>54.746555448624576</v>
      </c>
      <c r="AT635" t="e">
        <v>#DIV/0!</v>
      </c>
      <c r="AU635" t="e">
        <v>#DIV/0!</v>
      </c>
      <c r="AV635"/>
      <c r="AW635"/>
      <c r="FY635" s="212">
        <v>630</v>
      </c>
      <c r="FZ635">
        <v>9.7276167480861808</v>
      </c>
      <c r="GA635">
        <v>13.877129287828971</v>
      </c>
      <c r="GB635">
        <v>2.3662689382919626</v>
      </c>
      <c r="GC635">
        <v>0.83079636341528118</v>
      </c>
      <c r="GD635">
        <v>1.0506043904459579</v>
      </c>
      <c r="GE635">
        <v>2.8661595846113648</v>
      </c>
      <c r="GF635">
        <v>8.9977458617547672</v>
      </c>
      <c r="GG635">
        <v>8.221643867072002</v>
      </c>
      <c r="GH635">
        <v>1.7588228219501363</v>
      </c>
      <c r="GI635">
        <v>5.2876792237693984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17.116970332309631</v>
      </c>
      <c r="AO636">
        <v>9.3555206914643723</v>
      </c>
      <c r="AP636">
        <v>73.141963538222001</v>
      </c>
      <c r="AQ636">
        <v>54.432099657191607</v>
      </c>
      <c r="AR636">
        <v>8.6722949798223592</v>
      </c>
      <c r="AS636">
        <v>45.466993985374593</v>
      </c>
      <c r="AT636">
        <v>4.0916549086776</v>
      </c>
      <c r="AU636">
        <v>18.116258416774848</v>
      </c>
      <c r="AV636"/>
      <c r="AW636"/>
      <c r="FY636" s="212">
        <v>631</v>
      </c>
      <c r="FZ636">
        <v>9.6057988586850644</v>
      </c>
      <c r="GA636">
        <v>14.597349710509071</v>
      </c>
      <c r="GB636">
        <v>8.8642868857386592</v>
      </c>
      <c r="GC636">
        <v>4.6591795295869902</v>
      </c>
      <c r="GD636">
        <v>1.3939470827405103</v>
      </c>
      <c r="GE636">
        <v>4.336846577369915</v>
      </c>
      <c r="GF636">
        <v>13.207806864503063</v>
      </c>
      <c r="GG636">
        <v>9.8439962807054187</v>
      </c>
      <c r="GH636">
        <v>1.9778275474530309</v>
      </c>
      <c r="GI636">
        <v>8.2065496152973409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25.231349417276949</v>
      </c>
      <c r="AO637">
        <v>9.7127843119819257</v>
      </c>
      <c r="AP637">
        <v>105.56048214198584</v>
      </c>
      <c r="AQ637">
        <v>64.444704927263487</v>
      </c>
      <c r="AR637">
        <v>8.9047952334172251</v>
      </c>
      <c r="AS637">
        <v>46.249839455684366</v>
      </c>
      <c r="AT637">
        <v>3.4651922963857795</v>
      </c>
      <c r="AU637">
        <v>63.283111609158844</v>
      </c>
      <c r="AV637"/>
      <c r="AW637"/>
      <c r="FY637" s="212">
        <v>632</v>
      </c>
      <c r="FZ637">
        <v>0.36952182587272381</v>
      </c>
      <c r="GA637">
        <v>3.2923676457272295</v>
      </c>
      <c r="GB637">
        <v>5.221466640085926</v>
      </c>
      <c r="GC637">
        <v>2.1238731705426188</v>
      </c>
      <c r="GD637">
        <v>0.44411133191956059</v>
      </c>
      <c r="GE637">
        <v>3.4829516968928291</v>
      </c>
      <c r="GF637">
        <v>9.437783329937286</v>
      </c>
      <c r="GG637">
        <v>6.4526329264893629</v>
      </c>
      <c r="GH637">
        <v>3.0797422251287014</v>
      </c>
      <c r="GI637">
        <v>4.4433189594489724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15.921772875816993</v>
      </c>
      <c r="AO638">
        <v>8.3773599448118752</v>
      </c>
      <c r="AP638">
        <v>49.485195133051157</v>
      </c>
      <c r="AQ638">
        <v>47.388696998397542</v>
      </c>
      <c r="AR638">
        <v>7.6963532358859652</v>
      </c>
      <c r="AS638">
        <v>43.203757043313487</v>
      </c>
      <c r="AT638">
        <v>4.3650675250218862</v>
      </c>
      <c r="AU638">
        <v>14.351100458322694</v>
      </c>
      <c r="AV638"/>
      <c r="AW638"/>
      <c r="FY638" s="212">
        <v>633</v>
      </c>
      <c r="FZ638">
        <v>3.2848087072820276</v>
      </c>
      <c r="GA638">
        <v>7.3495305033513123</v>
      </c>
      <c r="GB638">
        <v>6.3641565229988828</v>
      </c>
      <c r="GC638">
        <v>2.8491980032621758</v>
      </c>
      <c r="GD638">
        <v>1.1685542318367412</v>
      </c>
      <c r="GE638">
        <v>3.4290576854540626</v>
      </c>
      <c r="GF638">
        <v>7.9065885514644165</v>
      </c>
      <c r="GG638">
        <v>5.9418480615766178</v>
      </c>
      <c r="GH638">
        <v>1.7047677435842556</v>
      </c>
      <c r="GI638">
        <v>5.2325497429508463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12.267361111111111</v>
      </c>
      <c r="AO639">
        <v>9.0778342335357678</v>
      </c>
      <c r="AP639">
        <v>44.614176416551629</v>
      </c>
      <c r="AQ639">
        <v>47.948438138090097</v>
      </c>
      <c r="AR639">
        <v>8.3818806828572381</v>
      </c>
      <c r="AS639">
        <v>44.786714937720411</v>
      </c>
      <c r="AT639">
        <v>5.1165122103360021</v>
      </c>
      <c r="AU639">
        <v>9.1905314276925925</v>
      </c>
      <c r="AV639"/>
      <c r="AW639"/>
      <c r="FY639" s="212">
        <v>634</v>
      </c>
      <c r="FZ639">
        <v>3.4998366671128034</v>
      </c>
      <c r="GA639">
        <v>8.9573972485086539</v>
      </c>
      <c r="GB639">
        <v>11.065560519636438</v>
      </c>
      <c r="GC639">
        <v>4.6709555148987496</v>
      </c>
      <c r="GD639">
        <v>1.5982728993793738</v>
      </c>
      <c r="GE639">
        <v>5.4848436287907241</v>
      </c>
      <c r="GF639">
        <v>12.129701250899798</v>
      </c>
      <c r="GG639">
        <v>10.974675196535859</v>
      </c>
      <c r="GH639">
        <v>3.7493827180125674</v>
      </c>
      <c r="GI639">
        <v>8.1056597859981387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16.784517973856211</v>
      </c>
      <c r="AO640">
        <v>7.2835123539584767</v>
      </c>
      <c r="AP640">
        <v>63.502307564518297</v>
      </c>
      <c r="AQ640">
        <v>41.917227162518863</v>
      </c>
      <c r="AR640">
        <v>6.693903305749437</v>
      </c>
      <c r="AS640">
        <v>34.261959397021201</v>
      </c>
      <c r="AT640">
        <v>3.6069806581976938</v>
      </c>
      <c r="AU640">
        <v>38.211631821115517</v>
      </c>
      <c r="AV640"/>
      <c r="AW640"/>
      <c r="FY640" s="212">
        <v>635</v>
      </c>
      <c r="FZ640">
        <v>0.39924039698945668</v>
      </c>
      <c r="GA640">
        <v>3.5385047325785433</v>
      </c>
      <c r="GB640">
        <v>6.9178723158827458</v>
      </c>
      <c r="GC640">
        <v>3.6197626186005198</v>
      </c>
      <c r="GD640">
        <v>1.6667630699685123</v>
      </c>
      <c r="GE640">
        <v>3.2538521433861463</v>
      </c>
      <c r="GF640">
        <v>11.985627480962977</v>
      </c>
      <c r="GG640">
        <v>12.126496018265717</v>
      </c>
      <c r="GH640">
        <v>2.0314596803419001</v>
      </c>
      <c r="GI640">
        <v>6.5391794974428521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17.25510620915033</v>
      </c>
      <c r="AO641">
        <v>11.278814338513055</v>
      </c>
      <c r="AP641">
        <v>68.143583219493095</v>
      </c>
      <c r="AQ641">
        <v>60.740069941260217</v>
      </c>
      <c r="AR641">
        <v>10.387136388611191</v>
      </c>
      <c r="AS641">
        <v>50.551742475966726</v>
      </c>
      <c r="AT641">
        <v>5.6468149255962459</v>
      </c>
      <c r="AU641">
        <v>16.427357468960885</v>
      </c>
      <c r="AV641"/>
      <c r="AW641"/>
      <c r="FY641" s="212">
        <v>636</v>
      </c>
      <c r="FZ641">
        <v>0.34921884430587113</v>
      </c>
      <c r="GA641">
        <v>4.1505147948558339</v>
      </c>
      <c r="GB641">
        <v>8.4472258071845907</v>
      </c>
      <c r="GC641">
        <v>4.1893082003054429</v>
      </c>
      <c r="GD641">
        <v>0.99044238281363917</v>
      </c>
      <c r="GE641">
        <v>3.6784682108647271</v>
      </c>
      <c r="GF641">
        <v>6.7862114206509414</v>
      </c>
      <c r="GG641">
        <v>3.7263832018690808</v>
      </c>
      <c r="GH641">
        <v>2.5038866931309309</v>
      </c>
      <c r="GI641">
        <v>4.7299218579220126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9.3306141231593021</v>
      </c>
      <c r="AO642">
        <v>5.6709897723036002</v>
      </c>
      <c r="AP642">
        <v>44.641227370626183</v>
      </c>
      <c r="AQ642">
        <v>26.543102741779457</v>
      </c>
      <c r="AR642">
        <v>5.2242937160051559</v>
      </c>
      <c r="AS642">
        <v>28.99705521693614</v>
      </c>
      <c r="AT642" t="e">
        <v>#DIV/0!</v>
      </c>
      <c r="AU642" t="e">
        <v>#DIV/0!</v>
      </c>
      <c r="AV642"/>
      <c r="AW642"/>
      <c r="FY642" s="212">
        <v>637</v>
      </c>
      <c r="FZ642">
        <v>3.2024860288693402</v>
      </c>
      <c r="GA642">
        <v>6.5544299520034821</v>
      </c>
      <c r="GB642">
        <v>5.7505704858258477</v>
      </c>
      <c r="GC642">
        <v>2.827449927744798</v>
      </c>
      <c r="GD642">
        <v>1.3729775805206195</v>
      </c>
      <c r="GE642">
        <v>2.7617047331091014</v>
      </c>
      <c r="GF642">
        <v>4.7085077155629165</v>
      </c>
      <c r="GG642">
        <v>3.8730306644210932</v>
      </c>
      <c r="GH642">
        <v>2.5136644251330225</v>
      </c>
      <c r="GI642">
        <v>4.40094442022097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17.664828431372548</v>
      </c>
      <c r="AO643">
        <v>10.347007015281225</v>
      </c>
      <c r="AP643">
        <v>72.993643194379274</v>
      </c>
      <c r="AQ643">
        <v>56.95410719709048</v>
      </c>
      <c r="AR643">
        <v>9.4804984880632865</v>
      </c>
      <c r="AS643">
        <v>49.218836646441744</v>
      </c>
      <c r="AT643">
        <v>5.0579686562848973</v>
      </c>
      <c r="AU643">
        <v>32.781687087297918</v>
      </c>
      <c r="AV643"/>
      <c r="AW643"/>
      <c r="FY643" s="212">
        <v>638</v>
      </c>
      <c r="FZ643">
        <v>0.41843262641103318</v>
      </c>
      <c r="GA643">
        <v>5.6112483877194919</v>
      </c>
      <c r="GB643">
        <v>10.70962341855379</v>
      </c>
      <c r="GC643">
        <v>4.40932812007647</v>
      </c>
      <c r="GD643">
        <v>1.0367971330896562</v>
      </c>
      <c r="GE643">
        <v>4.3527662334552462</v>
      </c>
      <c r="GF643">
        <v>9.0186695369502452</v>
      </c>
      <c r="GG643">
        <v>7.0748752306495319</v>
      </c>
      <c r="GH643">
        <v>3.6723178277770865</v>
      </c>
      <c r="GI643">
        <v>6.206243996296223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12.886169678714859</v>
      </c>
      <c r="AO644">
        <v>6.3448568112162196</v>
      </c>
      <c r="AP644">
        <v>37.224248389374651</v>
      </c>
      <c r="AQ644">
        <v>35.347943577369584</v>
      </c>
      <c r="AR644">
        <v>5.8342643761651969</v>
      </c>
      <c r="AS644">
        <v>30.967598170682734</v>
      </c>
      <c r="AT644">
        <v>3.0745860911239813</v>
      </c>
      <c r="AU644">
        <v>-1.1166756217260303</v>
      </c>
      <c r="AV644"/>
      <c r="AW644"/>
      <c r="FY644" s="212">
        <v>639</v>
      </c>
      <c r="FZ644">
        <v>3.4564607239108645</v>
      </c>
      <c r="GA644">
        <v>5.8051511867704964</v>
      </c>
      <c r="GB644">
        <v>5.9981674048247591</v>
      </c>
      <c r="GC644">
        <v>2.8253933813380137</v>
      </c>
      <c r="GD644">
        <v>0.8216036702854721</v>
      </c>
      <c r="GE644">
        <v>5.518927893688554</v>
      </c>
      <c r="GF644">
        <v>18.497119311130941</v>
      </c>
      <c r="GG644">
        <v>13.065654782880294</v>
      </c>
      <c r="GH644">
        <v>1.7709630614829928</v>
      </c>
      <c r="GI644">
        <v>7.5325236635206512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17.978081443420741</v>
      </c>
      <c r="AO645">
        <v>11.167284170369324</v>
      </c>
      <c r="AP645">
        <v>51.110654720230912</v>
      </c>
      <c r="AQ645">
        <v>51.755129588496004</v>
      </c>
      <c r="AR645">
        <v>10.197999207244177</v>
      </c>
      <c r="AS645">
        <v>53.586173624659381</v>
      </c>
      <c r="AT645">
        <v>5.8144948524571527</v>
      </c>
      <c r="AU645">
        <v>22.665269396646259</v>
      </c>
      <c r="AV645"/>
      <c r="AW645"/>
      <c r="FY645" s="212">
        <v>640</v>
      </c>
      <c r="FZ645">
        <v>0.44261634019139573</v>
      </c>
      <c r="GA645">
        <v>5.1237055556971871</v>
      </c>
      <c r="GB645">
        <v>9.0805146268803441</v>
      </c>
      <c r="GC645">
        <v>3.8505086917727085</v>
      </c>
      <c r="GD645">
        <v>1.170881783450509</v>
      </c>
      <c r="GE645">
        <v>4.7268833112382413</v>
      </c>
      <c r="GF645">
        <v>10.238565961995343</v>
      </c>
      <c r="GG645">
        <v>6.9296918854369522</v>
      </c>
      <c r="GH645">
        <v>1.7070534653339235</v>
      </c>
      <c r="GI645">
        <v>5.8632479839197238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15.967664776754074</v>
      </c>
      <c r="AO646">
        <v>9.3355948631434522</v>
      </c>
      <c r="AP646">
        <v>82.991514510907422</v>
      </c>
      <c r="AQ646">
        <v>54.984467087226022</v>
      </c>
      <c r="AR646">
        <v>8.5411584218237326</v>
      </c>
      <c r="AS646">
        <v>58.129129037673259</v>
      </c>
      <c r="AT646">
        <v>4.2654833164473578</v>
      </c>
      <c r="AU646">
        <v>15.051907545586685</v>
      </c>
      <c r="AV646"/>
      <c r="AW646"/>
      <c r="FY646" s="212">
        <v>641</v>
      </c>
      <c r="FZ646">
        <v>3.3051116888488803</v>
      </c>
      <c r="GA646">
        <v>5.1798885854574337</v>
      </c>
      <c r="GB646">
        <v>5.900488446000729</v>
      </c>
      <c r="GC646">
        <v>3.3711364416852985</v>
      </c>
      <c r="GD646">
        <v>1.2451082723863256</v>
      </c>
      <c r="GE646">
        <v>3.5004181649671762</v>
      </c>
      <c r="GF646">
        <v>7.2023659508189315</v>
      </c>
      <c r="GG646">
        <v>4.2782220916445208</v>
      </c>
      <c r="GH646">
        <v>1.3409745984408565</v>
      </c>
      <c r="GI646">
        <v>4.7686547765202949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24.054138121111897</v>
      </c>
      <c r="AO647">
        <v>14.141373693795037</v>
      </c>
      <c r="AP647">
        <v>110.01802789748572</v>
      </c>
      <c r="AQ647">
        <v>76.693588952589067</v>
      </c>
      <c r="AR647">
        <v>12.906494323148454</v>
      </c>
      <c r="AS647">
        <v>75.904307890205061</v>
      </c>
      <c r="AT647">
        <v>7.1676962788291121</v>
      </c>
      <c r="AU647">
        <v>20.799135552915619</v>
      </c>
      <c r="AV647"/>
      <c r="AW647"/>
      <c r="FY647" s="212">
        <v>642</v>
      </c>
      <c r="FZ647">
        <v>3.4594181294349626</v>
      </c>
      <c r="GA647">
        <v>8.6384906989322179</v>
      </c>
      <c r="GB647">
        <v>8.4513485767789547</v>
      </c>
      <c r="GC647">
        <v>4.0872637425164964</v>
      </c>
      <c r="GD647">
        <v>1.9492501786718603</v>
      </c>
      <c r="GE647">
        <v>4.4948890868987128</v>
      </c>
      <c r="GF647">
        <v>4.3006667425193292</v>
      </c>
      <c r="GG647">
        <v>0.8494196805061206</v>
      </c>
      <c r="GH647">
        <v>0.77230863011574247</v>
      </c>
      <c r="GI647">
        <v>5.0199511628478568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16.062295751633986</v>
      </c>
      <c r="AO648">
        <v>7.259912999399921</v>
      </c>
      <c r="AP648">
        <v>56.671345200512683</v>
      </c>
      <c r="AQ648">
        <v>38.347769752045217</v>
      </c>
      <c r="AR648">
        <v>6.7216925938805963</v>
      </c>
      <c r="AS648">
        <v>37.788910310838304</v>
      </c>
      <c r="AT648">
        <v>4.6323316190087143</v>
      </c>
      <c r="AU648">
        <v>38.24620527567707</v>
      </c>
      <c r="AV648"/>
      <c r="AW648"/>
      <c r="FY648" s="212">
        <v>643</v>
      </c>
      <c r="FZ648">
        <v>6.4448421196388388</v>
      </c>
      <c r="GA648">
        <v>8.8295427600511989</v>
      </c>
      <c r="GB648">
        <v>8.2280037768538801</v>
      </c>
      <c r="GC648">
        <v>3.9087292751536196</v>
      </c>
      <c r="GD648">
        <v>1.7167668942443197</v>
      </c>
      <c r="GE648">
        <v>5.4774158549399665</v>
      </c>
      <c r="GF648">
        <v>10.964786862919627</v>
      </c>
      <c r="GG648">
        <v>11.674265216202341</v>
      </c>
      <c r="GH648">
        <v>5.3493826279417167</v>
      </c>
      <c r="GI648">
        <v>7.8988370215009551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16.58040987479329</v>
      </c>
      <c r="AO649">
        <v>8.8812063326595965</v>
      </c>
      <c r="AP649">
        <v>96.018173992076512</v>
      </c>
      <c r="AQ649">
        <v>45.231059753761336</v>
      </c>
      <c r="AR649">
        <v>8.1159502434415494</v>
      </c>
      <c r="AS649">
        <v>44.093572265406749</v>
      </c>
      <c r="AT649" t="e">
        <v>#DIV/0!</v>
      </c>
      <c r="AU649" t="e">
        <v>#DIV/0!</v>
      </c>
      <c r="AV649"/>
      <c r="AW649"/>
      <c r="FY649" s="212">
        <v>644</v>
      </c>
      <c r="FZ649">
        <v>6.5066743910288087</v>
      </c>
      <c r="GA649">
        <v>12.075835163916055</v>
      </c>
      <c r="GB649">
        <v>6.2341429012119685</v>
      </c>
      <c r="GC649">
        <v>2.411101639288761</v>
      </c>
      <c r="GD649">
        <v>1.8563026535882972</v>
      </c>
      <c r="GE649">
        <v>4.6224973930132052</v>
      </c>
      <c r="GF649">
        <v>9.2729706696572727</v>
      </c>
      <c r="GG649">
        <v>7.4190171299974494</v>
      </c>
      <c r="GH649">
        <v>1.2760499477382314</v>
      </c>
      <c r="GI649">
        <v>6.3400489582774231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20.800245098039209</v>
      </c>
      <c r="AO650">
        <v>13.565043570887051</v>
      </c>
      <c r="AP650">
        <v>77.361700068657541</v>
      </c>
      <c r="AQ650">
        <v>70.236285429773119</v>
      </c>
      <c r="AR650">
        <v>12.406047871897963</v>
      </c>
      <c r="AS650">
        <v>63.65197982937439</v>
      </c>
      <c r="AT650">
        <v>7.86539197248264</v>
      </c>
      <c r="AU650">
        <v>24.208457869645986</v>
      </c>
      <c r="AV650"/>
      <c r="AW650"/>
      <c r="FY650" s="212">
        <v>645</v>
      </c>
      <c r="FZ650">
        <v>3.3852128629710148</v>
      </c>
      <c r="GA650">
        <v>6.5345742238520765</v>
      </c>
      <c r="GB650">
        <v>3.8875775985347913</v>
      </c>
      <c r="GC650">
        <v>1.5332673670231474</v>
      </c>
      <c r="GD650">
        <v>0.80462987709412259</v>
      </c>
      <c r="GE650">
        <v>4.3363521904000155</v>
      </c>
      <c r="GF650">
        <v>9.9582573514989683</v>
      </c>
      <c r="GG650">
        <v>5.1828541984404373</v>
      </c>
      <c r="GH650">
        <v>7.6115362111117496E-2</v>
      </c>
      <c r="GI650">
        <v>4.3363871582832711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23.06045751633987</v>
      </c>
      <c r="AO651">
        <v>11.112220882418475</v>
      </c>
      <c r="AP651">
        <v>67.857784378765501</v>
      </c>
      <c r="AQ651">
        <v>52.078757954419366</v>
      </c>
      <c r="AR651">
        <v>10.18638683595848</v>
      </c>
      <c r="AS651">
        <v>54.541729651200718</v>
      </c>
      <c r="AT651">
        <v>6.4804401824444549</v>
      </c>
      <c r="AU651">
        <v>25.646155238518954</v>
      </c>
      <c r="AV651"/>
      <c r="AW651"/>
      <c r="FY651" s="212">
        <v>646</v>
      </c>
      <c r="FZ651">
        <v>0.17460942215293557</v>
      </c>
      <c r="GA651">
        <v>3.7975773029054238</v>
      </c>
      <c r="GB651">
        <v>9.8646968288103523</v>
      </c>
      <c r="GC651">
        <v>4.7590335342141117</v>
      </c>
      <c r="GD651">
        <v>1.2776453308280313</v>
      </c>
      <c r="GE651">
        <v>4.2644064076377237</v>
      </c>
      <c r="GF651">
        <v>9.0146077017116255</v>
      </c>
      <c r="GG651">
        <v>5.9987564400201752</v>
      </c>
      <c r="GH651">
        <v>3.0313953328664027</v>
      </c>
      <c r="GI651">
        <v>6.1267702732524878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15.093289825970547</v>
      </c>
      <c r="AO652">
        <v>7.5107936533443338</v>
      </c>
      <c r="AP652">
        <v>27.933643205652896</v>
      </c>
      <c r="AQ652">
        <v>39.551581413903079</v>
      </c>
      <c r="AR652">
        <v>6.8829905835791259</v>
      </c>
      <c r="AS652">
        <v>38.030742855905373</v>
      </c>
      <c r="AT652">
        <v>4.0729429625941593</v>
      </c>
      <c r="AU652">
        <v>-3.516769468444001</v>
      </c>
      <c r="AV652"/>
      <c r="AW652"/>
      <c r="FY652" s="212">
        <v>647</v>
      </c>
      <c r="FZ652">
        <v>9.7608412005046929</v>
      </c>
      <c r="GA652">
        <v>12.82218280285759</v>
      </c>
      <c r="GB652">
        <v>6.507521154500707</v>
      </c>
      <c r="GC652">
        <v>3.3698597961356898</v>
      </c>
      <c r="GD652">
        <v>2.2668879151328674</v>
      </c>
      <c r="GE652">
        <v>5.4162191116970755</v>
      </c>
      <c r="GF652">
        <v>4.5215914395479668</v>
      </c>
      <c r="GG652">
        <v>1.8717901621851141</v>
      </c>
      <c r="GH652">
        <v>1.1337392677283769</v>
      </c>
      <c r="GI652">
        <v>5.8453853591460163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15.126173812898653</v>
      </c>
      <c r="AO653">
        <v>7.1438314401400849</v>
      </c>
      <c r="AP653">
        <v>47.491309074903754</v>
      </c>
      <c r="AQ653">
        <v>37.965765933411191</v>
      </c>
      <c r="AR653">
        <v>6.6726434080193329</v>
      </c>
      <c r="AS653">
        <v>39.886126919205921</v>
      </c>
      <c r="AT653">
        <v>3.6382997626176525</v>
      </c>
      <c r="AU653">
        <v>2.4274263133547311</v>
      </c>
      <c r="AV653"/>
      <c r="AW653"/>
      <c r="FY653" s="212">
        <v>648</v>
      </c>
      <c r="FZ653">
        <v>9.5437791618392307</v>
      </c>
      <c r="GA653">
        <v>12.733073757908649</v>
      </c>
      <c r="GB653">
        <v>8.9122747831272662</v>
      </c>
      <c r="GC653">
        <v>4.8169351160963192</v>
      </c>
      <c r="GD653">
        <v>2.8023925734080888</v>
      </c>
      <c r="GE653">
        <v>7.6455039355561283</v>
      </c>
      <c r="GF653">
        <v>11.298266720274347</v>
      </c>
      <c r="GG653">
        <v>8.007961526667227</v>
      </c>
      <c r="GH653">
        <v>3.2594752525960589</v>
      </c>
      <c r="GI653">
        <v>8.9136870037303897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23.948465430348843</v>
      </c>
      <c r="AO654">
        <v>9.9787403127584255</v>
      </c>
      <c r="AP654">
        <v>56.721094242764764</v>
      </c>
      <c r="AQ654">
        <v>52.510302510978775</v>
      </c>
      <c r="AR654">
        <v>9.1952499875259015</v>
      </c>
      <c r="AS654">
        <v>53.12313090500647</v>
      </c>
      <c r="AT654">
        <v>5.5030826740224477</v>
      </c>
      <c r="AU654">
        <v>27.719575478241484</v>
      </c>
      <c r="AV654"/>
      <c r="AW654"/>
      <c r="FY654" s="212">
        <v>649</v>
      </c>
      <c r="FZ654">
        <v>3.2421686653136343</v>
      </c>
      <c r="GA654">
        <v>7.4575279520513238</v>
      </c>
      <c r="GB654">
        <v>11.034089206544785</v>
      </c>
      <c r="GC654">
        <v>4.9708653403236234</v>
      </c>
      <c r="GD654">
        <v>0.37403488957677195</v>
      </c>
      <c r="GE654">
        <v>3.7733450887465478</v>
      </c>
      <c r="GF654">
        <v>9.800733564115804</v>
      </c>
      <c r="GG654">
        <v>6.4425174914773713</v>
      </c>
      <c r="GH654">
        <v>3.3082035435619392</v>
      </c>
      <c r="GI654">
        <v>6.4111307582348314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14.357638888888889</v>
      </c>
      <c r="AO655">
        <v>12.904051596574377</v>
      </c>
      <c r="AP655">
        <v>63.898247134303588</v>
      </c>
      <c r="AQ655">
        <v>65.291965079833034</v>
      </c>
      <c r="AR655">
        <v>11.863701531143979</v>
      </c>
      <c r="AS655">
        <v>56.495516068582212</v>
      </c>
      <c r="AT655">
        <v>7.962006993972806</v>
      </c>
      <c r="AU655">
        <v>14.928734823760875</v>
      </c>
      <c r="AV655"/>
      <c r="AW655"/>
      <c r="FY655" s="212">
        <v>650</v>
      </c>
      <c r="FZ655">
        <v>3.3150757541764415</v>
      </c>
      <c r="GA655">
        <v>9.0693345234404994</v>
      </c>
      <c r="GB655">
        <v>9.4590869437610294</v>
      </c>
      <c r="GC655">
        <v>4.1416804667347886</v>
      </c>
      <c r="GD655">
        <v>1.6968033170699093</v>
      </c>
      <c r="GE655">
        <v>5.8868507956301865</v>
      </c>
      <c r="GF655">
        <v>9.022210324176708</v>
      </c>
      <c r="GG655">
        <v>3.1319083536692043</v>
      </c>
      <c r="GH655">
        <v>1.2661299035258509</v>
      </c>
      <c r="GI655">
        <v>6.4915459176176906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23.119485294117645</v>
      </c>
      <c r="AO656">
        <v>9.5829374746535869</v>
      </c>
      <c r="AP656">
        <v>66.260951578832305</v>
      </c>
      <c r="AQ656">
        <v>49.133669605916324</v>
      </c>
      <c r="AR656">
        <v>8.764854696163324</v>
      </c>
      <c r="AS656">
        <v>50.061503391419706</v>
      </c>
      <c r="AT656">
        <v>5.6462757005493058</v>
      </c>
      <c r="AU656">
        <v>52.180627870837249</v>
      </c>
      <c r="AV656"/>
      <c r="AW656"/>
      <c r="FY656" s="212">
        <v>651</v>
      </c>
      <c r="FZ656">
        <v>3.3865110405721559</v>
      </c>
      <c r="GA656">
        <v>6.3348640239230196</v>
      </c>
      <c r="GB656">
        <v>3.6258143610570492</v>
      </c>
      <c r="GC656">
        <v>2.0314440914325891</v>
      </c>
      <c r="GD656">
        <v>0.82679085374800687</v>
      </c>
      <c r="GE656">
        <v>2.6959350416566812</v>
      </c>
      <c r="GF656">
        <v>7.8837740010701562</v>
      </c>
      <c r="GG656">
        <v>5.2995833544312374</v>
      </c>
      <c r="GH656">
        <v>1.9644300664186845</v>
      </c>
      <c r="GI656">
        <v>4.1208374700484516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11.661228246318606</v>
      </c>
      <c r="AO657">
        <v>7.9449449881363092</v>
      </c>
      <c r="AP657">
        <v>36.934097348919664</v>
      </c>
      <c r="AQ657">
        <v>40.092369016770448</v>
      </c>
      <c r="AR657">
        <v>7.2905488199016411</v>
      </c>
      <c r="AS657">
        <v>37.723116375064883</v>
      </c>
      <c r="AT657">
        <v>4.1721554602167128</v>
      </c>
      <c r="AU657">
        <v>0.56171047666455287</v>
      </c>
      <c r="AV657"/>
      <c r="AW657"/>
      <c r="FY657" s="212">
        <v>652</v>
      </c>
      <c r="FZ657">
        <v>0.25489802173093523</v>
      </c>
      <c r="GA657">
        <v>3.6332517853441351</v>
      </c>
      <c r="GB657">
        <v>7.1763607435293588</v>
      </c>
      <c r="GC657">
        <v>3.1141415197920002</v>
      </c>
      <c r="GD657">
        <v>0.35218973893966066</v>
      </c>
      <c r="GE657">
        <v>1.3369651052703788</v>
      </c>
      <c r="GF657">
        <v>9.0819925584037051</v>
      </c>
      <c r="GG657">
        <v>8.3533321763434092</v>
      </c>
      <c r="GH657">
        <v>2.4952373161146628</v>
      </c>
      <c r="GI657">
        <v>4.8688541521041637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15.043172690763049</v>
      </c>
      <c r="AO658">
        <v>8.1015860377840845</v>
      </c>
      <c r="AP658">
        <v>34.31840661069036</v>
      </c>
      <c r="AQ658">
        <v>42.023006629222266</v>
      </c>
      <c r="AR658">
        <v>7.4429466244813769</v>
      </c>
      <c r="AS658">
        <v>40.743179926169603</v>
      </c>
      <c r="AT658">
        <v>4.0914304732989821</v>
      </c>
      <c r="AU658">
        <v>9.676856515357569</v>
      </c>
      <c r="AV658"/>
      <c r="AW658"/>
      <c r="FY658" s="212">
        <v>653</v>
      </c>
      <c r="FZ658">
        <v>9.708237093208739</v>
      </c>
      <c r="GA658">
        <v>13.120030996286577</v>
      </c>
      <c r="GB658">
        <v>7.9262646775415444</v>
      </c>
      <c r="GC658">
        <v>3.767308787211376</v>
      </c>
      <c r="GD658">
        <v>1.3221564486220683</v>
      </c>
      <c r="GE658">
        <v>4.1060976122302364</v>
      </c>
      <c r="GF658">
        <v>8.6695093613822607</v>
      </c>
      <c r="GG658">
        <v>7.5123553464710771</v>
      </c>
      <c r="GH658">
        <v>3.8015884458004141</v>
      </c>
      <c r="GI658">
        <v>7.1156816277352322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15.076388888888889</v>
      </c>
      <c r="AO659">
        <v>13.455395763615064</v>
      </c>
      <c r="AP659">
        <v>93.004449819634686</v>
      </c>
      <c r="AQ659">
        <v>70.492572409446467</v>
      </c>
      <c r="AR659">
        <v>12.294655830400869</v>
      </c>
      <c r="AS659">
        <v>60.356181889910744</v>
      </c>
      <c r="AT659">
        <v>7.5315386490492733</v>
      </c>
      <c r="AU659">
        <v>-5.0560610203824599</v>
      </c>
      <c r="AV659"/>
      <c r="AW659"/>
      <c r="FY659" s="212">
        <v>654</v>
      </c>
      <c r="FZ659">
        <v>0.11277715076296616</v>
      </c>
      <c r="GA659">
        <v>4.8556912112191117</v>
      </c>
      <c r="GB659">
        <v>4.7688155501846232</v>
      </c>
      <c r="GC659">
        <v>1.9386490806798404</v>
      </c>
      <c r="GD659">
        <v>1.2115499265703542</v>
      </c>
      <c r="GE659">
        <v>3.4341657699095571</v>
      </c>
      <c r="GF659">
        <v>5.7685989759339931</v>
      </c>
      <c r="GG659">
        <v>3.4138432578577946</v>
      </c>
      <c r="GH659">
        <v>2.391798477619882</v>
      </c>
      <c r="GI659">
        <v>3.7396030271538647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16.704528899913377</v>
      </c>
      <c r="AO660">
        <v>10.745200652313631</v>
      </c>
      <c r="AP660">
        <v>77.635776850403388</v>
      </c>
      <c r="AQ660">
        <v>58.014640847717466</v>
      </c>
      <c r="AR660">
        <v>9.8965721104012374</v>
      </c>
      <c r="AS660">
        <v>52.640754717115087</v>
      </c>
      <c r="AT660">
        <v>5.6296200876348115</v>
      </c>
      <c r="AU660">
        <v>20.875128432806644</v>
      </c>
      <c r="AV660"/>
      <c r="AW660"/>
      <c r="FY660" s="212">
        <v>655</v>
      </c>
      <c r="FZ660">
        <v>0.20506389450321463</v>
      </c>
      <c r="GA660">
        <v>2.551403409208608</v>
      </c>
      <c r="GB660">
        <v>7.3045027978806685</v>
      </c>
      <c r="GC660">
        <v>3.6178539554922975</v>
      </c>
      <c r="GD660">
        <v>0.71691688466955295</v>
      </c>
      <c r="GE660">
        <v>2.9239200974344097</v>
      </c>
      <c r="GF660">
        <v>8.1454945525941174</v>
      </c>
      <c r="GG660">
        <v>5.386629570871996</v>
      </c>
      <c r="GH660">
        <v>1.70661709416229</v>
      </c>
      <c r="GI660">
        <v>4.6939539195910882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12.759331443420745</v>
      </c>
      <c r="AO661">
        <v>7.3288193315189814</v>
      </c>
      <c r="AP661">
        <v>50.229164163969209</v>
      </c>
      <c r="AQ661">
        <v>40.035228190208962</v>
      </c>
      <c r="AR661">
        <v>6.6828489967599554</v>
      </c>
      <c r="AS661">
        <v>37.47937567636086</v>
      </c>
      <c r="AT661">
        <v>4.0152083119300865</v>
      </c>
      <c r="AU661">
        <v>24.267401597701483</v>
      </c>
      <c r="AV661"/>
      <c r="AW661"/>
      <c r="FY661" s="212">
        <v>656</v>
      </c>
      <c r="FZ661">
        <v>6.6002593123701985</v>
      </c>
      <c r="GA661">
        <v>10.293350238088989</v>
      </c>
      <c r="GB661">
        <v>4.9110432330741052</v>
      </c>
      <c r="GC661">
        <v>2.1452759047061316</v>
      </c>
      <c r="GD661">
        <v>0.61133870532343737</v>
      </c>
      <c r="GE661">
        <v>2.6403130452386225</v>
      </c>
      <c r="GF661">
        <v>9.1332713488591359</v>
      </c>
      <c r="GG661">
        <v>7.0736464803212673</v>
      </c>
      <c r="GH661">
        <v>1.9512747723322725</v>
      </c>
      <c r="GI661">
        <v>5.1509671243278214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18.680976356406017</v>
      </c>
      <c r="AO662">
        <v>9.9155049820962518</v>
      </c>
      <c r="AP662">
        <v>59.994063239638081</v>
      </c>
      <c r="AQ662">
        <v>48.309498574399264</v>
      </c>
      <c r="AR662">
        <v>9.191484960104086</v>
      </c>
      <c r="AS662">
        <v>49.959348253803299</v>
      </c>
      <c r="AT662">
        <v>5.5463244909228564</v>
      </c>
      <c r="AU662">
        <v>11.978063335120675</v>
      </c>
      <c r="AV662"/>
      <c r="AW662"/>
      <c r="FY662" s="212">
        <v>657</v>
      </c>
      <c r="FZ662">
        <v>3.3650973068600267</v>
      </c>
      <c r="GA662">
        <v>6.0369428348425291</v>
      </c>
      <c r="GB662">
        <v>8.2893362374480617</v>
      </c>
      <c r="GC662">
        <v>4.0657742640038137</v>
      </c>
      <c r="GD662">
        <v>1.1823661339224407</v>
      </c>
      <c r="GE662">
        <v>4.9739437197891707</v>
      </c>
      <c r="GF662">
        <v>8.0336951659882381</v>
      </c>
      <c r="GG662">
        <v>4.2683151236713019</v>
      </c>
      <c r="GH662">
        <v>2.8310150010602086</v>
      </c>
      <c r="GI662">
        <v>5.6920336604461657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19.517028899913374</v>
      </c>
      <c r="AO663">
        <v>9.8937726472825318</v>
      </c>
      <c r="AP663">
        <v>79.049760144020709</v>
      </c>
      <c r="AQ663">
        <v>53.516018209436105</v>
      </c>
      <c r="AR663">
        <v>9.0502515993956258</v>
      </c>
      <c r="AS663">
        <v>51.558762334652791</v>
      </c>
      <c r="AT663">
        <v>3.7043606951709958</v>
      </c>
      <c r="AU663">
        <v>28.171816688024432</v>
      </c>
      <c r="AV663"/>
      <c r="AW663"/>
      <c r="FY663" s="212">
        <v>658</v>
      </c>
      <c r="FZ663">
        <v>0.24548243218105509</v>
      </c>
      <c r="GA663">
        <v>3.557779713882903</v>
      </c>
      <c r="GB663">
        <v>4.381923997226191</v>
      </c>
      <c r="GC663">
        <v>2.236284556671007</v>
      </c>
      <c r="GD663">
        <v>2.1288596105476159</v>
      </c>
      <c r="GE663">
        <v>6.6460062053793081</v>
      </c>
      <c r="GF663">
        <v>7.9628748375258365</v>
      </c>
      <c r="GG663">
        <v>2.7117577731651714</v>
      </c>
      <c r="GH663">
        <v>1.3439157893535438</v>
      </c>
      <c r="GI663">
        <v>4.5479839527840129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25.240132097015511</v>
      </c>
      <c r="AO664">
        <v>15.113099680999657</v>
      </c>
      <c r="AP664">
        <v>104.90338365934031</v>
      </c>
      <c r="AQ664">
        <v>77.933349831203714</v>
      </c>
      <c r="AR664">
        <v>13.866534539345222</v>
      </c>
      <c r="AS664">
        <v>75.465471713364948</v>
      </c>
      <c r="AT664">
        <v>6.6745891689582768</v>
      </c>
      <c r="AU664">
        <v>43.703663234880551</v>
      </c>
      <c r="AV664"/>
      <c r="AW664"/>
      <c r="FY664" s="212">
        <v>659</v>
      </c>
      <c r="FZ664">
        <v>3.2034093555587511</v>
      </c>
      <c r="GA664">
        <v>5.1761962604280782</v>
      </c>
      <c r="GB664">
        <v>2.8382804341601719</v>
      </c>
      <c r="GC664">
        <v>1.2723651820062321</v>
      </c>
      <c r="GD664">
        <v>1.3100954560671669</v>
      </c>
      <c r="GE664">
        <v>3.3191274478686665</v>
      </c>
      <c r="GF664">
        <v>4.183781972115451</v>
      </c>
      <c r="GG664">
        <v>3.2971141018669936</v>
      </c>
      <c r="GH664">
        <v>2.0276841934047347</v>
      </c>
      <c r="GI664">
        <v>3.3959377114653746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14.268114123159304</v>
      </c>
      <c r="AO665">
        <v>10.606145524283528</v>
      </c>
      <c r="AP665">
        <v>55.476277446372393</v>
      </c>
      <c r="AQ665">
        <v>56.814616499946631</v>
      </c>
      <c r="AR665">
        <v>9.72061894679962</v>
      </c>
      <c r="AS665">
        <v>50.547160188811368</v>
      </c>
      <c r="AT665">
        <v>5.9139713514595611</v>
      </c>
      <c r="AU665">
        <v>-0.125603480338147</v>
      </c>
      <c r="AV665"/>
      <c r="AW665"/>
      <c r="FY665" s="212">
        <v>660</v>
      </c>
      <c r="FZ665">
        <v>0.25674467510975768</v>
      </c>
      <c r="GA665">
        <v>4.0470794236865775</v>
      </c>
      <c r="GB665">
        <v>4.9715706902867192</v>
      </c>
      <c r="GC665">
        <v>2.0722769684318427</v>
      </c>
      <c r="GD665">
        <v>1.7117869269974519</v>
      </c>
      <c r="GE665">
        <v>3.48535840409681</v>
      </c>
      <c r="GF665">
        <v>4.9859864734921491</v>
      </c>
      <c r="GG665">
        <v>5.1589972960788888</v>
      </c>
      <c r="GH665">
        <v>2.4830970765818066</v>
      </c>
      <c r="GI665">
        <v>4.0147298803985452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16.734272875816991</v>
      </c>
      <c r="AO666">
        <v>10.737523858275241</v>
      </c>
      <c r="AP666">
        <v>83.79447711786942</v>
      </c>
      <c r="AQ666">
        <v>53.480626299802303</v>
      </c>
      <c r="AR666">
        <v>9.8996477664667992</v>
      </c>
      <c r="AS666">
        <v>52.391112341747927</v>
      </c>
      <c r="AT666" t="e">
        <v>#DIV/0!</v>
      </c>
      <c r="AU666" t="e">
        <v>#DIV/0!</v>
      </c>
      <c r="AV666"/>
      <c r="AW666"/>
      <c r="FY666" s="212">
        <v>661</v>
      </c>
      <c r="FZ666">
        <v>6.5362055366896765</v>
      </c>
      <c r="GA666">
        <v>9.6829046844069389</v>
      </c>
      <c r="GB666">
        <v>12.8319591000554</v>
      </c>
      <c r="GC666">
        <v>6.6020342448655551</v>
      </c>
      <c r="GD666">
        <v>1.1875429209577644</v>
      </c>
      <c r="GE666">
        <v>1.7976675551912691</v>
      </c>
      <c r="GF666">
        <v>2.9645964817296733</v>
      </c>
      <c r="GG666">
        <v>3.0733163264502257</v>
      </c>
      <c r="GH666">
        <v>1.1999345856271137</v>
      </c>
      <c r="GI666">
        <v>5.883976410204153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16.948465430348847</v>
      </c>
      <c r="AO667">
        <v>6.8930754342620988</v>
      </c>
      <c r="AP667">
        <v>51.878811954243325</v>
      </c>
      <c r="AQ667">
        <v>38.169984304358032</v>
      </c>
      <c r="AR667">
        <v>6.3313073606511807</v>
      </c>
      <c r="AS667">
        <v>35.107214468413837</v>
      </c>
      <c r="AT667">
        <v>3.5615636863121671</v>
      </c>
      <c r="AU667">
        <v>32.969409915429964</v>
      </c>
      <c r="AV667"/>
      <c r="AW667"/>
      <c r="FY667" s="212">
        <v>662</v>
      </c>
      <c r="FZ667">
        <v>0.17460942215293557</v>
      </c>
      <c r="GA667">
        <v>4.0573088571322593</v>
      </c>
      <c r="GB667">
        <v>5.880917216092608</v>
      </c>
      <c r="GC667">
        <v>2.6069857815933117</v>
      </c>
      <c r="GD667">
        <v>0.70800262330675023</v>
      </c>
      <c r="GE667">
        <v>2.3223187520103767</v>
      </c>
      <c r="GF667">
        <v>7.3865576897228795</v>
      </c>
      <c r="GG667">
        <v>6.2874271782915727</v>
      </c>
      <c r="GH667">
        <v>2.2397100656079356</v>
      </c>
      <c r="GI667">
        <v>4.2047806253825524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12.94683144342074</v>
      </c>
      <c r="AO668">
        <v>8.0146664081262138</v>
      </c>
      <c r="AP668">
        <v>45.272149437771745</v>
      </c>
      <c r="AQ668">
        <v>40.667223117572405</v>
      </c>
      <c r="AR668">
        <v>7.4781653178507916</v>
      </c>
      <c r="AS668">
        <v>37.361161607832997</v>
      </c>
      <c r="AT668">
        <v>5.2892307217225634</v>
      </c>
      <c r="AU668">
        <v>12.089604957682271</v>
      </c>
      <c r="AV668"/>
      <c r="AW668"/>
      <c r="FY668" s="212">
        <v>663</v>
      </c>
      <c r="FZ668">
        <v>0.21429205859722977</v>
      </c>
      <c r="GA668">
        <v>4.5865441308879991</v>
      </c>
      <c r="GB668">
        <v>9.3037258181410518</v>
      </c>
      <c r="GC668">
        <v>4.0998203040228809</v>
      </c>
      <c r="GD668">
        <v>1.6930300903712714</v>
      </c>
      <c r="GE668">
        <v>5.5245928972243856</v>
      </c>
      <c r="GF668">
        <v>10.889982587410614</v>
      </c>
      <c r="GG668">
        <v>8.1519161215515403</v>
      </c>
      <c r="GH668">
        <v>3.0756726792301912</v>
      </c>
      <c r="GI668">
        <v>6.8158714904295437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25.223651960784309</v>
      </c>
      <c r="AO669">
        <v>12.029809612052377</v>
      </c>
      <c r="AP669">
        <v>98.651236183794751</v>
      </c>
      <c r="AQ669">
        <v>67.04923039648952</v>
      </c>
      <c r="AR669">
        <v>11.135653801427809</v>
      </c>
      <c r="AS669">
        <v>57.363413097846866</v>
      </c>
      <c r="AT669">
        <v>5.747789779769815</v>
      </c>
      <c r="AU669">
        <v>41.423683590559669</v>
      </c>
      <c r="AV669"/>
      <c r="AW669"/>
      <c r="FY669" s="212">
        <v>664</v>
      </c>
      <c r="FZ669">
        <v>6.4649576757498277</v>
      </c>
      <c r="GA669">
        <v>9.7412087445609341</v>
      </c>
      <c r="GB669">
        <v>8.0621843763679912</v>
      </c>
      <c r="GC669">
        <v>4.078339777315156</v>
      </c>
      <c r="GD669">
        <v>1.904657831265792</v>
      </c>
      <c r="GE669">
        <v>6.0879917862037729</v>
      </c>
      <c r="GF669">
        <v>12.750465977747677</v>
      </c>
      <c r="GG669">
        <v>9.5968075657714724</v>
      </c>
      <c r="GH669">
        <v>2.9346326664164488</v>
      </c>
      <c r="GI669">
        <v>8.0758868065251477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12.734272875816991</v>
      </c>
      <c r="AO670">
        <v>5.9419075418970069</v>
      </c>
      <c r="AP670">
        <v>36.746172932277005</v>
      </c>
      <c r="AQ670">
        <v>31.63549242789199</v>
      </c>
      <c r="AR670">
        <v>5.5117291783034599</v>
      </c>
      <c r="AS670">
        <v>33.890842659065207</v>
      </c>
      <c r="AT670" t="e">
        <v>#DIV/0!</v>
      </c>
      <c r="AU670" t="e">
        <v>#DIV/0!</v>
      </c>
      <c r="AV670"/>
      <c r="AW670"/>
      <c r="FY670" s="212">
        <v>665</v>
      </c>
      <c r="FZ670">
        <v>3.3973984325891284</v>
      </c>
      <c r="GA670">
        <v>7.117104225339693</v>
      </c>
      <c r="GB670">
        <v>6.7461169248565476</v>
      </c>
      <c r="GC670">
        <v>3.3226672974057951</v>
      </c>
      <c r="GD670">
        <v>1.8756036436886405</v>
      </c>
      <c r="GE670">
        <v>4.3066532995546458</v>
      </c>
      <c r="GF670">
        <v>9.4031749115874135</v>
      </c>
      <c r="GG670">
        <v>7.3621087515538912</v>
      </c>
      <c r="GH670">
        <v>0.71097664833496865</v>
      </c>
      <c r="GI670">
        <v>6.0307909950399683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13.224609221198516</v>
      </c>
      <c r="AO671">
        <v>7.7102832122093163</v>
      </c>
      <c r="AP671">
        <v>48.0135859125634</v>
      </c>
      <c r="AQ671">
        <v>37.252356176408242</v>
      </c>
      <c r="AR671">
        <v>7.1164074483922182</v>
      </c>
      <c r="AS671">
        <v>41.120513204786477</v>
      </c>
      <c r="AT671">
        <v>4.6386112400543906</v>
      </c>
      <c r="AU671">
        <v>17.765963426107987</v>
      </c>
      <c r="AV671"/>
      <c r="AW671"/>
      <c r="FY671" s="212">
        <v>666</v>
      </c>
      <c r="FZ671">
        <v>9.6980856024253121</v>
      </c>
      <c r="GA671">
        <v>14.42388765924561</v>
      </c>
      <c r="GB671">
        <v>6.1971087407286589</v>
      </c>
      <c r="GC671">
        <v>2.9184116098309172</v>
      </c>
      <c r="GD671">
        <v>1.5083304499579882</v>
      </c>
      <c r="GE671">
        <v>5.0464528227985888</v>
      </c>
      <c r="GF671">
        <v>8.2096512359597966</v>
      </c>
      <c r="GG671">
        <v>4.8174611457790437</v>
      </c>
      <c r="GH671">
        <v>2.7155127088136686</v>
      </c>
      <c r="GI671">
        <v>6.2915103176313307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11.661228246318606</v>
      </c>
      <c r="AO672">
        <v>8.7674356315687234</v>
      </c>
      <c r="AP672">
        <v>139.64610764144501</v>
      </c>
      <c r="AQ672">
        <v>50.510740164641987</v>
      </c>
      <c r="AR672">
        <v>8.0894138311760795</v>
      </c>
      <c r="AS672">
        <v>41.060047275618153</v>
      </c>
      <c r="AT672" t="e">
        <v>#DIV/0!</v>
      </c>
      <c r="AU672" t="e">
        <v>#DIV/0!</v>
      </c>
      <c r="AV672"/>
      <c r="AW672"/>
      <c r="FY672" s="212">
        <v>667</v>
      </c>
      <c r="FZ672">
        <v>6.4243517126161223</v>
      </c>
      <c r="GA672">
        <v>9.1229262255613026</v>
      </c>
      <c r="GB672">
        <v>6.7317745617884954</v>
      </c>
      <c r="GC672">
        <v>3.6362369664625636</v>
      </c>
      <c r="GD672">
        <v>1.3526147691643189</v>
      </c>
      <c r="GE672">
        <v>3.3493896589611638</v>
      </c>
      <c r="GF672">
        <v>3.3129678344463231</v>
      </c>
      <c r="GG672">
        <v>2.5863503995294175</v>
      </c>
      <c r="GH672">
        <v>3.4947915699355834</v>
      </c>
      <c r="GI672">
        <v>4.7327908079525729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18.64897334435782</v>
      </c>
      <c r="AO673">
        <v>9.3212995419035636</v>
      </c>
      <c r="AP673">
        <v>51.866461525061851</v>
      </c>
      <c r="AQ673">
        <v>48.738519448031958</v>
      </c>
      <c r="AR673">
        <v>8.5609123533224967</v>
      </c>
      <c r="AS673">
        <v>47.841273374892111</v>
      </c>
      <c r="AT673">
        <v>4.3810519178681933</v>
      </c>
      <c r="AU673">
        <v>17.836212747701239</v>
      </c>
      <c r="AV673"/>
      <c r="AW673"/>
      <c r="FY673" s="212">
        <v>668</v>
      </c>
      <c r="FZ673">
        <v>3.1923345380859138</v>
      </c>
      <c r="GA673">
        <v>7.3698211077534177</v>
      </c>
      <c r="GB673">
        <v>6.7952158629013839</v>
      </c>
      <c r="GC673">
        <v>3.0819462495906906</v>
      </c>
      <c r="GD673">
        <v>0.6641149396721342</v>
      </c>
      <c r="GE673">
        <v>1.8291189167142146</v>
      </c>
      <c r="GF673">
        <v>5.8323651572075992</v>
      </c>
      <c r="GG673">
        <v>4.5355262415904534</v>
      </c>
      <c r="GH673">
        <v>2.0656852242441599</v>
      </c>
      <c r="GI673">
        <v>4.3453875841089786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11.616089357429717</v>
      </c>
      <c r="AO674">
        <v>7.2696836151892086</v>
      </c>
      <c r="AP674">
        <v>33.269609341645904</v>
      </c>
      <c r="AQ674">
        <v>35.762868868716644</v>
      </c>
      <c r="AR674">
        <v>6.6839126559042503</v>
      </c>
      <c r="AS674">
        <v>38.769182064846618</v>
      </c>
      <c r="AT674">
        <v>4.6958905228778036</v>
      </c>
      <c r="AU674">
        <v>11.996642586076115</v>
      </c>
      <c r="AV674"/>
      <c r="AW674"/>
      <c r="FY674" s="212">
        <v>669</v>
      </c>
      <c r="FZ674">
        <v>3.2836979551367511</v>
      </c>
      <c r="GA674">
        <v>5.5731721636502414</v>
      </c>
      <c r="GB674">
        <v>6.6196080413172993</v>
      </c>
      <c r="GC674">
        <v>3.6121146236113395</v>
      </c>
      <c r="GD674">
        <v>2.4544460804265018</v>
      </c>
      <c r="GE674">
        <v>6.3094998796249886</v>
      </c>
      <c r="GF674">
        <v>7.4939473812587609</v>
      </c>
      <c r="GG674">
        <v>4.6857728365076374</v>
      </c>
      <c r="GH674">
        <v>3.0761090504018247</v>
      </c>
      <c r="GI674">
        <v>6.090064369734641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12.977328431372547</v>
      </c>
      <c r="AO675">
        <v>5.5578163756352739</v>
      </c>
      <c r="AP675">
        <v>85.7831812080682</v>
      </c>
      <c r="AQ675">
        <v>30.02399211494162</v>
      </c>
      <c r="AR675">
        <v>5.1962204614305554</v>
      </c>
      <c r="AS675">
        <v>29.891587860103417</v>
      </c>
      <c r="AT675" t="e">
        <v>#DIV/0!</v>
      </c>
      <c r="AU675" t="e">
        <v>#DIV/0!</v>
      </c>
      <c r="AV675"/>
      <c r="AW675"/>
      <c r="FY675" s="212">
        <v>670</v>
      </c>
      <c r="FZ675">
        <v>3.3955517792103063</v>
      </c>
      <c r="GA675">
        <v>7.5088173403922083</v>
      </c>
      <c r="GB675">
        <v>6.945290886966891</v>
      </c>
      <c r="GC675">
        <v>3.2884544543456204</v>
      </c>
      <c r="GD675">
        <v>0.82820128547445104</v>
      </c>
      <c r="GE675">
        <v>4.084581885886303</v>
      </c>
      <c r="GF675">
        <v>8.4911413681997665</v>
      </c>
      <c r="GG675">
        <v>3.8262377209895266</v>
      </c>
      <c r="GH675">
        <v>1.383045175178792</v>
      </c>
      <c r="GI675">
        <v>5.0490446982439412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14.624667788802265</v>
      </c>
      <c r="AO676">
        <v>6.446316492789161</v>
      </c>
      <c r="AP676">
        <v>30.087358517495698</v>
      </c>
      <c r="AQ676">
        <v>33.187627815160553</v>
      </c>
      <c r="AR676">
        <v>5.9117838539432235</v>
      </c>
      <c r="AS676">
        <v>32.407351983949127</v>
      </c>
      <c r="AT676">
        <v>3.2679285258955182</v>
      </c>
      <c r="AU676">
        <v>5.9276830731960057</v>
      </c>
      <c r="AV676"/>
      <c r="AW676"/>
      <c r="FY676" s="212">
        <v>671</v>
      </c>
      <c r="FZ676">
        <v>3.6829383521262073</v>
      </c>
      <c r="GA676">
        <v>7.2681020703207997</v>
      </c>
      <c r="GB676">
        <v>10.426946753051968</v>
      </c>
      <c r="GC676">
        <v>5.118885132751319</v>
      </c>
      <c r="GD676">
        <v>0.88266136167261133</v>
      </c>
      <c r="GE676">
        <v>2.8262163408538452</v>
      </c>
      <c r="GF676">
        <v>6.1720576811717134</v>
      </c>
      <c r="GG676">
        <v>3.7230036009398986</v>
      </c>
      <c r="GH676">
        <v>1.1888861864289106</v>
      </c>
      <c r="GI676">
        <v>5.4185243568603845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17.971136998976299</v>
      </c>
      <c r="AO677">
        <v>9.6703549182272859</v>
      </c>
      <c r="AP677">
        <v>63.223156431705021</v>
      </c>
      <c r="AQ677">
        <v>51.76013784617777</v>
      </c>
      <c r="AR677">
        <v>8.8581800279159317</v>
      </c>
      <c r="AS677">
        <v>49.148565461181029</v>
      </c>
      <c r="AT677">
        <v>4.4620297179622561</v>
      </c>
      <c r="AU677">
        <v>3.4417501564777178</v>
      </c>
      <c r="AV677"/>
      <c r="AW677"/>
      <c r="FY677" s="212">
        <v>672</v>
      </c>
      <c r="FZ677">
        <v>0.27686023122074532</v>
      </c>
      <c r="GA677">
        <v>1.4385745823200189</v>
      </c>
      <c r="GB677">
        <v>5.7917419339397753</v>
      </c>
      <c r="GC677">
        <v>3.1862593239879535</v>
      </c>
      <c r="GD677">
        <v>1.3758697944078666</v>
      </c>
      <c r="GE677">
        <v>5.2454152072594038</v>
      </c>
      <c r="GF677">
        <v>9.55757584110032</v>
      </c>
      <c r="GG677">
        <v>5.6449540041074222</v>
      </c>
      <c r="GH677">
        <v>1.6398430928816303</v>
      </c>
      <c r="GI677">
        <v>4.9703791925478829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9.3993055555555536</v>
      </c>
      <c r="AO678">
        <v>6.9768600559050373</v>
      </c>
      <c r="AP678">
        <v>27.687050924227247</v>
      </c>
      <c r="AQ678">
        <v>35.868618211293182</v>
      </c>
      <c r="AR678">
        <v>6.3720868801914321</v>
      </c>
      <c r="AS678">
        <v>33.495608610159564</v>
      </c>
      <c r="AT678">
        <v>4.3297498590978298</v>
      </c>
      <c r="AU678">
        <v>8.2754271029896895E-2</v>
      </c>
      <c r="AV678"/>
      <c r="AW678"/>
      <c r="FY678" s="212">
        <v>673</v>
      </c>
      <c r="FZ678">
        <v>6.51663845635637</v>
      </c>
      <c r="GA678">
        <v>8.8358984479643556</v>
      </c>
      <c r="GB678">
        <v>9.2016828110948907</v>
      </c>
      <c r="GC678">
        <v>4.5373450151969497</v>
      </c>
      <c r="GD678">
        <v>0.56352712400009741</v>
      </c>
      <c r="GE678">
        <v>2.7677899081396946</v>
      </c>
      <c r="GF678">
        <v>10.601125694081789</v>
      </c>
      <c r="GG678">
        <v>8.1049147110812036</v>
      </c>
      <c r="GH678">
        <v>1.523506504610612</v>
      </c>
      <c r="GI678">
        <v>6.6210562163898778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15.276564591700133</v>
      </c>
      <c r="AO679">
        <v>11.176024727880662</v>
      </c>
      <c r="AP679">
        <v>59.045899981526304</v>
      </c>
      <c r="AQ679">
        <v>54.355448177866705</v>
      </c>
      <c r="AR679">
        <v>10.331214348751763</v>
      </c>
      <c r="AS679">
        <v>56.582148894837793</v>
      </c>
      <c r="AT679">
        <v>6.9796068600394614</v>
      </c>
      <c r="AU679">
        <v>-2.2808304978999554</v>
      </c>
      <c r="AV679"/>
      <c r="AW679"/>
      <c r="FY679" s="212">
        <v>674</v>
      </c>
      <c r="FZ679">
        <v>9.8097520010430035</v>
      </c>
      <c r="GA679">
        <v>13.696259192953576</v>
      </c>
      <c r="GB679">
        <v>5.1886835835648597</v>
      </c>
      <c r="GC679">
        <v>2.6552752267699953</v>
      </c>
      <c r="GD679">
        <v>1.2261704093919392</v>
      </c>
      <c r="GE679">
        <v>3.258356840060971</v>
      </c>
      <c r="GF679">
        <v>7.9475401823437632</v>
      </c>
      <c r="GG679">
        <v>7.3768325378233319</v>
      </c>
      <c r="GH679">
        <v>5.2237630068044547</v>
      </c>
      <c r="GI679">
        <v>6.3240439977589302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17.237617135207497</v>
      </c>
      <c r="AO680">
        <v>13.807325705635458</v>
      </c>
      <c r="AP680">
        <v>68.673620990952358</v>
      </c>
      <c r="AQ680">
        <v>69.697133207924225</v>
      </c>
      <c r="AR680">
        <v>12.65015341164929</v>
      </c>
      <c r="AS680">
        <v>65.493057660640318</v>
      </c>
      <c r="AT680">
        <v>7.3335410053517833</v>
      </c>
      <c r="AU680">
        <v>1.535306971974002</v>
      </c>
      <c r="AV680"/>
      <c r="AW680"/>
      <c r="FY680" s="212">
        <v>675</v>
      </c>
      <c r="FZ680">
        <v>3.3464535532161319</v>
      </c>
      <c r="GA680">
        <v>7.9340099990699251</v>
      </c>
      <c r="GB680">
        <v>8.3217737235027993</v>
      </c>
      <c r="GC680">
        <v>3.7930981942416624</v>
      </c>
      <c r="GD680">
        <v>1.027903342475371</v>
      </c>
      <c r="GE680">
        <v>1.5218512206027168</v>
      </c>
      <c r="GF680">
        <v>5.0722467725927665</v>
      </c>
      <c r="GG680">
        <v>6.0101006253604314</v>
      </c>
      <c r="GH680">
        <v>2.6385630506780728</v>
      </c>
      <c r="GI680">
        <v>4.8647821052828313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13.048611111111109</v>
      </c>
      <c r="AO681">
        <v>10.194068212017577</v>
      </c>
      <c r="AP681">
        <v>59.424242294881616</v>
      </c>
      <c r="AQ681">
        <v>50.272595129950687</v>
      </c>
      <c r="AR681">
        <v>9.3480187234525935</v>
      </c>
      <c r="AS681">
        <v>45.062543202956419</v>
      </c>
      <c r="AT681" t="e">
        <v>#DIV/0!</v>
      </c>
      <c r="AU681" t="e">
        <v>#DIV/0!</v>
      </c>
      <c r="AV681"/>
      <c r="AW681"/>
      <c r="FY681" s="212">
        <v>676</v>
      </c>
      <c r="FZ681">
        <v>0.18457348748049696</v>
      </c>
      <c r="GA681">
        <v>4.8074330209062772</v>
      </c>
      <c r="GB681">
        <v>10.596706823357218</v>
      </c>
      <c r="GC681">
        <v>5.1951018476348256</v>
      </c>
      <c r="GD681">
        <v>1.2965421534437791</v>
      </c>
      <c r="GE681">
        <v>3.0087988080267816</v>
      </c>
      <c r="GF681">
        <v>5.9665533461843481</v>
      </c>
      <c r="GG681">
        <v>3.6945494117181199</v>
      </c>
      <c r="GH681">
        <v>1.0738202653540041</v>
      </c>
      <c r="GI681">
        <v>5.1568778388950776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16.52581157965194</v>
      </c>
      <c r="AO682">
        <v>10.633907949333459</v>
      </c>
      <c r="AP682">
        <v>75.353882208511152</v>
      </c>
      <c r="AQ682">
        <v>61.826412293170911</v>
      </c>
      <c r="AR682">
        <v>9.7398406953854479</v>
      </c>
      <c r="AS682">
        <v>53.502524321184836</v>
      </c>
      <c r="AT682">
        <v>5.1250585320675937</v>
      </c>
      <c r="AU682">
        <v>6.5610126269625395</v>
      </c>
      <c r="AV682"/>
      <c r="AW682"/>
      <c r="FY682" s="212">
        <v>677</v>
      </c>
      <c r="FZ682">
        <v>3.4169655129224346</v>
      </c>
      <c r="GA682">
        <v>6.090394629117208</v>
      </c>
      <c r="GB682">
        <v>6.3887684701428231</v>
      </c>
      <c r="GC682">
        <v>3.0321486000461402</v>
      </c>
      <c r="GD682">
        <v>1.0929479170751086</v>
      </c>
      <c r="GE682">
        <v>4.248812170089673</v>
      </c>
      <c r="GF682">
        <v>11.912055188125443</v>
      </c>
      <c r="GG682">
        <v>9.0341665077225599</v>
      </c>
      <c r="GH682">
        <v>1.5902805058912715</v>
      </c>
      <c r="GI682">
        <v>6.0592589443511855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17.363498110087409</v>
      </c>
      <c r="AO683">
        <v>7.7223693888475564</v>
      </c>
      <c r="AP683">
        <v>51.108183402109709</v>
      </c>
      <c r="AQ683">
        <v>44.74419450641787</v>
      </c>
      <c r="AR683">
        <v>7.1011458186338814</v>
      </c>
      <c r="AS683">
        <v>42.197117998931695</v>
      </c>
      <c r="AT683">
        <v>3.0696644035819087</v>
      </c>
      <c r="AU683">
        <v>13.072753620122501</v>
      </c>
      <c r="AV683"/>
      <c r="AW683"/>
      <c r="FY683" s="212">
        <v>678</v>
      </c>
      <c r="FZ683">
        <v>3.4573840506002753</v>
      </c>
      <c r="GA683">
        <v>9.3344747364333287</v>
      </c>
      <c r="GB683">
        <v>6.1546938118997394</v>
      </c>
      <c r="GC683">
        <v>1.7941201637934283</v>
      </c>
      <c r="GD683">
        <v>1.0520252185996133</v>
      </c>
      <c r="GE683">
        <v>5.4139214053038627</v>
      </c>
      <c r="GF683">
        <v>8.0636087026321803</v>
      </c>
      <c r="GG683">
        <v>4.1265113793879049</v>
      </c>
      <c r="GH683">
        <v>3.1241434258858973</v>
      </c>
      <c r="GI683">
        <v>4.9810058541167201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14.232306677691156</v>
      </c>
      <c r="AO684">
        <v>7.1105406976054626</v>
      </c>
      <c r="AP684">
        <v>88.756238168703135</v>
      </c>
      <c r="AQ684">
        <v>39.71151582186895</v>
      </c>
      <c r="AR684">
        <v>6.5976718611099789</v>
      </c>
      <c r="AS684">
        <v>36.266979952329088</v>
      </c>
      <c r="AT684" t="e">
        <v>#DIV/0!</v>
      </c>
      <c r="AU684" t="e">
        <v>#DIV/0!</v>
      </c>
      <c r="AV684"/>
      <c r="AW684"/>
      <c r="FY684" s="212">
        <v>679</v>
      </c>
      <c r="FZ684">
        <v>3.4380043957228339</v>
      </c>
      <c r="GA684">
        <v>7.4357632737136523</v>
      </c>
      <c r="GB684">
        <v>4.0643077849008433</v>
      </c>
      <c r="GC684">
        <v>1.588519729390155</v>
      </c>
      <c r="GD684">
        <v>1.1690983853109043</v>
      </c>
      <c r="GE684">
        <v>2.3600893535955594</v>
      </c>
      <c r="GF684">
        <v>7.3825737426762723</v>
      </c>
      <c r="GG684">
        <v>8.2378317706808755</v>
      </c>
      <c r="GH684">
        <v>3.0505693981670037</v>
      </c>
      <c r="GI684">
        <v>4.7204293547603289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14.237617135207495</v>
      </c>
      <c r="AO685">
        <v>9.9189087774518594</v>
      </c>
      <c r="AP685">
        <v>56.301761522313789</v>
      </c>
      <c r="AQ685">
        <v>49.198432381669988</v>
      </c>
      <c r="AR685">
        <v>9.1910174934667896</v>
      </c>
      <c r="AS685">
        <v>50.84931438912249</v>
      </c>
      <c r="AT685">
        <v>5.5163904071957903</v>
      </c>
      <c r="AU685">
        <v>6.7546242477306357</v>
      </c>
      <c r="AV685"/>
      <c r="AW685"/>
      <c r="FY685" s="212">
        <v>680</v>
      </c>
      <c r="FZ685">
        <v>0.16353460468009795</v>
      </c>
      <c r="GA685">
        <v>3.9817718876659276</v>
      </c>
      <c r="GB685">
        <v>6.8805059189913287</v>
      </c>
      <c r="GC685">
        <v>3.3701461545390861</v>
      </c>
      <c r="GD685">
        <v>1.0609478901952991</v>
      </c>
      <c r="GE685">
        <v>5.1743839829617739</v>
      </c>
      <c r="GF685">
        <v>9.2946485373688255</v>
      </c>
      <c r="GG685">
        <v>3.6176186302893525</v>
      </c>
      <c r="GH685">
        <v>2.2784030802615503</v>
      </c>
      <c r="GI685">
        <v>5.0229735224668204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14.738498110087409</v>
      </c>
      <c r="AO686">
        <v>8.4563625231615021</v>
      </c>
      <c r="AP686">
        <v>67.286434034303213</v>
      </c>
      <c r="AQ686">
        <v>44.800366594887798</v>
      </c>
      <c r="AR686">
        <v>7.7042111051449487</v>
      </c>
      <c r="AS686">
        <v>40.572942020379486</v>
      </c>
      <c r="AT686">
        <v>4.6843017996412799</v>
      </c>
      <c r="AU686">
        <v>29.414137211535863</v>
      </c>
      <c r="AV686"/>
      <c r="AW686"/>
      <c r="FY686" s="212">
        <v>681</v>
      </c>
      <c r="FZ686">
        <v>9.4930217079220984</v>
      </c>
      <c r="GA686">
        <v>15.036726929979567</v>
      </c>
      <c r="GB686">
        <v>8.8073916948639734</v>
      </c>
      <c r="GC686">
        <v>3.4545540767894347</v>
      </c>
      <c r="GD686">
        <v>0.55310949003602916</v>
      </c>
      <c r="GE686">
        <v>2.3419974925642473</v>
      </c>
      <c r="GF686">
        <v>10.699135022077131</v>
      </c>
      <c r="GG686">
        <v>9.3795371573987438</v>
      </c>
      <c r="GH686">
        <v>0.42566137283345179</v>
      </c>
      <c r="GI686">
        <v>6.7640591030240982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24.411023997952594</v>
      </c>
      <c r="AO687">
        <v>8.8696710838973019</v>
      </c>
      <c r="AP687">
        <v>55.15542337255345</v>
      </c>
      <c r="AQ687">
        <v>46.708221836177657</v>
      </c>
      <c r="AR687">
        <v>8.1275265941250687</v>
      </c>
      <c r="AS687">
        <v>48.568199251281634</v>
      </c>
      <c r="AT687">
        <v>4.0901348219809606</v>
      </c>
      <c r="AU687">
        <v>19.691274844162059</v>
      </c>
      <c r="AV687"/>
      <c r="AW687"/>
      <c r="FY687" s="212">
        <v>682</v>
      </c>
      <c r="FZ687">
        <v>3.4481558865062603</v>
      </c>
      <c r="GA687">
        <v>6.6795044261672354</v>
      </c>
      <c r="GB687">
        <v>6.1679242622398229</v>
      </c>
      <c r="GC687">
        <v>2.852766743831789</v>
      </c>
      <c r="GD687">
        <v>0.80747534701219303</v>
      </c>
      <c r="GE687">
        <v>1.8784681639446132</v>
      </c>
      <c r="GF687">
        <v>9.5121444456261539</v>
      </c>
      <c r="GG687">
        <v>8.7271570152413744</v>
      </c>
      <c r="GH687">
        <v>1.3022815837872419</v>
      </c>
      <c r="GI687">
        <v>5.3148126144383472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15.735025887865186</v>
      </c>
      <c r="AO688">
        <v>8.1519417021709142</v>
      </c>
      <c r="AP688">
        <v>43.705322981482965</v>
      </c>
      <c r="AQ688">
        <v>39.127473203773022</v>
      </c>
      <c r="AR688">
        <v>7.4640714890872042</v>
      </c>
      <c r="AS688">
        <v>38.601307886784127</v>
      </c>
      <c r="AT688">
        <v>4.3891175938715117</v>
      </c>
      <c r="AU688">
        <v>21.442196709976095</v>
      </c>
      <c r="AV688"/>
      <c r="AW688"/>
      <c r="FY688" s="212">
        <v>683</v>
      </c>
      <c r="FZ688">
        <v>0.19472497826392335</v>
      </c>
      <c r="GA688">
        <v>4.539448024526477</v>
      </c>
      <c r="GB688">
        <v>6.5021052498316454</v>
      </c>
      <c r="GC688">
        <v>2.9695644452908563</v>
      </c>
      <c r="GD688">
        <v>0.67302344933712366</v>
      </c>
      <c r="GE688">
        <v>0.23706224126148046</v>
      </c>
      <c r="GF688">
        <v>5.8997500138996788</v>
      </c>
      <c r="GG688">
        <v>7.7607728117332844</v>
      </c>
      <c r="GH688">
        <v>2.8210949568478281</v>
      </c>
      <c r="GI688">
        <v>4.1189789859042438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18.002386998976299</v>
      </c>
      <c r="AO689">
        <v>11.236443254538603</v>
      </c>
      <c r="AP689">
        <v>87.772976854677935</v>
      </c>
      <c r="AQ689">
        <v>59.273484888915831</v>
      </c>
      <c r="AR689">
        <v>10.378781983887569</v>
      </c>
      <c r="AS689">
        <v>53.621080291385994</v>
      </c>
      <c r="AT689">
        <v>6.0945535077798487</v>
      </c>
      <c r="AU689">
        <v>15.360817977438447</v>
      </c>
      <c r="AV689"/>
      <c r="AW689"/>
      <c r="FY689" s="212">
        <v>684</v>
      </c>
      <c r="FZ689">
        <v>3.2624716468804871</v>
      </c>
      <c r="GA689">
        <v>6.2394632286588783</v>
      </c>
      <c r="GB689">
        <v>5.8631438513745415</v>
      </c>
      <c r="GC689">
        <v>3.2885852673953337</v>
      </c>
      <c r="GD689">
        <v>1.9439327949677572</v>
      </c>
      <c r="GE689">
        <v>4.5898974079939547</v>
      </c>
      <c r="GF689">
        <v>7.7412722549690063</v>
      </c>
      <c r="GG689">
        <v>6.6077232396751606</v>
      </c>
      <c r="GH689">
        <v>3.0241589352565343</v>
      </c>
      <c r="GI689">
        <v>5.6404523494171634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17.942606209150327</v>
      </c>
      <c r="AO690">
        <v>10.633066812592199</v>
      </c>
      <c r="AP690">
        <v>80.494874324580437</v>
      </c>
      <c r="AQ690">
        <v>62.706676978514821</v>
      </c>
      <c r="AR690">
        <v>9.8851938643963635</v>
      </c>
      <c r="AS690">
        <v>52.563708439158646</v>
      </c>
      <c r="AT690">
        <v>5.2142656533170255</v>
      </c>
      <c r="AU690">
        <v>18.485306918720184</v>
      </c>
      <c r="AV690"/>
      <c r="AW690"/>
      <c r="FY690" s="212">
        <v>685</v>
      </c>
      <c r="FZ690">
        <v>0.12292864154639252</v>
      </c>
      <c r="GA690">
        <v>2.8820325787252559</v>
      </c>
      <c r="GB690">
        <v>5.3218570148732454</v>
      </c>
      <c r="GC690">
        <v>2.5764032611277363</v>
      </c>
      <c r="GD690">
        <v>1.2340127596690733</v>
      </c>
      <c r="GE690">
        <v>2.7954597427914485</v>
      </c>
      <c r="GF690">
        <v>8.6127973272974536</v>
      </c>
      <c r="GG690">
        <v>9.9149527765541432</v>
      </c>
      <c r="GH690">
        <v>4.0872248603736789</v>
      </c>
      <c r="GI690">
        <v>5.0672433953171101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20.490132097015511</v>
      </c>
      <c r="AO691">
        <v>7.9297992936719321</v>
      </c>
      <c r="AP691">
        <v>32.374403448539084</v>
      </c>
      <c r="AQ691">
        <v>44.530782587022713</v>
      </c>
      <c r="AR691">
        <v>7.2813148466717221</v>
      </c>
      <c r="AS691">
        <v>40.717633908531518</v>
      </c>
      <c r="AT691">
        <v>3.6560683383369645</v>
      </c>
      <c r="AU691">
        <v>10.387404761164323</v>
      </c>
      <c r="AV691"/>
      <c r="AW691"/>
      <c r="FY691" s="212">
        <v>686</v>
      </c>
      <c r="FZ691">
        <v>6.4446546941829741</v>
      </c>
      <c r="GA691">
        <v>11.063143715373336</v>
      </c>
      <c r="GB691">
        <v>6.9594680144711774</v>
      </c>
      <c r="GC691">
        <v>3.3143175119050046</v>
      </c>
      <c r="GD691">
        <v>1.3451612566418643</v>
      </c>
      <c r="GE691">
        <v>2.5908948869052399</v>
      </c>
      <c r="GF691">
        <v>5.1435376881394435</v>
      </c>
      <c r="GG691">
        <v>4.4484800251496965</v>
      </c>
      <c r="GH691">
        <v>2.3127054099449071</v>
      </c>
      <c r="GI691">
        <v>5.2708695156888297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23.474404972832502</v>
      </c>
      <c r="AO692">
        <v>8.3043985200274673</v>
      </c>
      <c r="AP692">
        <v>53.763809778700548</v>
      </c>
      <c r="AQ692">
        <v>40.980957003000931</v>
      </c>
      <c r="AR692">
        <v>7.5964105086308056</v>
      </c>
      <c r="AS692">
        <v>44.023946238484143</v>
      </c>
      <c r="AT692">
        <v>4.4025059836910563</v>
      </c>
      <c r="AU692">
        <v>30.824941332862725</v>
      </c>
      <c r="AV692"/>
      <c r="AW692"/>
      <c r="FY692" s="212">
        <v>687</v>
      </c>
      <c r="FZ692">
        <v>0.67739880581134337</v>
      </c>
      <c r="GA692">
        <v>2.5863112413232412</v>
      </c>
      <c r="GB692">
        <v>3.1138075419074696</v>
      </c>
      <c r="GC692">
        <v>1.5469613247841827</v>
      </c>
      <c r="GD692">
        <v>0.77557980972523022</v>
      </c>
      <c r="GE692">
        <v>3.4559766257016222</v>
      </c>
      <c r="GF692">
        <v>5.135614633107112</v>
      </c>
      <c r="GG692">
        <v>0.75899386313618056</v>
      </c>
      <c r="GH692">
        <v>1.1111003006012179</v>
      </c>
      <c r="GI692">
        <v>2.6632910640196434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16.31835922119852</v>
      </c>
      <c r="AO693">
        <v>10.221791609176476</v>
      </c>
      <c r="AP693">
        <v>59.251673460294811</v>
      </c>
      <c r="AQ693">
        <v>52.865798445483847</v>
      </c>
      <c r="AR693">
        <v>9.3878190927645182</v>
      </c>
      <c r="AS693">
        <v>44.862950432989443</v>
      </c>
      <c r="AT693">
        <v>5.5579117629323926</v>
      </c>
      <c r="AU693">
        <v>16.799077912855843</v>
      </c>
      <c r="AV693"/>
      <c r="AW693"/>
      <c r="FY693" s="212">
        <v>688</v>
      </c>
      <c r="FZ693">
        <v>3.2635823990257631</v>
      </c>
      <c r="GA693">
        <v>8.3165204997209585</v>
      </c>
      <c r="GB693">
        <v>8.6316883344170101</v>
      </c>
      <c r="GC693">
        <v>3.3618926549903723</v>
      </c>
      <c r="GD693">
        <v>1.3122105515650633</v>
      </c>
      <c r="GE693">
        <v>6.0531907526690993</v>
      </c>
      <c r="GF693">
        <v>10.710485730212596</v>
      </c>
      <c r="GG693">
        <v>6.0450821816262454</v>
      </c>
      <c r="GH693">
        <v>1.8745807268392325</v>
      </c>
      <c r="GI693">
        <v>6.4487126925529505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20.39441589888968</v>
      </c>
      <c r="AO694">
        <v>7.9930430561647396</v>
      </c>
      <c r="AP694">
        <v>61.143432885432979</v>
      </c>
      <c r="AQ694">
        <v>47.501888748652959</v>
      </c>
      <c r="AR694">
        <v>7.3929450329883304</v>
      </c>
      <c r="AS694">
        <v>48.049356827024006</v>
      </c>
      <c r="AT694">
        <v>4.3058022084229775</v>
      </c>
      <c r="AU694">
        <v>39.996357703845973</v>
      </c>
      <c r="AV694"/>
      <c r="AW694"/>
      <c r="FY694" s="212">
        <v>689</v>
      </c>
      <c r="FZ694">
        <v>3.2624716468804871</v>
      </c>
      <c r="GA694">
        <v>7.2676357028704714</v>
      </c>
      <c r="GB694">
        <v>7.0928147925788787</v>
      </c>
      <c r="GC694">
        <v>3.3535713099112661</v>
      </c>
      <c r="GD694">
        <v>0.83061138153582936</v>
      </c>
      <c r="GE694">
        <v>2.2560663569527577</v>
      </c>
      <c r="GF694">
        <v>4.6939288341010483</v>
      </c>
      <c r="GG694">
        <v>3.2872071338937747</v>
      </c>
      <c r="GH694">
        <v>2.7174772914915888</v>
      </c>
      <c r="GI694">
        <v>4.2937284585721116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11.423611111111109</v>
      </c>
      <c r="AO695">
        <v>7.9255649934909282</v>
      </c>
      <c r="AP695">
        <v>35.104045600277693</v>
      </c>
      <c r="AQ695">
        <v>43.447187188918427</v>
      </c>
      <c r="AR695">
        <v>7.3298243672874159</v>
      </c>
      <c r="AS695">
        <v>38.128667493231987</v>
      </c>
      <c r="AT695">
        <v>4.476399837707616</v>
      </c>
      <c r="AU695">
        <v>1.4882567894655983</v>
      </c>
      <c r="AV695"/>
      <c r="AW695"/>
      <c r="FY695" s="212">
        <v>690</v>
      </c>
      <c r="FZ695">
        <v>3.4682714426172483</v>
      </c>
      <c r="GA695">
        <v>9.7697419051152767</v>
      </c>
      <c r="GB695">
        <v>6.6964914544311265</v>
      </c>
      <c r="GC695">
        <v>2.5077237553539633</v>
      </c>
      <c r="GD695">
        <v>1.1775770168425763</v>
      </c>
      <c r="GE695">
        <v>3.0707063559660819</v>
      </c>
      <c r="GF695">
        <v>9.26193257542187</v>
      </c>
      <c r="GG695">
        <v>7.7310898721832384</v>
      </c>
      <c r="GH695">
        <v>1.1267604144286836</v>
      </c>
      <c r="GI695">
        <v>5.5011931589577792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17.551879084967322</v>
      </c>
      <c r="AO696">
        <v>8.2218493847385492</v>
      </c>
      <c r="AP696">
        <v>70.61615169864686</v>
      </c>
      <c r="AQ696">
        <v>40.84493420942006</v>
      </c>
      <c r="AR696">
        <v>7.5085534128910805</v>
      </c>
      <c r="AS696">
        <v>42.773092797971984</v>
      </c>
      <c r="AT696">
        <v>4.8539330496128725</v>
      </c>
      <c r="AU696">
        <v>38.056508027643702</v>
      </c>
      <c r="AV696"/>
      <c r="AW696"/>
      <c r="FY696" s="212">
        <v>691</v>
      </c>
      <c r="FZ696">
        <v>12.735190373235731</v>
      </c>
      <c r="GA696">
        <v>16.545592715175946</v>
      </c>
      <c r="GB696">
        <v>5.1117086975704087</v>
      </c>
      <c r="GC696">
        <v>2.4684319259077174</v>
      </c>
      <c r="GD696">
        <v>1.2971798429635701</v>
      </c>
      <c r="GE696">
        <v>4.7908384593032487</v>
      </c>
      <c r="GF696">
        <v>10.955918147519924</v>
      </c>
      <c r="GG696">
        <v>7.6440436557424842</v>
      </c>
      <c r="GH696">
        <v>2.7145361005789015</v>
      </c>
      <c r="GI696">
        <v>7.0815995454962035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16.68825301204819</v>
      </c>
      <c r="AO697">
        <v>11.756366209855431</v>
      </c>
      <c r="AP697">
        <v>209.33241641995448</v>
      </c>
      <c r="AQ697">
        <v>66.955194047488774</v>
      </c>
      <c r="AR697">
        <v>10.725431668078722</v>
      </c>
      <c r="AS697">
        <v>52.63671990816043</v>
      </c>
      <c r="AT697" t="e">
        <v>#DIV/0!</v>
      </c>
      <c r="AU697" t="e">
        <v>#DIV/0!</v>
      </c>
      <c r="AV697"/>
      <c r="AW697"/>
      <c r="FY697" s="212">
        <v>692</v>
      </c>
      <c r="FZ697">
        <v>0.28535249408121433</v>
      </c>
      <c r="GA697">
        <v>1.7767820200053146</v>
      </c>
      <c r="GB697">
        <v>6.753992454369544</v>
      </c>
      <c r="GC697">
        <v>3.8393072436975926</v>
      </c>
      <c r="GD697">
        <v>1.2873583010206473</v>
      </c>
      <c r="GE697">
        <v>3.9144155171708968</v>
      </c>
      <c r="GF697">
        <v>7.7371051042742458</v>
      </c>
      <c r="GG697">
        <v>4.478617863146896</v>
      </c>
      <c r="GH697">
        <v>2.0693183989710362</v>
      </c>
      <c r="GI697">
        <v>4.8306130006336794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14.937167788802267</v>
      </c>
      <c r="AO698">
        <v>9.0029452575417075</v>
      </c>
      <c r="AP698">
        <v>57.446360331451316</v>
      </c>
      <c r="AQ698">
        <v>46.690690488795028</v>
      </c>
      <c r="AR698">
        <v>8.3236158126112567</v>
      </c>
      <c r="AS698">
        <v>41.459645995503635</v>
      </c>
      <c r="AT698">
        <v>5.1720020147937547</v>
      </c>
      <c r="AU698">
        <v>6.7760407592089971</v>
      </c>
      <c r="AV698"/>
      <c r="AW698"/>
      <c r="FY698" s="212">
        <v>693</v>
      </c>
      <c r="FZ698">
        <v>3.2947727726095888</v>
      </c>
      <c r="GA698">
        <v>8.344328875987534</v>
      </c>
      <c r="GB698">
        <v>5.64768359035524</v>
      </c>
      <c r="GC698">
        <v>2.3319138419478782</v>
      </c>
      <c r="GD698">
        <v>1.3904588148829167</v>
      </c>
      <c r="GE698">
        <v>3.6628050622136916</v>
      </c>
      <c r="GF698">
        <v>10.074386348182639</v>
      </c>
      <c r="GG698">
        <v>8.2165806173673985</v>
      </c>
      <c r="GH698">
        <v>1.6663958680023891</v>
      </c>
      <c r="GI698">
        <v>5.6989328681581668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10.510416666666668</v>
      </c>
      <c r="AO699">
        <v>6.7379745413958787</v>
      </c>
      <c r="AP699">
        <v>210.11675690981068</v>
      </c>
      <c r="AQ699">
        <v>35.716525156896537</v>
      </c>
      <c r="AR699">
        <v>6.2215703506843756</v>
      </c>
      <c r="AS699">
        <v>35.074102850423422</v>
      </c>
      <c r="AT699" t="e">
        <v>#DIV/0!</v>
      </c>
      <c r="AU699" t="e">
        <v>#DIV/0!</v>
      </c>
      <c r="AV699"/>
      <c r="AW699"/>
      <c r="FY699" s="212">
        <v>694</v>
      </c>
      <c r="FZ699">
        <v>3.3558691427660117</v>
      </c>
      <c r="GA699">
        <v>6.4014215262299805</v>
      </c>
      <c r="GB699">
        <v>7.9092919193368267</v>
      </c>
      <c r="GC699">
        <v>4.0441622489089264</v>
      </c>
      <c r="GD699">
        <v>1.2415789641500941</v>
      </c>
      <c r="GE699">
        <v>2.4673646826297753</v>
      </c>
      <c r="GF699">
        <v>5.9332043377700838</v>
      </c>
      <c r="GG699">
        <v>6.6848624881426995</v>
      </c>
      <c r="GH699">
        <v>3.5453692114794988</v>
      </c>
      <c r="GI699">
        <v>5.4423656282059536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12.222975234270415</v>
      </c>
      <c r="AO700">
        <v>9.3824588510149134</v>
      </c>
      <c r="AP700">
        <v>44.018132399126145</v>
      </c>
      <c r="AQ700">
        <v>48.201100976588819</v>
      </c>
      <c r="AR700">
        <v>8.5819273654180019</v>
      </c>
      <c r="AS700">
        <v>45.835165332820878</v>
      </c>
      <c r="AT700">
        <v>5.117568888947484</v>
      </c>
      <c r="AU700">
        <v>1.5020322667534916</v>
      </c>
      <c r="AV700"/>
      <c r="AW700"/>
      <c r="FY700" s="212">
        <v>695</v>
      </c>
      <c r="FZ700">
        <v>3.6220294074256492</v>
      </c>
      <c r="GA700">
        <v>5.5434548371974017</v>
      </c>
      <c r="GB700">
        <v>7.9661385883560225</v>
      </c>
      <c r="GC700">
        <v>4.2064781761442962</v>
      </c>
      <c r="GD700">
        <v>0.70432233748293371</v>
      </c>
      <c r="GE700">
        <v>3.5222065783565899</v>
      </c>
      <c r="GF700">
        <v>7.9733644564849557</v>
      </c>
      <c r="GG700">
        <v>5.2026301700172617</v>
      </c>
      <c r="GH700">
        <v>2.9252913055859908</v>
      </c>
      <c r="GI700">
        <v>5.2484867108565787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12.539828431372547</v>
      </c>
      <c r="AO701">
        <v>8.3933084822391208</v>
      </c>
      <c r="AP701">
        <v>50.399308863146743</v>
      </c>
      <c r="AQ701">
        <v>42.614912358275546</v>
      </c>
      <c r="AR701">
        <v>7.7174650386686459</v>
      </c>
      <c r="AS701">
        <v>42.197759875987629</v>
      </c>
      <c r="AT701">
        <v>5.1703721564272964</v>
      </c>
      <c r="AU701">
        <v>5.4312100302341868</v>
      </c>
      <c r="AV701"/>
      <c r="AW701"/>
      <c r="FY701" s="212">
        <v>696</v>
      </c>
      <c r="FZ701">
        <v>3.232017174530208</v>
      </c>
      <c r="GA701">
        <v>7.1116306685685995</v>
      </c>
      <c r="GB701">
        <v>3.9917924859914011</v>
      </c>
      <c r="GC701">
        <v>1.656021402467601</v>
      </c>
      <c r="GD701">
        <v>1.3137286432170332</v>
      </c>
      <c r="GE701">
        <v>4.235781924813522</v>
      </c>
      <c r="GF701">
        <v>6.764611441131402</v>
      </c>
      <c r="GG701">
        <v>4.2683151236713019</v>
      </c>
      <c r="GH701">
        <v>2.4568654405327957</v>
      </c>
      <c r="GI701">
        <v>4.35657729649221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14.848728246318609</v>
      </c>
      <c r="AO702">
        <v>8.8469129432947149</v>
      </c>
      <c r="AP702">
        <v>50.784743409185474</v>
      </c>
      <c r="AQ702">
        <v>48.893232718402473</v>
      </c>
      <c r="AR702">
        <v>8.144306799500626</v>
      </c>
      <c r="AS702">
        <v>44.886898353808171</v>
      </c>
      <c r="AT702">
        <v>4.1190879116648089</v>
      </c>
      <c r="AU702">
        <v>1.0204763174555291</v>
      </c>
      <c r="AV702"/>
      <c r="AW702"/>
      <c r="FY702" s="212">
        <v>697</v>
      </c>
      <c r="FZ702">
        <v>9.8200909172822932</v>
      </c>
      <c r="GA702">
        <v>14.616770562409778</v>
      </c>
      <c r="GB702">
        <v>7.1858302622776709</v>
      </c>
      <c r="GC702">
        <v>3.333868315460697</v>
      </c>
      <c r="GD702">
        <v>1.1182031673049004</v>
      </c>
      <c r="GE702">
        <v>5.779012146348844</v>
      </c>
      <c r="GF702">
        <v>15.372247077642974</v>
      </c>
      <c r="GG702">
        <v>9.5247205026113235</v>
      </c>
      <c r="GH702">
        <v>2.3641173475133002</v>
      </c>
      <c r="GI702">
        <v>8.1609818594387882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12.609272875816993</v>
      </c>
      <c r="AO703">
        <v>4.1020759363978296</v>
      </c>
      <c r="AP703">
        <v>46.992482307527112</v>
      </c>
      <c r="AQ703">
        <v>21.825035210117239</v>
      </c>
      <c r="AR703">
        <v>3.8601794154453675</v>
      </c>
      <c r="AS703">
        <v>23.23219395349938</v>
      </c>
      <c r="AT703" t="e">
        <v>#DIV/0!</v>
      </c>
      <c r="AU703" t="e">
        <v>#DIV/0!</v>
      </c>
      <c r="AV703"/>
      <c r="AW703"/>
      <c r="FY703" s="212">
        <v>698</v>
      </c>
      <c r="FZ703">
        <v>3.2126375196527666</v>
      </c>
      <c r="GA703">
        <v>4.5556954903346565</v>
      </c>
      <c r="GB703">
        <v>9.4514812120987362</v>
      </c>
      <c r="GC703">
        <v>5.0739544718754264</v>
      </c>
      <c r="GD703">
        <v>0.84451656369271844</v>
      </c>
      <c r="GE703">
        <v>3.7958443068323708</v>
      </c>
      <c r="GF703">
        <v>9.7858420687538743</v>
      </c>
      <c r="GG703">
        <v>5.6700285924000173</v>
      </c>
      <c r="GH703">
        <v>0.41447066142495931</v>
      </c>
      <c r="GI703">
        <v>5.8990024303146242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16.946078431372548</v>
      </c>
      <c r="AO704">
        <v>10.735047121641447</v>
      </c>
      <c r="AP704">
        <v>73.978300637351765</v>
      </c>
      <c r="AQ704">
        <v>56.017946523619287</v>
      </c>
      <c r="AR704">
        <v>9.8233309614752002</v>
      </c>
      <c r="AS704">
        <v>52.570749143961585</v>
      </c>
      <c r="AT704">
        <v>5.7963849474977485</v>
      </c>
      <c r="AU704">
        <v>29.321289215445479</v>
      </c>
      <c r="AV704"/>
      <c r="AW704"/>
      <c r="FY704" s="212">
        <v>699</v>
      </c>
      <c r="FZ704">
        <v>6.6196389672476403</v>
      </c>
      <c r="GA704">
        <v>13.147821941750149</v>
      </c>
      <c r="GB704">
        <v>9.0212779692805096</v>
      </c>
      <c r="GC704">
        <v>3.2657236449372737</v>
      </c>
      <c r="GD704">
        <v>0.76641266254713014</v>
      </c>
      <c r="GE704">
        <v>4.7133586789921909</v>
      </c>
      <c r="GF704">
        <v>10.3701075020531</v>
      </c>
      <c r="GG704">
        <v>6.4972750193200106</v>
      </c>
      <c r="GH704">
        <v>2.3560466538789537</v>
      </c>
      <c r="GI704">
        <v>6.5180461628435014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12.953022875816995</v>
      </c>
      <c r="AO705">
        <v>6.8913089489992156</v>
      </c>
      <c r="AP705">
        <v>47.997246273835586</v>
      </c>
      <c r="AQ705">
        <v>39.055512908788216</v>
      </c>
      <c r="AR705">
        <v>6.4102085135081666</v>
      </c>
      <c r="AS705">
        <v>38.640537062632298</v>
      </c>
      <c r="AT705">
        <v>3.9340515459351786</v>
      </c>
      <c r="AU705">
        <v>16.002085359038279</v>
      </c>
      <c r="AV705"/>
      <c r="AW705"/>
      <c r="FY705" s="212">
        <v>700</v>
      </c>
      <c r="FZ705">
        <v>6.7108149588426116</v>
      </c>
      <c r="GA705">
        <v>9.6102184528726315</v>
      </c>
      <c r="GB705">
        <v>6.6118954466663906</v>
      </c>
      <c r="GC705">
        <v>3.3822892490245424</v>
      </c>
      <c r="GD705">
        <v>1.4868588554529145</v>
      </c>
      <c r="GE705">
        <v>5.859944198315608</v>
      </c>
      <c r="GF705">
        <v>9.1568416729736004</v>
      </c>
      <c r="GG705">
        <v>4.27046597427222</v>
      </c>
      <c r="GH705">
        <v>2.7331055218075502</v>
      </c>
      <c r="GI705">
        <v>6.1588441013178237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21.720179738562088</v>
      </c>
      <c r="AO706">
        <v>9.276365399211592</v>
      </c>
      <c r="AP706">
        <v>56.766833846600299</v>
      </c>
      <c r="AQ706">
        <v>50.311487951317844</v>
      </c>
      <c r="AR706">
        <v>8.4961524730658198</v>
      </c>
      <c r="AS706">
        <v>50.789728161475274</v>
      </c>
      <c r="AT706">
        <v>5.421991544743836</v>
      </c>
      <c r="AU706">
        <v>66.792928232706387</v>
      </c>
      <c r="AV706"/>
      <c r="AW706"/>
      <c r="FY706" s="212">
        <v>701</v>
      </c>
      <c r="FZ706">
        <v>0.21706203866546347</v>
      </c>
      <c r="GA706">
        <v>5.3511468552470554</v>
      </c>
      <c r="GB706">
        <v>6.3043373670558864</v>
      </c>
      <c r="GC706">
        <v>2.3419783368439369</v>
      </c>
      <c r="GD706">
        <v>1.3001081639267502</v>
      </c>
      <c r="GE706">
        <v>4.4678450824302782</v>
      </c>
      <c r="GF706">
        <v>8.3660209288634952</v>
      </c>
      <c r="GG706">
        <v>5.740432006784749</v>
      </c>
      <c r="GH706">
        <v>2.7251116139543008</v>
      </c>
      <c r="GI706">
        <v>4.9913127915371973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15.024305555555552</v>
      </c>
      <c r="AO707">
        <v>12.21043220269843</v>
      </c>
      <c r="AP707">
        <v>95.368768529082161</v>
      </c>
      <c r="AQ707">
        <v>71.345039463494146</v>
      </c>
      <c r="AR707">
        <v>11.249568766604829</v>
      </c>
      <c r="AS707">
        <v>52.286202231154057</v>
      </c>
      <c r="AT707">
        <v>5.8612301173036245</v>
      </c>
      <c r="AU707">
        <v>16.972235558657626</v>
      </c>
      <c r="AV707"/>
      <c r="AW707"/>
      <c r="FY707" s="212">
        <v>702</v>
      </c>
      <c r="FZ707">
        <v>6.3948205669552536</v>
      </c>
      <c r="GA707">
        <v>9.9531506190266139</v>
      </c>
      <c r="GB707">
        <v>4.1249307809763369</v>
      </c>
      <c r="GC707">
        <v>1.9953979197057845</v>
      </c>
      <c r="GD707">
        <v>1.1020325198055982</v>
      </c>
      <c r="GE707">
        <v>2.1239533541634397</v>
      </c>
      <c r="GF707">
        <v>6.8278291471287247</v>
      </c>
      <c r="GG707">
        <v>6.7343482992419634</v>
      </c>
      <c r="GH707">
        <v>3.2030576666994133</v>
      </c>
      <c r="GI707">
        <v>4.8788436961100254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15.664828431372545</v>
      </c>
      <c r="AO708">
        <v>7.7802088329972801</v>
      </c>
      <c r="AP708">
        <v>46.513441641761503</v>
      </c>
      <c r="AQ708">
        <v>36.97286239737106</v>
      </c>
      <c r="AR708">
        <v>7.2312309717599632</v>
      </c>
      <c r="AS708">
        <v>40.304505390426677</v>
      </c>
      <c r="AT708">
        <v>4.0740236796466425</v>
      </c>
      <c r="AU708">
        <v>22.551390163863189</v>
      </c>
      <c r="AV708"/>
      <c r="AW708"/>
      <c r="FY708" s="212">
        <v>703</v>
      </c>
      <c r="FZ708">
        <v>5.0757453917131802E-2</v>
      </c>
      <c r="GA708">
        <v>2.406462010946993</v>
      </c>
      <c r="GB708">
        <v>5.003685876887066</v>
      </c>
      <c r="GC708">
        <v>2.6700521941690383</v>
      </c>
      <c r="GD708">
        <v>0.9314524377279374</v>
      </c>
      <c r="GE708">
        <v>3.1233832700319146</v>
      </c>
      <c r="GF708">
        <v>9.1674366073888613</v>
      </c>
      <c r="GG708">
        <v>6.9017048980406699</v>
      </c>
      <c r="GH708">
        <v>1.6731958944406231</v>
      </c>
      <c r="GI708">
        <v>4.3988091618550582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14.109144912985276</v>
      </c>
      <c r="AO709">
        <v>9.6331414826919364</v>
      </c>
      <c r="AP709">
        <v>44.52682668430807</v>
      </c>
      <c r="AQ709">
        <v>50.328258659707437</v>
      </c>
      <c r="AR709">
        <v>8.8555020877118356</v>
      </c>
      <c r="AS709">
        <v>45.080243983311654</v>
      </c>
      <c r="AT709">
        <v>5.4799251224132091</v>
      </c>
      <c r="AU709">
        <v>7.5082959584653747E-2</v>
      </c>
      <c r="AV709"/>
      <c r="AW709"/>
      <c r="FY709" s="212">
        <v>704</v>
      </c>
      <c r="FZ709">
        <v>3.3355661611991589</v>
      </c>
      <c r="GA709">
        <v>8.2102749346644099</v>
      </c>
      <c r="GB709">
        <v>8.1975302292725978</v>
      </c>
      <c r="GC709">
        <v>3.4183289404151926</v>
      </c>
      <c r="GD709">
        <v>1.1091078795738925</v>
      </c>
      <c r="GE709">
        <v>2.6757735974976118</v>
      </c>
      <c r="GF709">
        <v>6.3181528722274001</v>
      </c>
      <c r="GG709">
        <v>5.732000220548179</v>
      </c>
      <c r="GH709">
        <v>1.0070462640733444</v>
      </c>
      <c r="GI709">
        <v>5.1434335963487854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17.366970332309627</v>
      </c>
      <c r="AO710">
        <v>9.0458477622637403</v>
      </c>
      <c r="AP710">
        <v>45.111682816295691</v>
      </c>
      <c r="AQ710">
        <v>47.025490149619849</v>
      </c>
      <c r="AR710">
        <v>8.3132018908067042</v>
      </c>
      <c r="AS710">
        <v>45.241535921627609</v>
      </c>
      <c r="AT710">
        <v>4.2936571960264427</v>
      </c>
      <c r="AU710">
        <v>7.8148449338493009</v>
      </c>
      <c r="AV710"/>
      <c r="AW710"/>
      <c r="FY710" s="212">
        <v>705</v>
      </c>
      <c r="FZ710">
        <v>6.3422164596592996</v>
      </c>
      <c r="GA710">
        <v>10.956173085717525</v>
      </c>
      <c r="GB710">
        <v>6.003507747178003</v>
      </c>
      <c r="GC710">
        <v>2.4181229195245049</v>
      </c>
      <c r="GD710">
        <v>1.3877235862555062</v>
      </c>
      <c r="GE710">
        <v>3.8447958249706584</v>
      </c>
      <c r="GF710">
        <v>6.36335622499253</v>
      </c>
      <c r="GG710">
        <v>4.4607463107626035</v>
      </c>
      <c r="GH710">
        <v>1.8440239322491561</v>
      </c>
      <c r="GI710">
        <v>5.3669103445235011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13.84450301204819</v>
      </c>
      <c r="AO711">
        <v>8.6012292884689483</v>
      </c>
      <c r="AP711">
        <v>33.531494824120138</v>
      </c>
      <c r="AQ711">
        <v>46.914402567907686</v>
      </c>
      <c r="AR711">
        <v>7.8569981791863457</v>
      </c>
      <c r="AS711">
        <v>42.602293288552715</v>
      </c>
      <c r="AT711">
        <v>4.4783462277997863</v>
      </c>
      <c r="AU711">
        <v>-1.1531710363336813</v>
      </c>
      <c r="AV711"/>
      <c r="AW711"/>
      <c r="FY711" s="212">
        <v>706</v>
      </c>
      <c r="FZ711">
        <v>6.4234283859267105</v>
      </c>
      <c r="GA711">
        <v>10.833342399302138</v>
      </c>
      <c r="GB711">
        <v>7.2164252223258432</v>
      </c>
      <c r="GC711">
        <v>3.5040010821749448</v>
      </c>
      <c r="GD711">
        <v>1.3321631371414562</v>
      </c>
      <c r="GE711">
        <v>5.1593590296012843</v>
      </c>
      <c r="GF711">
        <v>7.4951014757382257</v>
      </c>
      <c r="GG711">
        <v>2.7776510193092956</v>
      </c>
      <c r="GH711">
        <v>2.612844571581793</v>
      </c>
      <c r="GI711">
        <v>5.6452247591435052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10.879978246318604</v>
      </c>
      <c r="AO712">
        <v>7.2632432601306762</v>
      </c>
      <c r="AP712">
        <v>28.905466462714248</v>
      </c>
      <c r="AQ712">
        <v>39.387341601416075</v>
      </c>
      <c r="AR712">
        <v>6.6453708869869352</v>
      </c>
      <c r="AS712">
        <v>33.390981497268847</v>
      </c>
      <c r="AT712">
        <v>3.7560613340604618</v>
      </c>
      <c r="AU712">
        <v>0.13794681424521968</v>
      </c>
      <c r="AV712"/>
      <c r="AW712"/>
      <c r="FY712" s="212">
        <v>707</v>
      </c>
      <c r="FZ712">
        <v>0.30657880233747825</v>
      </c>
      <c r="GA712">
        <v>2.4669284770347826</v>
      </c>
      <c r="GB712">
        <v>4.1050514577437855</v>
      </c>
      <c r="GC712">
        <v>1.8778261223882462</v>
      </c>
      <c r="GD712">
        <v>1.7628626142516535</v>
      </c>
      <c r="GE712">
        <v>6.2291595320741928</v>
      </c>
      <c r="GF712">
        <v>8.5883344460796458</v>
      </c>
      <c r="GG712">
        <v>5.0188772005709126</v>
      </c>
      <c r="GH712">
        <v>2.6515375862354071</v>
      </c>
      <c r="GI712">
        <v>4.6585453567111674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18.947584455468931</v>
      </c>
      <c r="AO713">
        <v>14.024491927824462</v>
      </c>
      <c r="AP713">
        <v>109.85582772913473</v>
      </c>
      <c r="AQ713">
        <v>77.275842158290573</v>
      </c>
      <c r="AR713">
        <v>12.863951503349675</v>
      </c>
      <c r="AS713">
        <v>64.922129583183889</v>
      </c>
      <c r="AT713">
        <v>7.7306559206248009</v>
      </c>
      <c r="AU713">
        <v>28.09059379721862</v>
      </c>
      <c r="AV713"/>
      <c r="AW713"/>
      <c r="FY713" s="212">
        <v>708</v>
      </c>
      <c r="FZ713">
        <v>9.7276167480861808</v>
      </c>
      <c r="GA713">
        <v>14.437585310071393</v>
      </c>
      <c r="GB713">
        <v>10.812853543672279</v>
      </c>
      <c r="GC713">
        <v>5.044105915261814</v>
      </c>
      <c r="GD713">
        <v>0.63610749959546176</v>
      </c>
      <c r="GE713">
        <v>4.4295512503057548</v>
      </c>
      <c r="GF713">
        <v>10.571967931158053</v>
      </c>
      <c r="GG713">
        <v>6.1841930582419451</v>
      </c>
      <c r="GH713">
        <v>2.7043219974051764</v>
      </c>
      <c r="GI713">
        <v>7.4849934188786653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15.234272875816993</v>
      </c>
      <c r="AO714">
        <v>9.9178589536253341</v>
      </c>
      <c r="AP714">
        <v>74.746604151328</v>
      </c>
      <c r="AQ714">
        <v>48.703473317380144</v>
      </c>
      <c r="AR714">
        <v>9.0576193645649035</v>
      </c>
      <c r="AS714">
        <v>45.615082545263192</v>
      </c>
      <c r="AT714" t="e">
        <v>#DIV/0!</v>
      </c>
      <c r="AU714" t="e">
        <v>#DIV/0!</v>
      </c>
      <c r="AV714"/>
      <c r="AW714"/>
      <c r="FY714" s="212">
        <v>709</v>
      </c>
      <c r="FZ714">
        <v>0.16353460468009795</v>
      </c>
      <c r="GA714">
        <v>2.7554537221205173</v>
      </c>
      <c r="GB714">
        <v>6.6423408059106972</v>
      </c>
      <c r="GC714">
        <v>3.0944680349966709</v>
      </c>
      <c r="GD714">
        <v>1.0105249662163664</v>
      </c>
      <c r="GE714">
        <v>3.3780429853548073</v>
      </c>
      <c r="GF714">
        <v>6.3823874437850883</v>
      </c>
      <c r="GG714">
        <v>6.0385548145822092</v>
      </c>
      <c r="GH714">
        <v>4.0720051088717018</v>
      </c>
      <c r="GI714">
        <v>4.5075386644159661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18.602328431372552</v>
      </c>
      <c r="AO715">
        <v>10.900359506321458</v>
      </c>
      <c r="AP715">
        <v>70.729335885958747</v>
      </c>
      <c r="AQ715">
        <v>63.275709202850472</v>
      </c>
      <c r="AR715">
        <v>9.9497630806180641</v>
      </c>
      <c r="AS715">
        <v>51.466756954582756</v>
      </c>
      <c r="AT715">
        <v>5.6091951299931369</v>
      </c>
      <c r="AU715">
        <v>25.241195475940817</v>
      </c>
      <c r="AV715"/>
      <c r="AW715"/>
      <c r="FY715" s="212">
        <v>710</v>
      </c>
      <c r="FZ715">
        <v>6.5686940878746434</v>
      </c>
      <c r="GA715">
        <v>14.958433188373094</v>
      </c>
      <c r="GB715">
        <v>11.089320110148925</v>
      </c>
      <c r="GC715">
        <v>4.4550351220347899</v>
      </c>
      <c r="GD715">
        <v>1.8307053095730026</v>
      </c>
      <c r="GE715">
        <v>5.3134821457044348</v>
      </c>
      <c r="GF715">
        <v>8.4493734872049586</v>
      </c>
      <c r="GG715">
        <v>5.6036804478087383</v>
      </c>
      <c r="GH715">
        <v>3.2643491426751612</v>
      </c>
      <c r="GI715">
        <v>7.544691952659405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20.442899047169067</v>
      </c>
      <c r="AO716">
        <v>10.183535382296203</v>
      </c>
      <c r="AP716">
        <v>73.529760007490992</v>
      </c>
      <c r="AQ716">
        <v>55.981278431545896</v>
      </c>
      <c r="AR716">
        <v>9.403311773377613</v>
      </c>
      <c r="AS716">
        <v>54.557943357890331</v>
      </c>
      <c r="AT716">
        <v>4.7009287251410834</v>
      </c>
      <c r="AU716">
        <v>20.007150435308596</v>
      </c>
      <c r="AV716"/>
      <c r="AW716"/>
      <c r="FY716" s="212">
        <v>711</v>
      </c>
      <c r="FZ716">
        <v>6.5675833357293669</v>
      </c>
      <c r="GA716">
        <v>11.128608317936786</v>
      </c>
      <c r="GB716">
        <v>7.1019738771843119</v>
      </c>
      <c r="GC716">
        <v>3.0592721726827454</v>
      </c>
      <c r="GD716">
        <v>0.87687752906892369</v>
      </c>
      <c r="GE716">
        <v>3.4909491921575033</v>
      </c>
      <c r="GF716">
        <v>10.542054394514111</v>
      </c>
      <c r="GG716">
        <v>9.4216948496004651</v>
      </c>
      <c r="GH716">
        <v>3.689350415205928</v>
      </c>
      <c r="GI716">
        <v>6.5592610007225911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16.705281911961571</v>
      </c>
      <c r="AO717">
        <v>8.086322751351064</v>
      </c>
      <c r="AP717">
        <v>55.862879020279841</v>
      </c>
      <c r="AQ717">
        <v>41.805355185309111</v>
      </c>
      <c r="AR717">
        <v>7.4884331354245068</v>
      </c>
      <c r="AS717">
        <v>42.028590518944917</v>
      </c>
      <c r="AT717">
        <v>4.584852860422906</v>
      </c>
      <c r="AU717">
        <v>15.849948992106055</v>
      </c>
      <c r="AV717"/>
      <c r="AW717"/>
      <c r="FY717" s="212">
        <v>712</v>
      </c>
      <c r="FZ717">
        <v>0.16353460468009795</v>
      </c>
      <c r="GA717">
        <v>3.0509325524579642</v>
      </c>
      <c r="GB717">
        <v>6.4402683900080708</v>
      </c>
      <c r="GC717">
        <v>3.462573490618686</v>
      </c>
      <c r="GD717">
        <v>2.1639153748518059</v>
      </c>
      <c r="GE717">
        <v>4.4691251713142499</v>
      </c>
      <c r="GF717">
        <v>7.1948686438099898</v>
      </c>
      <c r="GG717">
        <v>6.0139351247367694</v>
      </c>
      <c r="GH717">
        <v>2.7024726468271423</v>
      </c>
      <c r="GI717">
        <v>5.4737501473294099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20.039496220174815</v>
      </c>
      <c r="AO718">
        <v>8.1577337477245244</v>
      </c>
      <c r="AP718">
        <v>61.590579155372033</v>
      </c>
      <c r="AQ718">
        <v>47.338364569813152</v>
      </c>
      <c r="AR718">
        <v>7.6018503040621797</v>
      </c>
      <c r="AS718">
        <v>42.689002983381883</v>
      </c>
      <c r="AT718">
        <v>3.7527623954051137</v>
      </c>
      <c r="AU718">
        <v>9.7220695823322192</v>
      </c>
      <c r="AV718"/>
      <c r="AW718"/>
      <c r="FY718" s="212">
        <v>713</v>
      </c>
      <c r="FZ718">
        <v>0.15522976727549403</v>
      </c>
      <c r="GA718">
        <v>4.5088852995326052</v>
      </c>
      <c r="GB718">
        <v>7.7312717918065932</v>
      </c>
      <c r="GC718">
        <v>3.7288376659662625</v>
      </c>
      <c r="GD718">
        <v>1.1223909043561404</v>
      </c>
      <c r="GE718">
        <v>2.3419974925642473</v>
      </c>
      <c r="GF718">
        <v>6.0193593214145595</v>
      </c>
      <c r="GG718">
        <v>5.1729472304672175</v>
      </c>
      <c r="GH718">
        <v>2.6123314146290628</v>
      </c>
      <c r="GI718">
        <v>4.5725814111934877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16.376926824946842</v>
      </c>
      <c r="AO719">
        <v>7.3136316001345651</v>
      </c>
      <c r="AP719">
        <v>45.92350172821326</v>
      </c>
      <c r="AQ719">
        <v>36.326939805405296</v>
      </c>
      <c r="AR719">
        <v>6.6754849619325753</v>
      </c>
      <c r="AS719">
        <v>35.723941629165637</v>
      </c>
      <c r="AT719">
        <v>3.9913614140309015</v>
      </c>
      <c r="AU719">
        <v>-3.7804467810520319</v>
      </c>
      <c r="AV719"/>
      <c r="AW719"/>
      <c r="FY719" s="212">
        <v>714</v>
      </c>
      <c r="FZ719">
        <v>3.3966625313555823</v>
      </c>
      <c r="GA719">
        <v>6.339649248695884</v>
      </c>
      <c r="GB719">
        <v>4.1512086944373392</v>
      </c>
      <c r="GC719">
        <v>1.8841396339697536</v>
      </c>
      <c r="GD719">
        <v>1.6276650605337684</v>
      </c>
      <c r="GE719">
        <v>5.8409377788196348</v>
      </c>
      <c r="GF719">
        <v>8.3884097312343648</v>
      </c>
      <c r="GG719">
        <v>3.5192282285083403</v>
      </c>
      <c r="GH719">
        <v>0.50203427925474353</v>
      </c>
      <c r="GI719">
        <v>4.5850019330824061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18.837354319237733</v>
      </c>
      <c r="AO720">
        <v>8.6484444504676627</v>
      </c>
      <c r="AP720">
        <v>50.84707544693795</v>
      </c>
      <c r="AQ720">
        <v>45.147214695820573</v>
      </c>
      <c r="AR720">
        <v>7.9027445120007132</v>
      </c>
      <c r="AS720">
        <v>46.44850023537245</v>
      </c>
      <c r="AT720">
        <v>4.4718915191037629</v>
      </c>
      <c r="AU720">
        <v>16.045884107960102</v>
      </c>
      <c r="AV720"/>
      <c r="AW720"/>
      <c r="FY720" s="212">
        <v>715</v>
      </c>
      <c r="FZ720">
        <v>3.3650973068600267</v>
      </c>
      <c r="GA720">
        <v>5.7931383784817241</v>
      </c>
      <c r="GB720">
        <v>5.2179833471320318</v>
      </c>
      <c r="GC720">
        <v>2.2413174161670302</v>
      </c>
      <c r="GD720">
        <v>1.5119383192147051</v>
      </c>
      <c r="GE720">
        <v>4.0920902763789879</v>
      </c>
      <c r="GF720">
        <v>3.5173433054181649</v>
      </c>
      <c r="GG720">
        <v>2.8497380824694476</v>
      </c>
      <c r="GH720">
        <v>2.8210949568478281</v>
      </c>
      <c r="GI720">
        <v>4.035067741073135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15.803257146231985</v>
      </c>
      <c r="AO721">
        <v>9.1485039128276782</v>
      </c>
      <c r="AP721">
        <v>71.636878009264237</v>
      </c>
      <c r="AQ721">
        <v>48.98757643583329</v>
      </c>
      <c r="AR721">
        <v>8.4202585519150404</v>
      </c>
      <c r="AS721">
        <v>42.891429246007114</v>
      </c>
      <c r="AT721">
        <v>4.1857126902012984</v>
      </c>
      <c r="AU721">
        <v>12.413845801385134</v>
      </c>
      <c r="AV721"/>
      <c r="AW721"/>
      <c r="FY721" s="212">
        <v>716</v>
      </c>
      <c r="FZ721">
        <v>0.31673029312090456</v>
      </c>
      <c r="GA721">
        <v>2.7744700062759442</v>
      </c>
      <c r="GB721">
        <v>3.688714070567328</v>
      </c>
      <c r="GC721">
        <v>1.7582922248029553</v>
      </c>
      <c r="GD721">
        <v>1.6176567405248266</v>
      </c>
      <c r="GE721">
        <v>4.1303435815693694</v>
      </c>
      <c r="GF721">
        <v>9.1044866762307173</v>
      </c>
      <c r="GG721">
        <v>7.3471495982732886</v>
      </c>
      <c r="GH721">
        <v>1.590716877062905</v>
      </c>
      <c r="GI721">
        <v>4.6851173317826955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15.09722222222222</v>
      </c>
      <c r="AO722">
        <v>9.2599051590976735</v>
      </c>
      <c r="AP722">
        <v>50.556144580133719</v>
      </c>
      <c r="AQ722">
        <v>52.999541082245194</v>
      </c>
      <c r="AR722">
        <v>8.4932089532487645</v>
      </c>
      <c r="AS722">
        <v>45.54082755975972</v>
      </c>
      <c r="AT722">
        <v>4.596557019774667</v>
      </c>
      <c r="AU722">
        <v>6.6011197407851725</v>
      </c>
      <c r="AV722"/>
      <c r="AW722"/>
      <c r="FY722" s="212">
        <v>717</v>
      </c>
      <c r="FZ722">
        <v>3.4186247408453925</v>
      </c>
      <c r="GA722">
        <v>7.1642408757459464</v>
      </c>
      <c r="GB722">
        <v>10.397532861246873</v>
      </c>
      <c r="GC722">
        <v>5.0172667126809394</v>
      </c>
      <c r="GD722">
        <v>1.4198504189173038</v>
      </c>
      <c r="GE722">
        <v>2.5488195279095254</v>
      </c>
      <c r="GF722">
        <v>4.2002533099802344</v>
      </c>
      <c r="GG722">
        <v>3.7379627542205034</v>
      </c>
      <c r="GH722">
        <v>1.1608051998018656</v>
      </c>
      <c r="GI722">
        <v>5.4337698641497649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11.163194444444443</v>
      </c>
      <c r="AO723">
        <v>7.49778808097187</v>
      </c>
      <c r="AP723">
        <v>29.68195868982415</v>
      </c>
      <c r="AQ723">
        <v>37.665701595427272</v>
      </c>
      <c r="AR723">
        <v>6.9042159913879537</v>
      </c>
      <c r="AS723">
        <v>40.469706929984071</v>
      </c>
      <c r="AT723">
        <v>4.6795899963911944</v>
      </c>
      <c r="AU723">
        <v>7.3765738976302933</v>
      </c>
      <c r="AV723"/>
      <c r="AW723"/>
      <c r="FY723" s="212">
        <v>718</v>
      </c>
      <c r="FZ723">
        <v>3.3955517792103063</v>
      </c>
      <c r="GA723">
        <v>6.6297022697758274</v>
      </c>
      <c r="GB723">
        <v>5.108736210646609</v>
      </c>
      <c r="GC723">
        <v>2.4997886144050772</v>
      </c>
      <c r="GD723">
        <v>0.95165525603648748</v>
      </c>
      <c r="GE723">
        <v>4.3386210310495406</v>
      </c>
      <c r="GF723">
        <v>6.3641898869047466</v>
      </c>
      <c r="GG723">
        <v>2.6845323342716583</v>
      </c>
      <c r="GH723">
        <v>3.7636529413901814</v>
      </c>
      <c r="GI723">
        <v>4.2554253191265801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23.115132097015511</v>
      </c>
      <c r="AO724">
        <v>12.628621768979356</v>
      </c>
      <c r="AP724">
        <v>110.04003408356854</v>
      </c>
      <c r="AQ724">
        <v>72.033296672676713</v>
      </c>
      <c r="AR724">
        <v>11.561371270416881</v>
      </c>
      <c r="AS724">
        <v>62.15568374016577</v>
      </c>
      <c r="AT724">
        <v>6.2476117056125888</v>
      </c>
      <c r="AU724">
        <v>38.082081830160078</v>
      </c>
      <c r="AV724"/>
      <c r="AW724"/>
      <c r="FY724" s="212">
        <v>719</v>
      </c>
      <c r="FZ724">
        <v>0.10336156121308604</v>
      </c>
      <c r="GA724">
        <v>1.8903324452235346</v>
      </c>
      <c r="GB724">
        <v>7.7666533200310628</v>
      </c>
      <c r="GC724">
        <v>4.3463960970661173</v>
      </c>
      <c r="GD724">
        <v>1.4004881682123136</v>
      </c>
      <c r="GE724">
        <v>2.1937269541539948</v>
      </c>
      <c r="GF724">
        <v>4.0947192477118204</v>
      </c>
      <c r="GG724">
        <v>4.3604245898166631</v>
      </c>
      <c r="GH724">
        <v>1.9148674794283256</v>
      </c>
      <c r="GI724">
        <v>4.3099482840028154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12.862617135207495</v>
      </c>
      <c r="AO725">
        <v>7.2047440642666629</v>
      </c>
      <c r="AP725">
        <v>35.041331615893476</v>
      </c>
      <c r="AQ725">
        <v>38.044851150934122</v>
      </c>
      <c r="AR725">
        <v>6.6314389215459641</v>
      </c>
      <c r="AS725">
        <v>38.588724521526203</v>
      </c>
      <c r="AT725">
        <v>4.3962196676024208</v>
      </c>
      <c r="AU725">
        <v>-6.630568284381634</v>
      </c>
      <c r="AV725"/>
      <c r="AW725"/>
      <c r="FY725" s="212">
        <v>720</v>
      </c>
      <c r="FZ725">
        <v>3.2737338898091899</v>
      </c>
      <c r="GA725">
        <v>6.4332841081251058</v>
      </c>
      <c r="GB725">
        <v>7.9714897397347215</v>
      </c>
      <c r="GC725">
        <v>3.8855628333228713</v>
      </c>
      <c r="GD725">
        <v>1.7286715122185963</v>
      </c>
      <c r="GE725">
        <v>4.6612514863402774</v>
      </c>
      <c r="GF725">
        <v>9.493419157734639</v>
      </c>
      <c r="GG725">
        <v>9.129864041835873</v>
      </c>
      <c r="GH725">
        <v>3.3416113175889848</v>
      </c>
      <c r="GI725">
        <v>6.6373762764134625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24.447252244271198</v>
      </c>
      <c r="AO726">
        <v>12.38163954777184</v>
      </c>
      <c r="AP726">
        <v>84.363760250088319</v>
      </c>
      <c r="AQ726">
        <v>69.077764994057162</v>
      </c>
      <c r="AR726">
        <v>11.446354403729956</v>
      </c>
      <c r="AS726">
        <v>63.75623405220383</v>
      </c>
      <c r="AT726">
        <v>6.2394266759856292</v>
      </c>
      <c r="AU726">
        <v>25.630385822813199</v>
      </c>
      <c r="AV726"/>
      <c r="AW726"/>
      <c r="FY726" s="212">
        <v>721</v>
      </c>
      <c r="FZ726">
        <v>6.4872947361513678</v>
      </c>
      <c r="GA726">
        <v>9.9127618456381317</v>
      </c>
      <c r="GB726">
        <v>3.8005483546304166</v>
      </c>
      <c r="GC726">
        <v>1.8608298675095867</v>
      </c>
      <c r="GD726">
        <v>1.6926261788611141</v>
      </c>
      <c r="GE726">
        <v>5.0100649097413568</v>
      </c>
      <c r="GF726">
        <v>9.5016273994029028</v>
      </c>
      <c r="GG726">
        <v>7.0078514171939847</v>
      </c>
      <c r="GH726">
        <v>2.2765537296835161</v>
      </c>
      <c r="GI726">
        <v>5.6956275982325009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14.921644912985272</v>
      </c>
      <c r="AO727">
        <v>11.13593505936875</v>
      </c>
      <c r="AP727">
        <v>67.698543996160339</v>
      </c>
      <c r="AQ727">
        <v>62.43762508480274</v>
      </c>
      <c r="AR727">
        <v>10.221442337106916</v>
      </c>
      <c r="AS727">
        <v>54.782088288894208</v>
      </c>
      <c r="AT727">
        <v>6.1609215126580636</v>
      </c>
      <c r="AU727">
        <v>-4.622515295157184</v>
      </c>
      <c r="AV727"/>
      <c r="AW727"/>
      <c r="FY727" s="212">
        <v>722</v>
      </c>
      <c r="FZ727">
        <v>6.424539138071987</v>
      </c>
      <c r="GA727">
        <v>10.551758830378009</v>
      </c>
      <c r="GB727">
        <v>9.9377978389531449</v>
      </c>
      <c r="GC727">
        <v>4.9189586260603146</v>
      </c>
      <c r="GD727">
        <v>1.0911595856327985</v>
      </c>
      <c r="GE727">
        <v>2.2565607439226572</v>
      </c>
      <c r="GF727">
        <v>2.8480243252258557</v>
      </c>
      <c r="GG727">
        <v>1.51023160890006</v>
      </c>
      <c r="GH727">
        <v>1.600200550103652</v>
      </c>
      <c r="GI727">
        <v>5.0118167021227542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12.591030789825968</v>
      </c>
      <c r="AO728">
        <v>8.9721227425127843</v>
      </c>
      <c r="AP728">
        <v>39.009792341524445</v>
      </c>
      <c r="AQ728">
        <v>41.135376146634187</v>
      </c>
      <c r="AR728">
        <v>8.298421615986685</v>
      </c>
      <c r="AS728">
        <v>43.659832930356337</v>
      </c>
      <c r="AT728">
        <v>5.1531330971637397</v>
      </c>
      <c r="AU728">
        <v>6.7689760716147012</v>
      </c>
      <c r="AV728"/>
      <c r="AW728"/>
      <c r="FY728" s="212">
        <v>723</v>
      </c>
      <c r="FZ728">
        <v>3.6026497525482082</v>
      </c>
      <c r="GA728">
        <v>7.5697501739303243</v>
      </c>
      <c r="GB728">
        <v>7.0603781785958795</v>
      </c>
      <c r="GC728">
        <v>3.4669018595579741</v>
      </c>
      <c r="GD728">
        <v>0.97573415369503813</v>
      </c>
      <c r="GE728">
        <v>4.7329684862688328</v>
      </c>
      <c r="GF728">
        <v>10.552694167990257</v>
      </c>
      <c r="GG728">
        <v>4.5606118942802665</v>
      </c>
      <c r="GH728">
        <v>0.40095794829072751</v>
      </c>
      <c r="GI728">
        <v>5.4354672582578729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12.584086345381523</v>
      </c>
      <c r="AO729">
        <v>7.2922217364603954</v>
      </c>
      <c r="AP729">
        <v>31.193063723495044</v>
      </c>
      <c r="AQ729">
        <v>37.965832299205672</v>
      </c>
      <c r="AR729">
        <v>6.7538232119719046</v>
      </c>
      <c r="AS729">
        <v>39.614002312602963</v>
      </c>
      <c r="AT729">
        <v>4.1778170076981747</v>
      </c>
      <c r="AU729">
        <v>4.9469786365203712</v>
      </c>
      <c r="AV729"/>
      <c r="AW729"/>
      <c r="FY729" s="212">
        <v>724</v>
      </c>
      <c r="FZ729">
        <v>3.355681717310147</v>
      </c>
      <c r="GA729">
        <v>8.7216598196597364</v>
      </c>
      <c r="GB729">
        <v>7.5825195044102687</v>
      </c>
      <c r="GC729">
        <v>3.2794896818003227</v>
      </c>
      <c r="GD729">
        <v>1.4729793839447471</v>
      </c>
      <c r="GE729">
        <v>2.9156686813982704</v>
      </c>
      <c r="GF729">
        <v>4.8659009570259979</v>
      </c>
      <c r="GG729">
        <v>4.4921128990880703</v>
      </c>
      <c r="GH729">
        <v>2.1607958247944201</v>
      </c>
      <c r="GI729">
        <v>4.9056249751849723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12.105672690763054</v>
      </c>
      <c r="AO730">
        <v>7.5638498432985202</v>
      </c>
      <c r="AP730">
        <v>36.591334801594456</v>
      </c>
      <c r="AQ730">
        <v>40.234937119891825</v>
      </c>
      <c r="AR730">
        <v>6.9220305916760507</v>
      </c>
      <c r="AS730">
        <v>36.343463533321781</v>
      </c>
      <c r="AT730">
        <v>4.1359331772836425</v>
      </c>
      <c r="AU730">
        <v>7.1074703569033719</v>
      </c>
      <c r="AV730"/>
      <c r="AW730"/>
      <c r="FY730" s="212">
        <v>725</v>
      </c>
      <c r="FZ730">
        <v>9.6067221853744762</v>
      </c>
      <c r="GA730">
        <v>12.976193693714926</v>
      </c>
      <c r="GB730">
        <v>9.5431759550608319</v>
      </c>
      <c r="GC730">
        <v>4.6175838219794088</v>
      </c>
      <c r="GD730">
        <v>0.39394704545373865</v>
      </c>
      <c r="GE730">
        <v>2.4835506245937955</v>
      </c>
      <c r="GF730">
        <v>11.433271159366555</v>
      </c>
      <c r="GG730">
        <v>9.8724504699271964</v>
      </c>
      <c r="GH730">
        <v>1.6270108695345851</v>
      </c>
      <c r="GI730">
        <v>7.2921542445257197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14.518995098039216</v>
      </c>
      <c r="AO731">
        <v>6.5038286129173057</v>
      </c>
      <c r="AP731">
        <v>52.904467733890314</v>
      </c>
      <c r="AQ731">
        <v>35.444809130043083</v>
      </c>
      <c r="AR731">
        <v>6.0059525481454274</v>
      </c>
      <c r="AS731">
        <v>38.741800789812714</v>
      </c>
      <c r="AT731">
        <v>3.132862006702601</v>
      </c>
      <c r="AU731">
        <v>10.654674523088943</v>
      </c>
      <c r="AV731"/>
      <c r="AW731"/>
      <c r="FY731" s="212">
        <v>726</v>
      </c>
      <c r="FZ731">
        <v>3.558898958434539</v>
      </c>
      <c r="GA731">
        <v>8.5651772219610809</v>
      </c>
      <c r="GB731">
        <v>7.9737774464092803</v>
      </c>
      <c r="GC731">
        <v>3.5513009746607982</v>
      </c>
      <c r="GD731">
        <v>1.749180317236716</v>
      </c>
      <c r="GE731">
        <v>5.4841893922643177</v>
      </c>
      <c r="GF731">
        <v>10.586546812619918</v>
      </c>
      <c r="GG731">
        <v>7.2002826042852872</v>
      </c>
      <c r="GH731">
        <v>2.2973433462326405</v>
      </c>
      <c r="GI731">
        <v>6.7314675603754566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13.758578431372547</v>
      </c>
      <c r="AO732">
        <v>7.8160352523080405</v>
      </c>
      <c r="AP732">
        <v>39.602427025394448</v>
      </c>
      <c r="AQ732">
        <v>37.013677400210938</v>
      </c>
      <c r="AR732">
        <v>7.2153544455906431</v>
      </c>
      <c r="AS732">
        <v>38.530093059200738</v>
      </c>
      <c r="AT732">
        <v>4.3699276321453544</v>
      </c>
      <c r="AU732">
        <v>31.711164798953018</v>
      </c>
      <c r="AV732"/>
      <c r="AW732"/>
      <c r="FY732" s="212">
        <v>727</v>
      </c>
      <c r="FZ732">
        <v>3.1377799039690298E-2</v>
      </c>
      <c r="GA732">
        <v>4.6810670760043358</v>
      </c>
      <c r="GB732">
        <v>7.5810948167209729</v>
      </c>
      <c r="GC732">
        <v>3.1826966737798266</v>
      </c>
      <c r="GD732">
        <v>0.69054654247316705</v>
      </c>
      <c r="GE732">
        <v>3.4453526282288536</v>
      </c>
      <c r="GF732">
        <v>7.5431346810704998</v>
      </c>
      <c r="GG732">
        <v>3.797783531767748</v>
      </c>
      <c r="GH732">
        <v>1.7600934891462483</v>
      </c>
      <c r="GI732">
        <v>4.3621083646810366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18.471890011024488</v>
      </c>
      <c r="AO733">
        <v>8.9370030591076706</v>
      </c>
      <c r="AP733">
        <v>49.392462601628878</v>
      </c>
      <c r="AQ733">
        <v>44.499126265498347</v>
      </c>
      <c r="AR733">
        <v>8.2435620533292138</v>
      </c>
      <c r="AS733">
        <v>44.969952401453561</v>
      </c>
      <c r="AT733">
        <v>4.3037090543975189</v>
      </c>
      <c r="AU733">
        <v>8.7041917731153156</v>
      </c>
      <c r="AV733"/>
      <c r="AW733"/>
      <c r="FY733" s="212">
        <v>728</v>
      </c>
      <c r="FZ733">
        <v>3.3374128145779816</v>
      </c>
      <c r="GA733">
        <v>7.768578242717318</v>
      </c>
      <c r="GB733">
        <v>7.6064765848057485</v>
      </c>
      <c r="GC733">
        <v>3.5117074402095447</v>
      </c>
      <c r="GD733">
        <v>1.245377901497454</v>
      </c>
      <c r="GE733">
        <v>4.4009668571893394</v>
      </c>
      <c r="GF733">
        <v>7.5088915343487619</v>
      </c>
      <c r="GG733">
        <v>3.9863912838799287</v>
      </c>
      <c r="GH733">
        <v>1.8470784235941102</v>
      </c>
      <c r="GI733">
        <v>5.2933759393600468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23.690563725490193</v>
      </c>
      <c r="AO734">
        <v>6.7232588002677449</v>
      </c>
      <c r="AP734">
        <v>62.51657957617941</v>
      </c>
      <c r="AQ734">
        <v>39.991855642817015</v>
      </c>
      <c r="AR734">
        <v>6.2422152448794366</v>
      </c>
      <c r="AS734">
        <v>37.933811701851027</v>
      </c>
      <c r="AT734">
        <v>3.8620148175623115</v>
      </c>
      <c r="AU734">
        <v>63.165107386366032</v>
      </c>
      <c r="AV734"/>
      <c r="AW734"/>
      <c r="FY734" s="212">
        <v>729</v>
      </c>
      <c r="FZ734">
        <v>3.3741380454981771</v>
      </c>
      <c r="GA734">
        <v>5.1999684212580934</v>
      </c>
      <c r="GB734">
        <v>6.2191027547224182</v>
      </c>
      <c r="GC734">
        <v>3.4880531199518221</v>
      </c>
      <c r="GD734">
        <v>1.3487797247410263</v>
      </c>
      <c r="GE734">
        <v>5.7801671710119402</v>
      </c>
      <c r="GF734">
        <v>11.778179613048756</v>
      </c>
      <c r="GG734">
        <v>6.2874271782915727</v>
      </c>
      <c r="GH734">
        <v>1.8008933986880717</v>
      </c>
      <c r="GI734">
        <v>6.0151178461657402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11.275058567603747</v>
      </c>
      <c r="AO735">
        <v>7.0044623665897721</v>
      </c>
      <c r="AP735">
        <v>26.15789464694458</v>
      </c>
      <c r="AQ735">
        <v>32.380918146859734</v>
      </c>
      <c r="AR735">
        <v>6.4235482683641925</v>
      </c>
      <c r="AS735">
        <v>35.68531619884164</v>
      </c>
      <c r="AT735">
        <v>3.6308567566340653</v>
      </c>
      <c r="AU735">
        <v>3.5530981567062145</v>
      </c>
      <c r="AV735"/>
      <c r="AW735"/>
      <c r="FY735" s="212">
        <v>730</v>
      </c>
      <c r="FZ735">
        <v>0.11277715076296616</v>
      </c>
      <c r="GA735">
        <v>5.2288522664651751</v>
      </c>
      <c r="GB735">
        <v>9.2406800379799208</v>
      </c>
      <c r="GC735">
        <v>3.9997549576326024</v>
      </c>
      <c r="GD735">
        <v>1.7026706059459888</v>
      </c>
      <c r="GE735">
        <v>4.5706906120073318</v>
      </c>
      <c r="GF735">
        <v>11.481199049242688</v>
      </c>
      <c r="GG735">
        <v>9.6737383472002421</v>
      </c>
      <c r="GH735">
        <v>1.6264321861526625</v>
      </c>
      <c r="GI735">
        <v>6.771584889129727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15.30978078982597</v>
      </c>
      <c r="AO736">
        <v>11.157401274959994</v>
      </c>
      <c r="AP736">
        <v>56.307677809598538</v>
      </c>
      <c r="AQ736">
        <v>56.556264363123717</v>
      </c>
      <c r="AR736">
        <v>10.200169527199764</v>
      </c>
      <c r="AS736">
        <v>51.083299357519323</v>
      </c>
      <c r="AT736">
        <v>5.9834159370688349</v>
      </c>
      <c r="AU736">
        <v>-3.7185447678094472</v>
      </c>
      <c r="AV736"/>
      <c r="AW736"/>
      <c r="FY736" s="212">
        <v>731</v>
      </c>
      <c r="FZ736">
        <v>6.4356139555448237</v>
      </c>
      <c r="GA736">
        <v>10.669425260929827</v>
      </c>
      <c r="GB736">
        <v>6.9271957639802055</v>
      </c>
      <c r="GC736">
        <v>3.4745154359828447</v>
      </c>
      <c r="GD736">
        <v>1.6534171150412644</v>
      </c>
      <c r="GE736">
        <v>3.256030749498918</v>
      </c>
      <c r="GF736">
        <v>7.287999886451253</v>
      </c>
      <c r="GG736">
        <v>6.7594339519317757</v>
      </c>
      <c r="GH736">
        <v>1.8212831587167333</v>
      </c>
      <c r="GI736">
        <v>5.954113822974219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14.793300653594773</v>
      </c>
      <c r="AO737">
        <v>9.7131004887725911</v>
      </c>
      <c r="AP737">
        <v>62.472703116644325</v>
      </c>
      <c r="AQ737">
        <v>53.245786037044866</v>
      </c>
      <c r="AR737">
        <v>8.8678557701740353</v>
      </c>
      <c r="AS737">
        <v>45.281156146141043</v>
      </c>
      <c r="AT737">
        <v>4.6857397619427319</v>
      </c>
      <c r="AU737">
        <v>24.853808915840677</v>
      </c>
      <c r="AV737"/>
      <c r="AW737"/>
      <c r="FY737" s="212">
        <v>732</v>
      </c>
      <c r="FZ737">
        <v>0.10243823452367483</v>
      </c>
      <c r="GA737">
        <v>4.8533158935825194</v>
      </c>
      <c r="GB737">
        <v>10.628606783791598</v>
      </c>
      <c r="GC737">
        <v>5.1005394247826619</v>
      </c>
      <c r="GD737">
        <v>2.5797816570501082</v>
      </c>
      <c r="GE737">
        <v>4.2366418200284874</v>
      </c>
      <c r="GF737">
        <v>4.0051013650328926</v>
      </c>
      <c r="GG737">
        <v>3.8161222859775359</v>
      </c>
      <c r="GH737">
        <v>0.39841661389850375</v>
      </c>
      <c r="GI737">
        <v>5.5245951576620973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19.640943676667455</v>
      </c>
      <c r="AO738">
        <v>8.1980159240506545</v>
      </c>
      <c r="AP738">
        <v>57.217553343709817</v>
      </c>
      <c r="AQ738">
        <v>46.151047949371232</v>
      </c>
      <c r="AR738">
        <v>7.5352105880821538</v>
      </c>
      <c r="AS738">
        <v>41.923999914882302</v>
      </c>
      <c r="AT738">
        <v>3.7739931926483909</v>
      </c>
      <c r="AU738">
        <v>14.191392223375571</v>
      </c>
      <c r="AV738"/>
      <c r="AW738"/>
      <c r="FY738" s="212">
        <v>733</v>
      </c>
      <c r="FZ738">
        <v>3.2347871545984415</v>
      </c>
      <c r="GA738">
        <v>7.5553620480049588</v>
      </c>
      <c r="GB738">
        <v>4.2898046729036263</v>
      </c>
      <c r="GC738">
        <v>1.6218292619151418</v>
      </c>
      <c r="GD738">
        <v>0.52002827812016061</v>
      </c>
      <c r="GE738">
        <v>2.374466034370077</v>
      </c>
      <c r="GF738">
        <v>7.5769094375081529</v>
      </c>
      <c r="GG738">
        <v>5.0562180744764174</v>
      </c>
      <c r="GH738">
        <v>2.1199959152525967</v>
      </c>
      <c r="GI738">
        <v>4.170878644253059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22.046568627450977</v>
      </c>
      <c r="AO739">
        <v>9.0100738128838174</v>
      </c>
      <c r="AP739">
        <v>85.293602211545505</v>
      </c>
      <c r="AQ739">
        <v>48.35811387341537</v>
      </c>
      <c r="AR739">
        <v>8.2424146173742106</v>
      </c>
      <c r="AS739">
        <v>49.553825102016489</v>
      </c>
      <c r="AT739" t="e">
        <v>#DIV/0!</v>
      </c>
      <c r="AU739" t="e">
        <v>#DIV/0!</v>
      </c>
      <c r="AV739"/>
      <c r="AW739"/>
      <c r="FY739" s="212">
        <v>734</v>
      </c>
      <c r="FZ739">
        <v>0.13400345901923011</v>
      </c>
      <c r="GA739">
        <v>3.3689569708923379</v>
      </c>
      <c r="GB739">
        <v>7.1407730730005738</v>
      </c>
      <c r="GC739">
        <v>3.4247898655403075</v>
      </c>
      <c r="GD739">
        <v>0.61188230167759261</v>
      </c>
      <c r="GE739">
        <v>2.9964292004438278</v>
      </c>
      <c r="GF739">
        <v>9.1563985131534569</v>
      </c>
      <c r="GG739">
        <v>5.3731345349308217</v>
      </c>
      <c r="GH739">
        <v>0.9038649698887381</v>
      </c>
      <c r="GI739">
        <v>4.6651288886302078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12.841030789825968</v>
      </c>
      <c r="AO740">
        <v>8.0125850850959068</v>
      </c>
      <c r="AP740">
        <v>35.497484156361779</v>
      </c>
      <c r="AQ740">
        <v>43.752433444616948</v>
      </c>
      <c r="AR740">
        <v>7.3722681639332324</v>
      </c>
      <c r="AS740">
        <v>39.424654334885354</v>
      </c>
      <c r="AT740">
        <v>4.2256094906741888</v>
      </c>
      <c r="AU740">
        <v>7.1731246433833862</v>
      </c>
      <c r="AV740"/>
      <c r="AW740"/>
      <c r="FY740" s="212">
        <v>735</v>
      </c>
      <c r="FZ740">
        <v>3.3863236151162912</v>
      </c>
      <c r="GA740">
        <v>7.1635525437477172</v>
      </c>
      <c r="GB740">
        <v>5.3829414537964624</v>
      </c>
      <c r="GC740">
        <v>2.1635836343357311</v>
      </c>
      <c r="GD740">
        <v>1.2011276478768882</v>
      </c>
      <c r="GE740">
        <v>5.426223220752715</v>
      </c>
      <c r="GF740">
        <v>10.358991519625686</v>
      </c>
      <c r="GG740">
        <v>5.4797482559096329</v>
      </c>
      <c r="GH740">
        <v>1.0846898376907483</v>
      </c>
      <c r="GI740">
        <v>5.3046598540151226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19.522007146231985</v>
      </c>
      <c r="AO741">
        <v>12.724251237273204</v>
      </c>
      <c r="AP741">
        <v>94.576222953655531</v>
      </c>
      <c r="AQ741">
        <v>69.846060069531234</v>
      </c>
      <c r="AR741">
        <v>11.579455868914131</v>
      </c>
      <c r="AS741">
        <v>60.07688736751588</v>
      </c>
      <c r="AT741">
        <v>6.570509792777453</v>
      </c>
      <c r="AU741">
        <v>-6.8408546258655667</v>
      </c>
      <c r="AV741"/>
      <c r="AW741"/>
      <c r="FY741" s="212">
        <v>736</v>
      </c>
      <c r="FZ741">
        <v>3.2735464643533247</v>
      </c>
      <c r="GA741">
        <v>9.6321658633195106</v>
      </c>
      <c r="GB741">
        <v>6.5861919203129986</v>
      </c>
      <c r="GC741">
        <v>2.0969840411615701</v>
      </c>
      <c r="GD741">
        <v>0.54564665545590985</v>
      </c>
      <c r="GE741">
        <v>2.435850788996393</v>
      </c>
      <c r="GF741">
        <v>6.4379179561263022</v>
      </c>
      <c r="GG741">
        <v>4.2883375266565116</v>
      </c>
      <c r="GH741">
        <v>1.6019075884713976</v>
      </c>
      <c r="GI741">
        <v>4.1886518371631691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18.489251122135602</v>
      </c>
      <c r="AO742">
        <v>11.189829212443481</v>
      </c>
      <c r="AP742">
        <v>64.255517917922063</v>
      </c>
      <c r="AQ742">
        <v>57.69816463448003</v>
      </c>
      <c r="AR742">
        <v>10.297097579505444</v>
      </c>
      <c r="AS742">
        <v>57.051586695683604</v>
      </c>
      <c r="AT742">
        <v>6.0842284363006049</v>
      </c>
      <c r="AU742">
        <v>19.329360440192687</v>
      </c>
      <c r="AV742"/>
      <c r="AW742"/>
      <c r="FY742" s="212">
        <v>737</v>
      </c>
      <c r="FZ742">
        <v>0.47307081254167488</v>
      </c>
      <c r="GA742">
        <v>3.2102914247432199</v>
      </c>
      <c r="GB742">
        <v>4.0784631101399027</v>
      </c>
      <c r="GC742">
        <v>2.211530514062523</v>
      </c>
      <c r="GD742">
        <v>1.9041456646593029</v>
      </c>
      <c r="GE742">
        <v>3.5270355745998128</v>
      </c>
      <c r="GF742">
        <v>7.8463357301531449</v>
      </c>
      <c r="GG742">
        <v>7.6501161243393634</v>
      </c>
      <c r="GH742">
        <v>1.7582441385682142</v>
      </c>
      <c r="GI742">
        <v>4.5962582761005555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17.183823529411761</v>
      </c>
      <c r="AO743">
        <v>6.9368766074100963</v>
      </c>
      <c r="AP743">
        <v>55.217825341305378</v>
      </c>
      <c r="AQ743">
        <v>37.075255602912378</v>
      </c>
      <c r="AR743">
        <v>6.4144107455292598</v>
      </c>
      <c r="AS743">
        <v>39.459677239357319</v>
      </c>
      <c r="AT743">
        <v>4.0286618070632789</v>
      </c>
      <c r="AU743">
        <v>31.525830773992759</v>
      </c>
      <c r="AV743"/>
      <c r="AW743"/>
      <c r="FY743" s="212">
        <v>738</v>
      </c>
      <c r="FZ743">
        <v>3.5814234442919441</v>
      </c>
      <c r="GA743">
        <v>7.5812854188223131</v>
      </c>
      <c r="GB743">
        <v>7.1963780261772117</v>
      </c>
      <c r="GC743">
        <v>3.5048971839356042</v>
      </c>
      <c r="GD743">
        <v>1.6441665115907722</v>
      </c>
      <c r="GE743">
        <v>4.0503377714319662</v>
      </c>
      <c r="GF743">
        <v>7.7675222771335868</v>
      </c>
      <c r="GG743">
        <v>5.8721203160561553</v>
      </c>
      <c r="GH743">
        <v>2.297922029614563</v>
      </c>
      <c r="GI743">
        <v>5.8581257187829081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17.953775887865184</v>
      </c>
      <c r="AO744">
        <v>8.7055433854333018</v>
      </c>
      <c r="AP744">
        <v>45.60499564119911</v>
      </c>
      <c r="AQ744">
        <v>46.506257022180236</v>
      </c>
      <c r="AR744">
        <v>7.9728694511162281</v>
      </c>
      <c r="AS744">
        <v>44.094719087039714</v>
      </c>
      <c r="AT744">
        <v>4.0588194100855883</v>
      </c>
      <c r="AU744">
        <v>17.882675732657233</v>
      </c>
      <c r="AV744"/>
      <c r="AW744"/>
      <c r="FY744" s="212">
        <v>739</v>
      </c>
      <c r="FZ744">
        <v>3.5315893170642232</v>
      </c>
      <c r="GA744">
        <v>6.5984977113735113</v>
      </c>
      <c r="GB744">
        <v>5.1657156162584359</v>
      </c>
      <c r="GC744">
        <v>2.444670211894036</v>
      </c>
      <c r="GD744">
        <v>1.6968708864923774</v>
      </c>
      <c r="GE744">
        <v>4.8668275585689349</v>
      </c>
      <c r="GF744">
        <v>3.7500114094745305</v>
      </c>
      <c r="GG744">
        <v>0.65575974308655272</v>
      </c>
      <c r="GH744">
        <v>1.1883075030469881</v>
      </c>
      <c r="GI744">
        <v>3.9445479891904696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12.121527777777777</v>
      </c>
      <c r="AO745">
        <v>10.036879602051409</v>
      </c>
      <c r="AP745">
        <v>45.616970674079774</v>
      </c>
      <c r="AQ745">
        <v>51.291827273377621</v>
      </c>
      <c r="AR745">
        <v>9.1840288010617268</v>
      </c>
      <c r="AS745">
        <v>57.985351392640901</v>
      </c>
      <c r="AT745">
        <v>5.9635073221745705</v>
      </c>
      <c r="AU745">
        <v>13.150728201700025</v>
      </c>
      <c r="AV745"/>
      <c r="AW745"/>
      <c r="FY745" s="212">
        <v>740</v>
      </c>
      <c r="FZ745">
        <v>6.3938972402658427</v>
      </c>
      <c r="GA745">
        <v>9.0471763443921738</v>
      </c>
      <c r="GB745">
        <v>6.1777373415219801</v>
      </c>
      <c r="GC745">
        <v>3.4017278414717129</v>
      </c>
      <c r="GD745">
        <v>0.91740701360704247</v>
      </c>
      <c r="GE745">
        <v>3.9272966719284916</v>
      </c>
      <c r="GF745">
        <v>13.368949327304701</v>
      </c>
      <c r="GG745">
        <v>9.1323484424647994</v>
      </c>
      <c r="GH745">
        <v>1.6673453961267528</v>
      </c>
      <c r="GI745">
        <v>6.7020791808910598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16.649726356406017</v>
      </c>
      <c r="AO746">
        <v>11.303686746268639</v>
      </c>
      <c r="AP746">
        <v>57.724924249683134</v>
      </c>
      <c r="AQ746">
        <v>54.40838010251931</v>
      </c>
      <c r="AR746">
        <v>10.362105628612042</v>
      </c>
      <c r="AS746">
        <v>55.711710152536675</v>
      </c>
      <c r="AT746">
        <v>6.4925668682197504</v>
      </c>
      <c r="AU746">
        <v>6.5774415674872584</v>
      </c>
      <c r="AV746"/>
      <c r="AW746"/>
      <c r="FY746" s="212">
        <v>741</v>
      </c>
      <c r="FZ746">
        <v>0.12181788940111633</v>
      </c>
      <c r="GA746">
        <v>3.2534529462743129</v>
      </c>
      <c r="GB746">
        <v>4.5107751591247354</v>
      </c>
      <c r="GC746">
        <v>1.7877839613565414</v>
      </c>
      <c r="GD746">
        <v>1.0929268837546537</v>
      </c>
      <c r="GE746">
        <v>4.4633751932653301</v>
      </c>
      <c r="GF746">
        <v>7.7829348205076734</v>
      </c>
      <c r="GG746">
        <v>4.0845621542249528</v>
      </c>
      <c r="GH746">
        <v>1.2397194406153813</v>
      </c>
      <c r="GI746">
        <v>3.8435058221878813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17.421772875816991</v>
      </c>
      <c r="AO747">
        <v>10.108194706493041</v>
      </c>
      <c r="AP747">
        <v>140.69703017498526</v>
      </c>
      <c r="AQ747">
        <v>54.239029101051862</v>
      </c>
      <c r="AR747">
        <v>9.248004202402532</v>
      </c>
      <c r="AS747">
        <v>48.187088700176218</v>
      </c>
      <c r="AT747" t="e">
        <v>#DIV/0!</v>
      </c>
      <c r="AU747" t="e">
        <v>#DIV/0!</v>
      </c>
      <c r="AV747"/>
      <c r="AW747"/>
      <c r="FY747" s="212">
        <v>742</v>
      </c>
      <c r="FZ747">
        <v>6.4882180628407786</v>
      </c>
      <c r="GA747">
        <v>9.6569872681346371</v>
      </c>
      <c r="GB747">
        <v>7.9774541632639124</v>
      </c>
      <c r="GC747">
        <v>3.851753337125885</v>
      </c>
      <c r="GD747">
        <v>1.6962323785774782</v>
      </c>
      <c r="GE747">
        <v>4.9454907698861748</v>
      </c>
      <c r="GF747">
        <v>8.7927373443156185</v>
      </c>
      <c r="GG747">
        <v>7.5692637249146344</v>
      </c>
      <c r="GH747">
        <v>2.8299999465066525</v>
      </c>
      <c r="GI747">
        <v>6.7714189051256559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17.85730667769116</v>
      </c>
      <c r="AO748">
        <v>8.8935266801846034</v>
      </c>
      <c r="AP748">
        <v>38.22202707496708</v>
      </c>
      <c r="AQ748">
        <v>41.245559236330088</v>
      </c>
      <c r="AR748">
        <v>8.1225501287422048</v>
      </c>
      <c r="AS748">
        <v>45.242576304171259</v>
      </c>
      <c r="AT748">
        <v>4.2722462402684638</v>
      </c>
      <c r="AU748">
        <v>1.522676863919965</v>
      </c>
      <c r="AV748"/>
      <c r="AW748"/>
      <c r="FY748" s="212">
        <v>743</v>
      </c>
      <c r="FZ748">
        <v>3.3161865063217175</v>
      </c>
      <c r="GA748">
        <v>7.4315933852875133</v>
      </c>
      <c r="GB748">
        <v>8.3414578976708054</v>
      </c>
      <c r="GC748">
        <v>4.3482841698854857</v>
      </c>
      <c r="GD748">
        <v>1.181375954189936</v>
      </c>
      <c r="GE748">
        <v>1.1746808076678423</v>
      </c>
      <c r="GF748">
        <v>4.9482299668080802</v>
      </c>
      <c r="GG748">
        <v>5.8202751873172014</v>
      </c>
      <c r="GH748">
        <v>1.9800477427735066</v>
      </c>
      <c r="GI748">
        <v>4.9785219178369822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13.318359221198516</v>
      </c>
      <c r="AO749">
        <v>7.0152785507712156</v>
      </c>
      <c r="AP749">
        <v>57.566807095049128</v>
      </c>
      <c r="AQ749">
        <v>38.520279521402628</v>
      </c>
      <c r="AR749">
        <v>6.5187887909829536</v>
      </c>
      <c r="AS749">
        <v>32.890089920402403</v>
      </c>
      <c r="AT749">
        <v>3.9091033572378504</v>
      </c>
      <c r="AU749">
        <v>21.740941860755473</v>
      </c>
      <c r="AV749"/>
      <c r="AW749"/>
      <c r="FY749" s="212">
        <v>744</v>
      </c>
      <c r="FZ749">
        <v>9.7490304817983109</v>
      </c>
      <c r="GA749">
        <v>14.182458520521397</v>
      </c>
      <c r="GB749">
        <v>6.3692773889895884</v>
      </c>
      <c r="GC749">
        <v>2.9161514428340309</v>
      </c>
      <c r="GD749">
        <v>1.259873423977675</v>
      </c>
      <c r="GE749">
        <v>5.0828968667994676</v>
      </c>
      <c r="GF749">
        <v>14.705340020661605</v>
      </c>
      <c r="GG749">
        <v>11.325098031519428</v>
      </c>
      <c r="GH749">
        <v>3.4382316718286492</v>
      </c>
      <c r="GI749">
        <v>8.2553123627864089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10.510416666666666</v>
      </c>
      <c r="AO750">
        <v>7.6968391879956073</v>
      </c>
      <c r="AP750">
        <v>50.193504046172919</v>
      </c>
      <c r="AQ750">
        <v>37.775361777177089</v>
      </c>
      <c r="AR750">
        <v>7.0913664709603683</v>
      </c>
      <c r="AS750">
        <v>38.188009352514797</v>
      </c>
      <c r="AT750" t="e">
        <v>#DIV/0!</v>
      </c>
      <c r="AU750" t="e">
        <v>#DIV/0!</v>
      </c>
      <c r="AV750"/>
      <c r="AW750"/>
      <c r="FY750" s="212">
        <v>745</v>
      </c>
      <c r="FZ750">
        <v>0.13492678570864131</v>
      </c>
      <c r="GA750">
        <v>2.0088383197713329</v>
      </c>
      <c r="GB750">
        <v>4.4343090692278935</v>
      </c>
      <c r="GC750">
        <v>2.4919466259682013</v>
      </c>
      <c r="GD750">
        <v>1.7579444647294404</v>
      </c>
      <c r="GE750">
        <v>3.6988978458227919</v>
      </c>
      <c r="GF750">
        <v>7.0448421634357672</v>
      </c>
      <c r="GG750">
        <v>5.698482781621796</v>
      </c>
      <c r="GH750">
        <v>0.36099426644100091</v>
      </c>
      <c r="GI750">
        <v>4.1790361617671632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11.025058567603748</v>
      </c>
      <c r="AO751">
        <v>8.8966639738646958</v>
      </c>
      <c r="AP751">
        <v>44.91471355747521</v>
      </c>
      <c r="AQ751">
        <v>46.95184158286699</v>
      </c>
      <c r="AR751">
        <v>8.1410341147708056</v>
      </c>
      <c r="AS751">
        <v>42.205935531217293</v>
      </c>
      <c r="AT751">
        <v>5.32843574372371</v>
      </c>
      <c r="AU751">
        <v>9.6585524565609155</v>
      </c>
      <c r="AV751"/>
      <c r="AW751"/>
      <c r="FY751" s="212">
        <v>746</v>
      </c>
      <c r="FZ751">
        <v>0.17460942215293557</v>
      </c>
      <c r="GA751">
        <v>3.653585076892325</v>
      </c>
      <c r="GB751">
        <v>4.3175996000266164</v>
      </c>
      <c r="GC751">
        <v>1.9542925680109895</v>
      </c>
      <c r="GD751">
        <v>0.70834415997224509</v>
      </c>
      <c r="GE751">
        <v>2.1375352363220173</v>
      </c>
      <c r="GF751">
        <v>7.7077400429065897</v>
      </c>
      <c r="GG751">
        <v>6.0674639022511441</v>
      </c>
      <c r="GH751">
        <v>1.0738202653540041</v>
      </c>
      <c r="GI751">
        <v>3.6565947363082731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15.096136998976297</v>
      </c>
      <c r="AO752">
        <v>6.8106492534064129</v>
      </c>
      <c r="AP752">
        <v>41.849500239869556</v>
      </c>
      <c r="AQ752">
        <v>41.087200642017095</v>
      </c>
      <c r="AR752">
        <v>6.2895356417639769</v>
      </c>
      <c r="AS752">
        <v>37.195152585704605</v>
      </c>
      <c r="AT752">
        <v>3.4668329970372196</v>
      </c>
      <c r="AU752">
        <v>13.514072613666153</v>
      </c>
      <c r="AV752"/>
      <c r="AW752"/>
      <c r="FY752" s="212">
        <v>747</v>
      </c>
      <c r="FZ752">
        <v>3.4380043957228339</v>
      </c>
      <c r="GA752">
        <v>7.0959314897955243</v>
      </c>
      <c r="GB752">
        <v>7.0778074415943282</v>
      </c>
      <c r="GC752">
        <v>3.2179792273419943</v>
      </c>
      <c r="GD752">
        <v>0.62402044168706483</v>
      </c>
      <c r="GE752">
        <v>2.5694817602052851</v>
      </c>
      <c r="GF752">
        <v>7.6660500501037925</v>
      </c>
      <c r="GG752">
        <v>6.0686926525794078</v>
      </c>
      <c r="GH752">
        <v>2.3433277309641758</v>
      </c>
      <c r="GI752">
        <v>4.9143305807558342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20.296568627450977</v>
      </c>
      <c r="AO753">
        <v>7.548188974550099</v>
      </c>
      <c r="AP753">
        <v>43.071787049783339</v>
      </c>
      <c r="AQ753">
        <v>37.255491369907716</v>
      </c>
      <c r="AR753">
        <v>6.9272794325821252</v>
      </c>
      <c r="AS753">
        <v>39.715844159614193</v>
      </c>
      <c r="AT753">
        <v>4.2769520469775415</v>
      </c>
      <c r="AU753">
        <v>14.197633224421178</v>
      </c>
      <c r="AV753"/>
      <c r="AW753"/>
      <c r="FY753" s="212">
        <v>748</v>
      </c>
      <c r="FZ753">
        <v>3.2836979551367511</v>
      </c>
      <c r="GA753">
        <v>7.5843543098585382</v>
      </c>
      <c r="GB753">
        <v>11.490958274017363</v>
      </c>
      <c r="GC753">
        <v>5.5415968865349496</v>
      </c>
      <c r="GD753">
        <v>1.5920173298686224</v>
      </c>
      <c r="GE753">
        <v>3.039887247967493</v>
      </c>
      <c r="GF753">
        <v>4.0837590416684275</v>
      </c>
      <c r="GG753">
        <v>3.310609137808167</v>
      </c>
      <c r="GH753">
        <v>1.0865391882687825</v>
      </c>
      <c r="GI753">
        <v>5.672557721158352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23.517577663595553</v>
      </c>
      <c r="AO754">
        <v>9.8055536692535092</v>
      </c>
      <c r="AP754">
        <v>70.516029733368072</v>
      </c>
      <c r="AQ754">
        <v>49.354178697837021</v>
      </c>
      <c r="AR754">
        <v>9.0156790531605413</v>
      </c>
      <c r="AS754">
        <v>52.044570762139344</v>
      </c>
      <c r="AT754">
        <v>5.0558327922244812</v>
      </c>
      <c r="AU754">
        <v>40.798269277425192</v>
      </c>
      <c r="AV754"/>
      <c r="AW754"/>
      <c r="FY754" s="212">
        <v>749</v>
      </c>
      <c r="FZ754">
        <v>0.20506389450321466</v>
      </c>
      <c r="GA754">
        <v>2.8451547098629595</v>
      </c>
      <c r="GB754">
        <v>6.7426336319026525</v>
      </c>
      <c r="GC754">
        <v>3.6444211628132361</v>
      </c>
      <c r="GD754">
        <v>0.95305311278263438</v>
      </c>
      <c r="GE754">
        <v>3.1525593897385438</v>
      </c>
      <c r="GF754">
        <v>8.4084218563256119</v>
      </c>
      <c r="GG754">
        <v>5.0176484502426479</v>
      </c>
      <c r="GH754">
        <v>0.87745450697826854</v>
      </c>
      <c r="GI754">
        <v>4.649776672391944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21.582043861721392</v>
      </c>
      <c r="AO755">
        <v>6.3848959640437011</v>
      </c>
      <c r="AP755">
        <v>43.391706543488219</v>
      </c>
      <c r="AQ755">
        <v>33.842797946450062</v>
      </c>
      <c r="AR755">
        <v>5.8640476603006269</v>
      </c>
      <c r="AS755">
        <v>35.15862196028052</v>
      </c>
      <c r="AT755">
        <v>2.6967262515620303</v>
      </c>
      <c r="AU755">
        <v>40.30032531741265</v>
      </c>
      <c r="AV755"/>
      <c r="AW755"/>
      <c r="FY755" s="212">
        <v>750</v>
      </c>
      <c r="FZ755">
        <v>9.6360659055794784</v>
      </c>
      <c r="GA755">
        <v>13.903564811542788</v>
      </c>
      <c r="GB755">
        <v>8.1877174808764064</v>
      </c>
      <c r="GC755">
        <v>4.1753037303918745</v>
      </c>
      <c r="GD755">
        <v>1.5373862690246938</v>
      </c>
      <c r="GE755">
        <v>3.0123200129597172</v>
      </c>
      <c r="GF755">
        <v>5.3083503484194541</v>
      </c>
      <c r="GG755">
        <v>4.5852315841257072</v>
      </c>
      <c r="GH755">
        <v>2.5455574133484031</v>
      </c>
      <c r="GI755">
        <v>6.1189850302810749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19.805351307189543</v>
      </c>
      <c r="AO756">
        <v>11.496963029083169</v>
      </c>
      <c r="AP756">
        <v>84.044033044649012</v>
      </c>
      <c r="AQ756">
        <v>60.73596479997456</v>
      </c>
      <c r="AR756">
        <v>10.559705313425665</v>
      </c>
      <c r="AS756">
        <v>53.257232226710634</v>
      </c>
      <c r="AT756">
        <v>6.215015475061878</v>
      </c>
      <c r="AU756">
        <v>52.292723672348664</v>
      </c>
      <c r="AV756"/>
      <c r="AW756"/>
      <c r="FY756" s="212">
        <v>751</v>
      </c>
      <c r="FZ756">
        <v>9.247416919611344E-2</v>
      </c>
      <c r="GA756">
        <v>1.9227929244572151</v>
      </c>
      <c r="GB756">
        <v>7.5035815520140972</v>
      </c>
      <c r="GC756">
        <v>3.5375195380952107</v>
      </c>
      <c r="GD756">
        <v>0.8070450051885415</v>
      </c>
      <c r="GE756">
        <v>5.423919572593312</v>
      </c>
      <c r="GF756">
        <v>16.577174119134135</v>
      </c>
      <c r="GG756">
        <v>11.912813677860941</v>
      </c>
      <c r="GH756">
        <v>2.1747854149053105</v>
      </c>
      <c r="GI756">
        <v>7.0617487339793561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8.9729752342704145</v>
      </c>
      <c r="AO757">
        <v>6.18071401713076</v>
      </c>
      <c r="AP757">
        <v>62.253953799862337</v>
      </c>
      <c r="AQ757">
        <v>32.18085427071258</v>
      </c>
      <c r="AR757">
        <v>5.6875052697299324</v>
      </c>
      <c r="AS757">
        <v>33.021183849301053</v>
      </c>
      <c r="AT757" t="e">
        <v>#DIV/0!</v>
      </c>
      <c r="AU757" t="e">
        <v>#DIV/0!</v>
      </c>
      <c r="AV757"/>
      <c r="AW757"/>
      <c r="FY757" s="212">
        <v>752</v>
      </c>
      <c r="FZ757">
        <v>0.35825958294402127</v>
      </c>
      <c r="GA757">
        <v>3.7744641259753631</v>
      </c>
      <c r="GB757">
        <v>9.8465174910865283</v>
      </c>
      <c r="GC757">
        <v>4.6045385944897417</v>
      </c>
      <c r="GD757">
        <v>1.0214416311184993</v>
      </c>
      <c r="GE757">
        <v>4.4767908247006094</v>
      </c>
      <c r="GF757">
        <v>8.6659159164277284</v>
      </c>
      <c r="GG757">
        <v>4.1465337823731137</v>
      </c>
      <c r="GH757">
        <v>1.2257298505044909</v>
      </c>
      <c r="GI757">
        <v>5.5131142244717992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16.58831157965194</v>
      </c>
      <c r="AO758">
        <v>11.423701444784395</v>
      </c>
      <c r="AP758">
        <v>80.191457622901225</v>
      </c>
      <c r="AQ758">
        <v>60.579555900691432</v>
      </c>
      <c r="AR758">
        <v>10.467716389892027</v>
      </c>
      <c r="AS758">
        <v>53.480488958459453</v>
      </c>
      <c r="AT758">
        <v>6.0968195835589256</v>
      </c>
      <c r="AU758">
        <v>0.16518521783228418</v>
      </c>
      <c r="AV758"/>
      <c r="AW758"/>
      <c r="FY758" s="212">
        <v>753</v>
      </c>
      <c r="FZ758">
        <v>9.5843851249729362</v>
      </c>
      <c r="GA758">
        <v>14.019660778954316</v>
      </c>
      <c r="GB758">
        <v>8.6616920431463349</v>
      </c>
      <c r="GC758">
        <v>4.1989961412075143</v>
      </c>
      <c r="GD758">
        <v>0.61979655950909285</v>
      </c>
      <c r="GE758">
        <v>1.779143839300495</v>
      </c>
      <c r="GF758">
        <v>9.8606990019909535</v>
      </c>
      <c r="GG758">
        <v>9.5944482481317852</v>
      </c>
      <c r="GH758">
        <v>3.2805589281065282</v>
      </c>
      <c r="GI758">
        <v>7.029557799855966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21.188929738562091</v>
      </c>
      <c r="AO759">
        <v>8.2439977909379216</v>
      </c>
      <c r="AP759">
        <v>52.064361531730242</v>
      </c>
      <c r="AQ759">
        <v>43.520653535759067</v>
      </c>
      <c r="AR759">
        <v>7.5633987127775422</v>
      </c>
      <c r="AS759">
        <v>42.180656471447229</v>
      </c>
      <c r="AT759">
        <v>4.2979916723581768</v>
      </c>
      <c r="AU759">
        <v>5.3766096960223182</v>
      </c>
      <c r="AV759"/>
      <c r="AW759"/>
      <c r="FY759" s="212">
        <v>754</v>
      </c>
      <c r="FZ759">
        <v>6.5159025551228247</v>
      </c>
      <c r="GA759">
        <v>10.001153210490566</v>
      </c>
      <c r="GB759">
        <v>8.1505723860656953</v>
      </c>
      <c r="GC759">
        <v>4.39673062330961</v>
      </c>
      <c r="GD759">
        <v>1.6033053242424322</v>
      </c>
      <c r="GE759">
        <v>5.2482132423887045</v>
      </c>
      <c r="GF759">
        <v>10.519239844119852</v>
      </c>
      <c r="GG759">
        <v>7.2735984177737043</v>
      </c>
      <c r="GH759">
        <v>4.615133356629614</v>
      </c>
      <c r="GI759">
        <v>7.2425714024657433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19.95649509803922</v>
      </c>
      <c r="AO760">
        <v>14.287336903268988</v>
      </c>
      <c r="AP760">
        <v>98.455966300310493</v>
      </c>
      <c r="AQ760">
        <v>77.283670211716554</v>
      </c>
      <c r="AR760">
        <v>13.149618693062008</v>
      </c>
      <c r="AS760">
        <v>61.997936819260289</v>
      </c>
      <c r="AT760">
        <v>7.5340317955588949</v>
      </c>
      <c r="AU760">
        <v>29.381418509142236</v>
      </c>
      <c r="AV760"/>
      <c r="AW760"/>
      <c r="FY760" s="212">
        <v>755</v>
      </c>
      <c r="FZ760">
        <v>3.2624716468804871</v>
      </c>
      <c r="GA760">
        <v>7.8486491243103362</v>
      </c>
      <c r="GB760">
        <v>5.937208959450972</v>
      </c>
      <c r="GC760">
        <v>2.0687369499611608</v>
      </c>
      <c r="GD760">
        <v>1.2614963599272653</v>
      </c>
      <c r="GE760">
        <v>5.6752296159044757</v>
      </c>
      <c r="GF760">
        <v>12.245404499560079</v>
      </c>
      <c r="GG760">
        <v>8.1702548757613283</v>
      </c>
      <c r="GH760">
        <v>1.7786629103748974</v>
      </c>
      <c r="GI760">
        <v>6.0981078027827671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12.880859221198516</v>
      </c>
      <c r="AO761">
        <v>6.9622703404661861</v>
      </c>
      <c r="AP761">
        <v>39.632428389358047</v>
      </c>
      <c r="AQ761">
        <v>31.81021848449403</v>
      </c>
      <c r="AR761">
        <v>6.3622661012492969</v>
      </c>
      <c r="AS761">
        <v>35.034793624030783</v>
      </c>
      <c r="AT761">
        <v>3.6969268055110258</v>
      </c>
      <c r="AU761">
        <v>12.210670945474302</v>
      </c>
      <c r="AV761"/>
      <c r="AW761"/>
      <c r="FY761" s="212">
        <v>756</v>
      </c>
      <c r="FZ761">
        <v>3.4169655129224346</v>
      </c>
      <c r="GA761">
        <v>4.905745511752011</v>
      </c>
      <c r="GB761">
        <v>6.7390329924641215</v>
      </c>
      <c r="GC761">
        <v>3.3960545383768292</v>
      </c>
      <c r="GD761">
        <v>1.0394197178657751</v>
      </c>
      <c r="GE761">
        <v>4.9369988876516011</v>
      </c>
      <c r="GF761">
        <v>10.085104009850797</v>
      </c>
      <c r="GG761">
        <v>5.7481881241570498</v>
      </c>
      <c r="GH761">
        <v>1.2274368888722362</v>
      </c>
      <c r="GI761">
        <v>5.4637206534629872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12.950303665642966</v>
      </c>
      <c r="AO762">
        <v>6.0766818345383786</v>
      </c>
      <c r="AP762">
        <v>40.553505101899752</v>
      </c>
      <c r="AQ762">
        <v>31.451585010197142</v>
      </c>
      <c r="AR762">
        <v>5.5620206299611157</v>
      </c>
      <c r="AS762">
        <v>30.983399414133533</v>
      </c>
      <c r="AT762">
        <v>3.5895535499099549</v>
      </c>
      <c r="AU762">
        <v>11.697874240534301</v>
      </c>
      <c r="AV762"/>
      <c r="AW762"/>
      <c r="FY762" s="212">
        <v>757</v>
      </c>
      <c r="FZ762">
        <v>0.1135130519965124</v>
      </c>
      <c r="GA762">
        <v>2.0708347049546827</v>
      </c>
      <c r="GB762">
        <v>5.6617907246247743</v>
      </c>
      <c r="GC762">
        <v>3.0461644798672856</v>
      </c>
      <c r="GD762">
        <v>1.822236511896604</v>
      </c>
      <c r="GE762">
        <v>5.9589681113136859</v>
      </c>
      <c r="GF762">
        <v>8.1876529356809993</v>
      </c>
      <c r="GG762">
        <v>4.5567773949039285</v>
      </c>
      <c r="GH762">
        <v>2.8579386209234086</v>
      </c>
      <c r="GI762">
        <v>4.9979660786809603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12.711805555555554</v>
      </c>
      <c r="AO763">
        <v>8.1742621506927513</v>
      </c>
      <c r="AP763">
        <v>37.038324556668719</v>
      </c>
      <c r="AQ763">
        <v>45.015625770750248</v>
      </c>
      <c r="AR763">
        <v>7.4771854291403743</v>
      </c>
      <c r="AS763">
        <v>38.891139742823697</v>
      </c>
      <c r="AT763">
        <v>4.3527042262349651</v>
      </c>
      <c r="AU763">
        <v>4.1495043301992052</v>
      </c>
      <c r="AV763"/>
      <c r="AW763"/>
      <c r="FY763" s="212">
        <v>758</v>
      </c>
      <c r="FZ763">
        <v>6.5592784983247636</v>
      </c>
      <c r="GA763">
        <v>13.618647828800277</v>
      </c>
      <c r="GB763">
        <v>7.2610764385971827</v>
      </c>
      <c r="GC763">
        <v>2.5468880331070824</v>
      </c>
      <c r="GD763">
        <v>0.90309255554582579</v>
      </c>
      <c r="GE763">
        <v>3.8088344845749789</v>
      </c>
      <c r="GF763">
        <v>8.7372068319744045</v>
      </c>
      <c r="GG763">
        <v>5.0612813241810208</v>
      </c>
      <c r="GH763">
        <v>1.1527345061675196</v>
      </c>
      <c r="GI763">
        <v>5.7764466333261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13.84450301204819</v>
      </c>
      <c r="AO764">
        <v>9.3055866964752472</v>
      </c>
      <c r="AP764">
        <v>51.975650648977712</v>
      </c>
      <c r="AQ764">
        <v>46.685977092287445</v>
      </c>
      <c r="AR764">
        <v>8.5036467738660768</v>
      </c>
      <c r="AS764">
        <v>49.53813158345401</v>
      </c>
      <c r="AT764">
        <v>5.2396990010067812</v>
      </c>
      <c r="AU764">
        <v>5.7321519336578071</v>
      </c>
      <c r="AV764"/>
      <c r="AW764"/>
      <c r="FY764" s="212">
        <v>759</v>
      </c>
      <c r="FZ764">
        <v>6.5673959102735022</v>
      </c>
      <c r="GA764">
        <v>9.5336902142689226</v>
      </c>
      <c r="GB764">
        <v>3.4542892554188449</v>
      </c>
      <c r="GC764">
        <v>1.9810889157823084</v>
      </c>
      <c r="GD764">
        <v>1.1944616020637207</v>
      </c>
      <c r="GE764">
        <v>2.7116607224181539</v>
      </c>
      <c r="GF764">
        <v>9.2127452756101302</v>
      </c>
      <c r="GG764">
        <v>7.2873288207260423</v>
      </c>
      <c r="GH764">
        <v>0.65706388217937672</v>
      </c>
      <c r="GI764">
        <v>5.1016501630828701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11.795891900937079</v>
      </c>
      <c r="AO765">
        <v>7.7532558415337816</v>
      </c>
      <c r="AP765">
        <v>38.447518793032479</v>
      </c>
      <c r="AQ765">
        <v>36.49618738754171</v>
      </c>
      <c r="AR765">
        <v>7.0785819772336822</v>
      </c>
      <c r="AS765">
        <v>37.264411513723928</v>
      </c>
      <c r="AT765">
        <v>4.6572117586673825</v>
      </c>
      <c r="AU765">
        <v>5.3412195354140044</v>
      </c>
      <c r="AV765"/>
      <c r="AW765"/>
      <c r="FY765" s="212">
        <v>760</v>
      </c>
      <c r="FZ765">
        <v>3.4260062515605849</v>
      </c>
      <c r="GA765">
        <v>8.698071222434244</v>
      </c>
      <c r="GB765">
        <v>8.6466956854015571</v>
      </c>
      <c r="GC765">
        <v>3.5378414601553199</v>
      </c>
      <c r="GD765">
        <v>1.2587815539410976</v>
      </c>
      <c r="GE765">
        <v>2.9179375220477954</v>
      </c>
      <c r="GF765">
        <v>5.7303718821656506</v>
      </c>
      <c r="GG765">
        <v>5.1828541984404373</v>
      </c>
      <c r="GH765">
        <v>1.4585818539079869</v>
      </c>
      <c r="GI765">
        <v>5.197882972641569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20.792215430348843</v>
      </c>
      <c r="AO766">
        <v>10.221094779805387</v>
      </c>
      <c r="AP766">
        <v>75.675141382954209</v>
      </c>
      <c r="AQ766">
        <v>59.0104825865496</v>
      </c>
      <c r="AR766">
        <v>9.4247086722335442</v>
      </c>
      <c r="AS766">
        <v>51.006165831349662</v>
      </c>
      <c r="AT766">
        <v>4.4322091835157007</v>
      </c>
      <c r="AU766">
        <v>16.494781939210892</v>
      </c>
      <c r="AV766"/>
      <c r="AW766"/>
      <c r="FY766" s="212">
        <v>761</v>
      </c>
      <c r="FZ766">
        <v>9.7265059959409044</v>
      </c>
      <c r="GA766">
        <v>12.89240328209563</v>
      </c>
      <c r="GB766">
        <v>5.1385055282970562</v>
      </c>
      <c r="GC766">
        <v>2.6456661837697979</v>
      </c>
      <c r="GD766">
        <v>1.2850417029540981</v>
      </c>
      <c r="GE766">
        <v>4.0364277530267874</v>
      </c>
      <c r="GF766">
        <v>10.399552648412957</v>
      </c>
      <c r="GG766">
        <v>8.288667680527551</v>
      </c>
      <c r="GH766">
        <v>1.6557838399758191</v>
      </c>
      <c r="GI766">
        <v>6.404086519831627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12.81597222222222</v>
      </c>
      <c r="AO767">
        <v>12.011889965387116</v>
      </c>
      <c r="AP767">
        <v>57.392793910936376</v>
      </c>
      <c r="AQ767">
        <v>57.01385470742423</v>
      </c>
      <c r="AR767">
        <v>11.000530229106651</v>
      </c>
      <c r="AS767">
        <v>64.60962763391862</v>
      </c>
      <c r="AT767" t="e">
        <v>#DIV/0!</v>
      </c>
      <c r="AU767" t="e">
        <v>#DIV/0!</v>
      </c>
      <c r="AV767"/>
      <c r="AW767"/>
      <c r="FY767" s="212">
        <v>762</v>
      </c>
      <c r="FZ767">
        <v>3.2929261192307662</v>
      </c>
      <c r="GA767">
        <v>6.2647946566827297</v>
      </c>
      <c r="GB767">
        <v>5.6443759850191109</v>
      </c>
      <c r="GC767">
        <v>2.6990151858337601</v>
      </c>
      <c r="GD767">
        <v>0.97862066399174663</v>
      </c>
      <c r="GE767">
        <v>2.5061187759568466</v>
      </c>
      <c r="GF767">
        <v>5.9221662435346794</v>
      </c>
      <c r="GG767">
        <v>4.7593240170072217</v>
      </c>
      <c r="GH767">
        <v>1.4352509029666385</v>
      </c>
      <c r="GI767">
        <v>4.3551515653974793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20.313801775730372</v>
      </c>
      <c r="AO768">
        <v>8.9524451441372257</v>
      </c>
      <c r="AP768">
        <v>60.171440638050434</v>
      </c>
      <c r="AQ768">
        <v>43.633306024091894</v>
      </c>
      <c r="AR768">
        <v>8.2119726163596063</v>
      </c>
      <c r="AS768">
        <v>49.062844829723183</v>
      </c>
      <c r="AT768">
        <v>4.9600130349967744</v>
      </c>
      <c r="AU768">
        <v>36.872836480419359</v>
      </c>
      <c r="AV768"/>
      <c r="AW768"/>
      <c r="FY768" s="212">
        <v>763</v>
      </c>
      <c r="FZ768">
        <v>3.3975858580449936</v>
      </c>
      <c r="GA768">
        <v>7.6932653809002423</v>
      </c>
      <c r="GB768">
        <v>7.2504157304377568</v>
      </c>
      <c r="GC768">
        <v>2.8511273688781138</v>
      </c>
      <c r="GD768">
        <v>0.58809879188616654</v>
      </c>
      <c r="GE768">
        <v>3.605527252995846</v>
      </c>
      <c r="GF768">
        <v>9.714656468663339</v>
      </c>
      <c r="GG768">
        <v>6.883366143830882</v>
      </c>
      <c r="GH768">
        <v>2.1050337080607937</v>
      </c>
      <c r="GI768">
        <v>5.4717552068459341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14.298611111111111</v>
      </c>
      <c r="AO769">
        <v>11.997713494827853</v>
      </c>
      <c r="AP769">
        <v>81.068445765637591</v>
      </c>
      <c r="AQ769">
        <v>68.628938465175921</v>
      </c>
      <c r="AR769">
        <v>11.059688343126414</v>
      </c>
      <c r="AS769">
        <v>53.559430588525551</v>
      </c>
      <c r="AT769">
        <v>6.5493901760285809</v>
      </c>
      <c r="AU769">
        <v>7.610199697208845</v>
      </c>
      <c r="AV769"/>
      <c r="AW769"/>
      <c r="FY769" s="212">
        <v>764</v>
      </c>
      <c r="FZ769">
        <v>0.30750212902688945</v>
      </c>
      <c r="GA769">
        <v>2.1969786853087219</v>
      </c>
      <c r="GB769">
        <v>10.518851182094529</v>
      </c>
      <c r="GC769">
        <v>5.6915431601412845</v>
      </c>
      <c r="GD769">
        <v>1.605845620545379</v>
      </c>
      <c r="GE769">
        <v>3.565687068282906</v>
      </c>
      <c r="GF769">
        <v>6.9106539744590174</v>
      </c>
      <c r="GG769">
        <v>6.5978162717019408</v>
      </c>
      <c r="GH769">
        <v>4.3204767202976395</v>
      </c>
      <c r="GI769">
        <v>6.3003520638434107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22.014437652571065</v>
      </c>
      <c r="AO770">
        <v>11.890434761349143</v>
      </c>
      <c r="AP770">
        <v>81.082838917062418</v>
      </c>
      <c r="AQ770">
        <v>65.566420362608753</v>
      </c>
      <c r="AR770">
        <v>11.016985623044397</v>
      </c>
      <c r="AS770">
        <v>62.339813736962491</v>
      </c>
      <c r="AT770">
        <v>5.9321875443299952</v>
      </c>
      <c r="AU770">
        <v>31.381681593344833</v>
      </c>
      <c r="AV770"/>
      <c r="AW770"/>
      <c r="FY770" s="212">
        <v>765</v>
      </c>
      <c r="FZ770">
        <v>9.7276167480861808</v>
      </c>
      <c r="GA770">
        <v>15.415785403334864</v>
      </c>
      <c r="GB770">
        <v>6.3605930812901015</v>
      </c>
      <c r="GC770">
        <v>2.699778373978182</v>
      </c>
      <c r="GD770">
        <v>0.91753034245885257</v>
      </c>
      <c r="GE770">
        <v>1.7784896027740889</v>
      </c>
      <c r="GF770">
        <v>6.6921412006413217</v>
      </c>
      <c r="GG770">
        <v>6.5630811468445112</v>
      </c>
      <c r="GH770">
        <v>2.4292208250773846</v>
      </c>
      <c r="GI770">
        <v>5.7312510079368044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16.066265060240962</v>
      </c>
      <c r="AO771">
        <v>10.235567511000051</v>
      </c>
      <c r="AP771">
        <v>68.220422181084459</v>
      </c>
      <c r="AQ771">
        <v>54.346222744913774</v>
      </c>
      <c r="AR771">
        <v>9.403162113446486</v>
      </c>
      <c r="AS771">
        <v>50.14595667739114</v>
      </c>
      <c r="AT771">
        <v>6.022703280335886</v>
      </c>
      <c r="AU771">
        <v>-7.0993452392767002</v>
      </c>
      <c r="AV771"/>
      <c r="AW771"/>
      <c r="FY771" s="212">
        <v>766</v>
      </c>
      <c r="FZ771">
        <v>6.4760324932226645</v>
      </c>
      <c r="GA771">
        <v>13.913505368245948</v>
      </c>
      <c r="GB771">
        <v>8.9869102123290538</v>
      </c>
      <c r="GC771">
        <v>3.4754495160825614</v>
      </c>
      <c r="GD771">
        <v>1.2862180555253391</v>
      </c>
      <c r="GE771">
        <v>3.955990088029921</v>
      </c>
      <c r="GF771">
        <v>6.7570088186663204</v>
      </c>
      <c r="GG771">
        <v>4.376612493425533</v>
      </c>
      <c r="GH771">
        <v>3.2212186091140778</v>
      </c>
      <c r="GI771">
        <v>6.1721242195332398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13.876633986928104</v>
      </c>
      <c r="AO772">
        <v>9.0910785915540977</v>
      </c>
      <c r="AP772">
        <v>63.089522410564292</v>
      </c>
      <c r="AQ772">
        <v>46.958666837375844</v>
      </c>
      <c r="AR772">
        <v>8.3324268533611612</v>
      </c>
      <c r="AS772">
        <v>43.778633488292137</v>
      </c>
      <c r="AT772">
        <v>5.1736383459543411</v>
      </c>
      <c r="AU772">
        <v>22.851929128214664</v>
      </c>
      <c r="AV772"/>
      <c r="AW772"/>
      <c r="FY772" s="212">
        <v>767</v>
      </c>
      <c r="FZ772">
        <v>0.18476091293636188</v>
      </c>
      <c r="GA772">
        <v>3.9931500660151142</v>
      </c>
      <c r="GB772">
        <v>7.2690042594140571</v>
      </c>
      <c r="GC772">
        <v>3.7625683764802345</v>
      </c>
      <c r="GD772">
        <v>1.6388958819123216</v>
      </c>
      <c r="GE772">
        <v>2.657721826174086</v>
      </c>
      <c r="GF772">
        <v>5.5995412767672121</v>
      </c>
      <c r="GG772">
        <v>4.555548644575663</v>
      </c>
      <c r="GH772">
        <v>1.0070462640733444</v>
      </c>
      <c r="GI772">
        <v>4.5805352233175727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13.084967320261438</v>
      </c>
      <c r="AO773">
        <v>8.0229444261476566</v>
      </c>
      <c r="AP773">
        <v>47.181712012646827</v>
      </c>
      <c r="AQ773">
        <v>39.273842614842842</v>
      </c>
      <c r="AR773">
        <v>7.3924866436266914</v>
      </c>
      <c r="AS773">
        <v>41.398704879203777</v>
      </c>
      <c r="AT773">
        <v>4.8709146156563197</v>
      </c>
      <c r="AU773">
        <v>25.618790504046839</v>
      </c>
      <c r="AV773"/>
      <c r="AW773"/>
      <c r="FY773" s="212">
        <v>768</v>
      </c>
      <c r="FZ773">
        <v>0.14323162311324525</v>
      </c>
      <c r="GA773">
        <v>2.5151174831398135</v>
      </c>
      <c r="GB773">
        <v>7.7243708312609058</v>
      </c>
      <c r="GC773">
        <v>3.984479144974602</v>
      </c>
      <c r="GD773">
        <v>1.3652093163509382</v>
      </c>
      <c r="GE773">
        <v>2.8240842256156502</v>
      </c>
      <c r="GF773">
        <v>3.55143067575588</v>
      </c>
      <c r="GG773">
        <v>3.1352879545983869</v>
      </c>
      <c r="GH773">
        <v>2.6985588388335424</v>
      </c>
      <c r="GI773">
        <v>4.1506068157383327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13.048611111111109</v>
      </c>
      <c r="AO774">
        <v>9.852083930158928</v>
      </c>
      <c r="AP774">
        <v>54.965398240019439</v>
      </c>
      <c r="AQ774">
        <v>55.425487134599166</v>
      </c>
      <c r="AR774">
        <v>9.0105786065992639</v>
      </c>
      <c r="AS774">
        <v>46.627678499918723</v>
      </c>
      <c r="AT774">
        <v>5.2752410047945189</v>
      </c>
      <c r="AU774">
        <v>17.780746128994704</v>
      </c>
      <c r="AV774"/>
      <c r="AW774"/>
      <c r="FY774" s="212">
        <v>769</v>
      </c>
      <c r="FZ774">
        <v>3.2218656837467816</v>
      </c>
      <c r="GA774">
        <v>6.8346406683748526</v>
      </c>
      <c r="GB774">
        <v>5.7792975874492152</v>
      </c>
      <c r="GC774">
        <v>2.8394319520145381</v>
      </c>
      <c r="GD774">
        <v>1.4347364106417584</v>
      </c>
      <c r="GE774">
        <v>3.2909568250802219</v>
      </c>
      <c r="GF774">
        <v>9.1497426867239167</v>
      </c>
      <c r="GG774">
        <v>7.4474713192192272</v>
      </c>
      <c r="GH774">
        <v>0.99099221654688885</v>
      </c>
      <c r="GI774">
        <v>5.4501186939956376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20.036023997952594</v>
      </c>
      <c r="AO775">
        <v>8.8700871315930758</v>
      </c>
      <c r="AP775">
        <v>66.563457423915779</v>
      </c>
      <c r="AQ775">
        <v>47.701374761823885</v>
      </c>
      <c r="AR775">
        <v>8.1388249435441278</v>
      </c>
      <c r="AS775">
        <v>40.858528215433218</v>
      </c>
      <c r="AT775">
        <v>4.3546267380680073</v>
      </c>
      <c r="AU775">
        <v>29.900077167002205</v>
      </c>
      <c r="AV775"/>
      <c r="AW775"/>
      <c r="FY775" s="212">
        <v>770</v>
      </c>
      <c r="FZ775">
        <v>3.51940374744611</v>
      </c>
      <c r="GA775">
        <v>5.4564069767994487</v>
      </c>
      <c r="GB775">
        <v>4.2201901686049146</v>
      </c>
      <c r="GC775">
        <v>2.1405443011225156</v>
      </c>
      <c r="GD775">
        <v>1.130927319562282</v>
      </c>
      <c r="GE775">
        <v>3.059497055244135</v>
      </c>
      <c r="GF775">
        <v>5.3528427665252636</v>
      </c>
      <c r="GG775">
        <v>5.7517761921250043</v>
      </c>
      <c r="GH775">
        <v>3.6876798914893532</v>
      </c>
      <c r="GI775">
        <v>4.156569030682558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22.005654972832502</v>
      </c>
      <c r="AO776">
        <v>8.5473261505123155</v>
      </c>
      <c r="AP776">
        <v>59.120397532002464</v>
      </c>
      <c r="AQ776">
        <v>46.055024602696236</v>
      </c>
      <c r="AR776">
        <v>7.8656353880169343</v>
      </c>
      <c r="AS776">
        <v>48.578834136369068</v>
      </c>
      <c r="AT776">
        <v>4.6722057294980255</v>
      </c>
      <c r="AU776">
        <v>22.6783936753598</v>
      </c>
      <c r="AV776"/>
      <c r="AW776"/>
      <c r="FY776" s="212">
        <v>771</v>
      </c>
      <c r="FZ776">
        <v>0.2141046331413648</v>
      </c>
      <c r="GA776">
        <v>2.1930329045318366</v>
      </c>
      <c r="GB776">
        <v>4.3436986473317667</v>
      </c>
      <c r="GC776">
        <v>1.8850761855382756</v>
      </c>
      <c r="GD776">
        <v>1.1774375879730166</v>
      </c>
      <c r="GE776">
        <v>3.4925986037904995</v>
      </c>
      <c r="GF776">
        <v>7.6659721619117818</v>
      </c>
      <c r="GG776">
        <v>6.8315210150919281</v>
      </c>
      <c r="GH776">
        <v>2.5092269062255528</v>
      </c>
      <c r="GI776">
        <v>4.2415580541434146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14.886922690763052</v>
      </c>
      <c r="AO777">
        <v>11.118350759773026</v>
      </c>
      <c r="AP777">
        <v>80.024758533967685</v>
      </c>
      <c r="AQ777">
        <v>62.47264113483223</v>
      </c>
      <c r="AR777">
        <v>10.148048293384846</v>
      </c>
      <c r="AS777">
        <v>46.717330318610792</v>
      </c>
      <c r="AT777">
        <v>5.528312600493507</v>
      </c>
      <c r="AU777">
        <v>1.7652633271038909</v>
      </c>
      <c r="AV777"/>
      <c r="AW777"/>
      <c r="FY777" s="212">
        <v>772</v>
      </c>
      <c r="FZ777">
        <v>0.20598722119262583</v>
      </c>
      <c r="GA777">
        <v>2.9418400609130915</v>
      </c>
      <c r="GB777">
        <v>6.3215003155421963</v>
      </c>
      <c r="GC777">
        <v>3.2242927389235021</v>
      </c>
      <c r="GD777">
        <v>1.3363252015947733</v>
      </c>
      <c r="GE777">
        <v>3.7954124519729087</v>
      </c>
      <c r="GF777">
        <v>4.9569340260245536</v>
      </c>
      <c r="GG777">
        <v>2.3155512136423106</v>
      </c>
      <c r="GH777">
        <v>2.3666586819055238</v>
      </c>
      <c r="GI777">
        <v>3.9897627850582746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10.552836345381525</v>
      </c>
      <c r="AO778">
        <v>7.3363101103460666</v>
      </c>
      <c r="AP778">
        <v>49.031812105850008</v>
      </c>
      <c r="AQ778">
        <v>37.857744115620974</v>
      </c>
      <c r="AR778">
        <v>6.7518953912144131</v>
      </c>
      <c r="AS778">
        <v>35.315876993498463</v>
      </c>
      <c r="AT778">
        <v>4.347161484516131</v>
      </c>
      <c r="AU778">
        <v>4.8365336580881628</v>
      </c>
      <c r="AV778"/>
      <c r="AW778"/>
      <c r="FY778" s="212">
        <v>773</v>
      </c>
      <c r="FZ778">
        <v>0.26800691803846022</v>
      </c>
      <c r="GA778">
        <v>3.2838230548185594</v>
      </c>
      <c r="GB778">
        <v>8.1943686945873218</v>
      </c>
      <c r="GC778">
        <v>4.1517712122609733</v>
      </c>
      <c r="GD778">
        <v>0.69958465720891838</v>
      </c>
      <c r="GE778">
        <v>2.7959200039939969</v>
      </c>
      <c r="GF778">
        <v>12.563444386276586</v>
      </c>
      <c r="GG778">
        <v>10.216690552291956</v>
      </c>
      <c r="GH778">
        <v>1.8849371422232466</v>
      </c>
      <c r="GI778">
        <v>5.9519263570823089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13.714064591700133</v>
      </c>
      <c r="AO779">
        <v>9.189951653473738</v>
      </c>
      <c r="AP779">
        <v>44.590640624815414</v>
      </c>
      <c r="AQ779">
        <v>49.560831910544067</v>
      </c>
      <c r="AR779">
        <v>8.4250184112962874</v>
      </c>
      <c r="AS779">
        <v>44.939840345114597</v>
      </c>
      <c r="AT779">
        <v>5.1950565843580581</v>
      </c>
      <c r="AU779">
        <v>-7.8574674420140598</v>
      </c>
      <c r="AV779"/>
      <c r="AW779"/>
      <c r="FY779" s="212">
        <v>774</v>
      </c>
      <c r="FZ779">
        <v>3.2421686653136343</v>
      </c>
      <c r="GA779">
        <v>7.6746839729955134</v>
      </c>
      <c r="GB779">
        <v>5.7023235735265008</v>
      </c>
      <c r="GC779">
        <v>2.5390756264987604</v>
      </c>
      <c r="GD779">
        <v>1.4272571874705817</v>
      </c>
      <c r="GE779">
        <v>4.3582597040698694</v>
      </c>
      <c r="GF779">
        <v>8.0261978589792982</v>
      </c>
      <c r="GG779">
        <v>4.9356654835064937</v>
      </c>
      <c r="GH779">
        <v>1.7582441385682142</v>
      </c>
      <c r="GI779">
        <v>5.1172240060813419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16.070197456492632</v>
      </c>
      <c r="AO780">
        <v>10.175483983422465</v>
      </c>
      <c r="AP780">
        <v>30.719145431474914</v>
      </c>
      <c r="AQ780">
        <v>48.015706875701724</v>
      </c>
      <c r="AR780">
        <v>9.4269706522023391</v>
      </c>
      <c r="AS780">
        <v>53.610086896900064</v>
      </c>
      <c r="AT780">
        <v>5.5353468902780394</v>
      </c>
      <c r="AU780">
        <v>1.3397282721620909</v>
      </c>
      <c r="AV780"/>
      <c r="AW780"/>
      <c r="FY780" s="212">
        <v>775</v>
      </c>
      <c r="FZ780">
        <v>6.4345032033995482</v>
      </c>
      <c r="GA780">
        <v>9.5925750212699636</v>
      </c>
      <c r="GB780">
        <v>6.5285579788386743</v>
      </c>
      <c r="GC780">
        <v>3.2116430249051078</v>
      </c>
      <c r="GD780">
        <v>0.65934115232218637</v>
      </c>
      <c r="GE780">
        <v>2.3077416947452098</v>
      </c>
      <c r="GF780">
        <v>4.788424802134057</v>
      </c>
      <c r="GG780">
        <v>3.3752736336240252</v>
      </c>
      <c r="GH780">
        <v>2.6237141439185372</v>
      </c>
      <c r="GI780">
        <v>4.5623899925547109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14.632697456492636</v>
      </c>
      <c r="AO781">
        <v>9.8203514247994157</v>
      </c>
      <c r="AP781">
        <v>69.332755990746904</v>
      </c>
      <c r="AQ781">
        <v>58.315487732422291</v>
      </c>
      <c r="AR781">
        <v>9.0513765914614268</v>
      </c>
      <c r="AS781">
        <v>44.616766628701818</v>
      </c>
      <c r="AT781">
        <v>4.5047876044665998</v>
      </c>
      <c r="AU781">
        <v>5.4055960743271685</v>
      </c>
      <c r="AV781"/>
      <c r="AW781"/>
      <c r="FY781" s="212">
        <v>776</v>
      </c>
      <c r="FZ781">
        <v>3.3854002884268795</v>
      </c>
      <c r="GA781">
        <v>5.7931383784817241</v>
      </c>
      <c r="GB781">
        <v>7.2281827786346788</v>
      </c>
      <c r="GC781">
        <v>3.8766179202965807</v>
      </c>
      <c r="GD781">
        <v>2.2306855965155483</v>
      </c>
      <c r="GE781">
        <v>6.8684913893756212</v>
      </c>
      <c r="GF781">
        <v>6.2189636036925933</v>
      </c>
      <c r="GG781">
        <v>1.1513659232827032</v>
      </c>
      <c r="GH781">
        <v>1.8998628347638791</v>
      </c>
      <c r="GI781">
        <v>5.4194821195716223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19.446078431372548</v>
      </c>
      <c r="AO782">
        <v>10.175229034374579</v>
      </c>
      <c r="AP782">
        <v>55.620056204175597</v>
      </c>
      <c r="AQ782">
        <v>58.621069874174651</v>
      </c>
      <c r="AR782">
        <v>9.3828933127017802</v>
      </c>
      <c r="AS782">
        <v>52.142799268069489</v>
      </c>
      <c r="AT782">
        <v>4.6443065105890566</v>
      </c>
      <c r="AU782">
        <v>23.062321682495629</v>
      </c>
      <c r="AV782"/>
      <c r="AW782"/>
      <c r="FY782" s="212">
        <v>777</v>
      </c>
      <c r="FZ782">
        <v>3.4383792466345637</v>
      </c>
      <c r="GA782">
        <v>8.3370667029719474</v>
      </c>
      <c r="GB782">
        <v>6.3958439343282425</v>
      </c>
      <c r="GC782">
        <v>3.038211950868198</v>
      </c>
      <c r="GD782">
        <v>2.0783893373722244</v>
      </c>
      <c r="GE782">
        <v>4.2347984330716333</v>
      </c>
      <c r="GF782">
        <v>7.6030222307536386</v>
      </c>
      <c r="GG782">
        <v>6.6663152668941388</v>
      </c>
      <c r="GH782">
        <v>3.1669059864380222</v>
      </c>
      <c r="GI782">
        <v>5.978688160191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17.194993208126625</v>
      </c>
      <c r="AO783">
        <v>7.4547672478122164</v>
      </c>
      <c r="AP783">
        <v>54.934480384504603</v>
      </c>
      <c r="AQ783">
        <v>35.248772731665973</v>
      </c>
      <c r="AR783">
        <v>6.8815392771770734</v>
      </c>
      <c r="AS783">
        <v>40.50562980806118</v>
      </c>
      <c r="AT783">
        <v>4.547886954377514</v>
      </c>
      <c r="AU783">
        <v>11.97147628023302</v>
      </c>
      <c r="AV783"/>
      <c r="AW783"/>
      <c r="FY783" s="212">
        <v>778</v>
      </c>
      <c r="FZ783">
        <v>3.2541668094758833</v>
      </c>
      <c r="GA783">
        <v>7.4879092565420251</v>
      </c>
      <c r="GB783">
        <v>8.9786063663592994</v>
      </c>
      <c r="GC783">
        <v>4.2221135847662961</v>
      </c>
      <c r="GD783">
        <v>2.1151883051306961</v>
      </c>
      <c r="GE783">
        <v>6.5730143987646894</v>
      </c>
      <c r="GF783">
        <v>9.1555822630379957</v>
      </c>
      <c r="GG783">
        <v>6.8660476729105877</v>
      </c>
      <c r="GH783">
        <v>4.560063223710177</v>
      </c>
      <c r="GI783">
        <v>7.0756503630491192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16.435329553508147</v>
      </c>
      <c r="AO784">
        <v>6.4971060209119713</v>
      </c>
      <c r="AP784">
        <v>38.194649151422091</v>
      </c>
      <c r="AQ784">
        <v>32.092376909381301</v>
      </c>
      <c r="AR784">
        <v>6.050810408681266</v>
      </c>
      <c r="AS784">
        <v>38.56209479538547</v>
      </c>
      <c r="AT784">
        <v>3.7435616119905082</v>
      </c>
      <c r="AU784">
        <v>5.4698472159081968</v>
      </c>
      <c r="AV784"/>
      <c r="AW784"/>
      <c r="FY784" s="212">
        <v>779</v>
      </c>
      <c r="FZ784">
        <v>3.415854760777159</v>
      </c>
      <c r="GA784">
        <v>6.4142737785147315</v>
      </c>
      <c r="GB784">
        <v>8.1389289769744497</v>
      </c>
      <c r="GC784">
        <v>4.3915459861980093</v>
      </c>
      <c r="GD784">
        <v>1.7608664714228697</v>
      </c>
      <c r="GE784">
        <v>2.8774153762078889</v>
      </c>
      <c r="GF784">
        <v>5.127621508549959</v>
      </c>
      <c r="GG784">
        <v>5.6137958828207291</v>
      </c>
      <c r="GH784">
        <v>3.3064197194130971</v>
      </c>
      <c r="GI784">
        <v>5.6002791141681367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17.026360343334122</v>
      </c>
      <c r="AO785">
        <v>9.2513418509709506</v>
      </c>
      <c r="AP785">
        <v>60.175976500063079</v>
      </c>
      <c r="AQ785">
        <v>46.439254043793028</v>
      </c>
      <c r="AR785">
        <v>8.5026572355876961</v>
      </c>
      <c r="AS785">
        <v>44.227519903766606</v>
      </c>
      <c r="AT785">
        <v>5.3304805217734428</v>
      </c>
      <c r="AU785">
        <v>37.909003251576301</v>
      </c>
      <c r="AV785"/>
      <c r="AW785"/>
      <c r="FY785" s="212">
        <v>780</v>
      </c>
      <c r="FZ785">
        <v>9.6554455604569203</v>
      </c>
      <c r="GA785">
        <v>12.455238359173871</v>
      </c>
      <c r="GB785">
        <v>7.6587155861565996</v>
      </c>
      <c r="GC785">
        <v>4.1732447656172118</v>
      </c>
      <c r="GD785">
        <v>1.3471928958673687</v>
      </c>
      <c r="GE785">
        <v>5.0329618569192895</v>
      </c>
      <c r="GF785">
        <v>6.3641898869047466</v>
      </c>
      <c r="GG785">
        <v>0.78744805235795923</v>
      </c>
      <c r="GH785">
        <v>0.78709201044608623</v>
      </c>
      <c r="GI785">
        <v>5.599296635759015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18.076937652571068</v>
      </c>
      <c r="AO786">
        <v>6.8602994670519974</v>
      </c>
      <c r="AP786">
        <v>45.976985722514328</v>
      </c>
      <c r="AQ786">
        <v>38.475837449601585</v>
      </c>
      <c r="AR786">
        <v>6.2854317661163011</v>
      </c>
      <c r="AS786">
        <v>35.561242601321084</v>
      </c>
      <c r="AT786">
        <v>3.2856333580788042</v>
      </c>
      <c r="AU786">
        <v>14.793219151852789</v>
      </c>
      <c r="AV786"/>
      <c r="AW786"/>
      <c r="FY786" s="212">
        <v>781</v>
      </c>
      <c r="FZ786">
        <v>0.44095711226843826</v>
      </c>
      <c r="GA786">
        <v>4.142842099549914</v>
      </c>
      <c r="GB786">
        <v>8.33480668395989</v>
      </c>
      <c r="GC786">
        <v>3.7002885713426843</v>
      </c>
      <c r="GD786">
        <v>1.2548940138508149</v>
      </c>
      <c r="GE786">
        <v>5.4914295919580054</v>
      </c>
      <c r="GF786">
        <v>12.073354488443119</v>
      </c>
      <c r="GG786">
        <v>7.6278557521336108</v>
      </c>
      <c r="GH786">
        <v>1.2810555960664836</v>
      </c>
      <c r="GI786">
        <v>6.182119459751326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9.9930555555555554</v>
      </c>
      <c r="AO787">
        <v>6.9265973415439444</v>
      </c>
      <c r="AP787">
        <v>33.178240370988668</v>
      </c>
      <c r="AQ787">
        <v>34.55422669967944</v>
      </c>
      <c r="AR787">
        <v>6.4341333236266713</v>
      </c>
      <c r="AS787">
        <v>36.617567681570272</v>
      </c>
      <c r="AT787">
        <v>4.1614248450787734</v>
      </c>
      <c r="AU787">
        <v>3.7602044365451261</v>
      </c>
      <c r="AV787"/>
      <c r="AW787"/>
      <c r="FY787" s="212">
        <v>782</v>
      </c>
      <c r="FZ787">
        <v>0.28738657291590169</v>
      </c>
      <c r="GA787">
        <v>5.3026373522880448</v>
      </c>
      <c r="GB787">
        <v>6.6905229649196816</v>
      </c>
      <c r="GC787">
        <v>2.5495113558427152</v>
      </c>
      <c r="GD787">
        <v>0.98172533399486528</v>
      </c>
      <c r="GE787">
        <v>2.9836955301355155</v>
      </c>
      <c r="GF787">
        <v>7.9928214233009047</v>
      </c>
      <c r="GG787">
        <v>5.7431248744524463</v>
      </c>
      <c r="GH787">
        <v>0.3869683581798371</v>
      </c>
      <c r="GI787">
        <v>4.3775149725289877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10.295138888888888</v>
      </c>
      <c r="AO788">
        <v>6.2447633926218096</v>
      </c>
      <c r="AP788">
        <v>23.177749269030919</v>
      </c>
      <c r="AQ788">
        <v>31.454264696769762</v>
      </c>
      <c r="AR788">
        <v>5.7906749396380617</v>
      </c>
      <c r="AS788">
        <v>35.138631284545966</v>
      </c>
      <c r="AT788">
        <v>3.8614589276182154</v>
      </c>
      <c r="AU788">
        <v>4.6097638375448078</v>
      </c>
      <c r="AV788"/>
      <c r="AW788"/>
      <c r="FY788" s="212">
        <v>783</v>
      </c>
      <c r="FZ788">
        <v>3.3955517792103063</v>
      </c>
      <c r="GA788">
        <v>7.7268187598774301</v>
      </c>
      <c r="GB788">
        <v>8.7442398977004743</v>
      </c>
      <c r="GC788">
        <v>3.6609287517086129</v>
      </c>
      <c r="GD788">
        <v>0.95866115891832093</v>
      </c>
      <c r="GE788">
        <v>2.0201527391875826</v>
      </c>
      <c r="GF788">
        <v>4.368762533870731</v>
      </c>
      <c r="GG788">
        <v>3.9193564060271635</v>
      </c>
      <c r="GH788">
        <v>1.0855241337152268</v>
      </c>
      <c r="GI788">
        <v>4.5655475892749866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16.99891477675407</v>
      </c>
      <c r="AO789">
        <v>9.8723521199016311</v>
      </c>
      <c r="AP789">
        <v>59.820072237761273</v>
      </c>
      <c r="AQ789">
        <v>50.010472978782325</v>
      </c>
      <c r="AR789">
        <v>9.0417562263091398</v>
      </c>
      <c r="AS789">
        <v>50.565117409465827</v>
      </c>
      <c r="AT789">
        <v>5.9139546363203719</v>
      </c>
      <c r="AU789">
        <v>7.2029689546917286</v>
      </c>
      <c r="AV789"/>
      <c r="AW789"/>
      <c r="FY789" s="212">
        <v>784</v>
      </c>
      <c r="FZ789">
        <v>6.3634427679155632</v>
      </c>
      <c r="GA789">
        <v>8.4458966725105711</v>
      </c>
      <c r="GB789">
        <v>9.0441045475729815</v>
      </c>
      <c r="GC789">
        <v>5.3283872230378631</v>
      </c>
      <c r="GD789">
        <v>1.4559441277335168</v>
      </c>
      <c r="GE789">
        <v>3.7932114034574855</v>
      </c>
      <c r="GF789">
        <v>11.245538633236144</v>
      </c>
      <c r="GG789">
        <v>9.0192073544419529</v>
      </c>
      <c r="GH789">
        <v>2.2122077623628131</v>
      </c>
      <c r="GI789">
        <v>7.2959552625569177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16.722017973856204</v>
      </c>
      <c r="AO790">
        <v>8.5618071470870358</v>
      </c>
      <c r="AP790">
        <v>58.944149159258714</v>
      </c>
      <c r="AQ790">
        <v>44.78110021701022</v>
      </c>
      <c r="AR790">
        <v>7.8404768958495135</v>
      </c>
      <c r="AS790">
        <v>42.079143186127283</v>
      </c>
      <c r="AT790">
        <v>4.598917988165014</v>
      </c>
      <c r="AU790">
        <v>48.161674890973863</v>
      </c>
      <c r="AV790"/>
      <c r="AW790"/>
      <c r="FY790" s="212">
        <v>785</v>
      </c>
      <c r="FZ790">
        <v>6.5474677796183798</v>
      </c>
      <c r="GA790">
        <v>10.826960214327261</v>
      </c>
      <c r="GB790">
        <v>9.5578072465404009</v>
      </c>
      <c r="GC790">
        <v>4.3865478860614768</v>
      </c>
      <c r="GD790">
        <v>1.3812298499801619</v>
      </c>
      <c r="GE790">
        <v>6.6122511956969596</v>
      </c>
      <c r="GF790">
        <v>13.90431484422831</v>
      </c>
      <c r="GG790">
        <v>8.381786365565187</v>
      </c>
      <c r="GH790">
        <v>2.5724445185604323</v>
      </c>
      <c r="GI790">
        <v>8.1009314394094183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14.647467320261436</v>
      </c>
      <c r="AO791">
        <v>7.6185493096072081</v>
      </c>
      <c r="AP791">
        <v>65.817491684627583</v>
      </c>
      <c r="AQ791">
        <v>44.084164647712029</v>
      </c>
      <c r="AR791">
        <v>7.0100256057401946</v>
      </c>
      <c r="AS791">
        <v>37.314962954325274</v>
      </c>
      <c r="AT791">
        <v>3.8166438979665038</v>
      </c>
      <c r="AU791">
        <v>25.94212082552286</v>
      </c>
      <c r="AV791"/>
      <c r="AW791"/>
      <c r="FY791" s="212">
        <v>786</v>
      </c>
      <c r="FZ791">
        <v>6.506486965572944</v>
      </c>
      <c r="GA791">
        <v>8.9129653365262467</v>
      </c>
      <c r="GB791">
        <v>9.8273655682423868</v>
      </c>
      <c r="GC791">
        <v>5.581664832359353</v>
      </c>
      <c r="GD791">
        <v>1.3595539210187926</v>
      </c>
      <c r="GE791">
        <v>3.3453676658915379</v>
      </c>
      <c r="GF791">
        <v>10.347640811490217</v>
      </c>
      <c r="GG791">
        <v>7.5842228781952379</v>
      </c>
      <c r="GH791">
        <v>0.28208002562748524</v>
      </c>
      <c r="GI791">
        <v>6.9899275897041244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17.003140011024492</v>
      </c>
      <c r="AO792">
        <v>8.6683123063725045</v>
      </c>
      <c r="AP792">
        <v>48.010727623543993</v>
      </c>
      <c r="AQ792">
        <v>44.07219083304183</v>
      </c>
      <c r="AR792">
        <v>8.0058520723574169</v>
      </c>
      <c r="AS792">
        <v>60.625008035514568</v>
      </c>
      <c r="AT792">
        <v>4.0964212698042184</v>
      </c>
      <c r="AU792">
        <v>30.470188848658665</v>
      </c>
      <c r="AV792"/>
      <c r="AW792"/>
      <c r="FY792" s="212">
        <v>787</v>
      </c>
      <c r="FZ792">
        <v>6.5982252335355112</v>
      </c>
      <c r="GA792">
        <v>11.972332751640346</v>
      </c>
      <c r="GB792">
        <v>7.369775056222478</v>
      </c>
      <c r="GC792">
        <v>3.5451971149129444</v>
      </c>
      <c r="GD792">
        <v>1.6636269376188588</v>
      </c>
      <c r="GE792">
        <v>4.1122517205380573</v>
      </c>
      <c r="GF792">
        <v>5.5808938770677106</v>
      </c>
      <c r="GG792">
        <v>2.5231610854502073</v>
      </c>
      <c r="GH792">
        <v>1.8891490003320457</v>
      </c>
      <c r="GI792">
        <v>5.5240670699561107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16.039828431372548</v>
      </c>
      <c r="AO793">
        <v>9.8480997816874964</v>
      </c>
      <c r="AP793">
        <v>50.620899743908652</v>
      </c>
      <c r="AQ793">
        <v>50.937621249523609</v>
      </c>
      <c r="AR793">
        <v>9.14228546132974</v>
      </c>
      <c r="AS793">
        <v>49.196065241263348</v>
      </c>
      <c r="AT793">
        <v>5.160277214186122</v>
      </c>
      <c r="AU793">
        <v>24.045101318426209</v>
      </c>
      <c r="AV793"/>
      <c r="AW793"/>
      <c r="FY793" s="212">
        <v>788</v>
      </c>
      <c r="FZ793">
        <v>0.24678060978219624</v>
      </c>
      <c r="GA793">
        <v>4.5896445131238517</v>
      </c>
      <c r="GB793">
        <v>6.1721753662020653</v>
      </c>
      <c r="GC793">
        <v>2.5394723808069353</v>
      </c>
      <c r="GD793">
        <v>1.9166860846893781</v>
      </c>
      <c r="GE793">
        <v>4.9313054999469284</v>
      </c>
      <c r="GF793">
        <v>8.8608331356670185</v>
      </c>
      <c r="GG793">
        <v>6.6612520171895353</v>
      </c>
      <c r="GH793">
        <v>1.1901568536250222</v>
      </c>
      <c r="GI793">
        <v>5.4484191900934107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19.557942554531856</v>
      </c>
      <c r="AO794">
        <v>11.519455462057223</v>
      </c>
      <c r="AP794">
        <v>53.090235941201229</v>
      </c>
      <c r="AQ794">
        <v>60.288342243746783</v>
      </c>
      <c r="AR794">
        <v>10.616644233915421</v>
      </c>
      <c r="AS794">
        <v>61.901020704132094</v>
      </c>
      <c r="AT794">
        <v>5.8597741260409206</v>
      </c>
      <c r="AU794">
        <v>16.797431591652309</v>
      </c>
      <c r="AV794"/>
      <c r="AW794"/>
      <c r="FY794" s="212">
        <v>789</v>
      </c>
      <c r="FZ794">
        <v>3.4472325598168494</v>
      </c>
      <c r="GA794">
        <v>8.7998217510664904</v>
      </c>
      <c r="GB794">
        <v>8.3495355242348239</v>
      </c>
      <c r="GC794">
        <v>3.6059354294218933</v>
      </c>
      <c r="GD794">
        <v>2.2511523403446878</v>
      </c>
      <c r="GE794">
        <v>6.2735662638298688</v>
      </c>
      <c r="GF794">
        <v>14.940445278392851</v>
      </c>
      <c r="GG794">
        <v>12.544962949994328</v>
      </c>
      <c r="GH794">
        <v>3.1765048915786549</v>
      </c>
      <c r="GI794">
        <v>8.6071934594489026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14.717536813922356</v>
      </c>
      <c r="AO795">
        <v>9.1122788849616398</v>
      </c>
      <c r="AP795">
        <v>60.250448119668064</v>
      </c>
      <c r="AQ795">
        <v>46.647001575047035</v>
      </c>
      <c r="AR795">
        <v>8.4850628801592016</v>
      </c>
      <c r="AS795">
        <v>46.029809492556488</v>
      </c>
      <c r="AT795">
        <v>5.0932081374618994</v>
      </c>
      <c r="AU795">
        <v>-4.4614797303458156</v>
      </c>
      <c r="AV795"/>
      <c r="AW795"/>
      <c r="FY795" s="212">
        <v>790</v>
      </c>
      <c r="FZ795">
        <v>3.3244913437263213</v>
      </c>
      <c r="GA795">
        <v>6.4673150504990788</v>
      </c>
      <c r="GB795">
        <v>7.6259458636937545</v>
      </c>
      <c r="GC795">
        <v>3.7711439712329788</v>
      </c>
      <c r="GD795">
        <v>1.6939425655291975</v>
      </c>
      <c r="GE795">
        <v>5.7914506872090241</v>
      </c>
      <c r="GF795">
        <v>6.1362440918184395</v>
      </c>
      <c r="GG795">
        <v>1.5179877262723611</v>
      </c>
      <c r="GH795">
        <v>1.924900824072973</v>
      </c>
      <c r="GI795">
        <v>5.230733749484747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21.729715430348847</v>
      </c>
      <c r="AO796">
        <v>9.2637967440038445</v>
      </c>
      <c r="AP796">
        <v>84.535324878966293</v>
      </c>
      <c r="AQ796">
        <v>53.860825609659067</v>
      </c>
      <c r="AR796">
        <v>8.5115718867672783</v>
      </c>
      <c r="AS796">
        <v>45.054273784372022</v>
      </c>
      <c r="AT796">
        <v>3.9351925705211994</v>
      </c>
      <c r="AU796">
        <v>34.16759874185599</v>
      </c>
      <c r="AV796"/>
      <c r="AW796"/>
      <c r="FY796" s="212">
        <v>791</v>
      </c>
      <c r="FZ796">
        <v>3.3549458160766008</v>
      </c>
      <c r="GA796">
        <v>7.3003863704527125</v>
      </c>
      <c r="GB796">
        <v>7.2713282863900988</v>
      </c>
      <c r="GC796">
        <v>3.6020160446932383</v>
      </c>
      <c r="GD796">
        <v>1.2009408698108694</v>
      </c>
      <c r="GE796">
        <v>3.8048589823799297</v>
      </c>
      <c r="GF796">
        <v>12.181958750853722</v>
      </c>
      <c r="GG796">
        <v>9.4576966891557728</v>
      </c>
      <c r="GH796">
        <v>1.8083854089404954</v>
      </c>
      <c r="GI796">
        <v>6.5676084570051785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13.851447456492632</v>
      </c>
      <c r="AO797">
        <v>10.230327140417549</v>
      </c>
      <c r="AP797">
        <v>49.14033057693868</v>
      </c>
      <c r="AQ797">
        <v>50.529603369324285</v>
      </c>
      <c r="AR797">
        <v>9.3638098837369004</v>
      </c>
      <c r="AS797">
        <v>51.7119482069889</v>
      </c>
      <c r="AT797">
        <v>6.4320813349865817</v>
      </c>
      <c r="AU797">
        <v>7.949508293224155</v>
      </c>
      <c r="AV797"/>
      <c r="AW797"/>
      <c r="FY797" s="212">
        <v>792</v>
      </c>
      <c r="FZ797">
        <v>3.2227890104361929</v>
      </c>
      <c r="GA797">
        <v>6.6797285338164887</v>
      </c>
      <c r="GB797">
        <v>7.8561831559575106</v>
      </c>
      <c r="GC797">
        <v>3.4580993980652939</v>
      </c>
      <c r="GD797">
        <v>1.9648460740679714</v>
      </c>
      <c r="GE797">
        <v>4.7579717511789523</v>
      </c>
      <c r="GF797">
        <v>4.9864570605764236</v>
      </c>
      <c r="GG797">
        <v>3.9914434691873155</v>
      </c>
      <c r="GH797">
        <v>1.9776852352427419</v>
      </c>
      <c r="GI797">
        <v>5.3235736699147047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14.981553665642963</v>
      </c>
      <c r="AO798">
        <v>7.1648868453935934</v>
      </c>
      <c r="AP798">
        <v>39.462814742554137</v>
      </c>
      <c r="AQ798">
        <v>37.295908738558893</v>
      </c>
      <c r="AR798">
        <v>6.5568136476736214</v>
      </c>
      <c r="AS798">
        <v>35.79137282354629</v>
      </c>
      <c r="AT798">
        <v>4.0835911966819927</v>
      </c>
      <c r="AU798">
        <v>15.009657848834332</v>
      </c>
      <c r="AV798"/>
      <c r="AW798"/>
      <c r="FY798" s="212">
        <v>793</v>
      </c>
      <c r="FZ798">
        <v>6.6174174629570874</v>
      </c>
      <c r="GA798">
        <v>9.3825907386816851</v>
      </c>
      <c r="GB798">
        <v>9.1506402680951133</v>
      </c>
      <c r="GC798">
        <v>4.7511158537995488</v>
      </c>
      <c r="GD798">
        <v>1.6250063686817169</v>
      </c>
      <c r="GE798">
        <v>3.1820726113471522</v>
      </c>
      <c r="GF798">
        <v>4.5105533453125624</v>
      </c>
      <c r="GG798">
        <v>3.9294718410391543</v>
      </c>
      <c r="GH798">
        <v>2.2494877976100272</v>
      </c>
      <c r="GI798">
        <v>5.8230159081064228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18.507493208126625</v>
      </c>
      <c r="AO799">
        <v>7.4110764386743524</v>
      </c>
      <c r="AP799">
        <v>50.430802608702287</v>
      </c>
      <c r="AQ799">
        <v>40.445543749490831</v>
      </c>
      <c r="AR799">
        <v>6.854639497016584</v>
      </c>
      <c r="AS799">
        <v>42.875405164658041</v>
      </c>
      <c r="AT799">
        <v>4.0401636298417065</v>
      </c>
      <c r="AU799">
        <v>14.525559023725684</v>
      </c>
      <c r="AV799"/>
      <c r="AW799"/>
      <c r="FY799" s="212">
        <v>794</v>
      </c>
      <c r="FZ799">
        <v>3.4077373488284195</v>
      </c>
      <c r="GA799">
        <v>8.2735771312940685</v>
      </c>
      <c r="GB799">
        <v>6.3118045773881448</v>
      </c>
      <c r="GC799">
        <v>2.5496449447964018</v>
      </c>
      <c r="GD799">
        <v>1.7634696598200175</v>
      </c>
      <c r="GE799">
        <v>5.9673910602710309</v>
      </c>
      <c r="GF799">
        <v>5.7005810727746038</v>
      </c>
      <c r="GG799">
        <v>1.6754373570978491</v>
      </c>
      <c r="GH799">
        <v>1.8201548037309103</v>
      </c>
      <c r="GI799">
        <v>4.7029754248334203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20.653326541459954</v>
      </c>
      <c r="AO800">
        <v>12.319237425744408</v>
      </c>
      <c r="AP800">
        <v>86.754317643065946</v>
      </c>
      <c r="AQ800">
        <v>64.203895754825808</v>
      </c>
      <c r="AR800">
        <v>11.280856300435786</v>
      </c>
      <c r="AS800">
        <v>54.520383969096926</v>
      </c>
      <c r="AT800">
        <v>6.235098377835949</v>
      </c>
      <c r="AU800">
        <v>22.612908667349611</v>
      </c>
      <c r="AV800"/>
      <c r="AW800"/>
      <c r="FY800" s="212">
        <v>795</v>
      </c>
      <c r="FZ800">
        <v>0.1836501607910857</v>
      </c>
      <c r="GA800">
        <v>3.2277424871597571</v>
      </c>
      <c r="GB800">
        <v>6.6408537057494881</v>
      </c>
      <c r="GC800">
        <v>3.4869853977974925</v>
      </c>
      <c r="GD800">
        <v>1.3578960457924891</v>
      </c>
      <c r="GE800">
        <v>4.0364277530267874</v>
      </c>
      <c r="GF800">
        <v>6.5657629325735751</v>
      </c>
      <c r="GG800">
        <v>3.5093212605351214</v>
      </c>
      <c r="GH800">
        <v>2.7525371314183271</v>
      </c>
      <c r="GI800">
        <v>4.5148520633613645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17.522339357429715</v>
      </c>
      <c r="AO801">
        <v>13.612250629515051</v>
      </c>
      <c r="AP801">
        <v>70.147084445939726</v>
      </c>
      <c r="AQ801">
        <v>72.271741339987997</v>
      </c>
      <c r="AR801">
        <v>12.498213424576267</v>
      </c>
      <c r="AS801">
        <v>64.516104808112246</v>
      </c>
      <c r="AT801">
        <v>7.6509682831285692</v>
      </c>
      <c r="AU801">
        <v>10.940403759825132</v>
      </c>
      <c r="AV801"/>
      <c r="AW801"/>
      <c r="FY801" s="212">
        <v>796</v>
      </c>
      <c r="FZ801">
        <v>6.3846690761718277</v>
      </c>
      <c r="GA801">
        <v>9.669839520419389</v>
      </c>
      <c r="GB801">
        <v>9.342723375912044</v>
      </c>
      <c r="GC801">
        <v>5.0609778905278393</v>
      </c>
      <c r="GD801">
        <v>1.0098150625447098</v>
      </c>
      <c r="GE801">
        <v>2.971751376245233</v>
      </c>
      <c r="GF801">
        <v>10.72162913990414</v>
      </c>
      <c r="GG801">
        <v>8.4900837353194198</v>
      </c>
      <c r="GH801">
        <v>2.0565994760562578</v>
      </c>
      <c r="GI801">
        <v>6.9899169567454935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23.83626909599181</v>
      </c>
      <c r="AO802">
        <v>11.915070066495574</v>
      </c>
      <c r="AP802">
        <v>88.424448695635888</v>
      </c>
      <c r="AQ802">
        <v>60.737275594628322</v>
      </c>
      <c r="AR802">
        <v>10.86406496954824</v>
      </c>
      <c r="AS802">
        <v>60.994671705157906</v>
      </c>
      <c r="AT802">
        <v>6.784199233462469</v>
      </c>
      <c r="AU802">
        <v>59.482085225455329</v>
      </c>
      <c r="AV802"/>
      <c r="AW802"/>
      <c r="FY802" s="212">
        <v>797</v>
      </c>
      <c r="FZ802">
        <v>3.3560565682218768</v>
      </c>
      <c r="GA802">
        <v>7.5963000770408593</v>
      </c>
      <c r="GB802">
        <v>5.9608338034383426</v>
      </c>
      <c r="GC802">
        <v>2.5072710793620736</v>
      </c>
      <c r="GD802">
        <v>0.56521727466738181</v>
      </c>
      <c r="GE802">
        <v>5.3872975945044352</v>
      </c>
      <c r="GF802">
        <v>10.175981302465333</v>
      </c>
      <c r="GG802">
        <v>2.9801976414125884</v>
      </c>
      <c r="GH802">
        <v>2.5068643986947885</v>
      </c>
      <c r="GI802">
        <v>5.1354720434636825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18.869689542483663</v>
      </c>
      <c r="AO803">
        <v>9.1042123783084783</v>
      </c>
      <c r="AP803">
        <v>54.065533835279069</v>
      </c>
      <c r="AQ803">
        <v>50.778679847274262</v>
      </c>
      <c r="AR803">
        <v>8.4073483327459737</v>
      </c>
      <c r="AS803">
        <v>48.183033076823847</v>
      </c>
      <c r="AT803">
        <v>3.8330483609502175</v>
      </c>
      <c r="AU803">
        <v>20.248960000809749</v>
      </c>
      <c r="AV803"/>
      <c r="AW803"/>
      <c r="FY803" s="212">
        <v>798</v>
      </c>
      <c r="FZ803">
        <v>3.5498582197963886</v>
      </c>
      <c r="GA803">
        <v>7.2259726092353116</v>
      </c>
      <c r="GB803">
        <v>10.979727734083138</v>
      </c>
      <c r="GC803">
        <v>5.4112830236095029</v>
      </c>
      <c r="GD803">
        <v>0.70075692217076924</v>
      </c>
      <c r="GE803">
        <v>3.621190401646881</v>
      </c>
      <c r="GF803">
        <v>8.9096221147194985</v>
      </c>
      <c r="GG803">
        <v>4.7593240170072217</v>
      </c>
      <c r="GH803">
        <v>1.2937745189812624</v>
      </c>
      <c r="GI803">
        <v>6.0906031553143052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13.032003012048193</v>
      </c>
      <c r="AO804">
        <v>9.1369828445546908</v>
      </c>
      <c r="AP804">
        <v>51.855624804782025</v>
      </c>
      <c r="AQ804">
        <v>42.556725651126342</v>
      </c>
      <c r="AR804">
        <v>8.3558902646647031</v>
      </c>
      <c r="AS804">
        <v>45.057198512513608</v>
      </c>
      <c r="AT804">
        <v>5.6419892958217552</v>
      </c>
      <c r="AU804">
        <v>10.695133513580929</v>
      </c>
      <c r="AV804"/>
      <c r="AW804"/>
      <c r="FY804" s="212">
        <v>799</v>
      </c>
      <c r="FZ804">
        <v>6.5474677796183798</v>
      </c>
      <c r="GA804">
        <v>11.101327395681938</v>
      </c>
      <c r="GB804">
        <v>6.1010847549819189</v>
      </c>
      <c r="GC804">
        <v>3.1981981225458593</v>
      </c>
      <c r="GD804">
        <v>1.3435960182086695</v>
      </c>
      <c r="GE804">
        <v>1.7263134768449466</v>
      </c>
      <c r="GF804">
        <v>6.6818919292572492</v>
      </c>
      <c r="GG804">
        <v>7.1132363878445295</v>
      </c>
      <c r="GH804">
        <v>1.4186181720582602</v>
      </c>
      <c r="GI804">
        <v>5.2737772994791285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23.802632097015515</v>
      </c>
      <c r="AO805">
        <v>14.506405219979879</v>
      </c>
      <c r="AP805">
        <v>80.562372338890256</v>
      </c>
      <c r="AQ805">
        <v>71.996350448129348</v>
      </c>
      <c r="AR805">
        <v>13.394278917560579</v>
      </c>
      <c r="AS805">
        <v>72.378327598451605</v>
      </c>
      <c r="AT805">
        <v>8.0700933042576892</v>
      </c>
      <c r="AU805">
        <v>40.166229089439312</v>
      </c>
      <c r="AV805"/>
      <c r="AW805"/>
      <c r="FY805" s="212">
        <v>800</v>
      </c>
      <c r="FZ805">
        <v>6.4549936104222656</v>
      </c>
      <c r="GA805">
        <v>11.231846078518508</v>
      </c>
      <c r="GB805">
        <v>8.6635554993463888</v>
      </c>
      <c r="GC805">
        <v>3.5177238211528454</v>
      </c>
      <c r="GD805">
        <v>2.0168960542047536</v>
      </c>
      <c r="GE805">
        <v>4.9483513371259145</v>
      </c>
      <c r="GF805">
        <v>8.7182535013738551</v>
      </c>
      <c r="GG805">
        <v>7.7795664643902267</v>
      </c>
      <c r="GH805">
        <v>0.4658825989933526</v>
      </c>
      <c r="GI805">
        <v>6.9710540081041676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17.954656862745097</v>
      </c>
      <c r="AO806">
        <v>8.5049654981817717</v>
      </c>
      <c r="AP806">
        <v>62.966985323734264</v>
      </c>
      <c r="AQ806">
        <v>43.484155873538874</v>
      </c>
      <c r="AR806">
        <v>7.807993583174909</v>
      </c>
      <c r="AS806">
        <v>44.960604695992643</v>
      </c>
      <c r="AT806">
        <v>4.3164555373078892</v>
      </c>
      <c r="AU806">
        <v>49.087471901714459</v>
      </c>
      <c r="AV806"/>
      <c r="AW806"/>
      <c r="FY806" s="212">
        <v>801</v>
      </c>
      <c r="FZ806">
        <v>0.29661473700991681</v>
      </c>
      <c r="GA806">
        <v>2.7730971537231861</v>
      </c>
      <c r="GB806">
        <v>7.4941971200746647</v>
      </c>
      <c r="GC806">
        <v>3.6719657881645871</v>
      </c>
      <c r="GD806">
        <v>1.7560418579462846</v>
      </c>
      <c r="GE806">
        <v>5.3628377941016252</v>
      </c>
      <c r="GF806">
        <v>7.7938171383590564</v>
      </c>
      <c r="GG806">
        <v>4.3440171547718034</v>
      </c>
      <c r="GH806">
        <v>1.092247374372364</v>
      </c>
      <c r="GI806">
        <v>5.2377458760748077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13.990336345381527</v>
      </c>
      <c r="AO807">
        <v>11.174352330848297</v>
      </c>
      <c r="AP807">
        <v>45.560732419133359</v>
      </c>
      <c r="AQ807">
        <v>56.550125675758622</v>
      </c>
      <c r="AR807">
        <v>10.220856770408689</v>
      </c>
      <c r="AS807">
        <v>49.592312548902186</v>
      </c>
      <c r="AT807">
        <v>6.2855974410304896</v>
      </c>
      <c r="AU807">
        <v>-8.2961061758726834E-2</v>
      </c>
      <c r="AV807"/>
      <c r="AW807"/>
      <c r="FY807" s="212">
        <v>802</v>
      </c>
      <c r="FZ807">
        <v>3.4898726017852422</v>
      </c>
      <c r="GA807">
        <v>6.6971478577699042</v>
      </c>
      <c r="GB807">
        <v>8.1906591822276891</v>
      </c>
      <c r="GC807">
        <v>4.1994568959085532</v>
      </c>
      <c r="GD807">
        <v>1.0985239382923226</v>
      </c>
      <c r="GE807">
        <v>3.1755529947942658</v>
      </c>
      <c r="GF807">
        <v>6.3968884370549457</v>
      </c>
      <c r="GG807">
        <v>3.5192282285083403</v>
      </c>
      <c r="GH807">
        <v>1.9610525043343641</v>
      </c>
      <c r="GI807">
        <v>5.2491861819096872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13.056308567603747</v>
      </c>
      <c r="AO808">
        <v>8.6667169152866315</v>
      </c>
      <c r="AP808">
        <v>56.223039998956438</v>
      </c>
      <c r="AQ808">
        <v>44.218777358443603</v>
      </c>
      <c r="AR808">
        <v>8.0071607557702293</v>
      </c>
      <c r="AS808">
        <v>43.796073597361882</v>
      </c>
      <c r="AT808">
        <v>4.7640688927422836</v>
      </c>
      <c r="AU808">
        <v>9.4747641632865047</v>
      </c>
      <c r="AV808"/>
      <c r="AW808"/>
      <c r="FY808" s="212">
        <v>803</v>
      </c>
      <c r="FZ808">
        <v>3.2624716468804871</v>
      </c>
      <c r="GA808">
        <v>5.5100828787233818</v>
      </c>
      <c r="GB808">
        <v>3.2771284117775838</v>
      </c>
      <c r="GC808">
        <v>1.7731551359394797</v>
      </c>
      <c r="GD808">
        <v>3.5890963957315911</v>
      </c>
      <c r="GE808">
        <v>7.8008510095996044</v>
      </c>
      <c r="GF808">
        <v>8.733300773119808</v>
      </c>
      <c r="GG808">
        <v>7.4788379075446949</v>
      </c>
      <c r="GH808">
        <v>0.86785560183763621</v>
      </c>
      <c r="GI808">
        <v>6.1357863254178735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14.28472222222222</v>
      </c>
      <c r="AO809">
        <v>9.5589031569490945</v>
      </c>
      <c r="AP809">
        <v>52.891752519894396</v>
      </c>
      <c r="AQ809">
        <v>51.221372195630465</v>
      </c>
      <c r="AR809">
        <v>8.8665551455152638</v>
      </c>
      <c r="AS809">
        <v>46.776531557689111</v>
      </c>
      <c r="AT809">
        <v>4.7700138193223856</v>
      </c>
      <c r="AU809">
        <v>8.4149226359833751</v>
      </c>
      <c r="AV809"/>
      <c r="AW809"/>
      <c r="FY809" s="212">
        <v>804</v>
      </c>
      <c r="FZ809">
        <v>3.4361577423440117</v>
      </c>
      <c r="GA809">
        <v>7.5941376711070649</v>
      </c>
      <c r="GB809">
        <v>6.7210807272381023</v>
      </c>
      <c r="GC809">
        <v>3.1088988771710753</v>
      </c>
      <c r="GD809">
        <v>1.2660677328837791</v>
      </c>
      <c r="GE809">
        <v>2.49204250682837</v>
      </c>
      <c r="GF809">
        <v>5.2249977900779898</v>
      </c>
      <c r="GG809">
        <v>4.3452459051000689</v>
      </c>
      <c r="GH809">
        <v>1.4451709471790188</v>
      </c>
      <c r="GI809">
        <v>4.5621373993522756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19.74858256555634</v>
      </c>
      <c r="AO810">
        <v>7.549013680697465</v>
      </c>
      <c r="AP810">
        <v>43.391595948881218</v>
      </c>
      <c r="AQ810">
        <v>42.172773380834862</v>
      </c>
      <c r="AR810">
        <v>6.9077431092654331</v>
      </c>
      <c r="AS810">
        <v>39.739617806100391</v>
      </c>
      <c r="AT810">
        <v>3.4544412203566366</v>
      </c>
      <c r="AU810">
        <v>28.500293258353292</v>
      </c>
      <c r="AV810"/>
      <c r="AW810"/>
      <c r="FY810" s="212">
        <v>805</v>
      </c>
      <c r="FZ810">
        <v>3.2938494459201775</v>
      </c>
      <c r="GA810">
        <v>7.9608398549897093</v>
      </c>
      <c r="GB810">
        <v>9.9493436992490274</v>
      </c>
      <c r="GC810">
        <v>4.8455620757482292</v>
      </c>
      <c r="GD810">
        <v>1.9445188072156661</v>
      </c>
      <c r="GE810">
        <v>4.8493274241278366</v>
      </c>
      <c r="GF810">
        <v>4.3089024114517214</v>
      </c>
      <c r="GG810">
        <v>1.4147536062227331</v>
      </c>
      <c r="GH810">
        <v>2.3237538091431102</v>
      </c>
      <c r="GI810">
        <v>5.671472151496701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12.320950468540827</v>
      </c>
      <c r="AO811">
        <v>7.1070030139138947</v>
      </c>
      <c r="AP811">
        <v>28.78931793464103</v>
      </c>
      <c r="AQ811">
        <v>36.276028938205492</v>
      </c>
      <c r="AR811">
        <v>6.6091644120050184</v>
      </c>
      <c r="AS811">
        <v>36.979856925558622</v>
      </c>
      <c r="AT811">
        <v>4.0972402366732776</v>
      </c>
      <c r="AU811">
        <v>6.3053312825848655</v>
      </c>
      <c r="AV811"/>
      <c r="AW811"/>
      <c r="FY811" s="212">
        <v>806</v>
      </c>
      <c r="FZ811">
        <v>0.21540281074250595</v>
      </c>
      <c r="GA811">
        <v>1.5290744700137082</v>
      </c>
      <c r="GB811">
        <v>2.4488057996063288</v>
      </c>
      <c r="GC811">
        <v>1.2839965621169314</v>
      </c>
      <c r="GD811">
        <v>0.6603627462939512</v>
      </c>
      <c r="GE811">
        <v>3.0902824968759735</v>
      </c>
      <c r="GF811">
        <v>15.925341761162844</v>
      </c>
      <c r="GG811">
        <v>13.56509546245278</v>
      </c>
      <c r="GH811">
        <v>1.368476901685979</v>
      </c>
      <c r="GI811">
        <v>5.5830962959375823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18.755106209150327</v>
      </c>
      <c r="AO812">
        <v>11.870825427110519</v>
      </c>
      <c r="AP812">
        <v>73.088588906839121</v>
      </c>
      <c r="AQ812">
        <v>62.698005609846348</v>
      </c>
      <c r="AR812">
        <v>10.868727913712805</v>
      </c>
      <c r="AS812">
        <v>61.537498035086074</v>
      </c>
      <c r="AT812">
        <v>5.9708193534970073</v>
      </c>
      <c r="AU812">
        <v>18.379786967076875</v>
      </c>
      <c r="AV812"/>
      <c r="AW812"/>
      <c r="FY812" s="212">
        <v>807</v>
      </c>
      <c r="FZ812">
        <v>0.30768955448275442</v>
      </c>
      <c r="GA812">
        <v>3.8772670103063858</v>
      </c>
      <c r="GB812">
        <v>7.3884919195666603</v>
      </c>
      <c r="GC812">
        <v>3.2101052387086866</v>
      </c>
      <c r="GD812">
        <v>0.86048974812548329</v>
      </c>
      <c r="GE812">
        <v>2.6222548727483059</v>
      </c>
      <c r="GF812">
        <v>6.9057758891049383</v>
      </c>
      <c r="GG812">
        <v>7.4539717862908708</v>
      </c>
      <c r="GH812">
        <v>4.3630835429448531</v>
      </c>
      <c r="GI812">
        <v>4.9147007615786151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13.04058144342074</v>
      </c>
      <c r="AO813">
        <v>8.4759712478727369</v>
      </c>
      <c r="AP813">
        <v>82.63003226115201</v>
      </c>
      <c r="AQ813">
        <v>46.171491783271364</v>
      </c>
      <c r="AR813">
        <v>7.826220368681903</v>
      </c>
      <c r="AS813">
        <v>42.423143765882195</v>
      </c>
      <c r="AT813">
        <v>5.1804502710369071</v>
      </c>
      <c r="AU813">
        <v>36.382746101116304</v>
      </c>
      <c r="AV813"/>
      <c r="AW813"/>
      <c r="FY813" s="212">
        <v>808</v>
      </c>
      <c r="FZ813">
        <v>6.464034349060416</v>
      </c>
      <c r="GA813">
        <v>10.589537942941332</v>
      </c>
      <c r="GB813">
        <v>6.322432490042571</v>
      </c>
      <c r="GC813">
        <v>2.8734819818285677</v>
      </c>
      <c r="GD813">
        <v>0.59515715238419109</v>
      </c>
      <c r="GE813">
        <v>3.4217272290493765</v>
      </c>
      <c r="GF813">
        <v>9.8193742808162909</v>
      </c>
      <c r="GG813">
        <v>5.740432006784749</v>
      </c>
      <c r="GH813">
        <v>2.570082011029668</v>
      </c>
      <c r="GI813">
        <v>5.6672447636461749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15.43478078982597</v>
      </c>
      <c r="AO814">
        <v>10.042625053704821</v>
      </c>
      <c r="AP814">
        <v>56.813973024916841</v>
      </c>
      <c r="AQ814">
        <v>52.542112716564283</v>
      </c>
      <c r="AR814">
        <v>9.204026156618399</v>
      </c>
      <c r="AS814">
        <v>49.409683734220572</v>
      </c>
      <c r="AT814">
        <v>5.7381957937370993</v>
      </c>
      <c r="AU814">
        <v>17.853730559665792</v>
      </c>
      <c r="AV814"/>
      <c r="AW814"/>
      <c r="FY814" s="212">
        <v>809</v>
      </c>
      <c r="FZ814">
        <v>3.2541668094758833</v>
      </c>
      <c r="GA814">
        <v>5.4996405335749019</v>
      </c>
      <c r="GB814">
        <v>9.1398831490010686</v>
      </c>
      <c r="GC814">
        <v>4.5938338911070584</v>
      </c>
      <c r="GD814">
        <v>1.0956066089271603</v>
      </c>
      <c r="GE814">
        <v>3.3211281198934408</v>
      </c>
      <c r="GF814">
        <v>8.5237346028938248</v>
      </c>
      <c r="GG814">
        <v>7.058687327040662</v>
      </c>
      <c r="GH814">
        <v>1.992074681874096</v>
      </c>
      <c r="GI814">
        <v>6.1160013858014732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15.655917788802267</v>
      </c>
      <c r="AO815">
        <v>8.9924552335434278</v>
      </c>
      <c r="AP815">
        <v>62.812584814140223</v>
      </c>
      <c r="AQ815">
        <v>50.505511336520875</v>
      </c>
      <c r="AR815">
        <v>8.1896719149000372</v>
      </c>
      <c r="AS815">
        <v>48.027955068901903</v>
      </c>
      <c r="AT815">
        <v>4.436713328678036</v>
      </c>
      <c r="AU815">
        <v>-0.74629936124003504</v>
      </c>
      <c r="AV815"/>
      <c r="AW815"/>
      <c r="FY815" s="212">
        <v>810</v>
      </c>
      <c r="FZ815">
        <v>6.5068618164846743</v>
      </c>
      <c r="GA815">
        <v>10.627919233837469</v>
      </c>
      <c r="GB815">
        <v>5.0972211359232418</v>
      </c>
      <c r="GC815">
        <v>1.9613710107673485</v>
      </c>
      <c r="GD815">
        <v>0.22613421692196053</v>
      </c>
      <c r="GE815">
        <v>1.0572021120562196</v>
      </c>
      <c r="GF815">
        <v>5.9332043377700838</v>
      </c>
      <c r="GG815">
        <v>4.6923002035516737</v>
      </c>
      <c r="GH815">
        <v>0.24592834536609434</v>
      </c>
      <c r="GI815">
        <v>3.967028591973687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18.130106209150327</v>
      </c>
      <c r="AO816">
        <v>11.976404340810882</v>
      </c>
      <c r="AP816">
        <v>108.38532478564711</v>
      </c>
      <c r="AQ816">
        <v>60.768122973632273</v>
      </c>
      <c r="AR816">
        <v>10.93718253398851</v>
      </c>
      <c r="AS816">
        <v>53.475138845948635</v>
      </c>
      <c r="AT816" t="e">
        <v>#DIV/0!</v>
      </c>
      <c r="AU816" t="e">
        <v>#DIV/0!</v>
      </c>
      <c r="AV816"/>
      <c r="AW816"/>
      <c r="FY816" s="212">
        <v>811</v>
      </c>
      <c r="FZ816">
        <v>3.2440153186924565</v>
      </c>
      <c r="GA816">
        <v>6.1711943867531875</v>
      </c>
      <c r="GB816">
        <v>3.972615051871232</v>
      </c>
      <c r="GC816">
        <v>1.8981988480360599</v>
      </c>
      <c r="GD816">
        <v>1.6218128454131671</v>
      </c>
      <c r="GE816">
        <v>3.9644819702644956</v>
      </c>
      <c r="GF816">
        <v>15.000149624427834</v>
      </c>
      <c r="GG816">
        <v>14.814643320477723</v>
      </c>
      <c r="GH816">
        <v>2.4125880941690063</v>
      </c>
      <c r="GI816">
        <v>7.0940973563194731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13.148845381526105</v>
      </c>
      <c r="AO817">
        <v>8.5320157096556812</v>
      </c>
      <c r="AP817">
        <v>47.135991027558688</v>
      </c>
      <c r="AQ817">
        <v>39.822581994598295</v>
      </c>
      <c r="AR817">
        <v>7.8635495089049021</v>
      </c>
      <c r="AS817">
        <v>41.067537137319498</v>
      </c>
      <c r="AT817">
        <v>5.3358721414282568</v>
      </c>
      <c r="AU817">
        <v>-5.5464670254403172</v>
      </c>
      <c r="AV817"/>
      <c r="AW817"/>
      <c r="FY817" s="212">
        <v>812</v>
      </c>
      <c r="FZ817">
        <v>0.13196938018454268</v>
      </c>
      <c r="GA817">
        <v>2.4222341853715723</v>
      </c>
      <c r="GB817">
        <v>5.068906419462869</v>
      </c>
      <c r="GC817">
        <v>3.2581569792732257</v>
      </c>
      <c r="GD817">
        <v>1.935888336894688</v>
      </c>
      <c r="GE817">
        <v>4.0835983941444134</v>
      </c>
      <c r="GF817">
        <v>5.5816048117270318</v>
      </c>
      <c r="GG817">
        <v>4.2398609344495233</v>
      </c>
      <c r="GH817">
        <v>3.1558575872398187</v>
      </c>
      <c r="GI817">
        <v>4.4127650477374996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19.775607331285922</v>
      </c>
      <c r="AO818">
        <v>8.6463646407979748</v>
      </c>
      <c r="AP818">
        <v>60.750684012536937</v>
      </c>
      <c r="AQ818">
        <v>43.977568822585312</v>
      </c>
      <c r="AR818">
        <v>7.9995132215826992</v>
      </c>
      <c r="AS818">
        <v>43.507274277028102</v>
      </c>
      <c r="AT818">
        <v>4.3236033732011281</v>
      </c>
      <c r="AU818">
        <v>28.701229209878914</v>
      </c>
      <c r="AV818"/>
      <c r="AW818"/>
      <c r="FY818" s="212">
        <v>813</v>
      </c>
      <c r="FZ818">
        <v>0.48118822449041376</v>
      </c>
      <c r="GA818">
        <v>5.3914929414894548</v>
      </c>
      <c r="GB818">
        <v>6.6868936013149352</v>
      </c>
      <c r="GC818">
        <v>2.5625437142165826</v>
      </c>
      <c r="GD818">
        <v>0.79228392569817674</v>
      </c>
      <c r="GE818">
        <v>2.1723138274540403</v>
      </c>
      <c r="GF818">
        <v>7.1501930220560288</v>
      </c>
      <c r="GG818">
        <v>6.1991522115225504</v>
      </c>
      <c r="GH818">
        <v>1.475035757954906</v>
      </c>
      <c r="GI818">
        <v>4.3359638863903527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15.643995098039216</v>
      </c>
      <c r="AO819">
        <v>10.40186270111931</v>
      </c>
      <c r="AP819">
        <v>64.470652611428051</v>
      </c>
      <c r="AQ819">
        <v>48.42856608657214</v>
      </c>
      <c r="AR819">
        <v>9.4811868239480734</v>
      </c>
      <c r="AS819">
        <v>48.473260544251417</v>
      </c>
      <c r="AT819">
        <v>4.7989233904763502</v>
      </c>
      <c r="AU819">
        <v>25.556048836538547</v>
      </c>
      <c r="AV819"/>
      <c r="AW819"/>
      <c r="FY819" s="212">
        <v>814</v>
      </c>
      <c r="FZ819">
        <v>3.3051116888488803</v>
      </c>
      <c r="GA819">
        <v>8.8464808380759603</v>
      </c>
      <c r="GB819">
        <v>10.290470608344158</v>
      </c>
      <c r="GC819">
        <v>4.809977016258558</v>
      </c>
      <c r="GD819">
        <v>1.7081473774705604</v>
      </c>
      <c r="GE819">
        <v>4.050998409125163</v>
      </c>
      <c r="GF819">
        <v>8.2324657863540551</v>
      </c>
      <c r="GG819">
        <v>7.6240212527572737</v>
      </c>
      <c r="GH819">
        <v>3.5172882248524528</v>
      </c>
      <c r="GI819">
        <v>6.8961729291364762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12.905036813922354</v>
      </c>
      <c r="AO820">
        <v>7.5195088345552801</v>
      </c>
      <c r="AP820">
        <v>35.894503290889297</v>
      </c>
      <c r="AQ820">
        <v>40.195937299281759</v>
      </c>
      <c r="AR820">
        <v>6.9184973072608074</v>
      </c>
      <c r="AS820">
        <v>36.867269217450755</v>
      </c>
      <c r="AT820">
        <v>3.8577083551628113</v>
      </c>
      <c r="AU820">
        <v>1.1663197142261379</v>
      </c>
      <c r="AV820"/>
      <c r="AW820"/>
      <c r="FY820" s="212">
        <v>815</v>
      </c>
      <c r="FZ820">
        <v>3.2633949735698984</v>
      </c>
      <c r="GA820">
        <v>6.8370505755111246</v>
      </c>
      <c r="GB820">
        <v>8.5226828074453174</v>
      </c>
      <c r="GC820">
        <v>4.2668977875727014</v>
      </c>
      <c r="GD820">
        <v>1.6514379714827498</v>
      </c>
      <c r="GE820">
        <v>3.8886516015864343</v>
      </c>
      <c r="GF820">
        <v>8.3626700282841959</v>
      </c>
      <c r="GG820">
        <v>7.453763319252098</v>
      </c>
      <c r="GH820">
        <v>2.5853422683366705</v>
      </c>
      <c r="GI820">
        <v>6.3520101891075083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17.707248110087406</v>
      </c>
      <c r="AO821">
        <v>9.1417733055796706</v>
      </c>
      <c r="AP821">
        <v>50.053880344060694</v>
      </c>
      <c r="AQ821">
        <v>46.562323285564915</v>
      </c>
      <c r="AR821">
        <v>8.4261521834842661</v>
      </c>
      <c r="AS821">
        <v>50.684859389614786</v>
      </c>
      <c r="AT821">
        <v>4.3318211715919954</v>
      </c>
      <c r="AU821">
        <v>30.522281353168875</v>
      </c>
      <c r="AV821"/>
      <c r="AW821"/>
      <c r="FY821" s="212">
        <v>816</v>
      </c>
      <c r="FZ821">
        <v>3.4361577423440117</v>
      </c>
      <c r="GA821">
        <v>5.9550907215077737</v>
      </c>
      <c r="GB821">
        <v>5.58746250130325</v>
      </c>
      <c r="GC821">
        <v>2.478821545102539</v>
      </c>
      <c r="GD821">
        <v>0.75441476450166367</v>
      </c>
      <c r="GE821">
        <v>3.0757519304853833</v>
      </c>
      <c r="GF821">
        <v>6.978168241403008</v>
      </c>
      <c r="GG821">
        <v>4.8039661098378703</v>
      </c>
      <c r="GH821">
        <v>1.2937745189812624</v>
      </c>
      <c r="GI821">
        <v>4.2841061841845711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11.356553665642966</v>
      </c>
      <c r="AO822">
        <v>9.7518336216255879</v>
      </c>
      <c r="AP822">
        <v>63.234908781213271</v>
      </c>
      <c r="AQ822">
        <v>45.669935306888583</v>
      </c>
      <c r="AR822">
        <v>9.0035081118381868</v>
      </c>
      <c r="AS822">
        <v>42.320696379057445</v>
      </c>
      <c r="AT822">
        <v>6.8065134860331087</v>
      </c>
      <c r="AU822">
        <v>16.757998520812226</v>
      </c>
      <c r="AV822"/>
      <c r="AW822"/>
      <c r="FY822" s="212">
        <v>817</v>
      </c>
      <c r="FZ822">
        <v>3.356792469455423</v>
      </c>
      <c r="GA822">
        <v>5.7486650909592711</v>
      </c>
      <c r="GB822">
        <v>6.0407393975443053</v>
      </c>
      <c r="GC822">
        <v>2.8424844592749929</v>
      </c>
      <c r="GD822">
        <v>0.80198625899754883</v>
      </c>
      <c r="GE822">
        <v>2.2380370280318829</v>
      </c>
      <c r="GF822">
        <v>4.7427508622846535</v>
      </c>
      <c r="GG822">
        <v>4.0645397512397432</v>
      </c>
      <c r="GH822">
        <v>2.0018524138761875</v>
      </c>
      <c r="GI822">
        <v>3.9681987316022846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20.07271241830065</v>
      </c>
      <c r="AO823">
        <v>7.9711659371291166</v>
      </c>
      <c r="AP823">
        <v>45.508825398347959</v>
      </c>
      <c r="AQ823">
        <v>41.903830323857548</v>
      </c>
      <c r="AR823">
        <v>7.3567469089338609</v>
      </c>
      <c r="AS823">
        <v>42.297660397528141</v>
      </c>
      <c r="AT823">
        <v>4.3019543535778455</v>
      </c>
      <c r="AU823">
        <v>13.096218231377172</v>
      </c>
      <c r="AV823"/>
      <c r="AW823"/>
      <c r="FY823" s="212">
        <v>818</v>
      </c>
      <c r="FZ823">
        <v>6.5170133072681002</v>
      </c>
      <c r="GA823">
        <v>8.0765716697888585</v>
      </c>
      <c r="GB823">
        <v>4.335112224670139</v>
      </c>
      <c r="GC823">
        <v>2.5270262873786429</v>
      </c>
      <c r="GD823">
        <v>1.3593571012303365</v>
      </c>
      <c r="GE823">
        <v>3.9549665065802451</v>
      </c>
      <c r="GF823">
        <v>8.5167583438970382</v>
      </c>
      <c r="GG823">
        <v>6.6511365821775446</v>
      </c>
      <c r="GH823">
        <v>2.8776363971378811</v>
      </c>
      <c r="GI823">
        <v>5.5346313506751557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13.901564591700133</v>
      </c>
      <c r="AO824">
        <v>9.444125079393725</v>
      </c>
      <c r="AP824">
        <v>60.82023962667774</v>
      </c>
      <c r="AQ824">
        <v>54.063504207583343</v>
      </c>
      <c r="AR824">
        <v>8.7749153332628325</v>
      </c>
      <c r="AS824">
        <v>46.057013595310885</v>
      </c>
      <c r="AT824">
        <v>5.2164889274421755</v>
      </c>
      <c r="AU824">
        <v>-0.18330547881803452</v>
      </c>
      <c r="AV824"/>
      <c r="AW824"/>
      <c r="FY824" s="212">
        <v>819</v>
      </c>
      <c r="FZ824">
        <v>3.530853415830677</v>
      </c>
      <c r="GA824">
        <v>8.6395430546309946</v>
      </c>
      <c r="GB824">
        <v>7.5122809189356117</v>
      </c>
      <c r="GC824">
        <v>3.3745889813514283</v>
      </c>
      <c r="GD824">
        <v>1.3062494200458565</v>
      </c>
      <c r="GE824">
        <v>3.2947848428259894</v>
      </c>
      <c r="GF824">
        <v>9.4818325882229502</v>
      </c>
      <c r="GG824">
        <v>8.1931896778502242</v>
      </c>
      <c r="GH824">
        <v>1.9278420149856599</v>
      </c>
      <c r="GI824">
        <v>6.0491436466857387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18.683695566580045</v>
      </c>
      <c r="AO825">
        <v>10.344633057542111</v>
      </c>
      <c r="AP825">
        <v>50.885583602967642</v>
      </c>
      <c r="AQ825">
        <v>50.594757109589565</v>
      </c>
      <c r="AR825">
        <v>9.4617931393135262</v>
      </c>
      <c r="AS825">
        <v>52.152111054246824</v>
      </c>
      <c r="AT825">
        <v>4.7355695619954217</v>
      </c>
      <c r="AU825">
        <v>12.66671369346022</v>
      </c>
      <c r="AV825"/>
      <c r="AW825"/>
      <c r="FY825" s="212">
        <v>820</v>
      </c>
      <c r="FZ825">
        <v>9.4133397119070913E-2</v>
      </c>
      <c r="GA825">
        <v>4.4672334018439006</v>
      </c>
      <c r="GB825">
        <v>6.2316577046544168</v>
      </c>
      <c r="GC825">
        <v>2.9699069576398216</v>
      </c>
      <c r="GD825">
        <v>0.9752206061215033</v>
      </c>
      <c r="GE825">
        <v>3.5458608211055096</v>
      </c>
      <c r="GF825">
        <v>12.322933312180092</v>
      </c>
      <c r="GG825">
        <v>9.336123814896359</v>
      </c>
      <c r="GH825">
        <v>2.5730597165935252</v>
      </c>
      <c r="GI825">
        <v>5.6690062350020085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8.3749999999999982</v>
      </c>
      <c r="AO826">
        <v>6.9460940927143771</v>
      </c>
      <c r="AP826">
        <v>51.861732792436378</v>
      </c>
      <c r="AQ826">
        <v>40.315171004652456</v>
      </c>
      <c r="AR826">
        <v>6.3395213768146643</v>
      </c>
      <c r="AS826">
        <v>31.109627105615921</v>
      </c>
      <c r="AT826" t="e">
        <v>#DIV/0!</v>
      </c>
      <c r="AU826" t="e">
        <v>#DIV/0!</v>
      </c>
      <c r="AV826"/>
      <c r="AW826"/>
      <c r="FY826" s="212">
        <v>821</v>
      </c>
      <c r="FZ826">
        <v>0.26597283920377279</v>
      </c>
      <c r="GA826">
        <v>7.2668804586776217</v>
      </c>
      <c r="GB826">
        <v>9.0175817909791007</v>
      </c>
      <c r="GC826">
        <v>3.243559710977002</v>
      </c>
      <c r="GD826">
        <v>1.4941302672376171</v>
      </c>
      <c r="GE826">
        <v>4.9671701824648196</v>
      </c>
      <c r="GF826">
        <v>9.059100119817435</v>
      </c>
      <c r="GG826">
        <v>6.0139351247367694</v>
      </c>
      <c r="GH826">
        <v>2.2752830624874041</v>
      </c>
      <c r="GI826">
        <v>5.9666931723131551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13.595256024096383</v>
      </c>
      <c r="AO827">
        <v>12.402676648142316</v>
      </c>
      <c r="AP827">
        <v>70.07141616239592</v>
      </c>
      <c r="AQ827">
        <v>60.19379681642463</v>
      </c>
      <c r="AR827">
        <v>11.389575147752904</v>
      </c>
      <c r="AS827">
        <v>50.830297470178174</v>
      </c>
      <c r="AT827">
        <v>7.7101120712922651</v>
      </c>
      <c r="AU827">
        <v>-4.5745391010474084</v>
      </c>
      <c r="AV827"/>
      <c r="AW827"/>
      <c r="FY827" s="212">
        <v>822</v>
      </c>
      <c r="FZ827">
        <v>3.438191821178699</v>
      </c>
      <c r="GA827">
        <v>9.9826934481336504</v>
      </c>
      <c r="GB827">
        <v>6.5981466356188623</v>
      </c>
      <c r="GC827">
        <v>2.2446484521244994</v>
      </c>
      <c r="GD827">
        <v>1.5111250937494218</v>
      </c>
      <c r="GE827">
        <v>4.1448981964318854</v>
      </c>
      <c r="GF827">
        <v>11.810694959550801</v>
      </c>
      <c r="GG827">
        <v>10.390782985173468</v>
      </c>
      <c r="GH827">
        <v>1.9885548075794865</v>
      </c>
      <c r="GI827">
        <v>6.5740884406665607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18.188048763682179</v>
      </c>
      <c r="AO828">
        <v>7.1045742122927731</v>
      </c>
      <c r="AP828">
        <v>42.327455808944343</v>
      </c>
      <c r="AQ828">
        <v>34.290842076485184</v>
      </c>
      <c r="AR828">
        <v>6.5147426838316989</v>
      </c>
      <c r="AS828">
        <v>42.209144359643872</v>
      </c>
      <c r="AT828">
        <v>3.466009963547545</v>
      </c>
      <c r="AU828">
        <v>24.757863744070189</v>
      </c>
      <c r="AV828"/>
      <c r="AW828"/>
      <c r="FY828" s="212">
        <v>823</v>
      </c>
      <c r="FZ828">
        <v>6.5279006992850732</v>
      </c>
      <c r="GA828">
        <v>9.7163436839874091</v>
      </c>
      <c r="GB828">
        <v>6.9315270166973351</v>
      </c>
      <c r="GC828">
        <v>3.2193198542120798</v>
      </c>
      <c r="GD828">
        <v>1.6530031618086696</v>
      </c>
      <c r="GE828">
        <v>4.8971587029386603</v>
      </c>
      <c r="GF828">
        <v>13.997238788425653</v>
      </c>
      <c r="GG828">
        <v>11.842877465301706</v>
      </c>
      <c r="GH828">
        <v>0.9395802789784955</v>
      </c>
      <c r="GI828">
        <v>7.6751457938490351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12.736864123159302</v>
      </c>
      <c r="AO829">
        <v>7.0844143217589082</v>
      </c>
      <c r="AP829">
        <v>44.768586049372267</v>
      </c>
      <c r="AQ829">
        <v>37.247061112587446</v>
      </c>
      <c r="AR829">
        <v>6.5393339077424848</v>
      </c>
      <c r="AS829">
        <v>35.383446345233985</v>
      </c>
      <c r="AT829">
        <v>4.590721650448832</v>
      </c>
      <c r="AU829">
        <v>7.6971128184104494</v>
      </c>
      <c r="AV829"/>
      <c r="AW829"/>
      <c r="FY829" s="212">
        <v>824</v>
      </c>
      <c r="FZ829">
        <v>6.5066743910288087</v>
      </c>
      <c r="GA829">
        <v>10.428243623408092</v>
      </c>
      <c r="GB829">
        <v>5.2713333891391123</v>
      </c>
      <c r="GC829">
        <v>2.2407898488091424</v>
      </c>
      <c r="GD829">
        <v>0.73205581031657929</v>
      </c>
      <c r="GE829">
        <v>4.2749678730000555</v>
      </c>
      <c r="GF829">
        <v>10.159830397167797</v>
      </c>
      <c r="GG829">
        <v>5.8253273726245887</v>
      </c>
      <c r="GH829">
        <v>1.8008933986880717</v>
      </c>
      <c r="GI829">
        <v>5.4915043023367316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18.360025887865184</v>
      </c>
      <c r="AO830">
        <v>11.405309652438078</v>
      </c>
      <c r="AP830">
        <v>57.392243555552184</v>
      </c>
      <c r="AQ830">
        <v>59.281134131223531</v>
      </c>
      <c r="AR830">
        <v>10.459148140707988</v>
      </c>
      <c r="AS830">
        <v>55.312034506797318</v>
      </c>
      <c r="AT830">
        <v>6.2007875413361324</v>
      </c>
      <c r="AU830">
        <v>14.818206073742889</v>
      </c>
      <c r="AV830"/>
      <c r="AW830"/>
      <c r="FY830" s="212">
        <v>825</v>
      </c>
      <c r="FZ830">
        <v>3.5110989100415058</v>
      </c>
      <c r="GA830">
        <v>5.789264632949199</v>
      </c>
      <c r="GB830">
        <v>4.7599701126122573</v>
      </c>
      <c r="GC830">
        <v>2.4595307046626829</v>
      </c>
      <c r="GD830">
        <v>1.4613999140449083</v>
      </c>
      <c r="GE830">
        <v>3.8998673034751716</v>
      </c>
      <c r="GF830">
        <v>6.5358493959296338</v>
      </c>
      <c r="GG830">
        <v>4.721983143101717</v>
      </c>
      <c r="GH830">
        <v>1.8377370627636522</v>
      </c>
      <c r="GI830">
        <v>4.5339787490953434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17.846136998976299</v>
      </c>
      <c r="AO831">
        <v>10.648059437057663</v>
      </c>
      <c r="AP831">
        <v>48.569958081888501</v>
      </c>
      <c r="AQ831">
        <v>53.183901522148695</v>
      </c>
      <c r="AR831">
        <v>9.7487899847655868</v>
      </c>
      <c r="AS831">
        <v>52.320231809966629</v>
      </c>
      <c r="AT831">
        <v>4.9689804951283127</v>
      </c>
      <c r="AU831">
        <v>9.270527563022263</v>
      </c>
      <c r="AV831"/>
      <c r="AW831"/>
      <c r="FY831" s="212">
        <v>826</v>
      </c>
      <c r="FZ831">
        <v>0.25582134842034643</v>
      </c>
      <c r="GA831">
        <v>3.1299377393043968</v>
      </c>
      <c r="GB831">
        <v>6.2410944278977283</v>
      </c>
      <c r="GC831">
        <v>3.0243641316659744</v>
      </c>
      <c r="GD831">
        <v>1.1717313665142342</v>
      </c>
      <c r="GE831">
        <v>4.1875588586767787</v>
      </c>
      <c r="GF831">
        <v>7.4534389101995604</v>
      </c>
      <c r="GG831">
        <v>4.3269071508902801</v>
      </c>
      <c r="GH831">
        <v>2.8574254639706789</v>
      </c>
      <c r="GI831">
        <v>4.5608243521250733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10.952141900937082</v>
      </c>
      <c r="AO832">
        <v>7.1177212144385607</v>
      </c>
      <c r="AP832">
        <v>39.590973289087664</v>
      </c>
      <c r="AQ832">
        <v>38.64771425965133</v>
      </c>
      <c r="AR832">
        <v>6.5431840880040593</v>
      </c>
      <c r="AS832">
        <v>35.252628737742945</v>
      </c>
      <c r="AT832">
        <v>3.8363689716371492</v>
      </c>
      <c r="AU832">
        <v>4.0566575641143618</v>
      </c>
      <c r="AV832"/>
      <c r="AW832"/>
      <c r="FY832" s="212">
        <v>827</v>
      </c>
      <c r="FZ832">
        <v>9.6676311300750335</v>
      </c>
      <c r="GA832">
        <v>13.639048032543089</v>
      </c>
      <c r="GB832">
        <v>6.6382006362758563</v>
      </c>
      <c r="GC832">
        <v>3.9570653326729643</v>
      </c>
      <c r="GD832">
        <v>1.8399192107767548</v>
      </c>
      <c r="GE832">
        <v>5.5570213493224285</v>
      </c>
      <c r="GF832">
        <v>7.3109371640984087</v>
      </c>
      <c r="GG832">
        <v>1.6855527921098397</v>
      </c>
      <c r="GH832">
        <v>2.5082773781011891</v>
      </c>
      <c r="GI832">
        <v>6.3251752637808645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15.308695566580045</v>
      </c>
      <c r="AO833">
        <v>6.5178113770039996</v>
      </c>
      <c r="AP833">
        <v>40.279824367863924</v>
      </c>
      <c r="AQ833">
        <v>35.806046463266291</v>
      </c>
      <c r="AR833">
        <v>5.9947546636199851</v>
      </c>
      <c r="AS833">
        <v>33.725406022077351</v>
      </c>
      <c r="AT833">
        <v>3.0242723458200977</v>
      </c>
      <c r="AU833">
        <v>9.6403985418225329</v>
      </c>
      <c r="AV833"/>
      <c r="AW833"/>
      <c r="FY833" s="212">
        <v>828</v>
      </c>
      <c r="FZ833">
        <v>8.305857964623331E-2</v>
      </c>
      <c r="GA833">
        <v>3.7753462571174259</v>
      </c>
      <c r="GB833">
        <v>9.7171511209331385</v>
      </c>
      <c r="GC833">
        <v>4.3337950237835958</v>
      </c>
      <c r="GD833">
        <v>0.35808273846446204</v>
      </c>
      <c r="GE833">
        <v>0.80606360166626234</v>
      </c>
      <c r="GF833">
        <v>8.0258073568872277</v>
      </c>
      <c r="GG833">
        <v>8.0301347802533538</v>
      </c>
      <c r="GH833">
        <v>1.016966308285725</v>
      </c>
      <c r="GI833">
        <v>5.1244611047060307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19.48046844239704</v>
      </c>
      <c r="AO834">
        <v>9.3530879591943368</v>
      </c>
      <c r="AP834">
        <v>77.274728393976858</v>
      </c>
      <c r="AQ834">
        <v>50.350209770803943</v>
      </c>
      <c r="AR834">
        <v>8.6638225041192403</v>
      </c>
      <c r="AS834">
        <v>47.903742342542735</v>
      </c>
      <c r="AT834">
        <v>4.515870142694669</v>
      </c>
      <c r="AU834">
        <v>30.835760794847562</v>
      </c>
      <c r="AV834"/>
      <c r="AW834"/>
      <c r="FY834" s="212">
        <v>829</v>
      </c>
      <c r="FZ834">
        <v>6.6478719353073661</v>
      </c>
      <c r="GA834">
        <v>9.4382548295051016</v>
      </c>
      <c r="GB834">
        <v>6.4402683900080708</v>
      </c>
      <c r="GC834">
        <v>3.1195035101226614</v>
      </c>
      <c r="GD834">
        <v>0.63922693675655906</v>
      </c>
      <c r="GE834">
        <v>2.6358367549068826</v>
      </c>
      <c r="GF834">
        <v>10.856606151732221</v>
      </c>
      <c r="GG834">
        <v>9.7446837786517513</v>
      </c>
      <c r="GH834">
        <v>3.1044456496714257</v>
      </c>
      <c r="GI834">
        <v>6.1614801210540024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13.371527777777777</v>
      </c>
      <c r="AO835">
        <v>10.204641329870382</v>
      </c>
      <c r="AP835">
        <v>50.658314922529371</v>
      </c>
      <c r="AQ835">
        <v>53.310308561365133</v>
      </c>
      <c r="AR835">
        <v>9.3420054578507656</v>
      </c>
      <c r="AS835">
        <v>46.871093321608058</v>
      </c>
      <c r="AT835">
        <v>5.8191760875590086</v>
      </c>
      <c r="AU835">
        <v>10.580642745641432</v>
      </c>
      <c r="AV835"/>
      <c r="AW835"/>
      <c r="FY835" s="212">
        <v>830</v>
      </c>
      <c r="FZ835">
        <v>9.708237093208739</v>
      </c>
      <c r="GA835">
        <v>14.748612207184165</v>
      </c>
      <c r="GB835">
        <v>6.1120890236751908</v>
      </c>
      <c r="GC835">
        <v>2.4020760853301661</v>
      </c>
      <c r="GD835">
        <v>1.0751292662555758</v>
      </c>
      <c r="GE835">
        <v>5.7273368085563909</v>
      </c>
      <c r="GF835">
        <v>9.665807013215602</v>
      </c>
      <c r="GG835">
        <v>3.9975159377841951</v>
      </c>
      <c r="GH835">
        <v>2.0137351090988691</v>
      </c>
      <c r="GI835">
        <v>6.1001138167345346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11.666666666666664</v>
      </c>
      <c r="AO836">
        <v>9.351462599418209</v>
      </c>
      <c r="AP836">
        <v>49.820303263956681</v>
      </c>
      <c r="AQ836">
        <v>48.185135967156214</v>
      </c>
      <c r="AR836">
        <v>8.6313184739214854</v>
      </c>
      <c r="AS836">
        <v>48.050535690918728</v>
      </c>
      <c r="AT836">
        <v>5.9503912795842169</v>
      </c>
      <c r="AU836">
        <v>15.346027612642946</v>
      </c>
      <c r="AV836"/>
      <c r="AW836"/>
      <c r="FY836" s="212">
        <v>831</v>
      </c>
      <c r="FZ836">
        <v>0.163347179224233</v>
      </c>
      <c r="GA836">
        <v>4.5104264145746216</v>
      </c>
      <c r="GB836">
        <v>7.5852349863558137</v>
      </c>
      <c r="GC836">
        <v>3.4618511098182201</v>
      </c>
      <c r="GD836">
        <v>1.4721448746365002</v>
      </c>
      <c r="GE836">
        <v>2.4112130545055841</v>
      </c>
      <c r="GF836">
        <v>2.7137582480570956</v>
      </c>
      <c r="GG836">
        <v>3.6745270087329107</v>
      </c>
      <c r="GH836">
        <v>2.792321986406594</v>
      </c>
      <c r="GI836">
        <v>4.0389582181070631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13.309780789825973</v>
      </c>
      <c r="AO837">
        <v>9.7399397365261002</v>
      </c>
      <c r="AP837">
        <v>49.620007433184895</v>
      </c>
      <c r="AQ837">
        <v>49.5703067288947</v>
      </c>
      <c r="AR837">
        <v>8.9625843631048845</v>
      </c>
      <c r="AS837">
        <v>54.299469729015051</v>
      </c>
      <c r="AT837">
        <v>6.0557894706253732</v>
      </c>
      <c r="AU837">
        <v>9.4001940860643263</v>
      </c>
      <c r="AV837"/>
      <c r="AW837"/>
      <c r="FY837" s="212">
        <v>832</v>
      </c>
      <c r="FZ837">
        <v>9.7804082808379995</v>
      </c>
      <c r="GA837">
        <v>15.378907534472567</v>
      </c>
      <c r="GB837">
        <v>8.0957462371371776</v>
      </c>
      <c r="GC837">
        <v>3.6941001399854989</v>
      </c>
      <c r="GD837">
        <v>1.153456308517554</v>
      </c>
      <c r="GE837">
        <v>4.1588029326391549</v>
      </c>
      <c r="GF837">
        <v>7.704199255680126</v>
      </c>
      <c r="GG837">
        <v>3.3289478920179549</v>
      </c>
      <c r="GH837">
        <v>1.0559168672495138</v>
      </c>
      <c r="GI837">
        <v>6.1798128304737308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13.788947456492636</v>
      </c>
      <c r="AO838">
        <v>11.094470266967983</v>
      </c>
      <c r="AP838">
        <v>64.900407513472544</v>
      </c>
      <c r="AQ838">
        <v>58.683824840207322</v>
      </c>
      <c r="AR838">
        <v>10.226844747889702</v>
      </c>
      <c r="AS838">
        <v>52.273591916553734</v>
      </c>
      <c r="AT838">
        <v>6.8574163216982278</v>
      </c>
      <c r="AU838">
        <v>12.130770971623885</v>
      </c>
      <c r="AV838"/>
      <c r="AW838"/>
      <c r="FY838" s="212">
        <v>833</v>
      </c>
      <c r="FZ838">
        <v>3.4778744576229927</v>
      </c>
      <c r="GA838">
        <v>7.6181632876846104</v>
      </c>
      <c r="GB838">
        <v>7.218599984740516</v>
      </c>
      <c r="GC838">
        <v>3.6669673111087664</v>
      </c>
      <c r="GD838">
        <v>1.6212519486431729</v>
      </c>
      <c r="GE838">
        <v>3.9273656052057193</v>
      </c>
      <c r="GF838">
        <v>8.3408022739254815</v>
      </c>
      <c r="GG838">
        <v>5.1493367595140551</v>
      </c>
      <c r="GH838">
        <v>0.82687686543435368</v>
      </c>
      <c r="GI838">
        <v>5.6534125930798655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19.205281911961571</v>
      </c>
      <c r="AO839">
        <v>13.294184803042764</v>
      </c>
      <c r="AP839">
        <v>91.143196644851798</v>
      </c>
      <c r="AQ839">
        <v>67.400095445484112</v>
      </c>
      <c r="AR839">
        <v>12.176245762519232</v>
      </c>
      <c r="AS839">
        <v>63.979884354847151</v>
      </c>
      <c r="AT839">
        <v>7.1721464360039784</v>
      </c>
      <c r="AU839">
        <v>12.754913822488119</v>
      </c>
      <c r="AV839"/>
      <c r="AW839"/>
      <c r="FY839" s="212">
        <v>834</v>
      </c>
      <c r="FZ839">
        <v>0.33814402683303352</v>
      </c>
      <c r="GA839">
        <v>2.5699421299672505</v>
      </c>
      <c r="GB839">
        <v>3.5556559243372785</v>
      </c>
      <c r="GC839">
        <v>2.3258760831594127</v>
      </c>
      <c r="GD839">
        <v>2.1386447948920977</v>
      </c>
      <c r="GE839">
        <v>4.0241884696883732</v>
      </c>
      <c r="GF839">
        <v>10.369639111769018</v>
      </c>
      <c r="GG839">
        <v>9.5447429055965323</v>
      </c>
      <c r="GH839">
        <v>1.7047677435842556</v>
      </c>
      <c r="GI839">
        <v>5.3751385439064592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10.899305555555554</v>
      </c>
      <c r="AO840">
        <v>9.3996062579257362</v>
      </c>
      <c r="AP840">
        <v>62.884885615449939</v>
      </c>
      <c r="AQ840">
        <v>52.731620406518978</v>
      </c>
      <c r="AR840">
        <v>8.5945772162635432</v>
      </c>
      <c r="AS840">
        <v>46.611022845599507</v>
      </c>
      <c r="AT840">
        <v>5.260340841474255</v>
      </c>
      <c r="AU840">
        <v>18.652850986006715</v>
      </c>
      <c r="AV840"/>
      <c r="AW840"/>
      <c r="FY840" s="212">
        <v>835</v>
      </c>
      <c r="FZ840">
        <v>6.4972588014789281</v>
      </c>
      <c r="GA840">
        <v>12.273388912456371</v>
      </c>
      <c r="GB840">
        <v>6.8244331368952222</v>
      </c>
      <c r="GC840">
        <v>2.5444230046831922</v>
      </c>
      <c r="GD840">
        <v>2.0963696507798608</v>
      </c>
      <c r="GE840">
        <v>4.4174498335217978</v>
      </c>
      <c r="GF840">
        <v>4.1475252229420327</v>
      </c>
      <c r="GG840">
        <v>4.0845621542249528</v>
      </c>
      <c r="GH840">
        <v>2.5309891398555902</v>
      </c>
      <c r="GI840">
        <v>5.564077946372648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12.892361111111109</v>
      </c>
      <c r="AO841">
        <v>7.5127211180430944</v>
      </c>
      <c r="AP841">
        <v>41.625876705568587</v>
      </c>
      <c r="AQ841">
        <v>39.510679928676069</v>
      </c>
      <c r="AR841">
        <v>6.8930204115901024</v>
      </c>
      <c r="AS841">
        <v>36.840957645794013</v>
      </c>
      <c r="AT841">
        <v>4.1350051912131258</v>
      </c>
      <c r="AU841">
        <v>9.3479565532508069</v>
      </c>
      <c r="AV841"/>
      <c r="AW841"/>
      <c r="FY841" s="212">
        <v>836</v>
      </c>
      <c r="FZ841">
        <v>3.253243482786472</v>
      </c>
      <c r="GA841">
        <v>6.3824722831810048</v>
      </c>
      <c r="GB841">
        <v>3.1702021083576852</v>
      </c>
      <c r="GC841">
        <v>1.264923225975032</v>
      </c>
      <c r="GD841">
        <v>1.1053089422265328</v>
      </c>
      <c r="GE841">
        <v>3.5617740760240491</v>
      </c>
      <c r="GF841">
        <v>7.6440517498249942</v>
      </c>
      <c r="GG841">
        <v>5.790137349320001</v>
      </c>
      <c r="GH841">
        <v>2.4290419982159253</v>
      </c>
      <c r="GI841">
        <v>4.1540845903225065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14.47808144342074</v>
      </c>
      <c r="AO842">
        <v>7.2366078312419759</v>
      </c>
      <c r="AP842">
        <v>39.285840628869707</v>
      </c>
      <c r="AQ842">
        <v>37.209103749665047</v>
      </c>
      <c r="AR842">
        <v>6.7399226125300125</v>
      </c>
      <c r="AS842">
        <v>37.858034526537843</v>
      </c>
      <c r="AT842">
        <v>3.9429316258669656</v>
      </c>
      <c r="AU842">
        <v>17.422614002042103</v>
      </c>
      <c r="AV842"/>
      <c r="AW842"/>
      <c r="FY842" s="212">
        <v>837</v>
      </c>
      <c r="FZ842">
        <v>3.4787977843124045</v>
      </c>
      <c r="GA842">
        <v>6.7977627995125571</v>
      </c>
      <c r="GB842">
        <v>6.2724527967294978</v>
      </c>
      <c r="GC842">
        <v>2.9861881759717828</v>
      </c>
      <c r="GD842">
        <v>1.1664484583965096</v>
      </c>
      <c r="GE842">
        <v>4.1369295447366525</v>
      </c>
      <c r="GF842">
        <v>9.2461721722164079</v>
      </c>
      <c r="GG842">
        <v>6.7779811731803363</v>
      </c>
      <c r="GH842">
        <v>2.6656289827515618</v>
      </c>
      <c r="GI842">
        <v>5.5440796491552167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18.690640011024488</v>
      </c>
      <c r="AO843">
        <v>10.583526878629419</v>
      </c>
      <c r="AP843">
        <v>89.922443195712205</v>
      </c>
      <c r="AQ843">
        <v>59.128828289756427</v>
      </c>
      <c r="AR843">
        <v>9.7340860922770176</v>
      </c>
      <c r="AS843">
        <v>51.836040191447466</v>
      </c>
      <c r="AT843">
        <v>4.7924499941099166</v>
      </c>
      <c r="AU843">
        <v>24.927482799156365</v>
      </c>
      <c r="AV843"/>
      <c r="AW843"/>
      <c r="FY843" s="212">
        <v>838</v>
      </c>
      <c r="FZ843">
        <v>6.3745175853884017</v>
      </c>
      <c r="GA843">
        <v>9.0801377805758605</v>
      </c>
      <c r="GB843">
        <v>4.6102714445855977</v>
      </c>
      <c r="GC843">
        <v>2.4357754709851549</v>
      </c>
      <c r="GD843">
        <v>1.8002092605217408</v>
      </c>
      <c r="GE843">
        <v>5.8313598051991926</v>
      </c>
      <c r="GF843">
        <v>10.905004628692627</v>
      </c>
      <c r="GG843">
        <v>7.3756037874950664</v>
      </c>
      <c r="GH843">
        <v>2.6629858419540735</v>
      </c>
      <c r="GI843">
        <v>6.4287745265628464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10.439759036144576</v>
      </c>
      <c r="AO844">
        <v>8.6031251181364556</v>
      </c>
      <c r="AP844">
        <v>43.36064268691301</v>
      </c>
      <c r="AQ844">
        <v>41.270866871743451</v>
      </c>
      <c r="AR844">
        <v>7.9154464177350077</v>
      </c>
      <c r="AS844">
        <v>45.648783750109907</v>
      </c>
      <c r="AT844">
        <v>5.6961626259043738</v>
      </c>
      <c r="AU844">
        <v>-9.9071563972594543</v>
      </c>
      <c r="AV844"/>
      <c r="AW844"/>
      <c r="FY844" s="212">
        <v>839</v>
      </c>
      <c r="FZ844">
        <v>9.7508771351771326</v>
      </c>
      <c r="GA844">
        <v>13.37037851560876</v>
      </c>
      <c r="GB844">
        <v>5.5349644850416597</v>
      </c>
      <c r="GC844">
        <v>3.1031048542383064</v>
      </c>
      <c r="GD844">
        <v>1.0450575568076439</v>
      </c>
      <c r="GE844">
        <v>1.9943262914926825</v>
      </c>
      <c r="GF844">
        <v>9.2840087638926789</v>
      </c>
      <c r="GG844">
        <v>8.3716709305531971</v>
      </c>
      <c r="GH844">
        <v>1.5712852674521289</v>
      </c>
      <c r="GI844">
        <v>6.0857213935650485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16.846136998976299</v>
      </c>
      <c r="AO845">
        <v>10.424006047001056</v>
      </c>
      <c r="AP845">
        <v>73.340114331668758</v>
      </c>
      <c r="AQ845">
        <v>58.788178057716053</v>
      </c>
      <c r="AR845">
        <v>9.6056720691659585</v>
      </c>
      <c r="AS845">
        <v>50.811913843407034</v>
      </c>
      <c r="AT845">
        <v>5.4800138910539831</v>
      </c>
      <c r="AU845">
        <v>9.9896837070440903</v>
      </c>
      <c r="AV845"/>
      <c r="AW845"/>
      <c r="FY845" s="212">
        <v>840</v>
      </c>
      <c r="FZ845">
        <v>9.6261018402519163</v>
      </c>
      <c r="GA845">
        <v>11.218163306171052</v>
      </c>
      <c r="GB845">
        <v>1.8844470348460107</v>
      </c>
      <c r="GC845">
        <v>1.1365985946059918</v>
      </c>
      <c r="GD845">
        <v>1.1041793336244681</v>
      </c>
      <c r="GE845">
        <v>4.8419905665563592</v>
      </c>
      <c r="GF845">
        <v>8.3411148878255421</v>
      </c>
      <c r="GG845">
        <v>3.3540224803105509</v>
      </c>
      <c r="GH845">
        <v>1.5996218667217295</v>
      </c>
      <c r="GI845">
        <v>4.7834184988284871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18.735025887865184</v>
      </c>
      <c r="AO846">
        <v>10.249908472215807</v>
      </c>
      <c r="AP846">
        <v>79.272788739342886</v>
      </c>
      <c r="AQ846">
        <v>61.550652361043419</v>
      </c>
      <c r="AR846">
        <v>9.4015443605473621</v>
      </c>
      <c r="AS846">
        <v>51.516721048410048</v>
      </c>
      <c r="AT846">
        <v>4.5079324453219645</v>
      </c>
      <c r="AU846">
        <v>25.40181383477973</v>
      </c>
      <c r="AV846"/>
      <c r="AW846"/>
      <c r="FY846" s="212">
        <v>841</v>
      </c>
      <c r="FZ846">
        <v>0.33722070014362227</v>
      </c>
      <c r="GA846">
        <v>3.9605991521217598</v>
      </c>
      <c r="GB846">
        <v>8.7927170953878147</v>
      </c>
      <c r="GC846">
        <v>3.7014517918927812</v>
      </c>
      <c r="GD846">
        <v>0.96595996094857406</v>
      </c>
      <c r="GE846">
        <v>3.2128292094095494</v>
      </c>
      <c r="GF846">
        <v>10.583379115688773</v>
      </c>
      <c r="GG846">
        <v>10.556197200410033</v>
      </c>
      <c r="GH846">
        <v>3.4043291986657556</v>
      </c>
      <c r="GI846">
        <v>6.3091494639410275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19.077690664619261</v>
      </c>
      <c r="AO847">
        <v>6.385652032994118</v>
      </c>
      <c r="AP847">
        <v>34.838648543263567</v>
      </c>
      <c r="AQ847">
        <v>32.823783080418643</v>
      </c>
      <c r="AR847">
        <v>5.8893224171079215</v>
      </c>
      <c r="AS847">
        <v>39.070612408552833</v>
      </c>
      <c r="AT847">
        <v>3.0982869541457982</v>
      </c>
      <c r="AU847">
        <v>3.1056647348302677</v>
      </c>
      <c r="AV847"/>
      <c r="AW847"/>
      <c r="FY847" s="212">
        <v>842</v>
      </c>
      <c r="FZ847">
        <v>6.5563210928006646</v>
      </c>
      <c r="GA847">
        <v>10.379577053906278</v>
      </c>
      <c r="GB847">
        <v>9.5776679803979121</v>
      </c>
      <c r="GC847">
        <v>4.6229998280244331</v>
      </c>
      <c r="GD847">
        <v>1.5458340814879121</v>
      </c>
      <c r="GE847">
        <v>4.5566367852815066</v>
      </c>
      <c r="GF847">
        <v>12.087568098276856</v>
      </c>
      <c r="GG847">
        <v>11.046751195298794</v>
      </c>
      <c r="GH847">
        <v>3.4560985552819687</v>
      </c>
      <c r="GI847">
        <v>8.1554252086392793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16.023092369477915</v>
      </c>
      <c r="AO848">
        <v>10.476957979215332</v>
      </c>
      <c r="AP848">
        <v>66.49873076221769</v>
      </c>
      <c r="AQ848">
        <v>60.530298279011276</v>
      </c>
      <c r="AR848">
        <v>9.5666295737917633</v>
      </c>
      <c r="AS848">
        <v>48.051092892925915</v>
      </c>
      <c r="AT848">
        <v>4.9638272231236966</v>
      </c>
      <c r="AU848">
        <v>4.8331202395908681</v>
      </c>
      <c r="AV848"/>
      <c r="AW848"/>
      <c r="FY848" s="212">
        <v>843</v>
      </c>
      <c r="FZ848">
        <v>0.27815840882188658</v>
      </c>
      <c r="GA848">
        <v>2.4933528048021429</v>
      </c>
      <c r="GB848">
        <v>6.5940088068024716</v>
      </c>
      <c r="GC848">
        <v>3.947340088769284</v>
      </c>
      <c r="GD848">
        <v>1.2334308295786245</v>
      </c>
      <c r="GE848">
        <v>1.4566512505642155</v>
      </c>
      <c r="GF848">
        <v>2.8036097953120573</v>
      </c>
      <c r="GG848">
        <v>2.1787996546663004</v>
      </c>
      <c r="GH848">
        <v>1.6416924434596649</v>
      </c>
      <c r="GI848">
        <v>3.3310755350346399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15.056308567603745</v>
      </c>
      <c r="AO849">
        <v>9.4357341599755795</v>
      </c>
      <c r="AP849">
        <v>49.311857473517307</v>
      </c>
      <c r="AQ849">
        <v>47.500651086959529</v>
      </c>
      <c r="AR849">
        <v>8.667766111180141</v>
      </c>
      <c r="AS849">
        <v>45.910423136466065</v>
      </c>
      <c r="AT849">
        <v>5.237026708055363</v>
      </c>
      <c r="AU849">
        <v>10.272163289667244</v>
      </c>
      <c r="AV849"/>
      <c r="AW849"/>
      <c r="FY849" s="212">
        <v>844</v>
      </c>
      <c r="FZ849">
        <v>0.29642731155405189</v>
      </c>
      <c r="GA849">
        <v>5.8367248919230992</v>
      </c>
      <c r="GB849">
        <v>4.5808871353953187</v>
      </c>
      <c r="GC849">
        <v>1.2795200511956615</v>
      </c>
      <c r="GD849">
        <v>0.57901822320586238</v>
      </c>
      <c r="GE849">
        <v>1.2195890093027351</v>
      </c>
      <c r="GF849">
        <v>4.8399713674286637</v>
      </c>
      <c r="GG849">
        <v>6.058577217567418</v>
      </c>
      <c r="GH849">
        <v>3.411821208918179</v>
      </c>
      <c r="GI849">
        <v>3.3271812522700017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17.566520985904397</v>
      </c>
      <c r="AO850">
        <v>9.0026749264852608</v>
      </c>
      <c r="AP850">
        <v>54.541276225868764</v>
      </c>
      <c r="AQ850">
        <v>41.946739733733708</v>
      </c>
      <c r="AR850">
        <v>8.3032021449340085</v>
      </c>
      <c r="AS850">
        <v>42.326738882825019</v>
      </c>
      <c r="AT850">
        <v>5.2540659551174622</v>
      </c>
      <c r="AU850">
        <v>20.645586504231343</v>
      </c>
      <c r="AV850"/>
      <c r="AW850"/>
      <c r="FY850" s="212">
        <v>845</v>
      </c>
      <c r="FZ850">
        <v>6.7301946137200535</v>
      </c>
      <c r="GA850">
        <v>9.1759004564391979</v>
      </c>
      <c r="GB850">
        <v>10.340879279885922</v>
      </c>
      <c r="GC850">
        <v>5.6099495974636504</v>
      </c>
      <c r="GD850">
        <v>1.0795499682220036</v>
      </c>
      <c r="GE850">
        <v>1.6263060721049802</v>
      </c>
      <c r="GF850">
        <v>7.0668404637145654</v>
      </c>
      <c r="GG850">
        <v>8.1731672748650173</v>
      </c>
      <c r="GH850">
        <v>2.3934690013364568</v>
      </c>
      <c r="GI850">
        <v>6.5266847953387517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14.893114123159304</v>
      </c>
      <c r="AO851">
        <v>9.2283026809962063</v>
      </c>
      <c r="AP851">
        <v>49.233037905380684</v>
      </c>
      <c r="AQ851">
        <v>50.980477803210604</v>
      </c>
      <c r="AR851">
        <v>8.5250475835408022</v>
      </c>
      <c r="AS851">
        <v>45.51591470818925</v>
      </c>
      <c r="AT851">
        <v>4.6051704905992699</v>
      </c>
      <c r="AU851">
        <v>6.8047181773073202</v>
      </c>
      <c r="AV851"/>
      <c r="AW851"/>
      <c r="FY851" s="212">
        <v>846</v>
      </c>
      <c r="FZ851">
        <v>3.2735464643533247</v>
      </c>
      <c r="GA851">
        <v>10.061077344088305</v>
      </c>
      <c r="GB851">
        <v>10.202002449891568</v>
      </c>
      <c r="GC851">
        <v>4.2569814937765589</v>
      </c>
      <c r="GD851">
        <v>0.68891378272477888</v>
      </c>
      <c r="GE851">
        <v>3.3659673882511045</v>
      </c>
      <c r="GF851">
        <v>7.9288994656432763</v>
      </c>
      <c r="GG851">
        <v>3.9914434691873155</v>
      </c>
      <c r="GH851">
        <v>1.9517111435039061</v>
      </c>
      <c r="GI851">
        <v>5.7827634098229552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16.577690664619261</v>
      </c>
      <c r="AO852">
        <v>6.8541420220310245</v>
      </c>
      <c r="AP852">
        <v>46.311985534180103</v>
      </c>
      <c r="AQ852">
        <v>38.755239806234194</v>
      </c>
      <c r="AR852">
        <v>6.3398782325644047</v>
      </c>
      <c r="AS852">
        <v>37.607067151376619</v>
      </c>
      <c r="AT852">
        <v>3.4560922094007354</v>
      </c>
      <c r="AU852">
        <v>30.614230260785686</v>
      </c>
      <c r="AV852"/>
      <c r="AW852"/>
      <c r="FY852" s="212">
        <v>847</v>
      </c>
      <c r="FZ852">
        <v>0.25877875394444505</v>
      </c>
      <c r="GA852">
        <v>4.6330888385007523</v>
      </c>
      <c r="GB852">
        <v>5.3875535236895589</v>
      </c>
      <c r="GC852">
        <v>2.1299024206017196</v>
      </c>
      <c r="GD852">
        <v>2.1076098322668773</v>
      </c>
      <c r="GE852">
        <v>4.0045786624117312</v>
      </c>
      <c r="GF852">
        <v>5.0537640290764925</v>
      </c>
      <c r="GG852">
        <v>5.2113083876622159</v>
      </c>
      <c r="GH852">
        <v>1.8068571974342091</v>
      </c>
      <c r="GI852">
        <v>4.5366363113932016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15.275058567603747</v>
      </c>
      <c r="AO853">
        <v>9.2434944775188033</v>
      </c>
      <c r="AP853">
        <v>47.292073370600207</v>
      </c>
      <c r="AQ853">
        <v>49.072441536962927</v>
      </c>
      <c r="AR853">
        <v>8.4765669041342235</v>
      </c>
      <c r="AS853">
        <v>45.367361303585341</v>
      </c>
      <c r="AT853">
        <v>4.8921363981103729</v>
      </c>
      <c r="AU853">
        <v>5.056304678150302</v>
      </c>
      <c r="AV853"/>
      <c r="AW853"/>
      <c r="FY853" s="212">
        <v>848</v>
      </c>
      <c r="FZ853">
        <v>3.2838853805926158</v>
      </c>
      <c r="GA853">
        <v>7.4821689049755937</v>
      </c>
      <c r="GB853">
        <v>7.1928145844684321</v>
      </c>
      <c r="GC853">
        <v>3.3844097236508772</v>
      </c>
      <c r="GD853">
        <v>1.0474482510381211</v>
      </c>
      <c r="GE853">
        <v>3.8570912170784748</v>
      </c>
      <c r="GF853">
        <v>10.007106806946702</v>
      </c>
      <c r="GG853">
        <v>6.4798583653828761</v>
      </c>
      <c r="GH853">
        <v>1.5240851879925343</v>
      </c>
      <c r="GI853">
        <v>5.7836121841966914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14.330614123159304</v>
      </c>
      <c r="AO854">
        <v>10.900921931239262</v>
      </c>
      <c r="AP854">
        <v>64.884775769779935</v>
      </c>
      <c r="AQ854">
        <v>57.504640131960564</v>
      </c>
      <c r="AR854">
        <v>10.043305569146746</v>
      </c>
      <c r="AS854">
        <v>49.42226771089755</v>
      </c>
      <c r="AT854">
        <v>5.7389974915407622</v>
      </c>
      <c r="AU854">
        <v>9.7561213913588851</v>
      </c>
      <c r="AV854"/>
      <c r="AW854"/>
      <c r="FY854" s="212">
        <v>849</v>
      </c>
      <c r="FZ854">
        <v>3.3964751058997171</v>
      </c>
      <c r="GA854">
        <v>7.0101335956838833</v>
      </c>
      <c r="GB854">
        <v>8.8473942762888278</v>
      </c>
      <c r="GC854">
        <v>3.9348904188253306</v>
      </c>
      <c r="GD854">
        <v>0.57702839464682931</v>
      </c>
      <c r="GE854">
        <v>2.7296900513390279</v>
      </c>
      <c r="GF854">
        <v>9.4489267396288312</v>
      </c>
      <c r="GG854">
        <v>8.027983929652434</v>
      </c>
      <c r="GH854">
        <v>2.1215241267588829</v>
      </c>
      <c r="GI854">
        <v>5.8463237172707796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22.502054787778558</v>
      </c>
      <c r="AO855">
        <v>10.520707439678079</v>
      </c>
      <c r="AP855">
        <v>83.276815471165719</v>
      </c>
      <c r="AQ855">
        <v>60.111395193829239</v>
      </c>
      <c r="AR855">
        <v>9.6548998916015147</v>
      </c>
      <c r="AS855">
        <v>47.812751945712115</v>
      </c>
      <c r="AT855">
        <v>4.8291134684339321</v>
      </c>
      <c r="AU855">
        <v>15.625228394616423</v>
      </c>
      <c r="AV855"/>
      <c r="AW855"/>
      <c r="FY855" s="212">
        <v>850</v>
      </c>
      <c r="FZ855">
        <v>3.232017174530208</v>
      </c>
      <c r="GA855">
        <v>9.4178567688636434</v>
      </c>
      <c r="GB855">
        <v>6.6881001808340432</v>
      </c>
      <c r="GC855">
        <v>2.2615050868059212</v>
      </c>
      <c r="GD855">
        <v>0.59064887393711218</v>
      </c>
      <c r="GE855">
        <v>2.7071908332532053</v>
      </c>
      <c r="GF855">
        <v>11.085290308741978</v>
      </c>
      <c r="GG855">
        <v>9.0341665077225599</v>
      </c>
      <c r="GH855">
        <v>2.0290971728111353</v>
      </c>
      <c r="GI855">
        <v>5.6526913703984896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13.468417788802265</v>
      </c>
      <c r="AO856">
        <v>8.1905907980320052</v>
      </c>
      <c r="AP856">
        <v>82.442463299289372</v>
      </c>
      <c r="AQ856">
        <v>47.889658409742111</v>
      </c>
      <c r="AR856">
        <v>7.6052903653256898</v>
      </c>
      <c r="AS856">
        <v>45.246638622624467</v>
      </c>
      <c r="AT856">
        <v>3.4846112947443655</v>
      </c>
      <c r="AU856">
        <v>24.732966730877109</v>
      </c>
      <c r="AV856"/>
      <c r="AW856"/>
      <c r="FY856" s="212">
        <v>851</v>
      </c>
      <c r="FZ856">
        <v>6.6183407896464992</v>
      </c>
      <c r="GA856">
        <v>9.053702256862044</v>
      </c>
      <c r="GB856">
        <v>6.1810704978427662</v>
      </c>
      <c r="GC856">
        <v>3.6231840177998405</v>
      </c>
      <c r="GD856">
        <v>0.99781248717097681</v>
      </c>
      <c r="GE856">
        <v>1.7729897309926743</v>
      </c>
      <c r="GF856">
        <v>8.3593124447058855</v>
      </c>
      <c r="GG856">
        <v>8.4314917081004435</v>
      </c>
      <c r="GH856">
        <v>3.1269423045882956</v>
      </c>
      <c r="GI856">
        <v>5.7502249889192019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15.161356209150323</v>
      </c>
      <c r="AO857">
        <v>10.504418368247357</v>
      </c>
      <c r="AP857">
        <v>52.444795359819153</v>
      </c>
      <c r="AQ857">
        <v>51.823832888609687</v>
      </c>
      <c r="AR857">
        <v>9.6994498860280984</v>
      </c>
      <c r="AS857">
        <v>49.637636693234931</v>
      </c>
      <c r="AT857">
        <v>6.4322863908933847</v>
      </c>
      <c r="AU857">
        <v>18.202064719743905</v>
      </c>
      <c r="AV857"/>
      <c r="AW857"/>
      <c r="FY857" s="212">
        <v>852</v>
      </c>
      <c r="FZ857">
        <v>6.6580234260907929</v>
      </c>
      <c r="GA857">
        <v>10.659377247987315</v>
      </c>
      <c r="GB857">
        <v>7.1102667299142936</v>
      </c>
      <c r="GC857">
        <v>3.3896555130780546</v>
      </c>
      <c r="GD857">
        <v>1.0898432470719901</v>
      </c>
      <c r="GE857">
        <v>2.4786204742262994</v>
      </c>
      <c r="GF857">
        <v>8.2620140513698637</v>
      </c>
      <c r="GG857">
        <v>7.7757319650138905</v>
      </c>
      <c r="GH857">
        <v>1.941354728119892</v>
      </c>
      <c r="GI857">
        <v>5.8834060813575961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19.373914776754077</v>
      </c>
      <c r="AO858">
        <v>13.919751126084037</v>
      </c>
      <c r="AP858">
        <v>91.57092152043883</v>
      </c>
      <c r="AQ858">
        <v>71.984879879395606</v>
      </c>
      <c r="AR858">
        <v>12.746099080344106</v>
      </c>
      <c r="AS858">
        <v>64.455615107102659</v>
      </c>
      <c r="AT858">
        <v>7.5897906354012781</v>
      </c>
      <c r="AU858">
        <v>14.666109752572787</v>
      </c>
      <c r="AV858"/>
      <c r="AW858"/>
      <c r="FY858" s="212">
        <v>853</v>
      </c>
      <c r="FZ858">
        <v>0.20506389450321463</v>
      </c>
      <c r="GA858">
        <v>2.2938342609155682</v>
      </c>
      <c r="GB858">
        <v>8.2878273350216247</v>
      </c>
      <c r="GC858">
        <v>4.2879786587940396</v>
      </c>
      <c r="GD858">
        <v>1.7762195227261204</v>
      </c>
      <c r="GE858">
        <v>4.2808204506929544</v>
      </c>
      <c r="GF858">
        <v>5.8701490911558007</v>
      </c>
      <c r="GG858">
        <v>4.9491494550504509</v>
      </c>
      <c r="GH858">
        <v>2.6768196941600539</v>
      </c>
      <c r="GI858">
        <v>5.2588485850944107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11.028530789825968</v>
      </c>
      <c r="AO859">
        <v>5.115236157527252</v>
      </c>
      <c r="AP859">
        <v>21.075604530504059</v>
      </c>
      <c r="AQ859">
        <v>25.958119617811285</v>
      </c>
      <c r="AR859">
        <v>4.748138491766932</v>
      </c>
      <c r="AS859">
        <v>28.765702812130289</v>
      </c>
      <c r="AT859">
        <v>2.895319333965261</v>
      </c>
      <c r="AU859">
        <v>5.0246115546264525</v>
      </c>
      <c r="AV859"/>
      <c r="AW859"/>
      <c r="FY859" s="212">
        <v>854</v>
      </c>
      <c r="FZ859">
        <v>9.2286743740248478E-2</v>
      </c>
      <c r="GA859">
        <v>4.5156465155981866</v>
      </c>
      <c r="GB859">
        <v>8.7992449127848431</v>
      </c>
      <c r="GC859">
        <v>3.7606381511346734</v>
      </c>
      <c r="GD859">
        <v>1.5284042684230585</v>
      </c>
      <c r="GE859">
        <v>3.8224280500982566</v>
      </c>
      <c r="GF859">
        <v>7.1531007628151819</v>
      </c>
      <c r="GG859">
        <v>6.0674639022511441</v>
      </c>
      <c r="GH859">
        <v>2.5339303307682775</v>
      </c>
      <c r="GI859">
        <v>5.5819449009048565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10.417419678714859</v>
      </c>
      <c r="AO860">
        <v>5.3213491996385907</v>
      </c>
      <c r="AP860">
        <v>33.332235941987975</v>
      </c>
      <c r="AQ860">
        <v>31.42971766876099</v>
      </c>
      <c r="AR860">
        <v>4.9374062876495932</v>
      </c>
      <c r="AS860">
        <v>29.114383875040001</v>
      </c>
      <c r="AT860">
        <v>3.345832310868611</v>
      </c>
      <c r="AU860">
        <v>2.7605030107274566</v>
      </c>
      <c r="AV860"/>
      <c r="AW860"/>
      <c r="FY860" s="212">
        <v>855</v>
      </c>
      <c r="FZ860">
        <v>0.3078769799386194</v>
      </c>
      <c r="GA860">
        <v>3.1589614923576042</v>
      </c>
      <c r="GB860">
        <v>7.7928960971686152</v>
      </c>
      <c r="GC860">
        <v>3.9076907772917489</v>
      </c>
      <c r="GD860">
        <v>0.50175322012348056</v>
      </c>
      <c r="GE860">
        <v>2.0294966699506256</v>
      </c>
      <c r="GF860">
        <v>4.6344143747132271</v>
      </c>
      <c r="GG860">
        <v>2.5376653402836573</v>
      </c>
      <c r="GH860">
        <v>2.2989351525005008</v>
      </c>
      <c r="GI860">
        <v>3.8370522092639883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22.094298763682179</v>
      </c>
      <c r="AO861">
        <v>11.020420395793753</v>
      </c>
      <c r="AP861">
        <v>81.293072539602548</v>
      </c>
      <c r="AQ861">
        <v>58.72294152309059</v>
      </c>
      <c r="AR861">
        <v>10.076375838311408</v>
      </c>
      <c r="AS861">
        <v>53.312452863166534</v>
      </c>
      <c r="AT861">
        <v>5.4015655627664154</v>
      </c>
      <c r="AU861">
        <v>2.851689050706026</v>
      </c>
      <c r="AV861"/>
      <c r="AW861"/>
      <c r="FY861" s="212">
        <v>856</v>
      </c>
      <c r="FZ861">
        <v>3.4461218076715729</v>
      </c>
      <c r="GA861">
        <v>10.01893668705636</v>
      </c>
      <c r="GB861">
        <v>7.7770012532291606</v>
      </c>
      <c r="GC861">
        <v>2.9299555702549975</v>
      </c>
      <c r="GD861">
        <v>2.2801813743931256</v>
      </c>
      <c r="GE861">
        <v>8.1408134436878345</v>
      </c>
      <c r="GF861">
        <v>13.215304171512003</v>
      </c>
      <c r="GG861">
        <v>6.5942282037339872</v>
      </c>
      <c r="GH861">
        <v>1.6546264732119742</v>
      </c>
      <c r="GI861">
        <v>7.5278472450765772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15.143114123159304</v>
      </c>
      <c r="AO862">
        <v>9.5760299324382565</v>
      </c>
      <c r="AP862">
        <v>33.415304187798966</v>
      </c>
      <c r="AQ862">
        <v>51.503306411243095</v>
      </c>
      <c r="AR862">
        <v>8.7723724195242525</v>
      </c>
      <c r="AS862">
        <v>47.534637599765801</v>
      </c>
      <c r="AT862">
        <v>4.9512460312384414</v>
      </c>
      <c r="AU862">
        <v>2.2070344146159928</v>
      </c>
      <c r="AV862"/>
      <c r="AW862"/>
      <c r="FY862" s="212">
        <v>857</v>
      </c>
      <c r="FZ862">
        <v>3.2523201560970607</v>
      </c>
      <c r="GA862">
        <v>6.8239448674788434</v>
      </c>
      <c r="GB862">
        <v>8.364115430834353</v>
      </c>
      <c r="GC862">
        <v>3.7576059888458402</v>
      </c>
      <c r="GD862">
        <v>1.1658955399846895</v>
      </c>
      <c r="GE862">
        <v>3.771206572341562</v>
      </c>
      <c r="GF862">
        <v>9.6503165816495056</v>
      </c>
      <c r="GG862">
        <v>8.2602134913057714</v>
      </c>
      <c r="GH862">
        <v>2.7819655710225808</v>
      </c>
      <c r="GI862">
        <v>6.3382550376206339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13.654283801874163</v>
      </c>
      <c r="AO863">
        <v>7.4267236862333377</v>
      </c>
      <c r="AP863">
        <v>50.446876645931276</v>
      </c>
      <c r="AQ863">
        <v>35.130077956981204</v>
      </c>
      <c r="AR863">
        <v>6.8653036128602594</v>
      </c>
      <c r="AS863">
        <v>36.173145606449673</v>
      </c>
      <c r="AT863">
        <v>4.4651379332632635</v>
      </c>
      <c r="AU863">
        <v>17.220348837096704</v>
      </c>
      <c r="AV863"/>
      <c r="AW863"/>
      <c r="FY863" s="212">
        <v>858</v>
      </c>
      <c r="FZ863">
        <v>6.4345032033995482</v>
      </c>
      <c r="GA863">
        <v>9.8527170977871297</v>
      </c>
      <c r="GB863">
        <v>8.556198538651282</v>
      </c>
      <c r="GC863">
        <v>4.2559919941866564</v>
      </c>
      <c r="GD863">
        <v>0.79132578094062067</v>
      </c>
      <c r="GE863">
        <v>3.4784534013847943</v>
      </c>
      <c r="GF863">
        <v>8.4000808719370799</v>
      </c>
      <c r="GG863">
        <v>5.7667353454056087</v>
      </c>
      <c r="GH863">
        <v>2.1348217330555839</v>
      </c>
      <c r="GI863">
        <v>5.8463966933434914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20.801546873769588</v>
      </c>
      <c r="AO864">
        <v>9.7754414305007717</v>
      </c>
      <c r="AP864">
        <v>76.195221357147801</v>
      </c>
      <c r="AQ864">
        <v>50.042480606322918</v>
      </c>
      <c r="AR864">
        <v>8.9673335913805978</v>
      </c>
      <c r="AS864">
        <v>45.81322547476983</v>
      </c>
      <c r="AT864">
        <v>5.8850284653053926</v>
      </c>
      <c r="AU864">
        <v>66.175298525149898</v>
      </c>
      <c r="AV864"/>
      <c r="AW864"/>
      <c r="FY864" s="212">
        <v>859</v>
      </c>
      <c r="FZ864">
        <v>0.1439675243467915</v>
      </c>
      <c r="GA864">
        <v>2.3034717515677481</v>
      </c>
      <c r="GB864">
        <v>8.2883163387864922</v>
      </c>
      <c r="GC864">
        <v>4.2413862171610681</v>
      </c>
      <c r="GD864">
        <v>2.2418492412272064</v>
      </c>
      <c r="GE864">
        <v>5.2461436592609481</v>
      </c>
      <c r="GF864">
        <v>7.3262269802195963</v>
      </c>
      <c r="GG864">
        <v>6.8064353624021159</v>
      </c>
      <c r="GH864">
        <v>2.7796030634918156</v>
      </c>
      <c r="GI864">
        <v>5.9012368841027261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20.204656862745093</v>
      </c>
      <c r="AO865">
        <v>9.7961967180467706</v>
      </c>
      <c r="AP865">
        <v>64.629777035941771</v>
      </c>
      <c r="AQ865">
        <v>51.940370355994546</v>
      </c>
      <c r="AR865">
        <v>8.9982721094176235</v>
      </c>
      <c r="AS865">
        <v>49.034649694794751</v>
      </c>
      <c r="AT865">
        <v>5.6436942665930658</v>
      </c>
      <c r="AU865">
        <v>33.60984544897412</v>
      </c>
      <c r="AV865"/>
      <c r="AW865"/>
      <c r="FY865" s="212">
        <v>860</v>
      </c>
      <c r="FZ865">
        <v>3.3152631796323062</v>
      </c>
      <c r="GA865">
        <v>9.3017240688510867</v>
      </c>
      <c r="GB865">
        <v>7.8657546257259385</v>
      </c>
      <c r="GC865">
        <v>3.0166006111107593</v>
      </c>
      <c r="GD865">
        <v>1.0374662469051836</v>
      </c>
      <c r="GE865">
        <v>2.4347646976105244</v>
      </c>
      <c r="GF865">
        <v>5.6934820865249218</v>
      </c>
      <c r="GG865">
        <v>4.798913924530483</v>
      </c>
      <c r="GH865">
        <v>1.7810619325568324</v>
      </c>
      <c r="GI865">
        <v>4.8786909324111516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14.360025887865186</v>
      </c>
      <c r="AO866">
        <v>9.4975748929648294</v>
      </c>
      <c r="AP866">
        <v>60.495112607935113</v>
      </c>
      <c r="AQ866">
        <v>52.698564277898299</v>
      </c>
      <c r="AR866">
        <v>8.7706444620053361</v>
      </c>
      <c r="AS866">
        <v>48.301761208310538</v>
      </c>
      <c r="AT866">
        <v>5.7408479834062449</v>
      </c>
      <c r="AU866">
        <v>19.179391549184228</v>
      </c>
      <c r="AV866"/>
      <c r="AW866"/>
      <c r="FY866" s="212">
        <v>861</v>
      </c>
      <c r="FZ866">
        <v>3.325414670415733</v>
      </c>
      <c r="GA866">
        <v>5.7191718721556857</v>
      </c>
      <c r="GB866">
        <v>7.8514427516965366</v>
      </c>
      <c r="GC866">
        <v>4.208218047863749</v>
      </c>
      <c r="GD866">
        <v>1.5084447633496327</v>
      </c>
      <c r="GE866">
        <v>4.3347369045343713</v>
      </c>
      <c r="GF866">
        <v>6.5138510956508355</v>
      </c>
      <c r="GG866">
        <v>2.8048764582028087</v>
      </c>
      <c r="GH866">
        <v>0.94085094617460741</v>
      </c>
      <c r="GI866">
        <v>5.1485071215915674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18.976243208126625</v>
      </c>
      <c r="AO867">
        <v>9.6864551108734354</v>
      </c>
      <c r="AP867">
        <v>71.539189395007398</v>
      </c>
      <c r="AQ867">
        <v>53.915071226628626</v>
      </c>
      <c r="AR867">
        <v>8.9413688711153654</v>
      </c>
      <c r="AS867">
        <v>51.659422752604101</v>
      </c>
      <c r="AT867">
        <v>5.2465647253281071</v>
      </c>
      <c r="AU867">
        <v>14.071721187162543</v>
      </c>
      <c r="AV867"/>
      <c r="AW867"/>
      <c r="FY867" s="212">
        <v>862</v>
      </c>
      <c r="FZ867">
        <v>6.6478719353073661</v>
      </c>
      <c r="GA867">
        <v>12.218734490185646</v>
      </c>
      <c r="GB867">
        <v>6.0408523418041913</v>
      </c>
      <c r="GC867">
        <v>2.2891427921851615</v>
      </c>
      <c r="GD867">
        <v>1.2316488124060652</v>
      </c>
      <c r="GE867">
        <v>4.6065088036506463</v>
      </c>
      <c r="GF867">
        <v>8.0151323374797627</v>
      </c>
      <c r="GG867">
        <v>4.2012913102157539</v>
      </c>
      <c r="GH867">
        <v>2.0561631048846243</v>
      </c>
      <c r="GI867">
        <v>5.3822046869257427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14.545138888888886</v>
      </c>
      <c r="AO868">
        <v>9.9740554446277798</v>
      </c>
      <c r="AP868">
        <v>59.125012783353924</v>
      </c>
      <c r="AQ868">
        <v>55.248293464229988</v>
      </c>
      <c r="AR868">
        <v>9.1517447081033705</v>
      </c>
      <c r="AS868">
        <v>48.639276005975951</v>
      </c>
      <c r="AT868">
        <v>5.2594367800754718</v>
      </c>
      <c r="AU868">
        <v>9.610663826980316</v>
      </c>
      <c r="AV868"/>
      <c r="AW868"/>
      <c r="FY868" s="212">
        <v>863</v>
      </c>
      <c r="FZ868">
        <v>6.4954121481001064</v>
      </c>
      <c r="GA868">
        <v>13.378374819482326</v>
      </c>
      <c r="GB868">
        <v>5.3342853556011711</v>
      </c>
      <c r="GC868">
        <v>1.3484898497353925</v>
      </c>
      <c r="GD868">
        <v>1.7385565414265272</v>
      </c>
      <c r="GE868">
        <v>6.8466805335835552</v>
      </c>
      <c r="GF868">
        <v>11.789217707284159</v>
      </c>
      <c r="GG868">
        <v>6.8498487049044989</v>
      </c>
      <c r="GH868">
        <v>1.4451709471790188</v>
      </c>
      <c r="GI868">
        <v>6.4695368538884672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20.185329553508147</v>
      </c>
      <c r="AO869">
        <v>8.5575060512286676</v>
      </c>
      <c r="AP869">
        <v>45.139613672206153</v>
      </c>
      <c r="AQ869">
        <v>39.886710948114235</v>
      </c>
      <c r="AR869">
        <v>7.8484638434435094</v>
      </c>
      <c r="AS869">
        <v>46.217269252977651</v>
      </c>
      <c r="AT869">
        <v>4.0847730979661838</v>
      </c>
      <c r="AU869">
        <v>39.662019732607</v>
      </c>
      <c r="AV869"/>
      <c r="AW869"/>
      <c r="FY869" s="212">
        <v>864</v>
      </c>
      <c r="FZ869">
        <v>3.438191821178699</v>
      </c>
      <c r="GA869">
        <v>5.2940197575227002</v>
      </c>
      <c r="GB869">
        <v>10.339259443132079</v>
      </c>
      <c r="GC869">
        <v>5.7194680114802292</v>
      </c>
      <c r="GD869">
        <v>0.88454293513531246</v>
      </c>
      <c r="GE869">
        <v>1.8195125367506859</v>
      </c>
      <c r="GF869">
        <v>5.5989861184919123</v>
      </c>
      <c r="GG869">
        <v>4.7788915215452743</v>
      </c>
      <c r="GH869">
        <v>2.9444103984185404</v>
      </c>
      <c r="GI869">
        <v>5.4992598053205128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12.476447456492636</v>
      </c>
      <c r="AO870">
        <v>9.0602706039006851</v>
      </c>
      <c r="AP870">
        <v>51.731107020368412</v>
      </c>
      <c r="AQ870">
        <v>43.855088538518729</v>
      </c>
      <c r="AR870">
        <v>8.4241797468171598</v>
      </c>
      <c r="AS870">
        <v>46.418948837415684</v>
      </c>
      <c r="AT870">
        <v>5.5094613515437203</v>
      </c>
      <c r="AU870">
        <v>3.5768294183943139</v>
      </c>
      <c r="AV870"/>
      <c r="AW870"/>
      <c r="FY870" s="212">
        <v>865</v>
      </c>
      <c r="FZ870">
        <v>3.3560565682218768</v>
      </c>
      <c r="GA870">
        <v>7.0323646414718812</v>
      </c>
      <c r="GB870">
        <v>5.7490392660339005</v>
      </c>
      <c r="GC870">
        <v>2.7258034017950026</v>
      </c>
      <c r="GD870">
        <v>0.76859961749211836</v>
      </c>
      <c r="GE870">
        <v>2.5970826615798113</v>
      </c>
      <c r="GF870">
        <v>5.9898362868626904</v>
      </c>
      <c r="GG870">
        <v>3.3702103839194208</v>
      </c>
      <c r="GH870">
        <v>2.5050150481167539</v>
      </c>
      <c r="GI870">
        <v>4.1438838574595369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12.473728246318609</v>
      </c>
      <c r="AO871">
        <v>6.1890730936706762</v>
      </c>
      <c r="AP871">
        <v>25.366504945297027</v>
      </c>
      <c r="AQ871">
        <v>31.006742313592067</v>
      </c>
      <c r="AR871">
        <v>5.658917221426595</v>
      </c>
      <c r="AS871">
        <v>33.053857344926527</v>
      </c>
      <c r="AT871">
        <v>3.1697486112725355</v>
      </c>
      <c r="AU871">
        <v>-5.9797691521954048</v>
      </c>
      <c r="AV871"/>
      <c r="AW871"/>
      <c r="FY871" s="212">
        <v>866</v>
      </c>
      <c r="FZ871">
        <v>0.17368609546352431</v>
      </c>
      <c r="GA871">
        <v>2.0980750831647996</v>
      </c>
      <c r="GB871">
        <v>12.113505364727065</v>
      </c>
      <c r="GC871">
        <v>6.2871680707401723</v>
      </c>
      <c r="GD871">
        <v>1.5016048611878015</v>
      </c>
      <c r="GE871">
        <v>5.0392126231048993</v>
      </c>
      <c r="GF871">
        <v>9.2091266001916559</v>
      </c>
      <c r="GG871">
        <v>6.0573484672391533</v>
      </c>
      <c r="GH871">
        <v>2.0008373593226314</v>
      </c>
      <c r="GI871">
        <v>6.8336154284529691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18.956495098039216</v>
      </c>
      <c r="AO872">
        <v>12.532129721744079</v>
      </c>
      <c r="AP872">
        <v>72.740144363007275</v>
      </c>
      <c r="AQ872">
        <v>63.585016229827595</v>
      </c>
      <c r="AR872">
        <v>11.519328663544536</v>
      </c>
      <c r="AS872">
        <v>61.077925086658524</v>
      </c>
      <c r="AT872">
        <v>6.8646822458055619</v>
      </c>
      <c r="AU872">
        <v>48.675460318131414</v>
      </c>
      <c r="AV872"/>
      <c r="AW872"/>
      <c r="FY872" s="212">
        <v>867</v>
      </c>
      <c r="FZ872">
        <v>3.2838853805926158</v>
      </c>
      <c r="GA872">
        <v>5.990438671274509</v>
      </c>
      <c r="GB872">
        <v>5.2348759565818641</v>
      </c>
      <c r="GC872">
        <v>2.7930641512807379</v>
      </c>
      <c r="GD872">
        <v>2.2106542801023057</v>
      </c>
      <c r="GE872">
        <v>5.5865345709310379</v>
      </c>
      <c r="GF872">
        <v>8.9462771846521747</v>
      </c>
      <c r="GG872">
        <v>6.335903770498561</v>
      </c>
      <c r="GH872">
        <v>2.0704102393056889</v>
      </c>
      <c r="GI872">
        <v>5.8606153860653372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17.691520985904404</v>
      </c>
      <c r="AO873">
        <v>10.619181581422399</v>
      </c>
      <c r="AP873">
        <v>69.296214993490054</v>
      </c>
      <c r="AQ873">
        <v>54.165839237180833</v>
      </c>
      <c r="AR873">
        <v>9.7983287640313907</v>
      </c>
      <c r="AS873">
        <v>53.122586540101238</v>
      </c>
      <c r="AT873">
        <v>5.9573783155244415</v>
      </c>
      <c r="AU873">
        <v>21.376668437321186</v>
      </c>
      <c r="AV873"/>
      <c r="AW873"/>
      <c r="FY873" s="212">
        <v>868</v>
      </c>
      <c r="FZ873">
        <v>0.24585728309278504</v>
      </c>
      <c r="GA873">
        <v>1.9210410408137526</v>
      </c>
      <c r="GB873">
        <v>9.0460789381004361</v>
      </c>
      <c r="GC873">
        <v>4.6490770563518726</v>
      </c>
      <c r="GD873">
        <v>2.0432406857524175</v>
      </c>
      <c r="GE873">
        <v>6.9606043578954928</v>
      </c>
      <c r="GF873">
        <v>6.3225273213660795</v>
      </c>
      <c r="GG873">
        <v>1.4583864801611062</v>
      </c>
      <c r="GH873">
        <v>1.8501984413682564</v>
      </c>
      <c r="GI873">
        <v>5.4522683428202887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20.95540987479329</v>
      </c>
      <c r="AO874">
        <v>9.7861698826153294</v>
      </c>
      <c r="AP874">
        <v>78.441614893474451</v>
      </c>
      <c r="AQ874">
        <v>55.517224660091792</v>
      </c>
      <c r="AR874">
        <v>8.9139885543420121</v>
      </c>
      <c r="AS874">
        <v>50.576628292484529</v>
      </c>
      <c r="AT874">
        <v>4.8093172034901226</v>
      </c>
      <c r="AU874">
        <v>23.021721919325852</v>
      </c>
      <c r="AV874"/>
      <c r="AW874"/>
      <c r="FY874" s="212">
        <v>869</v>
      </c>
      <c r="FZ874">
        <v>0.1928783248851009</v>
      </c>
      <c r="GA874">
        <v>5.8637523584304185</v>
      </c>
      <c r="GB874">
        <v>7.4216992265622288</v>
      </c>
      <c r="GC874">
        <v>2.6869023485143071</v>
      </c>
      <c r="GD874">
        <v>0.93982147124703075</v>
      </c>
      <c r="GE874">
        <v>3.9115773923338093</v>
      </c>
      <c r="GF874">
        <v>8.5427658216863822</v>
      </c>
      <c r="GG874">
        <v>5.5730754079860407</v>
      </c>
      <c r="GH874">
        <v>2.3046347163105612</v>
      </c>
      <c r="GI874">
        <v>4.9227325821650805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20.442273997952594</v>
      </c>
      <c r="AO875">
        <v>9.5960491439233557</v>
      </c>
      <c r="AP875">
        <v>58.382308820835263</v>
      </c>
      <c r="AQ875">
        <v>45.2786370225665</v>
      </c>
      <c r="AR875">
        <v>8.8043650251851169</v>
      </c>
      <c r="AS875">
        <v>50.929460453879727</v>
      </c>
      <c r="AT875">
        <v>5.0568731155590596</v>
      </c>
      <c r="AU875">
        <v>18.495102669424597</v>
      </c>
      <c r="AV875"/>
      <c r="AW875"/>
      <c r="FY875" s="212">
        <v>870</v>
      </c>
      <c r="FZ875">
        <v>3.3041883621594685</v>
      </c>
      <c r="GA875">
        <v>7.8185212755671634</v>
      </c>
      <c r="GB875">
        <v>8.4240142204319515</v>
      </c>
      <c r="GC875">
        <v>4.0309990774853457</v>
      </c>
      <c r="GD875">
        <v>0.80880701530291776</v>
      </c>
      <c r="GE875">
        <v>2.6201110741454108</v>
      </c>
      <c r="GF875">
        <v>8.5584209094357053</v>
      </c>
      <c r="GG875">
        <v>6.8426456689961954</v>
      </c>
      <c r="GH875">
        <v>2.4702763472617639</v>
      </c>
      <c r="GI875">
        <v>5.56472662476701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13.358391900937079</v>
      </c>
      <c r="AO876">
        <v>8.0198937030636088</v>
      </c>
      <c r="AP876">
        <v>32.906172174428072</v>
      </c>
      <c r="AQ876">
        <v>44.123722305859189</v>
      </c>
      <c r="AR876">
        <v>7.4082234261370727</v>
      </c>
      <c r="AS876">
        <v>39.712290585579424</v>
      </c>
      <c r="AT876">
        <v>4.1211671844010125</v>
      </c>
      <c r="AU876">
        <v>1.5505334935804445</v>
      </c>
      <c r="AV876"/>
      <c r="AW876"/>
      <c r="FY876" s="212">
        <v>871</v>
      </c>
      <c r="FZ876">
        <v>3.2744697910427361</v>
      </c>
      <c r="GA876">
        <v>9.3229394915413391</v>
      </c>
      <c r="GB876">
        <v>11.069811623598683</v>
      </c>
      <c r="GC876">
        <v>4.9667426925409623</v>
      </c>
      <c r="GD876">
        <v>1.5412470240967084</v>
      </c>
      <c r="GE876">
        <v>5.6571313537063741</v>
      </c>
      <c r="GF876">
        <v>12.113940847694332</v>
      </c>
      <c r="GG876">
        <v>8.1630518398530256</v>
      </c>
      <c r="GH876">
        <v>3.3329069681046635</v>
      </c>
      <c r="GI876">
        <v>7.8003251976795926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18.983940664619261</v>
      </c>
      <c r="AO877">
        <v>8.4207118614909096</v>
      </c>
      <c r="AP877">
        <v>59.410289322168339</v>
      </c>
      <c r="AQ877">
        <v>42.355514631635529</v>
      </c>
      <c r="AR877">
        <v>7.7467967108512488</v>
      </c>
      <c r="AS877">
        <v>48.623946096535718</v>
      </c>
      <c r="AT877">
        <v>4.3255446207839592</v>
      </c>
      <c r="AU877">
        <v>35.907498288374349</v>
      </c>
      <c r="AV877"/>
      <c r="AW877"/>
      <c r="FY877" s="212">
        <v>872</v>
      </c>
      <c r="FZ877">
        <v>6.4372731834677817</v>
      </c>
      <c r="GA877">
        <v>11.105785329355287</v>
      </c>
      <c r="GB877">
        <v>14.149669062657647</v>
      </c>
      <c r="GC877">
        <v>6.786093013611711</v>
      </c>
      <c r="GD877">
        <v>0.90511355787808656</v>
      </c>
      <c r="GE877">
        <v>2.1706296083111676</v>
      </c>
      <c r="GF877">
        <v>5.5961058049968901</v>
      </c>
      <c r="GG877">
        <v>6.7620017366102383</v>
      </c>
      <c r="GH877">
        <v>5.2155790127378427</v>
      </c>
      <c r="GI877">
        <v>7.425944343602966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23.113293861721395</v>
      </c>
      <c r="AO878">
        <v>8.8979926469874222</v>
      </c>
      <c r="AP878">
        <v>74.602827450941987</v>
      </c>
      <c r="AQ878">
        <v>52.689550615044951</v>
      </c>
      <c r="AR878">
        <v>8.180983326669125</v>
      </c>
      <c r="AS878">
        <v>45.444495945720924</v>
      </c>
      <c r="AT878">
        <v>4.433783258212241</v>
      </c>
      <c r="AU878">
        <v>56.818468809224555</v>
      </c>
      <c r="AV878"/>
      <c r="AW878"/>
      <c r="FY878" s="212">
        <v>873</v>
      </c>
      <c r="FZ878">
        <v>0.21613871197605222</v>
      </c>
      <c r="GA878">
        <v>2.6786402893061556</v>
      </c>
      <c r="GB878">
        <v>5.4083313331167879</v>
      </c>
      <c r="GC878">
        <v>3.1372362724954019</v>
      </c>
      <c r="GD878">
        <v>1.1431058892711798</v>
      </c>
      <c r="GE878">
        <v>1.5852831381283836</v>
      </c>
      <c r="GF878">
        <v>7.5612543497588307</v>
      </c>
      <c r="GG878">
        <v>8.3718904619891887</v>
      </c>
      <c r="GH878">
        <v>2.3158254277190533</v>
      </c>
      <c r="GI878">
        <v>4.4873793210377979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18.458754134183792</v>
      </c>
      <c r="AO879">
        <v>10.893723042098644</v>
      </c>
      <c r="AP879">
        <v>68.543054078592959</v>
      </c>
      <c r="AQ879">
        <v>61.695573461185234</v>
      </c>
      <c r="AR879">
        <v>9.9804490335470089</v>
      </c>
      <c r="AS879">
        <v>50.826531249354552</v>
      </c>
      <c r="AT879">
        <v>5.4848617262396546</v>
      </c>
      <c r="AU879">
        <v>25.746332060299885</v>
      </c>
      <c r="AV879"/>
      <c r="AW879"/>
      <c r="FY879" s="212">
        <v>874</v>
      </c>
      <c r="FZ879">
        <v>0.27520100329778791</v>
      </c>
      <c r="GA879">
        <v>5.849577144207851</v>
      </c>
      <c r="GB879">
        <v>9.3717945792550292</v>
      </c>
      <c r="GC879">
        <v>4.1413933207750828</v>
      </c>
      <c r="GD879">
        <v>1.1965148798369625</v>
      </c>
      <c r="GE879">
        <v>5.297522399911319</v>
      </c>
      <c r="GF879">
        <v>12.305707781799233</v>
      </c>
      <c r="GG879">
        <v>6.8995540474397528</v>
      </c>
      <c r="GH879">
        <v>2.3127054099449071</v>
      </c>
      <c r="GI879">
        <v>6.4327309824890042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21.220051775730372</v>
      </c>
      <c r="AO880">
        <v>8.8783564645714215</v>
      </c>
      <c r="AP880">
        <v>54.030805211200573</v>
      </c>
      <c r="AQ880">
        <v>46.316542348975943</v>
      </c>
      <c r="AR880">
        <v>8.2377641532152666</v>
      </c>
      <c r="AS880">
        <v>46.756758328163038</v>
      </c>
      <c r="AT880">
        <v>4.4122157144799763</v>
      </c>
      <c r="AU880">
        <v>9.5196353409721777</v>
      </c>
      <c r="AV880"/>
      <c r="AW880"/>
      <c r="FY880" s="212">
        <v>875</v>
      </c>
      <c r="FZ880">
        <v>3.3962876804438524</v>
      </c>
      <c r="GA880">
        <v>7.4815769621820909</v>
      </c>
      <c r="GB880">
        <v>7.7257121573051286</v>
      </c>
      <c r="GC880">
        <v>3.6882332009790146</v>
      </c>
      <c r="GD880">
        <v>0.79665380153796761</v>
      </c>
      <c r="GE880">
        <v>1.3644634070009261</v>
      </c>
      <c r="GF880">
        <v>10.347250309398145</v>
      </c>
      <c r="GG880">
        <v>11.23197934648179</v>
      </c>
      <c r="GH880">
        <v>2.9634056368576829</v>
      </c>
      <c r="GI880">
        <v>6.3373854063368604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18.215826541459954</v>
      </c>
      <c r="AO881">
        <v>6.5880726028070224</v>
      </c>
      <c r="AP881">
        <v>47.665019506933866</v>
      </c>
      <c r="AQ881">
        <v>38.237891732952988</v>
      </c>
      <c r="AR881">
        <v>6.1784435562870801</v>
      </c>
      <c r="AS881">
        <v>36.181095120206422</v>
      </c>
      <c r="AT881">
        <v>3.398161996896635</v>
      </c>
      <c r="AU881">
        <v>25.197106989991738</v>
      </c>
      <c r="AV881"/>
      <c r="AW881"/>
      <c r="FY881" s="212">
        <v>876</v>
      </c>
      <c r="FZ881">
        <v>3.3335320823644716</v>
      </c>
      <c r="GA881">
        <v>5.9051183405596515</v>
      </c>
      <c r="GB881">
        <v>6.1108978342640752</v>
      </c>
      <c r="GC881">
        <v>3.1287934069667211</v>
      </c>
      <c r="GD881">
        <v>1.14245841400339</v>
      </c>
      <c r="GE881">
        <v>2.5296415754923451</v>
      </c>
      <c r="GF881">
        <v>9.6280056674706476</v>
      </c>
      <c r="GG881">
        <v>9.8652474340188903</v>
      </c>
      <c r="GH881">
        <v>3.0522399218835794</v>
      </c>
      <c r="GI881">
        <v>5.9099475271929993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17.114251122135599</v>
      </c>
      <c r="AO882">
        <v>11.25951792737181</v>
      </c>
      <c r="AP882">
        <v>58.634544586605649</v>
      </c>
      <c r="AQ882">
        <v>51.314179953594675</v>
      </c>
      <c r="AR882">
        <v>10.310119453402741</v>
      </c>
      <c r="AS882">
        <v>52.21174091487201</v>
      </c>
      <c r="AT882">
        <v>6.4175066578826252</v>
      </c>
      <c r="AU882">
        <v>15.614462931063105</v>
      </c>
      <c r="AV882"/>
      <c r="AW882"/>
      <c r="FY882" s="212">
        <v>877</v>
      </c>
      <c r="FZ882">
        <v>6.4345032033995482</v>
      </c>
      <c r="GA882">
        <v>11.297097769379162</v>
      </c>
      <c r="GB882">
        <v>4.3542792067363081</v>
      </c>
      <c r="GC882">
        <v>1.7170159811528651</v>
      </c>
      <c r="GD882">
        <v>1.1351659207909577</v>
      </c>
      <c r="GE882">
        <v>4.5790393454895417</v>
      </c>
      <c r="GF882">
        <v>9.942602263749647</v>
      </c>
      <c r="GG882">
        <v>6.0785996205526285</v>
      </c>
      <c r="GH882">
        <v>2.9840529411965191</v>
      </c>
      <c r="GI882">
        <v>5.535926606309312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15.084967320261438</v>
      </c>
      <c r="AO883">
        <v>9.7420927209637291</v>
      </c>
      <c r="AP883">
        <v>51.06288125512917</v>
      </c>
      <c r="AQ883">
        <v>48.312659591284827</v>
      </c>
      <c r="AR883">
        <v>8.9980404502607989</v>
      </c>
      <c r="AS883">
        <v>47.583319051051262</v>
      </c>
      <c r="AT883">
        <v>4.8394951857090165</v>
      </c>
      <c r="AU883">
        <v>22.338913421413206</v>
      </c>
      <c r="AV883"/>
      <c r="AW883"/>
      <c r="FY883" s="212">
        <v>878</v>
      </c>
      <c r="FZ883">
        <v>0.16445793136950917</v>
      </c>
      <c r="GA883">
        <v>2.7094159260028254</v>
      </c>
      <c r="GB883">
        <v>6.0764290190932035</v>
      </c>
      <c r="GC883">
        <v>3.0611030829814978</v>
      </c>
      <c r="GD883">
        <v>1.3682037931706712</v>
      </c>
      <c r="GE883">
        <v>3.9420452621148652</v>
      </c>
      <c r="GF883">
        <v>10.308675355798423</v>
      </c>
      <c r="GG883">
        <v>8.621772044590827</v>
      </c>
      <c r="GH883">
        <v>1.7341193974074121</v>
      </c>
      <c r="GI883">
        <v>5.3182254718849977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16.21691176470588</v>
      </c>
      <c r="AO884">
        <v>8.7360714165925089</v>
      </c>
      <c r="AP884">
        <v>55.581261392266484</v>
      </c>
      <c r="AQ884">
        <v>39.949279947722488</v>
      </c>
      <c r="AR884">
        <v>8.0016607232235906</v>
      </c>
      <c r="AS884">
        <v>47.23616604449191</v>
      </c>
      <c r="AT884">
        <v>4.6061031665188317</v>
      </c>
      <c r="AU884">
        <v>29.000606883460836</v>
      </c>
      <c r="AV884"/>
      <c r="AW884"/>
      <c r="FY884" s="212">
        <v>879</v>
      </c>
      <c r="FZ884">
        <v>0.29846139038873931</v>
      </c>
      <c r="GA884">
        <v>4.0483852351328835</v>
      </c>
      <c r="GB884">
        <v>6.7733351240534772</v>
      </c>
      <c r="GC884">
        <v>3.1355041750499315</v>
      </c>
      <c r="GD884">
        <v>1.3038603573049334</v>
      </c>
      <c r="GE884">
        <v>3.487490519335005</v>
      </c>
      <c r="GF884">
        <v>9.8271667899285369</v>
      </c>
      <c r="GG884">
        <v>9.2490775984555995</v>
      </c>
      <c r="GH884">
        <v>4.1108133556252033</v>
      </c>
      <c r="GI884">
        <v>5.9032126038010491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12.298611111111111</v>
      </c>
      <c r="AO885">
        <v>7.9413513375713212</v>
      </c>
      <c r="AP885">
        <v>45.638765872102489</v>
      </c>
      <c r="AQ885">
        <v>42.359839650120954</v>
      </c>
      <c r="AR885">
        <v>7.3293425787910085</v>
      </c>
      <c r="AS885">
        <v>44.197598734971066</v>
      </c>
      <c r="AT885">
        <v>5.1236081391119859</v>
      </c>
      <c r="AU885">
        <v>9.6447526982362088</v>
      </c>
      <c r="AV885"/>
      <c r="AW885"/>
      <c r="FY885" s="212">
        <v>880</v>
      </c>
      <c r="FZ885">
        <v>0.11258972530710119</v>
      </c>
      <c r="GA885">
        <v>4.6900465431637066</v>
      </c>
      <c r="GB885">
        <v>6.1437805009868072</v>
      </c>
      <c r="GC885">
        <v>2.7063328091514007</v>
      </c>
      <c r="GD885">
        <v>0.97564555095211547</v>
      </c>
      <c r="GE885">
        <v>1.5611061020664789</v>
      </c>
      <c r="GF885">
        <v>3.2302483225721694</v>
      </c>
      <c r="GG885">
        <v>4.249976369461514</v>
      </c>
      <c r="GH885">
        <v>3.3277774653830052</v>
      </c>
      <c r="GI885">
        <v>3.4896294334422358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17.668300653594766</v>
      </c>
      <c r="AO886">
        <v>9.1945893304060213</v>
      </c>
      <c r="AP886">
        <v>49.113581608311236</v>
      </c>
      <c r="AQ886">
        <v>50.442710575552944</v>
      </c>
      <c r="AR886">
        <v>8.4166566119544992</v>
      </c>
      <c r="AS886">
        <v>46.696652571681938</v>
      </c>
      <c r="AT886">
        <v>4.8264856449868665</v>
      </c>
      <c r="AU886">
        <v>13.240727372276062</v>
      </c>
      <c r="AV886"/>
      <c r="AW886"/>
      <c r="FY886" s="212">
        <v>881</v>
      </c>
      <c r="FZ886">
        <v>0.2355183668534937</v>
      </c>
      <c r="GA886">
        <v>7.0768077494007455</v>
      </c>
      <c r="GB886">
        <v>11.921426328248918</v>
      </c>
      <c r="GC886">
        <v>4.9927738107192692</v>
      </c>
      <c r="GD886">
        <v>0.63390955305245567</v>
      </c>
      <c r="GE886">
        <v>2.5206268999447854</v>
      </c>
      <c r="GF886">
        <v>8.7592830204452135</v>
      </c>
      <c r="GG886">
        <v>6.6998216414233047</v>
      </c>
      <c r="GH886">
        <v>2.3545184423726679</v>
      </c>
      <c r="GI886">
        <v>6.0374777369948252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23.018662886841479</v>
      </c>
      <c r="AO887">
        <v>12.86170001675147</v>
      </c>
      <c r="AP887">
        <v>75.673624385005212</v>
      </c>
      <c r="AQ887">
        <v>67.242566829858418</v>
      </c>
      <c r="AR887">
        <v>11.831578669320589</v>
      </c>
      <c r="AS887">
        <v>68.529825482741558</v>
      </c>
      <c r="AT887">
        <v>6.8968317125813172</v>
      </c>
      <c r="AU887">
        <v>31.563110428512495</v>
      </c>
      <c r="AV887"/>
      <c r="AW887"/>
      <c r="FY887" s="212">
        <v>882</v>
      </c>
      <c r="FZ887">
        <v>0.25582134842034648</v>
      </c>
      <c r="GA887">
        <v>5.0169590336906325</v>
      </c>
      <c r="GB887">
        <v>6.6419647464057174</v>
      </c>
      <c r="GC887">
        <v>3.1013742918599063</v>
      </c>
      <c r="GD887">
        <v>2.2390715912541124</v>
      </c>
      <c r="GE887">
        <v>5.6118666316560386</v>
      </c>
      <c r="GF887">
        <v>7.820007819796551</v>
      </c>
      <c r="GG887">
        <v>5.596477411900433</v>
      </c>
      <c r="GH887">
        <v>2.1067407464285393</v>
      </c>
      <c r="GI887">
        <v>5.4173801411045863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29.227877195054724</v>
      </c>
      <c r="AO888">
        <v>12.24144401277729</v>
      </c>
      <c r="AP888">
        <v>67.253219320743625</v>
      </c>
      <c r="AQ888">
        <v>66.554194653229615</v>
      </c>
      <c r="AR888">
        <v>11.307755945057481</v>
      </c>
      <c r="AS888">
        <v>62.488568579706524</v>
      </c>
      <c r="AT888">
        <v>5.7910908755147625</v>
      </c>
      <c r="AU888">
        <v>10.815254609023784</v>
      </c>
      <c r="AV888"/>
      <c r="AW888"/>
      <c r="FY888" s="212">
        <v>883</v>
      </c>
      <c r="FZ888">
        <v>9.565192895551359</v>
      </c>
      <c r="GA888">
        <v>14.942862008356039</v>
      </c>
      <c r="GB888">
        <v>9.7942607534527042</v>
      </c>
      <c r="GC888">
        <v>4.5498404968718766</v>
      </c>
      <c r="GD888">
        <v>1.0208088749014135</v>
      </c>
      <c r="GE888">
        <v>2.4908874821652733</v>
      </c>
      <c r="GF888">
        <v>5.6072217874243053</v>
      </c>
      <c r="GG888">
        <v>4.4585954601616873</v>
      </c>
      <c r="GH888">
        <v>2.6656289827515618</v>
      </c>
      <c r="GI888">
        <v>6.3836617458290528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10.695197456492636</v>
      </c>
      <c r="AO889">
        <v>7.4771703474801843</v>
      </c>
      <c r="AP889">
        <v>31.370110062594733</v>
      </c>
      <c r="AQ889">
        <v>36.905085194798836</v>
      </c>
      <c r="AR889">
        <v>6.8334110483012154</v>
      </c>
      <c r="AS889">
        <v>35.701447660320952</v>
      </c>
      <c r="AT889">
        <v>4.1695939288497597</v>
      </c>
      <c r="AU889">
        <v>-1.4138815981318726</v>
      </c>
      <c r="AV889"/>
      <c r="AW889"/>
      <c r="FY889" s="212">
        <v>884</v>
      </c>
      <c r="FZ889">
        <v>3.253243482786472</v>
      </c>
      <c r="GA889">
        <v>5.020559061270454</v>
      </c>
      <c r="GB889">
        <v>5.3732306564203842</v>
      </c>
      <c r="GC889">
        <v>3.0215966697987016</v>
      </c>
      <c r="GD889">
        <v>1.2056312489957004</v>
      </c>
      <c r="GE889">
        <v>4.3240103074176233</v>
      </c>
      <c r="GF889">
        <v>10.26536445943621</v>
      </c>
      <c r="GG889">
        <v>6.7878881411535552</v>
      </c>
      <c r="GH889">
        <v>2.0399667451478796</v>
      </c>
      <c r="GI889">
        <v>5.5377679542195288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21.334635109063708</v>
      </c>
      <c r="AO890">
        <v>10.408045295191043</v>
      </c>
      <c r="AP890">
        <v>64.200032327356581</v>
      </c>
      <c r="AQ890">
        <v>54.082701548956926</v>
      </c>
      <c r="AR890">
        <v>9.5727109203587162</v>
      </c>
      <c r="AS890">
        <v>52.910620077402271</v>
      </c>
      <c r="AT890">
        <v>6.0507766609815574</v>
      </c>
      <c r="AU890">
        <v>32.849411484246232</v>
      </c>
      <c r="AV890"/>
      <c r="AW890"/>
      <c r="FY890" s="212">
        <v>885</v>
      </c>
      <c r="FZ890">
        <v>0.2366291189987699</v>
      </c>
      <c r="GA890">
        <v>3.5937510976427687</v>
      </c>
      <c r="GB890">
        <v>4.6073407364740859</v>
      </c>
      <c r="GC890">
        <v>2.1475655813582586</v>
      </c>
      <c r="GD890">
        <v>1.1495020554507105</v>
      </c>
      <c r="GE890">
        <v>2.0701967498785301</v>
      </c>
      <c r="GF890">
        <v>6.2550976256131152</v>
      </c>
      <c r="GG890">
        <v>7.5569974393017265</v>
      </c>
      <c r="GH890">
        <v>3.8402814604540287</v>
      </c>
      <c r="GI890">
        <v>4.1992456867622483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15.588439542483659</v>
      </c>
      <c r="AO891">
        <v>10.853561541970517</v>
      </c>
      <c r="AP891">
        <v>45.1964384461088</v>
      </c>
      <c r="AQ891">
        <v>55.332947908523465</v>
      </c>
      <c r="AR891">
        <v>9.9814644529140093</v>
      </c>
      <c r="AS891">
        <v>49.744960786880291</v>
      </c>
      <c r="AT891">
        <v>6.4869876727281053</v>
      </c>
      <c r="AU891">
        <v>30.074184910472329</v>
      </c>
      <c r="AV891"/>
      <c r="AW891"/>
      <c r="FY891" s="212">
        <v>886</v>
      </c>
      <c r="FZ891">
        <v>3.3558691427660117</v>
      </c>
      <c r="GA891">
        <v>7.8290041647603754</v>
      </c>
      <c r="GB891">
        <v>7.2245862105349339</v>
      </c>
      <c r="GC891">
        <v>3.4997853543643926</v>
      </c>
      <c r="GD891">
        <v>1.17733309838017</v>
      </c>
      <c r="GE891">
        <v>5.6957139141122379</v>
      </c>
      <c r="GF891">
        <v>13.211868699741681</v>
      </c>
      <c r="GG891">
        <v>7.2885575710543087</v>
      </c>
      <c r="GH891">
        <v>2.6502669190392956</v>
      </c>
      <c r="GI891">
        <v>6.759083444034756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12.660475234270415</v>
      </c>
      <c r="AO892">
        <v>10.082485953878514</v>
      </c>
      <c r="AP892">
        <v>40.558110551815581</v>
      </c>
      <c r="AQ892">
        <v>50.605882204216769</v>
      </c>
      <c r="AR892">
        <v>9.2822098932368409</v>
      </c>
      <c r="AS892">
        <v>47.154498020273309</v>
      </c>
      <c r="AT892">
        <v>5.4164863623054158</v>
      </c>
      <c r="AU892">
        <v>-6.7872756803724936</v>
      </c>
      <c r="AV892"/>
      <c r="AW892"/>
      <c r="FY892" s="212">
        <v>887</v>
      </c>
      <c r="FZ892">
        <v>6.4965229002453828</v>
      </c>
      <c r="GA892">
        <v>8.8529337466891569</v>
      </c>
      <c r="GB892">
        <v>8.0718801145220418</v>
      </c>
      <c r="GC892">
        <v>4.5141493490737421</v>
      </c>
      <c r="GD892">
        <v>0.75830063505159329</v>
      </c>
      <c r="GE892">
        <v>2.7481111675858236</v>
      </c>
      <c r="GF892">
        <v>8.1872624335889252</v>
      </c>
      <c r="GG892">
        <v>5.4797482559096329</v>
      </c>
      <c r="GH892">
        <v>2.2482939161950117</v>
      </c>
      <c r="GI892">
        <v>5.9089775513845444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15.841911764705884</v>
      </c>
      <c r="AO893">
        <v>9.1733772525262527</v>
      </c>
      <c r="AP893">
        <v>61.41786682080938</v>
      </c>
      <c r="AQ893">
        <v>54.058282858756485</v>
      </c>
      <c r="AR893">
        <v>8.5250393691322639</v>
      </c>
      <c r="AS893">
        <v>48.156988159515642</v>
      </c>
      <c r="AT893">
        <v>4.645391261966819</v>
      </c>
      <c r="AU893">
        <v>23.877773103390055</v>
      </c>
      <c r="AV893"/>
      <c r="AW893"/>
      <c r="FY893" s="212">
        <v>888</v>
      </c>
      <c r="FZ893">
        <v>6.5271647980515262</v>
      </c>
      <c r="GA893">
        <v>11.539337717144727</v>
      </c>
      <c r="GB893">
        <v>3.8894564501993703</v>
      </c>
      <c r="GC893">
        <v>1.6019067938913389</v>
      </c>
      <c r="GD893">
        <v>1.7624737764969742</v>
      </c>
      <c r="GE893">
        <v>3.8353492945636374</v>
      </c>
      <c r="GF893">
        <v>5.0344902659086967</v>
      </c>
      <c r="GG893">
        <v>3.8496397249039185</v>
      </c>
      <c r="GH893">
        <v>2.4396540262424953</v>
      </c>
      <c r="GI893">
        <v>4.8056817080182643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14.973856209150323</v>
      </c>
      <c r="AO894">
        <v>8.8502561801389401</v>
      </c>
      <c r="AP894">
        <v>58.712003233060017</v>
      </c>
      <c r="AQ894">
        <v>43.304447284414238</v>
      </c>
      <c r="AR894">
        <v>8.0914908978946141</v>
      </c>
      <c r="AS894">
        <v>45.276255835531856</v>
      </c>
      <c r="AT894">
        <v>5.3345922833695845</v>
      </c>
      <c r="AU894">
        <v>18.165862425050872</v>
      </c>
      <c r="AV894"/>
      <c r="AW894"/>
      <c r="FY894" s="212">
        <v>889</v>
      </c>
      <c r="FZ894">
        <v>3.2440153186924565</v>
      </c>
      <c r="GA894">
        <v>6.4370169771991925</v>
      </c>
      <c r="GB894">
        <v>7.0240008947935166</v>
      </c>
      <c r="GC894">
        <v>3.2240984276744529</v>
      </c>
      <c r="GD894">
        <v>1.3162429728968199</v>
      </c>
      <c r="GE894">
        <v>4.288060650386643</v>
      </c>
      <c r="GF894">
        <v>7.5994814435271749</v>
      </c>
      <c r="GG894">
        <v>6.3009222142327452</v>
      </c>
      <c r="GH894">
        <v>3.4688174781967476</v>
      </c>
      <c r="GI894">
        <v>5.5115296507822666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16.213439542483663</v>
      </c>
      <c r="AO895">
        <v>9.7651519804851716</v>
      </c>
      <c r="AP895">
        <v>49.735656845452439</v>
      </c>
      <c r="AQ895">
        <v>48.137307149075362</v>
      </c>
      <c r="AR895">
        <v>9.0437677715642142</v>
      </c>
      <c r="AS895">
        <v>46.411863987384393</v>
      </c>
      <c r="AT895">
        <v>5.8163931414065511</v>
      </c>
      <c r="AU895">
        <v>22.392653826141665</v>
      </c>
      <c r="AV895"/>
      <c r="AW895"/>
      <c r="FY895" s="212">
        <v>890</v>
      </c>
      <c r="FZ895">
        <v>6.4346906288554138</v>
      </c>
      <c r="GA895">
        <v>10.861462765552965</v>
      </c>
      <c r="GB895">
        <v>12.171241257221503</v>
      </c>
      <c r="GC895">
        <v>5.9918039872612949</v>
      </c>
      <c r="GD895">
        <v>1.0777050589552433</v>
      </c>
      <c r="GE895">
        <v>4.6025621450250389</v>
      </c>
      <c r="GF895">
        <v>9.2315932907545388</v>
      </c>
      <c r="GG895">
        <v>4.2883375266565116</v>
      </c>
      <c r="GH895">
        <v>1.5902805058912715</v>
      </c>
      <c r="GI895">
        <v>7.0918484595857079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11.305555555555554</v>
      </c>
      <c r="AO896">
        <v>5.5071417198007451</v>
      </c>
      <c r="AP896">
        <v>26.03736168210229</v>
      </c>
      <c r="AQ896">
        <v>30.487132822486533</v>
      </c>
      <c r="AR896">
        <v>5.0769477746732807</v>
      </c>
      <c r="AS896">
        <v>29.617608428655583</v>
      </c>
      <c r="AT896">
        <v>3.0915785026978431</v>
      </c>
      <c r="AU896">
        <v>0.34438263725470875</v>
      </c>
      <c r="AV896"/>
      <c r="AW896"/>
      <c r="FY896" s="212">
        <v>891</v>
      </c>
      <c r="FZ896">
        <v>6.4549936104222656</v>
      </c>
      <c r="GA896">
        <v>11.123345529767139</v>
      </c>
      <c r="GB896">
        <v>7.794517943854939</v>
      </c>
      <c r="GC896">
        <v>3.863228794963613</v>
      </c>
      <c r="GD896">
        <v>0.87216087666343356</v>
      </c>
      <c r="GE896">
        <v>2.7351899231204433</v>
      </c>
      <c r="GF896">
        <v>6.1870797224537242</v>
      </c>
      <c r="GG896">
        <v>3.013715080338971</v>
      </c>
      <c r="GH896">
        <v>2.0680477317749242</v>
      </c>
      <c r="GI896">
        <v>5.1948202079981858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17.512803665642963</v>
      </c>
      <c r="AO897">
        <v>9.8189572053994851</v>
      </c>
      <c r="AP897">
        <v>66.833564821010398</v>
      </c>
      <c r="AQ897">
        <v>51.232163549455677</v>
      </c>
      <c r="AR897">
        <v>9.0309221023056185</v>
      </c>
      <c r="AS897">
        <v>51.105204955897761</v>
      </c>
      <c r="AT897">
        <v>6.000840275848649</v>
      </c>
      <c r="AU897">
        <v>17.331757705436164</v>
      </c>
      <c r="AV897"/>
      <c r="AW897"/>
      <c r="FY897" s="212">
        <v>892</v>
      </c>
      <c r="FZ897">
        <v>3.5397067290129627</v>
      </c>
      <c r="GA897">
        <v>5.8966295948109764</v>
      </c>
      <c r="GB897">
        <v>9.1811024915506554</v>
      </c>
      <c r="GC897">
        <v>4.9433381030224757</v>
      </c>
      <c r="GD897">
        <v>1.1808476875656972</v>
      </c>
      <c r="GE897">
        <v>3.1037446191858304</v>
      </c>
      <c r="GF897">
        <v>7.1270132000336375</v>
      </c>
      <c r="GG897">
        <v>5.0372159547807014</v>
      </c>
      <c r="GH897">
        <v>2.8776363971378811</v>
      </c>
      <c r="GI897">
        <v>5.8304985689982409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13.990336345381525</v>
      </c>
      <c r="AO898">
        <v>8.8056538580495634</v>
      </c>
      <c r="AP898">
        <v>33.560359602565029</v>
      </c>
      <c r="AQ898">
        <v>43.807663762516867</v>
      </c>
      <c r="AR898">
        <v>8.0309455588777947</v>
      </c>
      <c r="AS898">
        <v>43.345503516862721</v>
      </c>
      <c r="AT898">
        <v>5.1358538238187199</v>
      </c>
      <c r="AU898">
        <v>6.9410359596999314</v>
      </c>
      <c r="AV898"/>
      <c r="AW898"/>
      <c r="FY898" s="212">
        <v>893</v>
      </c>
      <c r="FZ898">
        <v>3.4490792131956711</v>
      </c>
      <c r="GA898">
        <v>9.0900783372790208</v>
      </c>
      <c r="GB898">
        <v>7.8460486492927028</v>
      </c>
      <c r="GC898">
        <v>3.3657594816723133</v>
      </c>
      <c r="GD898">
        <v>1.814545347074219</v>
      </c>
      <c r="GE898">
        <v>6.4234921778135519</v>
      </c>
      <c r="GF898">
        <v>12.769236104700072</v>
      </c>
      <c r="GG898">
        <v>9.1844131026397413</v>
      </c>
      <c r="GH898">
        <v>3.6081869672939142</v>
      </c>
      <c r="GI898">
        <v>7.3978543408337814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17.103081443420741</v>
      </c>
      <c r="AO899">
        <v>10.752665689987008</v>
      </c>
      <c r="AP899">
        <v>202.03394127335662</v>
      </c>
      <c r="AQ899">
        <v>61.478960487465272</v>
      </c>
      <c r="AR899">
        <v>9.9005458327304119</v>
      </c>
      <c r="AS899">
        <v>53.268983278430412</v>
      </c>
      <c r="AT899" t="e">
        <v>#DIV/0!</v>
      </c>
      <c r="AU899" t="e">
        <v>#DIV/0!</v>
      </c>
      <c r="AV899"/>
      <c r="AW899"/>
      <c r="FY899" s="212">
        <v>894</v>
      </c>
      <c r="FZ899">
        <v>6.464034349060416</v>
      </c>
      <c r="GA899">
        <v>9.1737492464518589</v>
      </c>
      <c r="GB899">
        <v>4.8283626419273364</v>
      </c>
      <c r="GC899">
        <v>2.6292068055900799</v>
      </c>
      <c r="GD899">
        <v>1.303497230198976</v>
      </c>
      <c r="GE899">
        <v>2.8941806796548972</v>
      </c>
      <c r="GF899">
        <v>5.1359350656743619</v>
      </c>
      <c r="GG899">
        <v>3.2669762638697932</v>
      </c>
      <c r="GH899">
        <v>1.7421900910417585</v>
      </c>
      <c r="GI899">
        <v>4.6272542248428872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14.311414776754074</v>
      </c>
      <c r="AO900">
        <v>9.3607478039587342</v>
      </c>
      <c r="AP900">
        <v>59.685968900950577</v>
      </c>
      <c r="AQ900">
        <v>46.829258726646515</v>
      </c>
      <c r="AR900">
        <v>8.5930972529917184</v>
      </c>
      <c r="AS900">
        <v>44.253304853565631</v>
      </c>
      <c r="AT900">
        <v>5.0601512240652129</v>
      </c>
      <c r="AU900">
        <v>24.340093341651464</v>
      </c>
      <c r="AV900"/>
      <c r="AW900"/>
      <c r="FY900" s="212">
        <v>895</v>
      </c>
      <c r="FZ900">
        <v>9.7589945471258712</v>
      </c>
      <c r="GA900">
        <v>12.331723152203955</v>
      </c>
      <c r="GB900">
        <v>6.661305690925845</v>
      </c>
      <c r="GC900">
        <v>3.5639506886791925</v>
      </c>
      <c r="GD900">
        <v>1.2596311370048225</v>
      </c>
      <c r="GE900">
        <v>3.9796443307788403</v>
      </c>
      <c r="GF900">
        <v>5.3336468915494777</v>
      </c>
      <c r="GG900">
        <v>2.8680768366792355</v>
      </c>
      <c r="GH900">
        <v>2.4163230753011469</v>
      </c>
      <c r="GI900">
        <v>5.419970850437025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13.008578431372547</v>
      </c>
      <c r="AO901">
        <v>6.8233112009728645</v>
      </c>
      <c r="AP901">
        <v>38.683049139647665</v>
      </c>
      <c r="AQ901">
        <v>35.656607551934243</v>
      </c>
      <c r="AR901">
        <v>6.3349020184862948</v>
      </c>
      <c r="AS901">
        <v>35.644865721837128</v>
      </c>
      <c r="AT901">
        <v>4.1663397521346353</v>
      </c>
      <c r="AU901">
        <v>1.8611562896811686</v>
      </c>
      <c r="AV901"/>
      <c r="AW901"/>
      <c r="FY901" s="212">
        <v>896</v>
      </c>
      <c r="FZ901">
        <v>3.3865110405721559</v>
      </c>
      <c r="GA901">
        <v>10.717071934544808</v>
      </c>
      <c r="GB901">
        <v>8.8059155879425361</v>
      </c>
      <c r="GC901">
        <v>3.355649175045281</v>
      </c>
      <c r="GD901">
        <v>1.5282683164836768</v>
      </c>
      <c r="GE901">
        <v>3.4172914656517785</v>
      </c>
      <c r="GF901">
        <v>9.9382278146109666</v>
      </c>
      <c r="GG901">
        <v>9.5013295630941492</v>
      </c>
      <c r="GH901">
        <v>1.9916748253536327</v>
      </c>
      <c r="GI901">
        <v>6.6705936124520431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16.828775887865184</v>
      </c>
      <c r="AO902">
        <v>11.354300256374659</v>
      </c>
      <c r="AP902">
        <v>71.595442445852271</v>
      </c>
      <c r="AQ902">
        <v>58.692068518788162</v>
      </c>
      <c r="AR902">
        <v>10.397204496227838</v>
      </c>
      <c r="AS902">
        <v>53.64609446614751</v>
      </c>
      <c r="AT902">
        <v>6.3852202187262082</v>
      </c>
      <c r="AU902">
        <v>28.086967912988591</v>
      </c>
      <c r="AV902"/>
      <c r="AW902"/>
      <c r="FY902" s="212">
        <v>897</v>
      </c>
      <c r="FZ902">
        <v>0.12385196823580373</v>
      </c>
      <c r="GA902">
        <v>3.5701603573159235</v>
      </c>
      <c r="GB902">
        <v>8.6660584321869134</v>
      </c>
      <c r="GC902">
        <v>4.5332167070730165</v>
      </c>
      <c r="GD902">
        <v>1.4624482930349414</v>
      </c>
      <c r="GE902">
        <v>3.2914512120501214</v>
      </c>
      <c r="GF902">
        <v>5.6296380170593059</v>
      </c>
      <c r="GG902">
        <v>3.9552331625932355</v>
      </c>
      <c r="GH902">
        <v>1.6282815367306969</v>
      </c>
      <c r="GI902">
        <v>4.8990608776560016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18.547525887865184</v>
      </c>
      <c r="AO903">
        <v>9.98535707430195</v>
      </c>
      <c r="AP903">
        <v>81.351909055878849</v>
      </c>
      <c r="AQ903">
        <v>53.266180070245852</v>
      </c>
      <c r="AR903">
        <v>9.1791434921275794</v>
      </c>
      <c r="AS903">
        <v>50.642091770407099</v>
      </c>
      <c r="AT903">
        <v>4.9064618928122661</v>
      </c>
      <c r="AU903">
        <v>18.04774211695181</v>
      </c>
      <c r="AV903"/>
      <c r="AW903"/>
      <c r="FY903" s="212">
        <v>898</v>
      </c>
      <c r="FZ903">
        <v>6.4974462269347937</v>
      </c>
      <c r="GA903">
        <v>9.2093394560196682</v>
      </c>
      <c r="GB903">
        <v>7.4808374632949635</v>
      </c>
      <c r="GC903">
        <v>4.010890376921644</v>
      </c>
      <c r="GD903">
        <v>1.2190081164210758</v>
      </c>
      <c r="GE903">
        <v>2.2274819638363419</v>
      </c>
      <c r="GF903">
        <v>4.4919126286120754</v>
      </c>
      <c r="GG903">
        <v>4.4921128990880703</v>
      </c>
      <c r="GH903">
        <v>2.0707313783774373</v>
      </c>
      <c r="GI903">
        <v>5.0508242746089138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14.989251122135595</v>
      </c>
      <c r="AO904">
        <v>8.10442863900197</v>
      </c>
      <c r="AP904">
        <v>55.474102007583575</v>
      </c>
      <c r="AQ904">
        <v>45.285154555420945</v>
      </c>
      <c r="AR904">
        <v>7.4821413769499694</v>
      </c>
      <c r="AS904">
        <v>39.222115937611882</v>
      </c>
      <c r="AT904">
        <v>3.4320862655402169</v>
      </c>
      <c r="AU904">
        <v>22.632924852099407</v>
      </c>
      <c r="AV904"/>
      <c r="AW904"/>
      <c r="FY904" s="212">
        <v>899</v>
      </c>
      <c r="FZ904">
        <v>9.5336276710558039</v>
      </c>
      <c r="GA904">
        <v>16.184261873226447</v>
      </c>
      <c r="GB904">
        <v>9.4485391798614877</v>
      </c>
      <c r="GC904">
        <v>3.595313110001944</v>
      </c>
      <c r="GD904">
        <v>0.36946891361329759</v>
      </c>
      <c r="GE904">
        <v>3.8200213428942753</v>
      </c>
      <c r="GF904">
        <v>6.1169703286506429</v>
      </c>
      <c r="GG904">
        <v>1.9255384711354777</v>
      </c>
      <c r="GH904">
        <v>3.58348354275119</v>
      </c>
      <c r="GI904">
        <v>5.8637799664398988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15.089192554531852</v>
      </c>
      <c r="AO905">
        <v>9.1101176688092345</v>
      </c>
      <c r="AP905">
        <v>48.414574420159596</v>
      </c>
      <c r="AQ905">
        <v>48.414186028382012</v>
      </c>
      <c r="AR905">
        <v>8.3597387537796859</v>
      </c>
      <c r="AS905">
        <v>45.7857940008616</v>
      </c>
      <c r="AT905">
        <v>4.7049040181892652</v>
      </c>
      <c r="AU905">
        <v>20.555394730963396</v>
      </c>
      <c r="AV905"/>
      <c r="AW905"/>
      <c r="FY905" s="212">
        <v>900</v>
      </c>
      <c r="FZ905">
        <v>0.15319568844080664</v>
      </c>
      <c r="GA905">
        <v>4.0444506503024549</v>
      </c>
      <c r="GB905">
        <v>7.0736414244409653</v>
      </c>
      <c r="GC905">
        <v>3.2308553059067968</v>
      </c>
      <c r="GD905">
        <v>2.0671328053449498</v>
      </c>
      <c r="GE905">
        <v>3.7118655811627499</v>
      </c>
      <c r="GF905">
        <v>8.5346948089372194</v>
      </c>
      <c r="GG905">
        <v>9.2579642831393265</v>
      </c>
      <c r="GH905">
        <v>1.6305017320511725</v>
      </c>
      <c r="GI905">
        <v>5.8450430211466724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19.648220332309627</v>
      </c>
      <c r="AO906">
        <v>11.705216160140566</v>
      </c>
      <c r="AP906">
        <v>72.028747619533746</v>
      </c>
      <c r="AQ906">
        <v>63.341525625759488</v>
      </c>
      <c r="AR906">
        <v>10.73087113125138</v>
      </c>
      <c r="AS906">
        <v>58.028893562915222</v>
      </c>
      <c r="AT906">
        <v>5.6127218376093033</v>
      </c>
      <c r="AU906">
        <v>18.951579086209108</v>
      </c>
      <c r="AV906"/>
      <c r="AW906"/>
      <c r="FY906" s="212">
        <v>901</v>
      </c>
      <c r="FZ906">
        <v>3.3874343672615668</v>
      </c>
      <c r="GA906">
        <v>4.5578467003219956</v>
      </c>
      <c r="GB906">
        <v>6.0629572901253539</v>
      </c>
      <c r="GC906">
        <v>3.6480219035792811</v>
      </c>
      <c r="GD906">
        <v>1.7412403487564938</v>
      </c>
      <c r="GE906">
        <v>5.3370049452399337</v>
      </c>
      <c r="GF906">
        <v>7.7301288452774601</v>
      </c>
      <c r="GG906">
        <v>4.4385841215736948</v>
      </c>
      <c r="GH906">
        <v>2.5736383999754477</v>
      </c>
      <c r="GI906">
        <v>5.362720648381142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13.639641900937079</v>
      </c>
      <c r="AO907">
        <v>8.5363305589924785</v>
      </c>
      <c r="AP907">
        <v>49.379574996733695</v>
      </c>
      <c r="AQ907">
        <v>49.307099421357634</v>
      </c>
      <c r="AR907">
        <v>7.9010862584804169</v>
      </c>
      <c r="AS907">
        <v>44.33972077859827</v>
      </c>
      <c r="AT907">
        <v>4.1371097965769721</v>
      </c>
      <c r="AU907">
        <v>4.5234484985347834</v>
      </c>
      <c r="AV907"/>
      <c r="AW907"/>
      <c r="FY907" s="212">
        <v>902</v>
      </c>
      <c r="FZ907">
        <v>3.2135608463421779</v>
      </c>
      <c r="GA907">
        <v>6.9043229068780336</v>
      </c>
      <c r="GB907">
        <v>8.0012651730085391</v>
      </c>
      <c r="GC907">
        <v>3.5338580750338018</v>
      </c>
      <c r="GD907">
        <v>0.75700507383680149</v>
      </c>
      <c r="GE907">
        <v>4.4318548984651569</v>
      </c>
      <c r="GF907">
        <v>8.3218411246577482</v>
      </c>
      <c r="GG907">
        <v>5.1194184529528437</v>
      </c>
      <c r="GH907">
        <v>3.4009516365814347</v>
      </c>
      <c r="GI907">
        <v>5.3910935346124216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18.690640011024485</v>
      </c>
      <c r="AO908">
        <v>9.487626298922736</v>
      </c>
      <c r="AP908">
        <v>56.022778847393909</v>
      </c>
      <c r="AQ908">
        <v>48.717733346099067</v>
      </c>
      <c r="AR908">
        <v>8.8008387126687939</v>
      </c>
      <c r="AS908">
        <v>49.704739442710228</v>
      </c>
      <c r="AT908">
        <v>4.5349391682479521</v>
      </c>
      <c r="AU908">
        <v>12.594354869771081</v>
      </c>
      <c r="AV908"/>
      <c r="AW908"/>
      <c r="FY908" s="212">
        <v>903</v>
      </c>
      <c r="FZ908">
        <v>6.5888096439856305</v>
      </c>
      <c r="GA908">
        <v>9.1787879269722534</v>
      </c>
      <c r="GB908">
        <v>8.7924066612449341</v>
      </c>
      <c r="GC908">
        <v>4.9882765972902838</v>
      </c>
      <c r="GD908">
        <v>0.91105763950396323</v>
      </c>
      <c r="GE908">
        <v>2.4226891005068212</v>
      </c>
      <c r="GF908">
        <v>10.934873326275683</v>
      </c>
      <c r="GG908">
        <v>8.748408168554846</v>
      </c>
      <c r="GH908">
        <v>1.5247771718067238</v>
      </c>
      <c r="GI908">
        <v>6.957218826769954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19.495442554531849</v>
      </c>
      <c r="AO909">
        <v>12.298581484131637</v>
      </c>
      <c r="AP909">
        <v>65.127252598899531</v>
      </c>
      <c r="AQ909">
        <v>64.948693721794996</v>
      </c>
      <c r="AR909">
        <v>11.287941569002891</v>
      </c>
      <c r="AS909">
        <v>58.590619534826978</v>
      </c>
      <c r="AT909">
        <v>6.4670579787344176</v>
      </c>
      <c r="AU909">
        <v>23.115357778451955</v>
      </c>
      <c r="AV909"/>
      <c r="AW909"/>
      <c r="FY909" s="212">
        <v>904</v>
      </c>
      <c r="FZ909">
        <v>3.2857320339714384</v>
      </c>
      <c r="GA909">
        <v>6.9259061647125346</v>
      </c>
      <c r="GB909">
        <v>8.4919461789710429</v>
      </c>
      <c r="GC909">
        <v>4.3031149043557289</v>
      </c>
      <c r="GD909">
        <v>1.3257008306137776</v>
      </c>
      <c r="GE909">
        <v>4.3762890329907442</v>
      </c>
      <c r="GF909">
        <v>7.7829348205076725</v>
      </c>
      <c r="GG909">
        <v>5.0892806149556433</v>
      </c>
      <c r="GH909">
        <v>3.6697764933848624</v>
      </c>
      <c r="GI909">
        <v>5.8442739139819135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14.635084455468936</v>
      </c>
      <c r="AO910">
        <v>7.8247632928421877</v>
      </c>
      <c r="AP910">
        <v>62.41041154181022</v>
      </c>
      <c r="AQ910">
        <v>42.065386598312358</v>
      </c>
      <c r="AR910">
        <v>7.230534808704383</v>
      </c>
      <c r="AS910">
        <v>38.236770012740983</v>
      </c>
      <c r="AT910">
        <v>3.4622189544814543</v>
      </c>
      <c r="AU910">
        <v>19.089332906297678</v>
      </c>
      <c r="AV910"/>
      <c r="AW910"/>
      <c r="FY910" s="212">
        <v>905</v>
      </c>
      <c r="FZ910">
        <v>0.31784104526618079</v>
      </c>
      <c r="GA910">
        <v>2.3907568776288652</v>
      </c>
      <c r="GB910">
        <v>6.569075432275878</v>
      </c>
      <c r="GC910">
        <v>3.5530998847631183</v>
      </c>
      <c r="GD910">
        <v>1.381824272460954</v>
      </c>
      <c r="GE910">
        <v>3.8386139920622773</v>
      </c>
      <c r="GF910">
        <v>6.7570088186663204</v>
      </c>
      <c r="GG910">
        <v>4.4099104009159271</v>
      </c>
      <c r="GH910">
        <v>2.362267996935266</v>
      </c>
      <c r="GI910">
        <v>4.6265785752319877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18.32605667769116</v>
      </c>
      <c r="AO911">
        <v>9.0654752138210046</v>
      </c>
      <c r="AP911">
        <v>73.734000293886936</v>
      </c>
      <c r="AQ911">
        <v>53.593267200685418</v>
      </c>
      <c r="AR911">
        <v>8.2965143934440189</v>
      </c>
      <c r="AS911">
        <v>46.494055758966027</v>
      </c>
      <c r="AT911">
        <v>3.7030753761868325</v>
      </c>
      <c r="AU911">
        <v>15.874839815494038</v>
      </c>
      <c r="AV911"/>
      <c r="AW911"/>
      <c r="FY911" s="212">
        <v>906</v>
      </c>
      <c r="FZ911">
        <v>3.4167780874665699</v>
      </c>
      <c r="GA911">
        <v>8.5134417614230387</v>
      </c>
      <c r="GB911">
        <v>8.8123077867427124</v>
      </c>
      <c r="GC911">
        <v>3.5242636441798338</v>
      </c>
      <c r="GD911">
        <v>0.6702455488415211</v>
      </c>
      <c r="GE911">
        <v>3.6071077313516131</v>
      </c>
      <c r="GF911">
        <v>9.9126108389136931</v>
      </c>
      <c r="GG911">
        <v>6.6812744201747449</v>
      </c>
      <c r="GH911">
        <v>1.6400219197430896</v>
      </c>
      <c r="GI911">
        <v>5.9112972834242594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16.003472222222221</v>
      </c>
      <c r="AO912">
        <v>11.227838158804939</v>
      </c>
      <c r="AP912">
        <v>53.645505997277084</v>
      </c>
      <c r="AQ912">
        <v>59.312533335751027</v>
      </c>
      <c r="AR912">
        <v>10.281493787187321</v>
      </c>
      <c r="AS912">
        <v>49.885247480640423</v>
      </c>
      <c r="AT912">
        <v>6.226751095648428</v>
      </c>
      <c r="AU912">
        <v>8.5062158368534249</v>
      </c>
      <c r="AV912"/>
      <c r="AW912"/>
      <c r="FY912" s="212">
        <v>907</v>
      </c>
      <c r="FZ912">
        <v>6.5362055366896765</v>
      </c>
      <c r="GA912">
        <v>12.394862047434263</v>
      </c>
      <c r="GB912">
        <v>8.6910335855257959</v>
      </c>
      <c r="GC912">
        <v>3.7933934189105174</v>
      </c>
      <c r="GD912">
        <v>1.0703554789056278</v>
      </c>
      <c r="GE912">
        <v>5.8873110568327336</v>
      </c>
      <c r="GF912">
        <v>12.556390239087788</v>
      </c>
      <c r="GG912">
        <v>5.6350470361342024</v>
      </c>
      <c r="GH912">
        <v>2.7681548077731488</v>
      </c>
      <c r="GI912">
        <v>7.3470392642443318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21.764105441373335</v>
      </c>
      <c r="AO913">
        <v>8.0350475144709286</v>
      </c>
      <c r="AP913">
        <v>51.575460925764858</v>
      </c>
      <c r="AQ913">
        <v>37.759400563935955</v>
      </c>
      <c r="AR913">
        <v>7.3202821563951046</v>
      </c>
      <c r="AS913">
        <v>43.448245579350846</v>
      </c>
      <c r="AT913">
        <v>4.139566897848141</v>
      </c>
      <c r="AU913">
        <v>34.395521536308969</v>
      </c>
      <c r="AV913"/>
      <c r="AW913"/>
      <c r="FY913" s="212">
        <v>908</v>
      </c>
      <c r="FZ913">
        <v>9.1363417050837253E-2</v>
      </c>
      <c r="GA913">
        <v>3.6836702384894116</v>
      </c>
      <c r="GB913">
        <v>7.3767375761480105</v>
      </c>
      <c r="GC913">
        <v>3.4167389537081525</v>
      </c>
      <c r="GD913">
        <v>1.3671376337828158</v>
      </c>
      <c r="GE913">
        <v>4.3206606354058943</v>
      </c>
      <c r="GF913">
        <v>6.3185433743194714</v>
      </c>
      <c r="GG913">
        <v>4.428468686561704</v>
      </c>
      <c r="GH913">
        <v>2.8416270290867791</v>
      </c>
      <c r="GI913">
        <v>4.7058694671789647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14.618808567603747</v>
      </c>
      <c r="AO914">
        <v>8.4249162505300372</v>
      </c>
      <c r="AP914">
        <v>52.080219394365614</v>
      </c>
      <c r="AQ914">
        <v>46.750584784114984</v>
      </c>
      <c r="AR914">
        <v>7.728731619483268</v>
      </c>
      <c r="AS914">
        <v>43.579482369845763</v>
      </c>
      <c r="AT914">
        <v>3.7153055007348215</v>
      </c>
      <c r="AU914">
        <v>1.5618821441183783</v>
      </c>
      <c r="AV914"/>
      <c r="AW914"/>
      <c r="FY914" s="212">
        <v>909</v>
      </c>
      <c r="FZ914">
        <v>0.15430644058608284</v>
      </c>
      <c r="GA914">
        <v>2.0991679829083085</v>
      </c>
      <c r="GB914">
        <v>2.9043161012855792</v>
      </c>
      <c r="GC914">
        <v>1.4083778872700345</v>
      </c>
      <c r="GD914">
        <v>1.6856862139121944</v>
      </c>
      <c r="GE914">
        <v>5.478689520482904</v>
      </c>
      <c r="GF914">
        <v>6.2595499629438063</v>
      </c>
      <c r="GG914">
        <v>3.7143253832949457</v>
      </c>
      <c r="GH914">
        <v>3.2507125751475234</v>
      </c>
      <c r="GI914">
        <v>3.693721744069518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16.345383986928102</v>
      </c>
      <c r="AO915">
        <v>9.6544028960116499</v>
      </c>
      <c r="AP915">
        <v>89.736962385317625</v>
      </c>
      <c r="AQ915">
        <v>60.441004399630472</v>
      </c>
      <c r="AR915">
        <v>8.9405674608362435</v>
      </c>
      <c r="AS915">
        <v>50.876428991024973</v>
      </c>
      <c r="AT915">
        <v>4.9659141087719814</v>
      </c>
      <c r="AU915">
        <v>24.3420916161012</v>
      </c>
      <c r="AV915"/>
      <c r="AW915"/>
      <c r="FY915" s="212">
        <v>910</v>
      </c>
      <c r="FZ915">
        <v>0.14600160318147892</v>
      </c>
      <c r="GA915">
        <v>3.2598644793474651</v>
      </c>
      <c r="GB915">
        <v>3.9298969885008344</v>
      </c>
      <c r="GC915">
        <v>1.8106844028108942</v>
      </c>
      <c r="GD915">
        <v>1.1453249172419153</v>
      </c>
      <c r="GE915">
        <v>1.8747090794760739</v>
      </c>
      <c r="GF915">
        <v>9.8307602348830727</v>
      </c>
      <c r="GG915">
        <v>11.577349996157976</v>
      </c>
      <c r="GH915">
        <v>2.8189880619596197</v>
      </c>
      <c r="GI915">
        <v>5.0350888609676741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12.229166666666666</v>
      </c>
      <c r="AO916">
        <v>9.7756290989917005</v>
      </c>
      <c r="AP916">
        <v>82.636579918739073</v>
      </c>
      <c r="AQ916">
        <v>45.549345300873121</v>
      </c>
      <c r="AR916">
        <v>8.993933012183188</v>
      </c>
      <c r="AS916">
        <v>45.501289934273139</v>
      </c>
      <c r="AT916">
        <v>6.4408257265989342</v>
      </c>
      <c r="AU916">
        <v>10.270746759182565</v>
      </c>
      <c r="AV916"/>
      <c r="AW916"/>
      <c r="FY916" s="212">
        <v>911</v>
      </c>
      <c r="FZ916">
        <v>6.4771432453679409</v>
      </c>
      <c r="GA916">
        <v>12.340818310366082</v>
      </c>
      <c r="GB916">
        <v>9.5812860198769201</v>
      </c>
      <c r="GC916">
        <v>3.7843852530021249</v>
      </c>
      <c r="GD916">
        <v>0.45815675604045547</v>
      </c>
      <c r="GE916">
        <v>3.0470585143839535</v>
      </c>
      <c r="GF916">
        <v>7.374703345372013</v>
      </c>
      <c r="GG916">
        <v>4.3368141188634981</v>
      </c>
      <c r="GH916">
        <v>1.1620758669979776</v>
      </c>
      <c r="GI916">
        <v>5.5661418767589588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19.163743208126625</v>
      </c>
      <c r="AO917">
        <v>8.8138814128580023</v>
      </c>
      <c r="AP917">
        <v>57.245542182254837</v>
      </c>
      <c r="AQ917">
        <v>44.839577570492374</v>
      </c>
      <c r="AR917">
        <v>8.0703748584460673</v>
      </c>
      <c r="AS917">
        <v>51.875260930465508</v>
      </c>
      <c r="AT917">
        <v>4.0037256549211344</v>
      </c>
      <c r="AU917">
        <v>34.482696696844627</v>
      </c>
      <c r="AV917"/>
      <c r="AW917"/>
      <c r="FY917" s="212">
        <v>912</v>
      </c>
      <c r="FZ917">
        <v>3.3051116888488803</v>
      </c>
      <c r="GA917">
        <v>8.2188083296266257</v>
      </c>
      <c r="GB917">
        <v>7.0492754890355069</v>
      </c>
      <c r="GC917">
        <v>3.0479950326299425</v>
      </c>
      <c r="GD917">
        <v>1.7208822147284601</v>
      </c>
      <c r="GE917">
        <v>4.1488736986269341</v>
      </c>
      <c r="GF917">
        <v>9.6504723580335288</v>
      </c>
      <c r="GG917">
        <v>8.1295344009266444</v>
      </c>
      <c r="GH917">
        <v>1.6926275040513996</v>
      </c>
      <c r="GI917">
        <v>6.0736985777585701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20.194993208126625</v>
      </c>
      <c r="AO918">
        <v>8.7926697758719321</v>
      </c>
      <c r="AP918">
        <v>103.11337250514576</v>
      </c>
      <c r="AQ918">
        <v>49.075171722368957</v>
      </c>
      <c r="AR918">
        <v>8.0685660160327117</v>
      </c>
      <c r="AS918">
        <v>43.944913059758335</v>
      </c>
      <c r="AT918" t="e">
        <v>#DIV/0!</v>
      </c>
      <c r="AU918" t="e">
        <v>#DIV/0!</v>
      </c>
      <c r="AV918"/>
      <c r="AW918"/>
      <c r="FY918" s="212">
        <v>913</v>
      </c>
      <c r="FZ918">
        <v>3.2329405012196193</v>
      </c>
      <c r="GA918">
        <v>7.5007503128803199</v>
      </c>
      <c r="GB918">
        <v>8.4214854193439415</v>
      </c>
      <c r="GC918">
        <v>3.855933504965257</v>
      </c>
      <c r="GD918">
        <v>1.1789811878584742</v>
      </c>
      <c r="GE918">
        <v>5.5953836553235794</v>
      </c>
      <c r="GF918">
        <v>12.339084217477627</v>
      </c>
      <c r="GG918">
        <v>7.8478190281740421</v>
      </c>
      <c r="GH918">
        <v>2.6282066352940587</v>
      </c>
      <c r="GI918">
        <v>6.7750368665933731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13.704861111111109</v>
      </c>
      <c r="AO919">
        <v>12.027303748753443</v>
      </c>
      <c r="AP919">
        <v>53.281704598650634</v>
      </c>
      <c r="AQ919">
        <v>61.047305062911093</v>
      </c>
      <c r="AR919">
        <v>10.974492404480346</v>
      </c>
      <c r="AS919">
        <v>51.290159254158539</v>
      </c>
      <c r="AT919">
        <v>6.4862595834997547</v>
      </c>
      <c r="AU919">
        <v>3.4613947263641709</v>
      </c>
      <c r="AV919"/>
      <c r="AW919"/>
      <c r="FY919" s="212">
        <v>914</v>
      </c>
      <c r="FZ919">
        <v>6.7730220811443118</v>
      </c>
      <c r="GA919">
        <v>10.941091386392527</v>
      </c>
      <c r="GB919">
        <v>8.9222117999090838</v>
      </c>
      <c r="GC919">
        <v>4.0222861362458078</v>
      </c>
      <c r="GD919">
        <v>1.8668865948698667</v>
      </c>
      <c r="GE919">
        <v>4.1792325675972206</v>
      </c>
      <c r="GF919">
        <v>5.7052311154196476</v>
      </c>
      <c r="GG919">
        <v>5.140450074830329</v>
      </c>
      <c r="GH919">
        <v>1.95069608895035</v>
      </c>
      <c r="GI919">
        <v>6.2847364986272529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21.196499232223012</v>
      </c>
      <c r="AO920">
        <v>9.4901117115492823</v>
      </c>
      <c r="AP920">
        <v>97.605510601766511</v>
      </c>
      <c r="AQ920">
        <v>51.094954988445359</v>
      </c>
      <c r="AR920">
        <v>8.7224209914520454</v>
      </c>
      <c r="AS920">
        <v>50.503776303692462</v>
      </c>
      <c r="AT920" t="e">
        <v>#DIV/0!</v>
      </c>
      <c r="AU920" t="e">
        <v>#DIV/0!</v>
      </c>
      <c r="AV920"/>
      <c r="AW920"/>
      <c r="FY920" s="212">
        <v>915</v>
      </c>
      <c r="FZ920">
        <v>3.2726231376639134</v>
      </c>
      <c r="GA920">
        <v>11.652297168181759</v>
      </c>
      <c r="GB920">
        <v>10.268334033123601</v>
      </c>
      <c r="GC920">
        <v>4.1159586198721128</v>
      </c>
      <c r="GD920">
        <v>1.4955822185414394</v>
      </c>
      <c r="GE920">
        <v>2.448289329856574</v>
      </c>
      <c r="GF920">
        <v>2.0576467409358932</v>
      </c>
      <c r="GG920">
        <v>1.2881174822587134</v>
      </c>
      <c r="GH920">
        <v>1.1514638389714076</v>
      </c>
      <c r="GI920">
        <v>4.5978753803523773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12.754978246318608</v>
      </c>
      <c r="AO921">
        <v>7.4194161250419741</v>
      </c>
      <c r="AP921">
        <v>35.452077945813592</v>
      </c>
      <c r="AQ921">
        <v>36.206977296206773</v>
      </c>
      <c r="AR921">
        <v>6.8620373834314616</v>
      </c>
      <c r="AS921">
        <v>39.591427643309771</v>
      </c>
      <c r="AT921">
        <v>4.3351034230655134</v>
      </c>
      <c r="AU921">
        <v>2.4191731237491845</v>
      </c>
      <c r="AV921"/>
      <c r="AW921"/>
      <c r="FY921" s="212">
        <v>916</v>
      </c>
      <c r="FZ921">
        <v>3.4573840506002753</v>
      </c>
      <c r="GA921">
        <v>6.9782650592437054</v>
      </c>
      <c r="GB921">
        <v>7.3383948851254797</v>
      </c>
      <c r="GC921">
        <v>3.9819206065026078</v>
      </c>
      <c r="GD921">
        <v>1.1386952290271892</v>
      </c>
      <c r="GE921">
        <v>2.9014208793485867</v>
      </c>
      <c r="GF921">
        <v>12.203246116473201</v>
      </c>
      <c r="GG921">
        <v>11.217020193201188</v>
      </c>
      <c r="GH921">
        <v>4.0116881816444847</v>
      </c>
      <c r="GI921">
        <v>6.9531238479496782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20.975490196078432</v>
      </c>
      <c r="AO922">
        <v>9.8551688865178964</v>
      </c>
      <c r="AP922">
        <v>68.954973343295137</v>
      </c>
      <c r="AQ922">
        <v>52.689349022261077</v>
      </c>
      <c r="AR922">
        <v>9.0757321372089237</v>
      </c>
      <c r="AS922">
        <v>49.07115536448017</v>
      </c>
      <c r="AT922">
        <v>5.5054873943313218</v>
      </c>
      <c r="AU922">
        <v>39.776758460156472</v>
      </c>
      <c r="AV922"/>
      <c r="AW922"/>
      <c r="FY922" s="212">
        <v>917</v>
      </c>
      <c r="FZ922">
        <v>3.3446068998373093</v>
      </c>
      <c r="GA922">
        <v>7.6546041371948537</v>
      </c>
      <c r="GB922">
        <v>10.825189017241739</v>
      </c>
      <c r="GC922">
        <v>5.1150499487297161</v>
      </c>
      <c r="GD922">
        <v>1.6723041519090134</v>
      </c>
      <c r="GE922">
        <v>6.5274750847485681</v>
      </c>
      <c r="GF922">
        <v>12.765878521121763</v>
      </c>
      <c r="GG922">
        <v>6.9602969252596489</v>
      </c>
      <c r="GH922">
        <v>1.1958650397286039</v>
      </c>
      <c r="GI922">
        <v>7.5972417939651926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18.478081443420741</v>
      </c>
      <c r="AO923">
        <v>12.32114479949737</v>
      </c>
      <c r="AP923">
        <v>86.618701968898321</v>
      </c>
      <c r="AQ923">
        <v>66.679792471538093</v>
      </c>
      <c r="AR923">
        <v>11.348676980843985</v>
      </c>
      <c r="AS923">
        <v>62.923825348421417</v>
      </c>
      <c r="AT923">
        <v>6.6567458771527805</v>
      </c>
      <c r="AU923">
        <v>29.520668383700237</v>
      </c>
      <c r="AV923"/>
      <c r="AW923"/>
      <c r="FY923" s="212">
        <v>918</v>
      </c>
      <c r="FZ923">
        <v>3.2624716468804871</v>
      </c>
      <c r="GA923">
        <v>5.5679093754805926</v>
      </c>
      <c r="GB923">
        <v>6.7484150835851056</v>
      </c>
      <c r="GC923">
        <v>3.5475140013548536</v>
      </c>
      <c r="GD923">
        <v>1.0543565357168665</v>
      </c>
      <c r="GE923">
        <v>1.667880642964005</v>
      </c>
      <c r="GF923">
        <v>10.204748563296995</v>
      </c>
      <c r="GG923">
        <v>10.482892451318831</v>
      </c>
      <c r="GH923">
        <v>0.56950026434959256</v>
      </c>
      <c r="GI923">
        <v>5.824633362745546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18.841579553508151</v>
      </c>
      <c r="AO924">
        <v>7.5763601882559097</v>
      </c>
      <c r="AP924">
        <v>43.396803766273578</v>
      </c>
      <c r="AQ924">
        <v>38.550817011732043</v>
      </c>
      <c r="AR924">
        <v>6.9153676494600642</v>
      </c>
      <c r="AS924">
        <v>40.172250467804297</v>
      </c>
      <c r="AT924">
        <v>3.7288269984765336</v>
      </c>
      <c r="AU924">
        <v>23.717537934652196</v>
      </c>
      <c r="AV924"/>
      <c r="AW924"/>
      <c r="FY924" s="212">
        <v>919</v>
      </c>
      <c r="FZ924">
        <v>3.2940368713760426</v>
      </c>
      <c r="GA924">
        <v>6.1067821398885123</v>
      </c>
      <c r="GB924">
        <v>6.9211253234486465</v>
      </c>
      <c r="GC924">
        <v>3.6912075978939027</v>
      </c>
      <c r="GD924">
        <v>1.2537171041595663</v>
      </c>
      <c r="GE924">
        <v>3.4302127101171589</v>
      </c>
      <c r="GF924">
        <v>11.799840068963551</v>
      </c>
      <c r="GG924">
        <v>10.050475585201891</v>
      </c>
      <c r="GH924">
        <v>3.2707811961044362</v>
      </c>
      <c r="GI924">
        <v>6.7136958580549049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19.255654972832502</v>
      </c>
      <c r="AO925">
        <v>5.8299285326947157</v>
      </c>
      <c r="AP925">
        <v>37.571774173645878</v>
      </c>
      <c r="AQ925">
        <v>30.648853811900899</v>
      </c>
      <c r="AR925">
        <v>5.3503965430690474</v>
      </c>
      <c r="AS925">
        <v>32.270118560558274</v>
      </c>
      <c r="AT925">
        <v>2.8504447911066069</v>
      </c>
      <c r="AU925">
        <v>63.516560521390076</v>
      </c>
      <c r="AV925"/>
      <c r="AW925"/>
      <c r="FY925" s="212">
        <v>920</v>
      </c>
      <c r="FZ925">
        <v>3.3457176519825857</v>
      </c>
      <c r="GA925">
        <v>6.484590646957499</v>
      </c>
      <c r="GB925">
        <v>6.6814513079415772</v>
      </c>
      <c r="GC925">
        <v>3.2265994460897365</v>
      </c>
      <c r="GD925">
        <v>1.329111487326466</v>
      </c>
      <c r="GE925">
        <v>3.6296534403120133</v>
      </c>
      <c r="GF925">
        <v>9.0810984200962324</v>
      </c>
      <c r="GG925">
        <v>8.5185379245411976</v>
      </c>
      <c r="GH925">
        <v>2.9069880509610373</v>
      </c>
      <c r="GI925">
        <v>5.8345975146659068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12.24816176470588</v>
      </c>
      <c r="AO926">
        <v>8.6671655827899396</v>
      </c>
      <c r="AP926">
        <v>28.291496395331322</v>
      </c>
      <c r="AQ926">
        <v>41.428668624527006</v>
      </c>
      <c r="AR926">
        <v>7.9683262235528716</v>
      </c>
      <c r="AS926">
        <v>37.772264821789733</v>
      </c>
      <c r="AT926" t="e">
        <v>#DIV/0!</v>
      </c>
      <c r="AU926" t="e">
        <v>#DIV/0!</v>
      </c>
      <c r="AV926"/>
      <c r="AW926"/>
      <c r="FY926" s="212">
        <v>921</v>
      </c>
      <c r="FZ926">
        <v>0.12366454277993877</v>
      </c>
      <c r="GA926">
        <v>2.2784202763531454</v>
      </c>
      <c r="GB926">
        <v>3.9407191574191067</v>
      </c>
      <c r="GC926">
        <v>2.5224133030663882</v>
      </c>
      <c r="GD926">
        <v>1.6922928445613388</v>
      </c>
      <c r="GE926">
        <v>2.9565890157308883</v>
      </c>
      <c r="GF926">
        <v>5.3304539641543922</v>
      </c>
      <c r="GG926">
        <v>4.2000625598874883</v>
      </c>
      <c r="GH926">
        <v>1.8574348389781243</v>
      </c>
      <c r="GI926">
        <v>3.8937649410524737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17.155164776754077</v>
      </c>
      <c r="AO927">
        <v>9.3049817914356776</v>
      </c>
      <c r="AP927">
        <v>68.694486031789992</v>
      </c>
      <c r="AQ927">
        <v>54.128583307029928</v>
      </c>
      <c r="AR927">
        <v>8.5095974752083929</v>
      </c>
      <c r="AS927">
        <v>44.710465250046497</v>
      </c>
      <c r="AT927">
        <v>4.7064792290508146</v>
      </c>
      <c r="AU927">
        <v>20.962752638610283</v>
      </c>
      <c r="AV927"/>
      <c r="AW927"/>
      <c r="FY927" s="212">
        <v>922</v>
      </c>
      <c r="FZ927">
        <v>6.5157151296669591</v>
      </c>
      <c r="GA927">
        <v>13.061878177042161</v>
      </c>
      <c r="GB927">
        <v>7.7022011296493806</v>
      </c>
      <c r="GC927">
        <v>3.0467240474216055</v>
      </c>
      <c r="GD927">
        <v>0.45981956456946399</v>
      </c>
      <c r="GE927">
        <v>0.85389488047708639</v>
      </c>
      <c r="GF927">
        <v>4.5440076691829674</v>
      </c>
      <c r="GG927">
        <v>4.2832853413491243</v>
      </c>
      <c r="GH927">
        <v>1.9236301568768612</v>
      </c>
      <c r="GI927">
        <v>4.5713712038367147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13.952894912985276</v>
      </c>
      <c r="AO928">
        <v>10.118219424301701</v>
      </c>
      <c r="AP928">
        <v>51.453162514362383</v>
      </c>
      <c r="AQ928">
        <v>53.03727929426649</v>
      </c>
      <c r="AR928">
        <v>9.2945242289355772</v>
      </c>
      <c r="AS928">
        <v>49.936548964497824</v>
      </c>
      <c r="AT928">
        <v>5.6029933544827335</v>
      </c>
      <c r="AU928">
        <v>3.7589440946743919</v>
      </c>
      <c r="AV928"/>
      <c r="AW928"/>
      <c r="FY928" s="212">
        <v>923</v>
      </c>
      <c r="FZ928">
        <v>3.3955517792103063</v>
      </c>
      <c r="GA928">
        <v>6.9195504767993778</v>
      </c>
      <c r="GB928">
        <v>5.6149028746526231</v>
      </c>
      <c r="GC928">
        <v>2.3143004994581879</v>
      </c>
      <c r="GD928">
        <v>0.98641627029970369</v>
      </c>
      <c r="GE928">
        <v>3.0751201363616287</v>
      </c>
      <c r="GF928">
        <v>12.817772946247747</v>
      </c>
      <c r="GG928">
        <v>13.254471002031245</v>
      </c>
      <c r="GH928">
        <v>3.58348354275119</v>
      </c>
      <c r="GI928">
        <v>6.6511670970051053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16.654411764705877</v>
      </c>
      <c r="AO929">
        <v>11.302509164349198</v>
      </c>
      <c r="AP929">
        <v>75.029387628031145</v>
      </c>
      <c r="AQ929">
        <v>59.375621329130297</v>
      </c>
      <c r="AR929">
        <v>10.341044124127258</v>
      </c>
      <c r="AS929">
        <v>59.790874412230394</v>
      </c>
      <c r="AT929">
        <v>6.5695860817499563</v>
      </c>
      <c r="AU929">
        <v>29.759309251791613</v>
      </c>
      <c r="AV929"/>
      <c r="AW929"/>
      <c r="FY929" s="212">
        <v>924</v>
      </c>
      <c r="FZ929">
        <v>6.4944888214106946</v>
      </c>
      <c r="GA929">
        <v>10.941997871494957</v>
      </c>
      <c r="GB929">
        <v>10.085653980973241</v>
      </c>
      <c r="GC929">
        <v>4.6474173364265772</v>
      </c>
      <c r="GD929">
        <v>0.59298054575913928</v>
      </c>
      <c r="GE929">
        <v>2.047628598515479</v>
      </c>
      <c r="GF929">
        <v>4.8622822816075235</v>
      </c>
      <c r="GG929">
        <v>3.4758148860059555</v>
      </c>
      <c r="GH929">
        <v>2.5328384904336243</v>
      </c>
      <c r="GI929">
        <v>5.3580969480588783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19.075303665642963</v>
      </c>
      <c r="AO930">
        <v>10.511442588527428</v>
      </c>
      <c r="AP930">
        <v>65.776869460524793</v>
      </c>
      <c r="AQ930">
        <v>55.785844343986398</v>
      </c>
      <c r="AR930">
        <v>9.6329857678069235</v>
      </c>
      <c r="AS930">
        <v>51.970753579362572</v>
      </c>
      <c r="AT930">
        <v>4.5309343995592162</v>
      </c>
      <c r="AU930">
        <v>27.961880064310755</v>
      </c>
      <c r="AV930"/>
      <c r="AW930"/>
      <c r="FY930" s="212">
        <v>925</v>
      </c>
      <c r="FZ930">
        <v>6.486371409461956</v>
      </c>
      <c r="GA930">
        <v>11.524949591219363</v>
      </c>
      <c r="GB930">
        <v>10.571005637822275</v>
      </c>
      <c r="GC930">
        <v>5.3181077143850395</v>
      </c>
      <c r="GD930">
        <v>0.99165019773141516</v>
      </c>
      <c r="GE930">
        <v>1.4779954439869418</v>
      </c>
      <c r="GF930">
        <v>9.714265966571265</v>
      </c>
      <c r="GG930">
        <v>9.9807478396814275</v>
      </c>
      <c r="GH930">
        <v>2.3029276779428152</v>
      </c>
      <c r="GI930">
        <v>7.2560331975550989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20.208882097015515</v>
      </c>
      <c r="AO931">
        <v>7.2864059817589677</v>
      </c>
      <c r="AP931">
        <v>30.644103623908574</v>
      </c>
      <c r="AQ931">
        <v>42.348187949757794</v>
      </c>
      <c r="AR931">
        <v>6.6762439236703619</v>
      </c>
      <c r="AS931">
        <v>43.241875713899589</v>
      </c>
      <c r="AT931">
        <v>3.636135527871502</v>
      </c>
      <c r="AU931">
        <v>4.5907134586551051</v>
      </c>
      <c r="AV931"/>
      <c r="AW931"/>
      <c r="FY931" s="212">
        <v>926</v>
      </c>
      <c r="FZ931">
        <v>3.4361577423440117</v>
      </c>
      <c r="GA931">
        <v>7.9662728677160715</v>
      </c>
      <c r="GB931">
        <v>10.353403444245401</v>
      </c>
      <c r="GC931">
        <v>4.7878721931652741</v>
      </c>
      <c r="GD931">
        <v>0.71402467078230591</v>
      </c>
      <c r="GE931">
        <v>3.5745077463323622</v>
      </c>
      <c r="GF931">
        <v>7.7569525731822662</v>
      </c>
      <c r="GG931">
        <v>3.8424256245983965</v>
      </c>
      <c r="GH931">
        <v>2.1729360643272759</v>
      </c>
      <c r="GI931">
        <v>5.6603551644384016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13.94097222222222</v>
      </c>
      <c r="AO932">
        <v>11.74132548400884</v>
      </c>
      <c r="AP932">
        <v>45.581422404666426</v>
      </c>
      <c r="AQ932">
        <v>60.181159049116395</v>
      </c>
      <c r="AR932">
        <v>10.825007126247142</v>
      </c>
      <c r="AS932">
        <v>55.951347351882802</v>
      </c>
      <c r="AT932">
        <v>6.6136280294707239</v>
      </c>
      <c r="AU932">
        <v>4.3665627922523065</v>
      </c>
      <c r="AV932"/>
      <c r="AW932"/>
      <c r="FY932" s="212">
        <v>927</v>
      </c>
      <c r="FZ932">
        <v>3.3060350155382912</v>
      </c>
      <c r="GA932">
        <v>9.1636099673543594</v>
      </c>
      <c r="GB932">
        <v>7.7466255853292099</v>
      </c>
      <c r="GC932">
        <v>2.7918248087327386</v>
      </c>
      <c r="GD932">
        <v>0.55289235659189084</v>
      </c>
      <c r="GE932">
        <v>3.8908526279276128</v>
      </c>
      <c r="GF932">
        <v>13.64492832772328</v>
      </c>
      <c r="GG932">
        <v>10.179251495369609</v>
      </c>
      <c r="GH932">
        <v>1.6241464644029944</v>
      </c>
      <c r="GI932">
        <v>6.481938409831125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20.141900937081662</v>
      </c>
      <c r="AO933">
        <v>12.530475779137152</v>
      </c>
      <c r="AP933">
        <v>50.997809190708189</v>
      </c>
      <c r="AQ933">
        <v>63.658511519736408</v>
      </c>
      <c r="AR933">
        <v>11.512306530926105</v>
      </c>
      <c r="AS933">
        <v>65.688332185333437</v>
      </c>
      <c r="AT933">
        <v>6.8995689722631957</v>
      </c>
      <c r="AU933">
        <v>-3.5449488249564478</v>
      </c>
      <c r="AV933"/>
      <c r="AW933"/>
      <c r="FY933" s="212">
        <v>928</v>
      </c>
      <c r="FZ933">
        <v>3.448343311962125</v>
      </c>
      <c r="GA933">
        <v>8.0108122359378306</v>
      </c>
      <c r="GB933">
        <v>5.7726463737382989</v>
      </c>
      <c r="GC933">
        <v>2.7669695349030956</v>
      </c>
      <c r="GD933">
        <v>1.6184127875429233</v>
      </c>
      <c r="GE933">
        <v>4.0554746994569024</v>
      </c>
      <c r="GF933">
        <v>5.591931971303115</v>
      </c>
      <c r="GG933">
        <v>3.1068337653766083</v>
      </c>
      <c r="GH933">
        <v>2.5177339710315323</v>
      </c>
      <c r="GI933">
        <v>4.7174619100213899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16.017156862745097</v>
      </c>
      <c r="AO934">
        <v>10.111254282563904</v>
      </c>
      <c r="AP934">
        <v>55.027409609766742</v>
      </c>
      <c r="AQ934">
        <v>48.930321927692873</v>
      </c>
      <c r="AR934">
        <v>9.2572234728106846</v>
      </c>
      <c r="AS934">
        <v>48.540714166717379</v>
      </c>
      <c r="AT934" t="e">
        <v>#DIV/0!</v>
      </c>
      <c r="AU934" t="e">
        <v>#DIV/0!</v>
      </c>
      <c r="AV934"/>
      <c r="AW934"/>
      <c r="FY934" s="212">
        <v>929</v>
      </c>
      <c r="FZ934">
        <v>6.6792497343470565</v>
      </c>
      <c r="GA934">
        <v>12.484599767777738</v>
      </c>
      <c r="GB934">
        <v>7.5807843825780949</v>
      </c>
      <c r="GC934">
        <v>3.2655459341821182</v>
      </c>
      <c r="GD934">
        <v>1.8665701736822868</v>
      </c>
      <c r="GE934">
        <v>5.3280592029696017</v>
      </c>
      <c r="GF934">
        <v>11.234500539000742</v>
      </c>
      <c r="GG934">
        <v>9.0375461086517408</v>
      </c>
      <c r="GH934">
        <v>3.0865422515669358</v>
      </c>
      <c r="GI934">
        <v>7.3985668368028552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15.338439542483659</v>
      </c>
      <c r="AO935">
        <v>11.315682101457831</v>
      </c>
      <c r="AP935">
        <v>56.783909273435761</v>
      </c>
      <c r="AQ935">
        <v>56.531874455208623</v>
      </c>
      <c r="AR935">
        <v>10.490806048216816</v>
      </c>
      <c r="AS935">
        <v>52.697609578495381</v>
      </c>
      <c r="AT935">
        <v>6.5002262151672285</v>
      </c>
      <c r="AU935">
        <v>25.228565703577512</v>
      </c>
      <c r="AV935"/>
      <c r="AW935"/>
      <c r="FY935" s="212">
        <v>930</v>
      </c>
      <c r="FZ935">
        <v>0.12385196823580373</v>
      </c>
      <c r="GA935">
        <v>3.8401528361880688</v>
      </c>
      <c r="GB935">
        <v>6.1215585424235037</v>
      </c>
      <c r="GC935">
        <v>2.8396181845544377</v>
      </c>
      <c r="GD935">
        <v>0.63547474337837584</v>
      </c>
      <c r="GE935">
        <v>2.5739516493702332</v>
      </c>
      <c r="GF935">
        <v>8.074308952503582</v>
      </c>
      <c r="GG935">
        <v>5.2113083876622159</v>
      </c>
      <c r="GH935">
        <v>1.4058992491434816</v>
      </c>
      <c r="GI935">
        <v>4.2614261908385949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15.877386998976297</v>
      </c>
      <c r="AO936">
        <v>9.7681214650031585</v>
      </c>
      <c r="AP936">
        <v>58.453501599155359</v>
      </c>
      <c r="AQ936">
        <v>51.038345890874254</v>
      </c>
      <c r="AR936">
        <v>8.9817662786493901</v>
      </c>
      <c r="AS936">
        <v>49.831059950051809</v>
      </c>
      <c r="AT936">
        <v>5.3079138437717761</v>
      </c>
      <c r="AU936">
        <v>9.4243969380101262</v>
      </c>
      <c r="AV936"/>
      <c r="AW936"/>
      <c r="FY936" s="212">
        <v>931</v>
      </c>
      <c r="FZ936">
        <v>0.35752368171047505</v>
      </c>
      <c r="GA936">
        <v>4.0885449067342039</v>
      </c>
      <c r="GB936">
        <v>3.5229056633212137</v>
      </c>
      <c r="GC936">
        <v>1.5211225295072617</v>
      </c>
      <c r="GD936">
        <v>0.64514973453947222</v>
      </c>
      <c r="GE936">
        <v>3.5824363083198096</v>
      </c>
      <c r="GF936">
        <v>7.9609823811229212</v>
      </c>
      <c r="GG936">
        <v>4.6708136832270322</v>
      </c>
      <c r="GH936">
        <v>3.801653972229607</v>
      </c>
      <c r="GI936">
        <v>3.6694005354588124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10.789700468540829</v>
      </c>
      <c r="AO937">
        <v>6.3808885978428691</v>
      </c>
      <c r="AP937">
        <v>31.592097850021876</v>
      </c>
      <c r="AQ937">
        <v>28.795815443983287</v>
      </c>
      <c r="AR937">
        <v>5.9243576453040863</v>
      </c>
      <c r="AS937">
        <v>31.822226830652045</v>
      </c>
      <c r="AT937">
        <v>3.6610369944767878</v>
      </c>
      <c r="AU937">
        <v>1.1316936320068562</v>
      </c>
      <c r="AV937"/>
      <c r="AW937"/>
      <c r="FY937" s="212">
        <v>932</v>
      </c>
      <c r="FZ937">
        <v>3.448343311962125</v>
      </c>
      <c r="GA937">
        <v>5.4448046908010088</v>
      </c>
      <c r="GB937">
        <v>5.7163650824339349</v>
      </c>
      <c r="GC937">
        <v>2.9421384392108672</v>
      </c>
      <c r="GD937">
        <v>0.89118734240074249</v>
      </c>
      <c r="GE937">
        <v>2.9290217807231125</v>
      </c>
      <c r="GF937">
        <v>10.83332321105388</v>
      </c>
      <c r="GG937">
        <v>8.5670145167481877</v>
      </c>
      <c r="GH937">
        <v>0.65750025335101026</v>
      </c>
      <c r="GI937">
        <v>5.4162437489984061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12.927836345381525</v>
      </c>
      <c r="AO938">
        <v>7.6061921933826584</v>
      </c>
      <c r="AP938">
        <v>73.198455233638484</v>
      </c>
      <c r="AQ938">
        <v>46.962527300072324</v>
      </c>
      <c r="AR938">
        <v>6.9954617823679577</v>
      </c>
      <c r="AS938">
        <v>40.530848277711051</v>
      </c>
      <c r="AT938" t="e">
        <v>#DIV/0!</v>
      </c>
      <c r="AU938" t="e">
        <v>#DIV/0!</v>
      </c>
      <c r="AV938"/>
      <c r="AW938"/>
      <c r="FY938" s="212">
        <v>933</v>
      </c>
      <c r="FZ938">
        <v>0.1642705059136442</v>
      </c>
      <c r="GA938">
        <v>5.4836171754159757</v>
      </c>
      <c r="GB938">
        <v>9.0860742613818086</v>
      </c>
      <c r="GC938">
        <v>3.7930981942416624</v>
      </c>
      <c r="GD938">
        <v>1.5529034335839547</v>
      </c>
      <c r="GE938">
        <v>5.5162949903136687</v>
      </c>
      <c r="GF938">
        <v>7.5554321852415089</v>
      </c>
      <c r="GG938">
        <v>3.612555380584749</v>
      </c>
      <c r="GH938">
        <v>1.9922535087355551</v>
      </c>
      <c r="GI938">
        <v>5.382988205353719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13.128472222222223</v>
      </c>
      <c r="AO939">
        <v>11.492972462051599</v>
      </c>
      <c r="AP939">
        <v>46.641594896444694</v>
      </c>
      <c r="AQ939">
        <v>58.61273662481711</v>
      </c>
      <c r="AR939">
        <v>10.558150661602459</v>
      </c>
      <c r="AS939">
        <v>49.682777187858228</v>
      </c>
      <c r="AT939">
        <v>6.8567212665100117</v>
      </c>
      <c r="AU939">
        <v>-3.6973516045075288</v>
      </c>
      <c r="AV939"/>
      <c r="AW939"/>
      <c r="FY939" s="212">
        <v>934</v>
      </c>
      <c r="FZ939">
        <v>9.7792975286927231</v>
      </c>
      <c r="GA939">
        <v>11.581796599017473</v>
      </c>
      <c r="GB939">
        <v>2.5154591411069775</v>
      </c>
      <c r="GC939">
        <v>1.3415378726976908</v>
      </c>
      <c r="GD939">
        <v>0.675745590403384</v>
      </c>
      <c r="GE939">
        <v>4.130603903507625</v>
      </c>
      <c r="GF939">
        <v>9.6516538797771254</v>
      </c>
      <c r="GG939">
        <v>5.7667353454056087</v>
      </c>
      <c r="GH939">
        <v>3.1820892232888296</v>
      </c>
      <c r="GI939">
        <v>5.3305794427125166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22.64290987479329</v>
      </c>
      <c r="AO940">
        <v>8.7461292479959081</v>
      </c>
      <c r="AP940">
        <v>63.993472671269735</v>
      </c>
      <c r="AQ940">
        <v>51.039199760686081</v>
      </c>
      <c r="AR940">
        <v>8.0867657203058219</v>
      </c>
      <c r="AS940">
        <v>46.819832938159173</v>
      </c>
      <c r="AT940">
        <v>3.995558244364382</v>
      </c>
      <c r="AU940">
        <v>17.557693414137809</v>
      </c>
      <c r="AV940"/>
      <c r="AW940"/>
      <c r="FY940" s="212">
        <v>935</v>
      </c>
      <c r="FZ940">
        <v>0.11370047745237738</v>
      </c>
      <c r="GA940">
        <v>3.9896818486350138</v>
      </c>
      <c r="GB940">
        <v>7.7633680581459332</v>
      </c>
      <c r="GC940">
        <v>3.6942268910669362</v>
      </c>
      <c r="GD940">
        <v>0.82233399659837159</v>
      </c>
      <c r="GE940">
        <v>2.8053889768036693</v>
      </c>
      <c r="GF940">
        <v>8.5277185499404311</v>
      </c>
      <c r="GG940">
        <v>6.7980035761655451</v>
      </c>
      <c r="GH940">
        <v>3.1679978267726749</v>
      </c>
      <c r="GI940">
        <v>5.2622731088666574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21.845051775730372</v>
      </c>
      <c r="AO941">
        <v>12.378369146337478</v>
      </c>
      <c r="AP941">
        <v>70.298597635216964</v>
      </c>
      <c r="AQ941">
        <v>65.624054676357602</v>
      </c>
      <c r="AR941">
        <v>11.342831204743849</v>
      </c>
      <c r="AS941">
        <v>60.248101244262372</v>
      </c>
      <c r="AT941">
        <v>6.544533400944025</v>
      </c>
      <c r="AU941">
        <v>12.917265306266398</v>
      </c>
      <c r="AV941"/>
      <c r="AW941"/>
      <c r="FY941" s="212">
        <v>936</v>
      </c>
      <c r="FZ941">
        <v>0.20395314235793843</v>
      </c>
      <c r="GA941">
        <v>2.8381939211423894</v>
      </c>
      <c r="GB941">
        <v>7.9366085394008561</v>
      </c>
      <c r="GC941">
        <v>3.9907979593612866</v>
      </c>
      <c r="GD941">
        <v>2.7346327291318491</v>
      </c>
      <c r="GE941">
        <v>6.8697430719165062</v>
      </c>
      <c r="GF941">
        <v>8.321528510757684</v>
      </c>
      <c r="GG941">
        <v>6.4425174914773713</v>
      </c>
      <c r="GH941">
        <v>2.4419397479921634</v>
      </c>
      <c r="GI941">
        <v>6.3932406729578695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17.272467320261438</v>
      </c>
      <c r="AO942">
        <v>9.156690596491817</v>
      </c>
      <c r="AP942">
        <v>61.997605718811343</v>
      </c>
      <c r="AQ942">
        <v>50.264908091131765</v>
      </c>
      <c r="AR942">
        <v>8.4278190475446557</v>
      </c>
      <c r="AS942">
        <v>48.89557411692045</v>
      </c>
      <c r="AT942">
        <v>5.1363488242564301</v>
      </c>
      <c r="AU942">
        <v>22.453414501868529</v>
      </c>
      <c r="AV942"/>
      <c r="AW942"/>
      <c r="FY942" s="212">
        <v>937</v>
      </c>
      <c r="FZ942">
        <v>3.4799085364576805</v>
      </c>
      <c r="GA942">
        <v>6.5275655065840192</v>
      </c>
      <c r="GB942">
        <v>7.293413442378518</v>
      </c>
      <c r="GC942">
        <v>3.5356282630371902</v>
      </c>
      <c r="GD942">
        <v>1.5336598344025072</v>
      </c>
      <c r="GE942">
        <v>3.8702593289090803</v>
      </c>
      <c r="GF942">
        <v>7.0783743754981838</v>
      </c>
      <c r="GG942">
        <v>5.6164998148856426</v>
      </c>
      <c r="GH942">
        <v>1.7698712211483401</v>
      </c>
      <c r="GI942">
        <v>5.4079644172656849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17.876173812898649</v>
      </c>
      <c r="AO943">
        <v>10.986561757170463</v>
      </c>
      <c r="AP943">
        <v>74.557828459788112</v>
      </c>
      <c r="AQ943">
        <v>59.382105058801109</v>
      </c>
      <c r="AR943">
        <v>10.072955314115854</v>
      </c>
      <c r="AS943">
        <v>57.554158335069268</v>
      </c>
      <c r="AT943">
        <v>6.6953040258395022</v>
      </c>
      <c r="AU943">
        <v>5.8190001545193111</v>
      </c>
      <c r="AV943"/>
      <c r="AW943"/>
      <c r="FY943" s="212">
        <v>938</v>
      </c>
      <c r="FZ943">
        <v>0.17349867000765937</v>
      </c>
      <c r="GA943">
        <v>4.5311275412670593</v>
      </c>
      <c r="GB943">
        <v>5.6754457219732295</v>
      </c>
      <c r="GC943">
        <v>2.5324202779057359</v>
      </c>
      <c r="GD943">
        <v>1.2375571416607827</v>
      </c>
      <c r="GE943">
        <v>4.2554606653673925</v>
      </c>
      <c r="GF943">
        <v>7.2959930110084059</v>
      </c>
      <c r="GG943">
        <v>3.044862137228447</v>
      </c>
      <c r="GH943">
        <v>1.2274368888722362</v>
      </c>
      <c r="GI943">
        <v>4.1339754854330231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12.986864123159302</v>
      </c>
      <c r="AO944">
        <v>7.6245548234691469</v>
      </c>
      <c r="AP944">
        <v>42.513814056595265</v>
      </c>
      <c r="AQ944">
        <v>41.606620561273822</v>
      </c>
      <c r="AR944">
        <v>7.0666795063691703</v>
      </c>
      <c r="AS944">
        <v>41.516629187220595</v>
      </c>
      <c r="AT944">
        <v>4.2111504675512039</v>
      </c>
      <c r="AU944">
        <v>11.833095370585895</v>
      </c>
      <c r="AV944"/>
      <c r="AW944"/>
      <c r="FY944" s="212">
        <v>939</v>
      </c>
      <c r="FZ944">
        <v>0.46310674721411343</v>
      </c>
      <c r="GA944">
        <v>4.1000596091095254</v>
      </c>
      <c r="GB944">
        <v>8.6600722063924955</v>
      </c>
      <c r="GC944">
        <v>3.8268631786625109</v>
      </c>
      <c r="GD944">
        <v>1.1693423037733106</v>
      </c>
      <c r="GE944">
        <v>4.2115760451821753</v>
      </c>
      <c r="GF944">
        <v>9.7400902407124583</v>
      </c>
      <c r="GG944">
        <v>6.8549119546091033</v>
      </c>
      <c r="GH944">
        <v>1.0852685210726707</v>
      </c>
      <c r="GI944">
        <v>5.6809637779867712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20.917087467517128</v>
      </c>
      <c r="AO945">
        <v>12.418890894490968</v>
      </c>
      <c r="AP945">
        <v>75.201895787625517</v>
      </c>
      <c r="AQ945">
        <v>67.961964931559166</v>
      </c>
      <c r="AR945">
        <v>11.417126627614479</v>
      </c>
      <c r="AS945">
        <v>62.409493642353212</v>
      </c>
      <c r="AT945">
        <v>6.1415439203768427</v>
      </c>
      <c r="AU945">
        <v>13.043210674207453</v>
      </c>
      <c r="AV945"/>
      <c r="AW945"/>
      <c r="FY945" s="212">
        <v>940</v>
      </c>
      <c r="FZ945">
        <v>9.7084245186646037</v>
      </c>
      <c r="GA945">
        <v>12.964393797128951</v>
      </c>
      <c r="GB945">
        <v>4.0014882241454517</v>
      </c>
      <c r="GC945">
        <v>2.1017225357183609</v>
      </c>
      <c r="GD945">
        <v>1.7414271268225125</v>
      </c>
      <c r="GE945">
        <v>3.915126321867306</v>
      </c>
      <c r="GF945">
        <v>8.7183313895658667</v>
      </c>
      <c r="GG945">
        <v>7.7991339689282828</v>
      </c>
      <c r="GH945">
        <v>1.4848134899569974</v>
      </c>
      <c r="GI945">
        <v>6.0943136829525102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13.339945566580042</v>
      </c>
      <c r="AO946">
        <v>7.0551533278938532</v>
      </c>
      <c r="AP946">
        <v>52.049387700231634</v>
      </c>
      <c r="AQ946">
        <v>35.087550704298295</v>
      </c>
      <c r="AR946">
        <v>6.4852668460241443</v>
      </c>
      <c r="AS946">
        <v>34.921755236490412</v>
      </c>
      <c r="AT946" t="e">
        <v>#DIV/0!</v>
      </c>
      <c r="AU946" t="e">
        <v>#DIV/0!</v>
      </c>
      <c r="AV946"/>
      <c r="AW946"/>
      <c r="FY946" s="212">
        <v>941</v>
      </c>
      <c r="FZ946">
        <v>0.21521538528664097</v>
      </c>
      <c r="GA946">
        <v>3.1853970160714198</v>
      </c>
      <c r="GB946">
        <v>9.3728841485319947</v>
      </c>
      <c r="GC946">
        <v>4.8109111688423942</v>
      </c>
      <c r="GD946">
        <v>1.605845620545379</v>
      </c>
      <c r="GE946">
        <v>3.7792040676062371</v>
      </c>
      <c r="GF946">
        <v>3.8321824460723994</v>
      </c>
      <c r="GG946">
        <v>3.0149438306672369</v>
      </c>
      <c r="GH946">
        <v>3.1833598904849412</v>
      </c>
      <c r="GI946">
        <v>4.8019581138885554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16.107306677691156</v>
      </c>
      <c r="AO947">
        <v>5.7394911600253851</v>
      </c>
      <c r="AP947">
        <v>43.556314994180205</v>
      </c>
      <c r="AQ947">
        <v>33.820533396170809</v>
      </c>
      <c r="AR947">
        <v>5.3396034391015528</v>
      </c>
      <c r="AS947">
        <v>35.867906393437096</v>
      </c>
      <c r="AT947">
        <v>3.2877014877266597</v>
      </c>
      <c r="AU947">
        <v>11.289194194337949</v>
      </c>
      <c r="AV947"/>
      <c r="AW947"/>
      <c r="FY947" s="212">
        <v>942</v>
      </c>
      <c r="FZ947">
        <v>0.3584470083998863</v>
      </c>
      <c r="GA947">
        <v>4.5677813024801015</v>
      </c>
      <c r="GB947">
        <v>6.3257514195044378</v>
      </c>
      <c r="GC947">
        <v>3.1143277523319002</v>
      </c>
      <c r="GD947">
        <v>1.9661982131072135</v>
      </c>
      <c r="GE947">
        <v>4.3471818465613428</v>
      </c>
      <c r="GF947">
        <v>6.5803418140354433</v>
      </c>
      <c r="GG947">
        <v>6.3554712750366136</v>
      </c>
      <c r="GH947">
        <v>3.4505142235717936</v>
      </c>
      <c r="GI947">
        <v>5.0969650106467403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17.385965430348847</v>
      </c>
      <c r="AO948">
        <v>9.2667779811004749</v>
      </c>
      <c r="AP948">
        <v>65.628550308586227</v>
      </c>
      <c r="AQ948">
        <v>46.845942377683272</v>
      </c>
      <c r="AR948">
        <v>8.4965730803570292</v>
      </c>
      <c r="AS948">
        <v>44.824342960743557</v>
      </c>
      <c r="AT948">
        <v>5.0245671911071206</v>
      </c>
      <c r="AU948">
        <v>24.222238051104814</v>
      </c>
      <c r="AV948"/>
      <c r="AW948"/>
      <c r="FY948" s="212">
        <v>943</v>
      </c>
      <c r="FZ948">
        <v>6.5077851431740852</v>
      </c>
      <c r="GA948">
        <v>10.199074794175129</v>
      </c>
      <c r="GB948">
        <v>8.2250620755025956</v>
      </c>
      <c r="GC948">
        <v>4.1994568959085532</v>
      </c>
      <c r="GD948">
        <v>1.2340635857957103</v>
      </c>
      <c r="GE948">
        <v>4.4981072935227759</v>
      </c>
      <c r="GF948">
        <v>6.0272745577797036</v>
      </c>
      <c r="GG948">
        <v>1.7736192918400902</v>
      </c>
      <c r="GH948">
        <v>2.2586503315790258</v>
      </c>
      <c r="GI948">
        <v>5.4641745140805771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17.554470332309631</v>
      </c>
      <c r="AO949">
        <v>8.6021909918829866</v>
      </c>
      <c r="AP949">
        <v>49.378857477599837</v>
      </c>
      <c r="AQ949">
        <v>44.13948784076625</v>
      </c>
      <c r="AR949">
        <v>7.8881028082548195</v>
      </c>
      <c r="AS949">
        <v>44.383943796306355</v>
      </c>
      <c r="AT949">
        <v>4.5477271960523815</v>
      </c>
      <c r="AU949">
        <v>26.785390385281797</v>
      </c>
      <c r="AV949"/>
      <c r="AW949"/>
      <c r="FY949" s="212">
        <v>944</v>
      </c>
      <c r="FZ949">
        <v>3.3658332080935729</v>
      </c>
      <c r="GA949">
        <v>7.6697173277194803</v>
      </c>
      <c r="GB949">
        <v>7.1238627272677695</v>
      </c>
      <c r="GC949">
        <v>3.3374370560303097</v>
      </c>
      <c r="GD949">
        <v>1.0265402118381113</v>
      </c>
      <c r="GE949">
        <v>2.2521132971603599</v>
      </c>
      <c r="GF949">
        <v>9.0367892056385735</v>
      </c>
      <c r="GG949">
        <v>8.9806377302081835</v>
      </c>
      <c r="GH949">
        <v>3.010605716317277</v>
      </c>
      <c r="GI949">
        <v>5.8103482808505831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17.333882097015511</v>
      </c>
      <c r="AO950">
        <v>9.2307354424880863</v>
      </c>
      <c r="AP950">
        <v>96.817844893602214</v>
      </c>
      <c r="AQ950">
        <v>53.955498526609944</v>
      </c>
      <c r="AR950">
        <v>8.5234039200612113</v>
      </c>
      <c r="AS950">
        <v>41.323344072182032</v>
      </c>
      <c r="AT950">
        <v>4.6206796047113059</v>
      </c>
      <c r="AU950">
        <v>53.482707669877307</v>
      </c>
      <c r="AV950"/>
      <c r="AW950"/>
      <c r="FY950" s="212">
        <v>945</v>
      </c>
      <c r="FZ950">
        <v>0.12274121609052756</v>
      </c>
      <c r="GA950">
        <v>3.9099921412340524</v>
      </c>
      <c r="GB950">
        <v>10.406899556903333</v>
      </c>
      <c r="GC950">
        <v>5.0414692664442535</v>
      </c>
      <c r="GD950">
        <v>1.2339870490203513</v>
      </c>
      <c r="GE950">
        <v>2.4347358540410822</v>
      </c>
      <c r="GF950">
        <v>7.7155051247547082</v>
      </c>
      <c r="GG950">
        <v>7.5905038138308916</v>
      </c>
      <c r="GH950">
        <v>2.0571781594381804</v>
      </c>
      <c r="GI950">
        <v>5.7866713630157527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13.598856209150327</v>
      </c>
      <c r="AO951">
        <v>8.6590884030586466</v>
      </c>
      <c r="AP951">
        <v>58.45719270889559</v>
      </c>
      <c r="AQ951">
        <v>42.944693310447612</v>
      </c>
      <c r="AR951">
        <v>7.996316755136144</v>
      </c>
      <c r="AS951">
        <v>44.84387266265658</v>
      </c>
      <c r="AT951" t="e">
        <v>#DIV/0!</v>
      </c>
      <c r="AU951" t="e">
        <v>#DIV/0!</v>
      </c>
      <c r="AV951"/>
      <c r="AW951"/>
      <c r="FY951" s="212">
        <v>946</v>
      </c>
      <c r="FZ951">
        <v>3.3041883621594685</v>
      </c>
      <c r="GA951">
        <v>7.803885648439322</v>
      </c>
      <c r="GB951">
        <v>7.7431422923753148</v>
      </c>
      <c r="GC951">
        <v>3.5977910075416339</v>
      </c>
      <c r="GD951">
        <v>1.5839367647196207</v>
      </c>
      <c r="GE951">
        <v>2.8769145880711986</v>
      </c>
      <c r="GF951">
        <v>5.8283812101609929</v>
      </c>
      <c r="GG951">
        <v>6.5071819872932304</v>
      </c>
      <c r="GH951">
        <v>2.3639750353030111</v>
      </c>
      <c r="GI951">
        <v>5.3604910554675023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17.016275887865184</v>
      </c>
      <c r="AO952">
        <v>10.490131839153056</v>
      </c>
      <c r="AP952">
        <v>59.288414181993133</v>
      </c>
      <c r="AQ952">
        <v>48.173155786495926</v>
      </c>
      <c r="AR952">
        <v>9.5988929495921198</v>
      </c>
      <c r="AS952">
        <v>57.763529980730802</v>
      </c>
      <c r="AT952">
        <v>5.5410869093926136</v>
      </c>
      <c r="AU952">
        <v>19.380111681111199</v>
      </c>
      <c r="AV952"/>
      <c r="AW952"/>
      <c r="FY952" s="212">
        <v>947</v>
      </c>
      <c r="FZ952">
        <v>6.6609808316148911</v>
      </c>
      <c r="GA952">
        <v>9.5212057971284185</v>
      </c>
      <c r="GB952">
        <v>5.3963467043101456</v>
      </c>
      <c r="GC952">
        <v>2.7998296104157596</v>
      </c>
      <c r="GD952">
        <v>1.0668835615882926</v>
      </c>
      <c r="GE952">
        <v>5.5902819720348766</v>
      </c>
      <c r="GF952">
        <v>11.680170285053414</v>
      </c>
      <c r="GG952">
        <v>4.857505951749463</v>
      </c>
      <c r="GH952">
        <v>1.7187573336951463</v>
      </c>
      <c r="GI952">
        <v>6.0522240348797025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11.499999999999996</v>
      </c>
      <c r="AO953">
        <v>8.902503514838795</v>
      </c>
      <c r="AP953">
        <v>44.946820882433791</v>
      </c>
      <c r="AQ953">
        <v>46.113144740566852</v>
      </c>
      <c r="AR953">
        <v>8.2113960441605336</v>
      </c>
      <c r="AS953">
        <v>45.986414515753204</v>
      </c>
      <c r="AT953">
        <v>5.2905832826844721</v>
      </c>
      <c r="AU953">
        <v>10.324035358677614</v>
      </c>
      <c r="AV953"/>
      <c r="AW953"/>
      <c r="FY953" s="212">
        <v>948</v>
      </c>
      <c r="FZ953">
        <v>3.3344554090538829</v>
      </c>
      <c r="GA953">
        <v>6.0594385323245135</v>
      </c>
      <c r="GB953">
        <v>5.95756980263267</v>
      </c>
      <c r="GC953">
        <v>3.0801508992631184</v>
      </c>
      <c r="GD953">
        <v>0.88052111264600086</v>
      </c>
      <c r="GE953">
        <v>4.5115293261248466</v>
      </c>
      <c r="GF953">
        <v>9.9508379326820364</v>
      </c>
      <c r="GG953">
        <v>4.9792872930476495</v>
      </c>
      <c r="GH953">
        <v>2.7299386700961925</v>
      </c>
      <c r="GI953">
        <v>5.3710050950283694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11.833333333333332</v>
      </c>
      <c r="AO954">
        <v>6.6218279453515425</v>
      </c>
      <c r="AP954">
        <v>29.966693278191777</v>
      </c>
      <c r="AQ954">
        <v>34.107777540723973</v>
      </c>
      <c r="AR954">
        <v>6.094088562934564</v>
      </c>
      <c r="AS954">
        <v>35.214639393508847</v>
      </c>
      <c r="AT954">
        <v>3.818692075932983</v>
      </c>
      <c r="AU954">
        <v>10.78808426282782</v>
      </c>
      <c r="AV954"/>
      <c r="AW954"/>
      <c r="FY954" s="212">
        <v>949</v>
      </c>
      <c r="FZ954">
        <v>0.33814402683303352</v>
      </c>
      <c r="GA954">
        <v>4.4091422533927043</v>
      </c>
      <c r="GB954">
        <v>6.8559047808728435</v>
      </c>
      <c r="GC954">
        <v>3.0717975539875804</v>
      </c>
      <c r="GD954">
        <v>1.8860830953773635</v>
      </c>
      <c r="GE954">
        <v>3.3236257433767005</v>
      </c>
      <c r="GF954">
        <v>7.0826787551120383</v>
      </c>
      <c r="GG954">
        <v>6.8464801683725343</v>
      </c>
      <c r="GH954">
        <v>0.93093090196222705</v>
      </c>
      <c r="GI954">
        <v>5.1497419347220514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20.178385109063704</v>
      </c>
      <c r="AO955">
        <v>9.4257074030726784</v>
      </c>
      <c r="AP955">
        <v>55.97806655405266</v>
      </c>
      <c r="AQ955">
        <v>45.792254584715131</v>
      </c>
      <c r="AR955">
        <v>8.6091086534716119</v>
      </c>
      <c r="AS955">
        <v>47.652991219081166</v>
      </c>
      <c r="AT955">
        <v>5.0302538502323246</v>
      </c>
      <c r="AU955">
        <v>26.861971565068171</v>
      </c>
      <c r="AV955"/>
      <c r="AW955"/>
      <c r="FY955" s="212">
        <v>950</v>
      </c>
      <c r="FZ955">
        <v>0.2650495125143616</v>
      </c>
      <c r="GA955">
        <v>4.3508493891851652</v>
      </c>
      <c r="GB955">
        <v>3.8192178647247133</v>
      </c>
      <c r="GC955">
        <v>1.5906838957977452</v>
      </c>
      <c r="GD955">
        <v>0.92356333342515118</v>
      </c>
      <c r="GE955">
        <v>4.700259500438813</v>
      </c>
      <c r="GF955">
        <v>8.8206372785078795</v>
      </c>
      <c r="GG955">
        <v>3.277091698881784</v>
      </c>
      <c r="GH955">
        <v>2.5447231173239246</v>
      </c>
      <c r="GI955">
        <v>4.1160617508723965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19.337354319237733</v>
      </c>
      <c r="AO956">
        <v>10.675076162875659</v>
      </c>
      <c r="AP956">
        <v>80.555938269493794</v>
      </c>
      <c r="AQ956">
        <v>58.529175055750848</v>
      </c>
      <c r="AR956">
        <v>9.730362760136229</v>
      </c>
      <c r="AS956">
        <v>47.299751284380953</v>
      </c>
      <c r="AT956">
        <v>4.5940077423124146</v>
      </c>
      <c r="AU956">
        <v>35.371692354195133</v>
      </c>
      <c r="AV956"/>
      <c r="AW956"/>
      <c r="FY956" s="212">
        <v>951</v>
      </c>
      <c r="FZ956">
        <v>0.17368609546352431</v>
      </c>
      <c r="GA956">
        <v>3.2947370088187693</v>
      </c>
      <c r="GB956">
        <v>5.4863043155075824</v>
      </c>
      <c r="GC956">
        <v>2.0935461136416702</v>
      </c>
      <c r="GD956">
        <v>1.2778280267365896</v>
      </c>
      <c r="GE956">
        <v>3.2860266747127254</v>
      </c>
      <c r="GF956">
        <v>3.9413351837592865</v>
      </c>
      <c r="GG956">
        <v>3.7107373153269902</v>
      </c>
      <c r="GH956">
        <v>1.8115054267146418</v>
      </c>
      <c r="GI956">
        <v>3.4996226714479635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13.062499999999996</v>
      </c>
      <c r="AO957">
        <v>7.5401269080626436</v>
      </c>
      <c r="AP957">
        <v>22.070698278860778</v>
      </c>
      <c r="AQ957">
        <v>37.801901687997201</v>
      </c>
      <c r="AR957">
        <v>6.9189156613506668</v>
      </c>
      <c r="AS957">
        <v>40.588755550048475</v>
      </c>
      <c r="AT957">
        <v>4.2016938145073528</v>
      </c>
      <c r="AU957">
        <v>4.3976050577798169</v>
      </c>
      <c r="AV957"/>
      <c r="AW957"/>
      <c r="FY957" s="212">
        <v>952</v>
      </c>
      <c r="FZ957">
        <v>9.5557773060014792</v>
      </c>
      <c r="GA957">
        <v>12.803166518702163</v>
      </c>
      <c r="GB957">
        <v>8.3859952976105223</v>
      </c>
      <c r="GC957">
        <v>4.1361009190052433</v>
      </c>
      <c r="GD957">
        <v>0.63374848563515873</v>
      </c>
      <c r="GE957">
        <v>3.7599230561444772</v>
      </c>
      <c r="GF957">
        <v>10.646719548938989</v>
      </c>
      <c r="GG957">
        <v>6.6226823929557659</v>
      </c>
      <c r="GH957">
        <v>2.0001818901596122</v>
      </c>
      <c r="GI957">
        <v>6.7518559945394978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16.616970332309627</v>
      </c>
      <c r="AO958">
        <v>8.2461642123664021</v>
      </c>
      <c r="AP958">
        <v>39.116284751590015</v>
      </c>
      <c r="AQ958">
        <v>42.162979865675474</v>
      </c>
      <c r="AR958">
        <v>7.5361119307493327</v>
      </c>
      <c r="AS958">
        <v>46.058114718578061</v>
      </c>
      <c r="AT958">
        <v>4.3124257120205103</v>
      </c>
      <c r="AU958">
        <v>5.5469454970839775</v>
      </c>
      <c r="AV958"/>
      <c r="AW958"/>
      <c r="FY958" s="212">
        <v>953</v>
      </c>
      <c r="FZ958">
        <v>12.818623803793695</v>
      </c>
      <c r="GA958">
        <v>15.914595716841504</v>
      </c>
      <c r="GB958">
        <v>4.6404014316330313</v>
      </c>
      <c r="GC958">
        <v>2.8872079397860353</v>
      </c>
      <c r="GD958">
        <v>1.0971397743346081</v>
      </c>
      <c r="GE958">
        <v>4.0003065630745995</v>
      </c>
      <c r="GF958">
        <v>10.151594728235406</v>
      </c>
      <c r="GG958">
        <v>6.1070538097744063</v>
      </c>
      <c r="GH958">
        <v>2.0930067689602048</v>
      </c>
      <c r="GI958">
        <v>6.4340616099989996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16.905917788802267</v>
      </c>
      <c r="AO959">
        <v>8.9286119106035233</v>
      </c>
      <c r="AP959">
        <v>147.46326903679582</v>
      </c>
      <c r="AQ959">
        <v>50.387268483358248</v>
      </c>
      <c r="AR959">
        <v>8.2119666269559026</v>
      </c>
      <c r="AS959">
        <v>44.307547091923176</v>
      </c>
      <c r="AT959" t="e">
        <v>#DIV/0!</v>
      </c>
      <c r="AU959" t="e">
        <v>#DIV/0!</v>
      </c>
      <c r="AV959"/>
      <c r="AW959"/>
      <c r="FY959" s="212">
        <v>954</v>
      </c>
      <c r="FZ959">
        <v>9.7499538084877209</v>
      </c>
      <c r="GA959">
        <v>11.92815429540547</v>
      </c>
      <c r="GB959">
        <v>7.9970581886770322</v>
      </c>
      <c r="GC959">
        <v>4.6966461090757559</v>
      </c>
      <c r="GD959">
        <v>1.8907319223859473</v>
      </c>
      <c r="GE959">
        <v>4.2803260637230549</v>
      </c>
      <c r="GF959">
        <v>6.8173395281696036</v>
      </c>
      <c r="GG959">
        <v>5.6635012253559811</v>
      </c>
      <c r="GH959">
        <v>2.418172425879181</v>
      </c>
      <c r="GI959">
        <v>6.7945481412361914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15.790581443420738</v>
      </c>
      <c r="AO960">
        <v>9.7581865939556032</v>
      </c>
      <c r="AP960">
        <v>52.967530343487205</v>
      </c>
      <c r="AQ960">
        <v>51.613884761124226</v>
      </c>
      <c r="AR960">
        <v>8.9902050569342329</v>
      </c>
      <c r="AS960">
        <v>50.639113881408534</v>
      </c>
      <c r="AT960">
        <v>5.5343694663641854</v>
      </c>
      <c r="AU960">
        <v>11.135312047609522</v>
      </c>
      <c r="AV960"/>
      <c r="AW960"/>
      <c r="FY960" s="212">
        <v>955</v>
      </c>
      <c r="FZ960">
        <v>0.3279925360496071</v>
      </c>
      <c r="GA960">
        <v>5.624354095751773</v>
      </c>
      <c r="GB960">
        <v>10.787987855914086</v>
      </c>
      <c r="GC960">
        <v>4.7607102846535145</v>
      </c>
      <c r="GD960">
        <v>0.77615074821766128</v>
      </c>
      <c r="GE960">
        <v>1.0949037803641739</v>
      </c>
      <c r="GF960">
        <v>5.2666877828807888</v>
      </c>
      <c r="GG960">
        <v>5.5518353190697844</v>
      </c>
      <c r="GH960">
        <v>0.72427425463166972</v>
      </c>
      <c r="GI960">
        <v>4.7768131358053125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19.510965430348847</v>
      </c>
      <c r="AO961">
        <v>9.4830478356697707</v>
      </c>
      <c r="AP961">
        <v>49.891687249431193</v>
      </c>
      <c r="AQ961">
        <v>46.299683544773131</v>
      </c>
      <c r="AR961">
        <v>8.6943398709580073</v>
      </c>
      <c r="AS961">
        <v>48.81525225029619</v>
      </c>
      <c r="AT961">
        <v>5.1436858729556407</v>
      </c>
      <c r="AU961">
        <v>9.9012949315719077</v>
      </c>
      <c r="AV961"/>
      <c r="AW961"/>
      <c r="FY961" s="212">
        <v>956</v>
      </c>
      <c r="FZ961">
        <v>3.4869151962611431</v>
      </c>
      <c r="GA961">
        <v>7.7268187598774301</v>
      </c>
      <c r="GB961">
        <v>7.0954678620525096</v>
      </c>
      <c r="GC961">
        <v>3.5763574507126652</v>
      </c>
      <c r="GD961">
        <v>2.5591492165826795</v>
      </c>
      <c r="GE961">
        <v>5.257268444870407</v>
      </c>
      <c r="GF961">
        <v>3.0795109075386264</v>
      </c>
      <c r="GG961">
        <v>1.9053076011114967</v>
      </c>
      <c r="GH961">
        <v>3.3186367447270495</v>
      </c>
      <c r="GI961">
        <v>5.2184550977573458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15.775939542483655</v>
      </c>
      <c r="AO962">
        <v>8.8804877370181341</v>
      </c>
      <c r="AP962">
        <v>47.252457593802788</v>
      </c>
      <c r="AQ962">
        <v>46.969887951531291</v>
      </c>
      <c r="AR962">
        <v>8.129025877844521</v>
      </c>
      <c r="AS962">
        <v>45.57620974103979</v>
      </c>
      <c r="AT962">
        <v>4.4781744207771439</v>
      </c>
      <c r="AU962">
        <v>6.475680207568443</v>
      </c>
      <c r="AV962"/>
      <c r="AW962"/>
      <c r="FY962" s="212">
        <v>957</v>
      </c>
      <c r="FZ962">
        <v>0.1135130519965124</v>
      </c>
      <c r="GA962">
        <v>3.6448275742808551</v>
      </c>
      <c r="GB962">
        <v>11.384807892841362</v>
      </c>
      <c r="GC962">
        <v>5.6379291398544087</v>
      </c>
      <c r="GD962">
        <v>2.3242511587654939</v>
      </c>
      <c r="GE962">
        <v>5.4213207949857782</v>
      </c>
      <c r="GF962">
        <v>9.6957031380627896</v>
      </c>
      <c r="GG962">
        <v>9.2775317876773791</v>
      </c>
      <c r="GH962">
        <v>2.8304363176782865</v>
      </c>
      <c r="GI962">
        <v>7.542337085183684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12.302083333333332</v>
      </c>
      <c r="AO963">
        <v>10.111624242119891</v>
      </c>
      <c r="AP963">
        <v>86.033856550263351</v>
      </c>
      <c r="AQ963">
        <v>55.34418608247011</v>
      </c>
      <c r="AR963">
        <v>9.3779362817848746</v>
      </c>
      <c r="AS963">
        <v>47.577946290552042</v>
      </c>
      <c r="AT963" t="e">
        <v>#DIV/0!</v>
      </c>
      <c r="AU963" t="e">
        <v>#DIV/0!</v>
      </c>
      <c r="AV963"/>
      <c r="AW963"/>
      <c r="FY963" s="212">
        <v>958</v>
      </c>
      <c r="FZ963">
        <v>3.4880259484064196</v>
      </c>
      <c r="GA963">
        <v>6.9143303757758137</v>
      </c>
      <c r="GB963">
        <v>9.8839904200805968</v>
      </c>
      <c r="GC963">
        <v>4.8482363851034931</v>
      </c>
      <c r="GD963">
        <v>1.0300755783696554</v>
      </c>
      <c r="GE963">
        <v>3.0986766022638781</v>
      </c>
      <c r="GF963">
        <v>5.8165268658101255</v>
      </c>
      <c r="GG963">
        <v>4.1962391249083666</v>
      </c>
      <c r="GH963">
        <v>2.4411822377487815</v>
      </c>
      <c r="GI963">
        <v>5.3908873240932387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16.574550653594773</v>
      </c>
      <c r="AO964">
        <v>8.8722385684848195</v>
      </c>
      <c r="AP964">
        <v>61.160677322579303</v>
      </c>
      <c r="AQ964">
        <v>46.854734072899276</v>
      </c>
      <c r="AR964">
        <v>8.2149116122091499</v>
      </c>
      <c r="AS964">
        <v>47.690672726436624</v>
      </c>
      <c r="AT964">
        <v>4.7057445075431561</v>
      </c>
      <c r="AU964">
        <v>28.54233137970332</v>
      </c>
      <c r="AV964"/>
      <c r="AW964"/>
      <c r="FY964" s="212">
        <v>959</v>
      </c>
      <c r="FZ964">
        <v>3.2430919920030457</v>
      </c>
      <c r="GA964">
        <v>7.3905589670468865</v>
      </c>
      <c r="GB964">
        <v>4.4780763173408102</v>
      </c>
      <c r="GC964">
        <v>2.0659087657985236</v>
      </c>
      <c r="GD964">
        <v>1.2997917908464451</v>
      </c>
      <c r="GE964">
        <v>2.8993112065130426</v>
      </c>
      <c r="GF964">
        <v>12.354088846962885</v>
      </c>
      <c r="GG964">
        <v>11.556098842844502</v>
      </c>
      <c r="GH964">
        <v>1.834938184061254</v>
      </c>
      <c r="GI964">
        <v>6.162153323936554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15.241217320261436</v>
      </c>
      <c r="AO965">
        <v>8.5337524952157615</v>
      </c>
      <c r="AP965">
        <v>49.25925911111495</v>
      </c>
      <c r="AQ965">
        <v>39.894529214009076</v>
      </c>
      <c r="AR965">
        <v>7.8632926398097869</v>
      </c>
      <c r="AS965">
        <v>43.792968722327593</v>
      </c>
      <c r="AT965" t="e">
        <v>#DIV/0!</v>
      </c>
      <c r="AU965" t="e">
        <v>#DIV/0!</v>
      </c>
      <c r="AV965"/>
      <c r="AW965"/>
      <c r="FY965" s="212">
        <v>960</v>
      </c>
      <c r="FZ965">
        <v>3.253243482786472</v>
      </c>
      <c r="GA965">
        <v>6.8809319202400756</v>
      </c>
      <c r="GB965">
        <v>5.590177983248795</v>
      </c>
      <c r="GC965">
        <v>2.420525125086507</v>
      </c>
      <c r="GD965">
        <v>0.55044147612631278</v>
      </c>
      <c r="GE965">
        <v>3.0695577324697769</v>
      </c>
      <c r="GF965">
        <v>8.228214064468272</v>
      </c>
      <c r="GG965">
        <v>6.0088718750321659</v>
      </c>
      <c r="GH965">
        <v>3.2690741577366911</v>
      </c>
      <c r="GI965">
        <v>4.7163826144946963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16.906798763682183</v>
      </c>
      <c r="AO966">
        <v>6.6552771502937036</v>
      </c>
      <c r="AP966">
        <v>63.709675366596201</v>
      </c>
      <c r="AQ966">
        <v>34.408137341671932</v>
      </c>
      <c r="AR966">
        <v>6.1874690810524964</v>
      </c>
      <c r="AS966">
        <v>35.148956029782902</v>
      </c>
      <c r="AT966">
        <v>4.1763425408500536</v>
      </c>
      <c r="AU966">
        <v>58.197439807955142</v>
      </c>
      <c r="AV966"/>
      <c r="AW966"/>
      <c r="FY966" s="212">
        <v>961</v>
      </c>
      <c r="FZ966">
        <v>12.694584410102026</v>
      </c>
      <c r="GA966">
        <v>17.335652442902031</v>
      </c>
      <c r="GB966">
        <v>5.3724956409170366</v>
      </c>
      <c r="GC966">
        <v>2.5327709220647772</v>
      </c>
      <c r="GD966">
        <v>0.79893872939081811</v>
      </c>
      <c r="GE966">
        <v>2.5532268849640367</v>
      </c>
      <c r="GF966">
        <v>6.8728700405108185</v>
      </c>
      <c r="GG966">
        <v>4.5355262415904534</v>
      </c>
      <c r="GH966">
        <v>1.7050888826560038</v>
      </c>
      <c r="GI966">
        <v>5.6033892543159531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12.598856209150327</v>
      </c>
      <c r="AO967">
        <v>5.5925185542658538</v>
      </c>
      <c r="AP967">
        <v>36.167354542981847</v>
      </c>
      <c r="AQ967">
        <v>28.575328832129742</v>
      </c>
      <c r="AR967">
        <v>5.1410659202660973</v>
      </c>
      <c r="AS967">
        <v>29.959036687803213</v>
      </c>
      <c r="AT967">
        <v>2.7974560143359608</v>
      </c>
      <c r="AU967">
        <v>9.7673801873019279</v>
      </c>
      <c r="AV967"/>
      <c r="AW967"/>
      <c r="FY967" s="212">
        <v>962</v>
      </c>
      <c r="FZ967">
        <v>3.1821830473024875</v>
      </c>
      <c r="GA967">
        <v>5.0873406712266682</v>
      </c>
      <c r="GB967">
        <v>5.4631060628131634</v>
      </c>
      <c r="GC967">
        <v>3.0452886505941268</v>
      </c>
      <c r="GD967">
        <v>1.8919807396315624</v>
      </c>
      <c r="GE967">
        <v>4.7375762419882381</v>
      </c>
      <c r="GF967">
        <v>8.074308952503582</v>
      </c>
      <c r="GG967">
        <v>6.9632093243633353</v>
      </c>
      <c r="GH967">
        <v>3.0381080195623995</v>
      </c>
      <c r="GI967">
        <v>5.6584118577119948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14.813253012048193</v>
      </c>
      <c r="AO968">
        <v>11.414042647270332</v>
      </c>
      <c r="AP968">
        <v>79.801877132137676</v>
      </c>
      <c r="AQ968">
        <v>65.296151409692911</v>
      </c>
      <c r="AR968">
        <v>10.516442991119508</v>
      </c>
      <c r="AS968">
        <v>52.927623869126919</v>
      </c>
      <c r="AT968">
        <v>5.7371627250774146</v>
      </c>
      <c r="AU968">
        <v>4.9930279373651629</v>
      </c>
      <c r="AV968"/>
      <c r="AW968"/>
      <c r="FY968" s="212">
        <v>963</v>
      </c>
      <c r="FZ968">
        <v>0.28812247414944797</v>
      </c>
      <c r="GA968">
        <v>5.5574022612388454</v>
      </c>
      <c r="GB968">
        <v>4.2436802317150724</v>
      </c>
      <c r="GC968">
        <v>1.9925689479868387</v>
      </c>
      <c r="GD968">
        <v>1.067017238760039</v>
      </c>
      <c r="GE968">
        <v>2.1987885477349121</v>
      </c>
      <c r="GF968">
        <v>7.4228144388962978</v>
      </c>
      <c r="GG968">
        <v>6.8114986121067194</v>
      </c>
      <c r="GH968">
        <v>3.4396446512350494</v>
      </c>
      <c r="GI968">
        <v>4.1559565883978236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14.545891900937079</v>
      </c>
      <c r="AO969">
        <v>11.116187359667824</v>
      </c>
      <c r="AP969">
        <v>249.6556738133342</v>
      </c>
      <c r="AQ969">
        <v>66.143992146432495</v>
      </c>
      <c r="AR969">
        <v>10.185577199840999</v>
      </c>
      <c r="AS969">
        <v>51.510591297051477</v>
      </c>
      <c r="AT969" t="e">
        <v>#DIV/0!</v>
      </c>
      <c r="AU969" t="e">
        <v>#DIV/0!</v>
      </c>
      <c r="AV969"/>
      <c r="AW969"/>
      <c r="FY969" s="212">
        <v>964</v>
      </c>
      <c r="FZ969">
        <v>0.27631175544306413</v>
      </c>
      <c r="GA969">
        <v>5.1624811787992932</v>
      </c>
      <c r="GB969">
        <v>8.610546677054705</v>
      </c>
      <c r="GC969">
        <v>4.0441942491053586</v>
      </c>
      <c r="GD969">
        <v>1.068437760316195</v>
      </c>
      <c r="GE969">
        <v>3.3149462869850588</v>
      </c>
      <c r="GF969">
        <v>8.3371309407789358</v>
      </c>
      <c r="GG969">
        <v>6.3655867100486034</v>
      </c>
      <c r="GH969">
        <v>3.324836274470317</v>
      </c>
      <c r="GI969">
        <v>5.4583906641516222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19.201056677691156</v>
      </c>
      <c r="AO970">
        <v>11.574468442766594</v>
      </c>
      <c r="AP970">
        <v>81.520932824944097</v>
      </c>
      <c r="AQ970">
        <v>62.236431708395941</v>
      </c>
      <c r="AR970">
        <v>10.563685612367703</v>
      </c>
      <c r="AS970">
        <v>54.703119966408067</v>
      </c>
      <c r="AT970">
        <v>4.9298283086546242</v>
      </c>
      <c r="AU970">
        <v>21.965081119696997</v>
      </c>
      <c r="AV970"/>
      <c r="AW970"/>
      <c r="FY970" s="212">
        <v>965</v>
      </c>
      <c r="FZ970">
        <v>3.4889492750958304</v>
      </c>
      <c r="GA970">
        <v>7.2401478234578782</v>
      </c>
      <c r="GB970">
        <v>9.3459763834779466</v>
      </c>
      <c r="GC970">
        <v>4.7514604075971034</v>
      </c>
      <c r="GD970">
        <v>0.93334876829214131</v>
      </c>
      <c r="GE970">
        <v>2.7155111825665728</v>
      </c>
      <c r="GF970">
        <v>8.7675186893776029</v>
      </c>
      <c r="GG970">
        <v>7.5854516285235043</v>
      </c>
      <c r="GH970">
        <v>3.6704684771990519</v>
      </c>
      <c r="GI970">
        <v>6.3543123074489962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18.5977709859044</v>
      </c>
      <c r="AO971">
        <v>7.8170016525767938</v>
      </c>
      <c r="AP971">
        <v>41.4335999990506</v>
      </c>
      <c r="AQ971">
        <v>39.691709793338362</v>
      </c>
      <c r="AR971">
        <v>7.1183158981260313</v>
      </c>
      <c r="AS971">
        <v>40.456940124442269</v>
      </c>
      <c r="AT971" t="e">
        <v>#DIV/0!</v>
      </c>
      <c r="AU971" t="e">
        <v>#DIV/0!</v>
      </c>
      <c r="AV971"/>
      <c r="AW971"/>
      <c r="FY971" s="212">
        <v>966</v>
      </c>
      <c r="FZ971">
        <v>6.537316288834953</v>
      </c>
      <c r="GA971">
        <v>9.2697653780627256</v>
      </c>
      <c r="GB971">
        <v>9.5651458259709141</v>
      </c>
      <c r="GC971">
        <v>4.7548404972589395</v>
      </c>
      <c r="GD971">
        <v>1.1123468319760399</v>
      </c>
      <c r="GE971">
        <v>4.1734825895483008</v>
      </c>
      <c r="GF971">
        <v>9.3960933371344897</v>
      </c>
      <c r="GG971">
        <v>5.8620048810441645</v>
      </c>
      <c r="GH971">
        <v>1.5321558816268805</v>
      </c>
      <c r="GI971">
        <v>6.5387192119120359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15.567478246318609</v>
      </c>
      <c r="AO972">
        <v>8.2816725199170662</v>
      </c>
      <c r="AP972">
        <v>29.535713129643316</v>
      </c>
      <c r="AQ972">
        <v>43.223887281491358</v>
      </c>
      <c r="AR972">
        <v>7.6896907949455562</v>
      </c>
      <c r="AS972">
        <v>46.050104293950888</v>
      </c>
      <c r="AT972">
        <v>4.325532312992765</v>
      </c>
      <c r="AU972">
        <v>8.9444696817949385</v>
      </c>
      <c r="AV972"/>
      <c r="AW972"/>
      <c r="FY972" s="212">
        <v>967</v>
      </c>
      <c r="FZ972">
        <v>6.4142002218326954</v>
      </c>
      <c r="GA972">
        <v>10.837443103520474</v>
      </c>
      <c r="GB972">
        <v>7.6007165784170683</v>
      </c>
      <c r="GC972">
        <v>3.3038290798569019</v>
      </c>
      <c r="GD972">
        <v>1.4936695700358462</v>
      </c>
      <c r="GE972">
        <v>4.2336498095753274</v>
      </c>
      <c r="GF972">
        <v>3.9377165083408121</v>
      </c>
      <c r="GG972">
        <v>0.95265380055574833</v>
      </c>
      <c r="GH972">
        <v>1.0719709147759695</v>
      </c>
      <c r="GI972">
        <v>4.8713166702299722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20.090826541459954</v>
      </c>
      <c r="AO973">
        <v>12.563112826478356</v>
      </c>
      <c r="AP973">
        <v>73.301738564613913</v>
      </c>
      <c r="AQ973">
        <v>57.872657941326551</v>
      </c>
      <c r="AR973">
        <v>11.451417778989683</v>
      </c>
      <c r="AS973">
        <v>65.087082854143844</v>
      </c>
      <c r="AT973">
        <v>7.2672113563778531</v>
      </c>
      <c r="AU973">
        <v>28.192676485334086</v>
      </c>
      <c r="AV973"/>
      <c r="AW973"/>
      <c r="FY973" s="212">
        <v>968</v>
      </c>
      <c r="FZ973">
        <v>0.30880030662803065</v>
      </c>
      <c r="GA973">
        <v>2.8774337685934697</v>
      </c>
      <c r="GB973">
        <v>7.7565188133662524</v>
      </c>
      <c r="GC973">
        <v>3.9876271506308241</v>
      </c>
      <c r="GD973">
        <v>0.76041573054948963</v>
      </c>
      <c r="GE973">
        <v>0.93367190778075493</v>
      </c>
      <c r="GF973">
        <v>8.0601283918009727</v>
      </c>
      <c r="GG973">
        <v>9.1407802287013684</v>
      </c>
      <c r="GH973">
        <v>1.7827324562734073</v>
      </c>
      <c r="GI973">
        <v>4.9118088115972487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26.767705626427272</v>
      </c>
      <c r="AO974">
        <v>8.7451076283995217</v>
      </c>
      <c r="AP974">
        <v>58.898533769259402</v>
      </c>
      <c r="AQ974">
        <v>47.108170862560371</v>
      </c>
      <c r="AR974">
        <v>8.016872004681689</v>
      </c>
      <c r="AS974">
        <v>47.024785403010441</v>
      </c>
      <c r="AT974">
        <v>4.5037502071200892</v>
      </c>
      <c r="AU974">
        <v>40.357237191329709</v>
      </c>
      <c r="AV974"/>
      <c r="AW974"/>
      <c r="FY974" s="212">
        <v>969</v>
      </c>
      <c r="FZ974">
        <v>3.2218656837467816</v>
      </c>
      <c r="GA974">
        <v>7.1552320604883004</v>
      </c>
      <c r="GB974">
        <v>5.2342190799009174</v>
      </c>
      <c r="GC974">
        <v>2.0968504522078844</v>
      </c>
      <c r="GD974">
        <v>1.0031816468772972</v>
      </c>
      <c r="GE974">
        <v>2.6094186027960138</v>
      </c>
      <c r="GF974">
        <v>8.5875786723594398</v>
      </c>
      <c r="GG974">
        <v>9.1125345065183634</v>
      </c>
      <c r="GH974">
        <v>4.1569400525670268</v>
      </c>
      <c r="GI974">
        <v>5.3968209322843297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11.678589357429718</v>
      </c>
      <c r="AO975">
        <v>10.711578016052467</v>
      </c>
      <c r="AP975">
        <v>47.805169445834217</v>
      </c>
      <c r="AQ975">
        <v>53.284018237353948</v>
      </c>
      <c r="AR975">
        <v>9.8505539265894022</v>
      </c>
      <c r="AS975">
        <v>46.706582517927757</v>
      </c>
      <c r="AT975">
        <v>6.9898946574728278</v>
      </c>
      <c r="AU975">
        <v>-9.3503236941341452</v>
      </c>
      <c r="AV975"/>
      <c r="AW975"/>
      <c r="FY975" s="212">
        <v>970</v>
      </c>
      <c r="FZ975">
        <v>0.10243823452367483</v>
      </c>
      <c r="GA975">
        <v>3.1031343804463321</v>
      </c>
      <c r="GB975">
        <v>4.8320875497514928</v>
      </c>
      <c r="GC975">
        <v>2.3318677317987446</v>
      </c>
      <c r="GD975">
        <v>1.8701670513409863</v>
      </c>
      <c r="GE975">
        <v>4.840375280690715</v>
      </c>
      <c r="GF975">
        <v>9.6394616910622553</v>
      </c>
      <c r="GG975">
        <v>7.9348652446147971</v>
      </c>
      <c r="GH975">
        <v>2.0711677495490708</v>
      </c>
      <c r="GI975">
        <v>5.4028716950395186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17.362412886841483</v>
      </c>
      <c r="AO976">
        <v>7.7606330170346638</v>
      </c>
      <c r="AP976">
        <v>62.830529670973945</v>
      </c>
      <c r="AQ976">
        <v>43.987420431689763</v>
      </c>
      <c r="AR976">
        <v>7.1876935068313204</v>
      </c>
      <c r="AS976">
        <v>38.67123684722258</v>
      </c>
      <c r="AT976">
        <v>4.4096903719745297</v>
      </c>
      <c r="AU976">
        <v>18.984659713534988</v>
      </c>
      <c r="AV976"/>
      <c r="AW976"/>
      <c r="FY976" s="212">
        <v>971</v>
      </c>
      <c r="FZ976">
        <v>9.6777826208584603</v>
      </c>
      <c r="GA976">
        <v>13.513749450730083</v>
      </c>
      <c r="GB976">
        <v>8.4924026837647748</v>
      </c>
      <c r="GC976">
        <v>4.6419464130848951</v>
      </c>
      <c r="GD976">
        <v>1.1649206519313025</v>
      </c>
      <c r="GE976">
        <v>3.6627361289364639</v>
      </c>
      <c r="GF976">
        <v>7.2664447459925983</v>
      </c>
      <c r="GG976">
        <v>3.0783795761548296</v>
      </c>
      <c r="GH976">
        <v>1.1895781702431001</v>
      </c>
      <c r="GI976">
        <v>6.11343889312964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21.209635109063704</v>
      </c>
      <c r="AO977">
        <v>9.7048716470710907</v>
      </c>
      <c r="AP977">
        <v>98.33447749321023</v>
      </c>
      <c r="AQ977">
        <v>60.004543449413958</v>
      </c>
      <c r="AR977">
        <v>8.9198536448815755</v>
      </c>
      <c r="AS977">
        <v>47.421607829655429</v>
      </c>
      <c r="AT977">
        <v>4.0665626340689514</v>
      </c>
      <c r="AU977">
        <v>26.655456062272815</v>
      </c>
      <c r="AV977"/>
      <c r="AW977"/>
      <c r="FY977" s="212">
        <v>972</v>
      </c>
      <c r="FZ977">
        <v>3.2430919920030457</v>
      </c>
      <c r="GA977">
        <v>6.7715859729476726</v>
      </c>
      <c r="GB977">
        <v>8.8828928147554382</v>
      </c>
      <c r="GC977">
        <v>4.2508797345952294</v>
      </c>
      <c r="GD977">
        <v>0.82321968673802925</v>
      </c>
      <c r="GE977">
        <v>4.1092597100848982</v>
      </c>
      <c r="GF977">
        <v>7.5616975095789742</v>
      </c>
      <c r="GG977">
        <v>2.8383938971291913</v>
      </c>
      <c r="GH977">
        <v>1.8312032029291139</v>
      </c>
      <c r="GI977">
        <v>5.3245335698170972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12.267361111111111</v>
      </c>
      <c r="AO978">
        <v>9.4388187509522652</v>
      </c>
      <c r="AP978">
        <v>90.748296998526129</v>
      </c>
      <c r="AQ978">
        <v>47.141513567697565</v>
      </c>
      <c r="AR978">
        <v>8.6933780085901819</v>
      </c>
      <c r="AS978">
        <v>47.678735795758648</v>
      </c>
      <c r="AT978" t="e">
        <v>#DIV/0!</v>
      </c>
      <c r="AU978" t="e">
        <v>#DIV/0!</v>
      </c>
      <c r="AV978"/>
      <c r="AW978"/>
      <c r="FY978" s="212">
        <v>973</v>
      </c>
      <c r="FZ978">
        <v>3.3446068998373093</v>
      </c>
      <c r="GA978">
        <v>5.6430114686962245</v>
      </c>
      <c r="GB978">
        <v>3.1943676718759288</v>
      </c>
      <c r="GC978">
        <v>1.5095202651556958</v>
      </c>
      <c r="GD978">
        <v>1.0287849504575686</v>
      </c>
      <c r="GE978">
        <v>4.444190839681359</v>
      </c>
      <c r="GF978">
        <v>6.2213228691754612</v>
      </c>
      <c r="GG978">
        <v>1.1127962990489337</v>
      </c>
      <c r="GH978">
        <v>0.46308372029095457</v>
      </c>
      <c r="GI978">
        <v>3.4238880027267551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15.141275887865186</v>
      </c>
      <c r="AO979">
        <v>6.7345137726917796</v>
      </c>
      <c r="AP979">
        <v>46.512262979318933</v>
      </c>
      <c r="AQ979">
        <v>37.177493992221045</v>
      </c>
      <c r="AR979">
        <v>6.2122853370402344</v>
      </c>
      <c r="AS979">
        <v>41.552627008970937</v>
      </c>
      <c r="AT979">
        <v>3.8756790392151665</v>
      </c>
      <c r="AU979">
        <v>8.5119125144245569</v>
      </c>
      <c r="AV979"/>
      <c r="AW979"/>
      <c r="FY979" s="212">
        <v>974</v>
      </c>
      <c r="FZ979">
        <v>3.344794325293174</v>
      </c>
      <c r="GA979">
        <v>8.756743117732487</v>
      </c>
      <c r="GB979">
        <v>11.382200437830672</v>
      </c>
      <c r="GC979">
        <v>5.3008279855402822</v>
      </c>
      <c r="GD979">
        <v>1.5100206006252725</v>
      </c>
      <c r="GE979">
        <v>5.3110133657906173</v>
      </c>
      <c r="GF979">
        <v>9.6434182108447324</v>
      </c>
      <c r="GG979">
        <v>4.8039661098378703</v>
      </c>
      <c r="GH979">
        <v>2.3012571542262403</v>
      </c>
      <c r="GI979">
        <v>7.0679451308314949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12.843749999999996</v>
      </c>
      <c r="AO980">
        <v>8.839335871549121</v>
      </c>
      <c r="AP980">
        <v>27.263363590874068</v>
      </c>
      <c r="AQ980">
        <v>45.962862497153147</v>
      </c>
      <c r="AR980">
        <v>8.1173631576674108</v>
      </c>
      <c r="AS980">
        <v>46.120757692547336</v>
      </c>
      <c r="AT980">
        <v>5.1599011239681305</v>
      </c>
      <c r="AU980">
        <v>4.7691545715356805</v>
      </c>
      <c r="AV980"/>
      <c r="AW980"/>
      <c r="FY980" s="212">
        <v>975</v>
      </c>
      <c r="FZ980">
        <v>0.46199599506883726</v>
      </c>
      <c r="GA980">
        <v>2.1884340944000513</v>
      </c>
      <c r="GB980">
        <v>6.2894696745649545</v>
      </c>
      <c r="GC980">
        <v>3.0089230342930247</v>
      </c>
      <c r="GD980">
        <v>0.92472521746819647</v>
      </c>
      <c r="GE980">
        <v>2.3695358840025809</v>
      </c>
      <c r="GF980">
        <v>2.5747698619182775</v>
      </c>
      <c r="GG980">
        <v>1.1127962990489337</v>
      </c>
      <c r="GH980">
        <v>0.72089669254734912</v>
      </c>
      <c r="GI980">
        <v>2.9752719773064245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14.917419678714859</v>
      </c>
      <c r="AO981">
        <v>10.577812686583909</v>
      </c>
      <c r="AP981">
        <v>43.059549824775559</v>
      </c>
      <c r="AQ981">
        <v>54.853144943036625</v>
      </c>
      <c r="AR981">
        <v>9.7370457475889882</v>
      </c>
      <c r="AS981">
        <v>51.406733069726371</v>
      </c>
      <c r="AT981">
        <v>5.7338080475620474</v>
      </c>
      <c r="AU981">
        <v>-5.3719192006408285</v>
      </c>
      <c r="AV981"/>
      <c r="AW981"/>
      <c r="FY981" s="212">
        <v>976</v>
      </c>
      <c r="FZ981">
        <v>3.3041883621594685</v>
      </c>
      <c r="GA981">
        <v>7.9878561255505716</v>
      </c>
      <c r="GB981">
        <v>4.5958968271983176</v>
      </c>
      <c r="GC981">
        <v>2.1146386931887449</v>
      </c>
      <c r="GD981">
        <v>0.7701795749760173</v>
      </c>
      <c r="GE981">
        <v>0.70323571939434348</v>
      </c>
      <c r="GF981">
        <v>2.6191843918320759</v>
      </c>
      <c r="GG981">
        <v>3.9663688808947191</v>
      </c>
      <c r="GH981">
        <v>2.8678586651357891</v>
      </c>
      <c r="GI981">
        <v>3.2101555627827572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19.108812701787542</v>
      </c>
      <c r="AO982">
        <v>10.830234520726659</v>
      </c>
      <c r="AP982">
        <v>84.101999618429645</v>
      </c>
      <c r="AQ982">
        <v>58.741870723369445</v>
      </c>
      <c r="AR982">
        <v>9.9892729699902052</v>
      </c>
      <c r="AS982">
        <v>59.401141788890271</v>
      </c>
      <c r="AT982">
        <v>5.8007331100511275</v>
      </c>
      <c r="AU982">
        <v>7.7215916635827906</v>
      </c>
      <c r="AV982"/>
      <c r="AW982"/>
      <c r="FY982" s="212">
        <v>977</v>
      </c>
      <c r="FZ982">
        <v>0.26670874043731901</v>
      </c>
      <c r="GA982">
        <v>3.6117090715543663</v>
      </c>
      <c r="GB982">
        <v>8.5294992567199976</v>
      </c>
      <c r="GC982">
        <v>4.2194263338111124</v>
      </c>
      <c r="GD982">
        <v>2.2326607060238772</v>
      </c>
      <c r="GE982">
        <v>6.5449127092534738</v>
      </c>
      <c r="GF982">
        <v>10.99477828775558</v>
      </c>
      <c r="GG982">
        <v>6.7980035761655451</v>
      </c>
      <c r="GH982">
        <v>1.4879335077311437</v>
      </c>
      <c r="GI982">
        <v>6.653818557558342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14.43825301204819</v>
      </c>
      <c r="AO983">
        <v>7.9761820493477149</v>
      </c>
      <c r="AP983">
        <v>55.778175757383629</v>
      </c>
      <c r="AQ983">
        <v>44.717166257140818</v>
      </c>
      <c r="AR983">
        <v>7.3610108469245477</v>
      </c>
      <c r="AS983">
        <v>41.549949417263363</v>
      </c>
      <c r="AT983">
        <v>3.7485588411525335</v>
      </c>
      <c r="AU983">
        <v>8.1643295035447725</v>
      </c>
      <c r="AV983"/>
      <c r="AW983"/>
      <c r="FY983" s="212">
        <v>978</v>
      </c>
      <c r="FZ983">
        <v>0.13492678570864131</v>
      </c>
      <c r="GA983">
        <v>1.8933901403133038</v>
      </c>
      <c r="GB983">
        <v>5.3172821427099013</v>
      </c>
      <c r="GC983">
        <v>3.1131353074893431</v>
      </c>
      <c r="GD983">
        <v>1.3367244357766637</v>
      </c>
      <c r="GE983">
        <v>2.3150785523166877</v>
      </c>
      <c r="GF983">
        <v>4.3428329442733968</v>
      </c>
      <c r="GG983">
        <v>4.3329796194871602</v>
      </c>
      <c r="GH983">
        <v>2.4952373161146624</v>
      </c>
      <c r="GI983">
        <v>3.7721847043556318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15.565640011024488</v>
      </c>
      <c r="AO984">
        <v>8.193493569874402</v>
      </c>
      <c r="AP984">
        <v>29.042387513040687</v>
      </c>
      <c r="AQ984">
        <v>40.519917565921816</v>
      </c>
      <c r="AR984">
        <v>7.4908760500496783</v>
      </c>
      <c r="AS984">
        <v>39.670716836126857</v>
      </c>
      <c r="AT984">
        <v>4.5377365311979245</v>
      </c>
      <c r="AU984">
        <v>1.2515111216526067</v>
      </c>
      <c r="AV984"/>
      <c r="AW984"/>
      <c r="FY984" s="212">
        <v>979</v>
      </c>
      <c r="FZ984">
        <v>4.1529289823116655E-2</v>
      </c>
      <c r="GA984">
        <v>2.9084681024390724</v>
      </c>
      <c r="GB984">
        <v>4.0807398235746888</v>
      </c>
      <c r="GC984">
        <v>2.1717973594140312</v>
      </c>
      <c r="GD984">
        <v>2.0114082429748894</v>
      </c>
      <c r="GE984">
        <v>5.0954668508730698</v>
      </c>
      <c r="GF984">
        <v>5.715948777087803</v>
      </c>
      <c r="GG984">
        <v>2.3155512136423106</v>
      </c>
      <c r="GH984">
        <v>1.4500747891020072</v>
      </c>
      <c r="GI984">
        <v>3.8204637364763596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15.182189542483659</v>
      </c>
      <c r="AO985">
        <v>9.0950454488960393</v>
      </c>
      <c r="AP985">
        <v>46.91251796469345</v>
      </c>
      <c r="AQ985">
        <v>48.574641689746358</v>
      </c>
      <c r="AR985">
        <v>8.4146506461181829</v>
      </c>
      <c r="AS985">
        <v>42.995400963105133</v>
      </c>
      <c r="AT985">
        <v>4.7051122527442031</v>
      </c>
      <c r="AU985">
        <v>9.3289164184983004</v>
      </c>
      <c r="AV985"/>
      <c r="AW985"/>
      <c r="FY985" s="212">
        <v>980</v>
      </c>
      <c r="FZ985">
        <v>3.4900600272411069</v>
      </c>
      <c r="GA985">
        <v>6.0395716082266517</v>
      </c>
      <c r="GB985">
        <v>8.6015037495993454</v>
      </c>
      <c r="GC985">
        <v>4.6486158716306196</v>
      </c>
      <c r="GD985">
        <v>1.6185424306644844</v>
      </c>
      <c r="GE985">
        <v>4.2758561745581076</v>
      </c>
      <c r="GF985">
        <v>4.6348575345333716</v>
      </c>
      <c r="GG985">
        <v>1.5464419154941398</v>
      </c>
      <c r="GH985">
        <v>1.2919251684032278</v>
      </c>
      <c r="GI985">
        <v>4.9381029425757834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16.277573529411764</v>
      </c>
      <c r="AO986">
        <v>9.1035393010046395</v>
      </c>
      <c r="AP986">
        <v>58.483802783201092</v>
      </c>
      <c r="AQ986">
        <v>42.12843660881758</v>
      </c>
      <c r="AR986">
        <v>8.3519746490368689</v>
      </c>
      <c r="AS986">
        <v>44.385825743199007</v>
      </c>
      <c r="AT986">
        <v>5.2570489127649136</v>
      </c>
      <c r="AU986">
        <v>48.031005294291575</v>
      </c>
      <c r="AV986"/>
      <c r="AW986"/>
      <c r="FY986" s="212">
        <v>981</v>
      </c>
      <c r="FZ986">
        <v>0.27778355791015663</v>
      </c>
      <c r="GA986">
        <v>4.1326644060954205</v>
      </c>
      <c r="GB986">
        <v>9.1694918779644095</v>
      </c>
      <c r="GC986">
        <v>4.2550724731322411</v>
      </c>
      <c r="GD986">
        <v>0.59968234394346587</v>
      </c>
      <c r="GE986">
        <v>1.0297038103256724</v>
      </c>
      <c r="GF986">
        <v>7.4825966731232949</v>
      </c>
      <c r="GG986">
        <v>7.5692637249146344</v>
      </c>
      <c r="GH986">
        <v>2.0018524138761875</v>
      </c>
      <c r="GI986">
        <v>5.0099361292732896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21.149101307189543</v>
      </c>
      <c r="AO987">
        <v>10.273632061327357</v>
      </c>
      <c r="AP987">
        <v>88.350005057187929</v>
      </c>
      <c r="AQ987">
        <v>58.801379334826159</v>
      </c>
      <c r="AR987">
        <v>9.4039203461367684</v>
      </c>
      <c r="AS987">
        <v>52.601789418116475</v>
      </c>
      <c r="AT987">
        <v>4.7513004240136647</v>
      </c>
      <c r="AU987">
        <v>39.361884142079873</v>
      </c>
      <c r="AV987"/>
      <c r="AW987"/>
      <c r="FY987" s="212">
        <v>982</v>
      </c>
      <c r="FZ987">
        <v>6.5055636388835332</v>
      </c>
      <c r="GA987">
        <v>9.083830105605216</v>
      </c>
      <c r="GB987">
        <v>6.0040815930998415</v>
      </c>
      <c r="GC987">
        <v>3.153724372774052</v>
      </c>
      <c r="GD987">
        <v>1.1992507191435851</v>
      </c>
      <c r="GE987">
        <v>2.7156827154877798</v>
      </c>
      <c r="GF987">
        <v>5.7194116761222551</v>
      </c>
      <c r="GG987">
        <v>4.1716083706657088</v>
      </c>
      <c r="GH987">
        <v>1.0070462640733444</v>
      </c>
      <c r="GI987">
        <v>4.8020569494516216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14.289700468540829</v>
      </c>
      <c r="AO988">
        <v>8.6859062037756996</v>
      </c>
      <c r="AP988">
        <v>38.873300552883094</v>
      </c>
      <c r="AQ988">
        <v>45.636758090578702</v>
      </c>
      <c r="AR988">
        <v>8.0171895559156301</v>
      </c>
      <c r="AS988">
        <v>44.517873669305104</v>
      </c>
      <c r="AT988">
        <v>4.5472654222739601</v>
      </c>
      <c r="AU988">
        <v>-0.1794389747876583</v>
      </c>
      <c r="AV988"/>
      <c r="AW988"/>
      <c r="FY988" s="212">
        <v>983</v>
      </c>
      <c r="FZ988">
        <v>3.4077373488284195</v>
      </c>
      <c r="GA988">
        <v>5.0515211126082011</v>
      </c>
      <c r="GB988">
        <v>5.5876599911862428</v>
      </c>
      <c r="GC988">
        <v>2.7874207478157631</v>
      </c>
      <c r="GD988">
        <v>0.45888713046062951</v>
      </c>
      <c r="GE988">
        <v>4.0554341725227596</v>
      </c>
      <c r="GF988">
        <v>6.8882046956928917</v>
      </c>
      <c r="GG988">
        <v>2.3724706564830851</v>
      </c>
      <c r="GH988">
        <v>2.1822774251577344</v>
      </c>
      <c r="GI988">
        <v>4.0088685111208058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13.027445566580045</v>
      </c>
      <c r="AO989">
        <v>5.6500615648319421</v>
      </c>
      <c r="AP989">
        <v>43.4083088799946</v>
      </c>
      <c r="AQ989">
        <v>30.38557298694619</v>
      </c>
      <c r="AR989">
        <v>5.1889542541265632</v>
      </c>
      <c r="AS989">
        <v>30.24191788127726</v>
      </c>
      <c r="AT989">
        <v>2.693861321077859</v>
      </c>
      <c r="AU989">
        <v>19.268375348701532</v>
      </c>
      <c r="AV989"/>
      <c r="AW989"/>
      <c r="FY989" s="212">
        <v>984</v>
      </c>
      <c r="FZ989">
        <v>0.19491240371978827</v>
      </c>
      <c r="GA989">
        <v>3.7605130194020502</v>
      </c>
      <c r="GB989">
        <v>7.9001357167356145</v>
      </c>
      <c r="GC989">
        <v>4.1481097491995644</v>
      </c>
      <c r="GD989">
        <v>1.2271028435007738</v>
      </c>
      <c r="GE989">
        <v>2.1977024563490439</v>
      </c>
      <c r="GF989">
        <v>10.088254294985187</v>
      </c>
      <c r="GG989">
        <v>9.3846004071033473</v>
      </c>
      <c r="GH989">
        <v>0.98234283953062029</v>
      </c>
      <c r="GI989">
        <v>5.7322721864790536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15.615336345381525</v>
      </c>
      <c r="AO990">
        <v>11.526978068639725</v>
      </c>
      <c r="AP990">
        <v>51.780144633058732</v>
      </c>
      <c r="AQ990">
        <v>59.422186438552842</v>
      </c>
      <c r="AR990">
        <v>10.64676262031062</v>
      </c>
      <c r="AS990">
        <v>56.033913388233458</v>
      </c>
      <c r="AT990">
        <v>6.652351309771066</v>
      </c>
      <c r="AU990">
        <v>9.999341924145666</v>
      </c>
      <c r="AV990"/>
      <c r="AW990"/>
      <c r="FY990" s="212">
        <v>985</v>
      </c>
      <c r="FZ990">
        <v>9.5539306526226575</v>
      </c>
      <c r="GA990">
        <v>13.471398025096693</v>
      </c>
      <c r="GB990">
        <v>6.5488145301818097</v>
      </c>
      <c r="GC990">
        <v>2.9489941302964926</v>
      </c>
      <c r="GD990">
        <v>0.75752763687050173</v>
      </c>
      <c r="GE990">
        <v>3.6913894553301074</v>
      </c>
      <c r="GF990">
        <v>5.1588723433215158</v>
      </c>
      <c r="GG990">
        <v>2.0957964046406543</v>
      </c>
      <c r="GH990">
        <v>2.5261807762056794</v>
      </c>
      <c r="GI990">
        <v>5.0067871555459771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11.008450468540829</v>
      </c>
      <c r="AO991">
        <v>4.6534522089812143</v>
      </c>
      <c r="AP991">
        <v>22.934949299461213</v>
      </c>
      <c r="AQ991">
        <v>22.626818730618631</v>
      </c>
      <c r="AR991">
        <v>4.3111527056393708</v>
      </c>
      <c r="AS991">
        <v>26.835053410848353</v>
      </c>
      <c r="AT991">
        <v>2.7014295509836255</v>
      </c>
      <c r="AU991">
        <v>0.38100249269429187</v>
      </c>
      <c r="AV991"/>
      <c r="AW991"/>
      <c r="FY991" s="212">
        <v>986</v>
      </c>
      <c r="FZ991">
        <v>0.18568423962577313</v>
      </c>
      <c r="GA991">
        <v>1.403183945407199</v>
      </c>
      <c r="GB991">
        <v>4.5283586644471772</v>
      </c>
      <c r="GC991">
        <v>2.5476285303961248</v>
      </c>
      <c r="GD991">
        <v>1.1391369171536321</v>
      </c>
      <c r="GE991">
        <v>5.6689039746754482</v>
      </c>
      <c r="GF991">
        <v>11.994696811807584</v>
      </c>
      <c r="GG991">
        <v>6.5580178971399077</v>
      </c>
      <c r="GH991">
        <v>1.8592841895561585</v>
      </c>
      <c r="GI991">
        <v>5.173728829519475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9.9390060240963827</v>
      </c>
      <c r="AO992">
        <v>5.268432804036018</v>
      </c>
      <c r="AP992">
        <v>30.699978979169046</v>
      </c>
      <c r="AQ992">
        <v>32.139562803112803</v>
      </c>
      <c r="AR992">
        <v>4.8189711966741413</v>
      </c>
      <c r="AS992">
        <v>27.710619396863642</v>
      </c>
      <c r="AT992">
        <v>2.6555417313554579</v>
      </c>
      <c r="AU992">
        <v>-1.4305304664604053</v>
      </c>
      <c r="AV992"/>
      <c r="AW992"/>
      <c r="FY992" s="212">
        <v>987</v>
      </c>
      <c r="FZ992">
        <v>3.2744697910427361</v>
      </c>
      <c r="GA992">
        <v>7.7735875751394357</v>
      </c>
      <c r="GB992">
        <v>3.4305911899341046</v>
      </c>
      <c r="GC992">
        <v>1.3940284335386965</v>
      </c>
      <c r="GD992">
        <v>1.5288392549761078</v>
      </c>
      <c r="GE992">
        <v>3.094298088778809</v>
      </c>
      <c r="GF992">
        <v>3.3617898626299278</v>
      </c>
      <c r="GG992">
        <v>2.8061052085310743</v>
      </c>
      <c r="GH992">
        <v>2.8304363176782861</v>
      </c>
      <c r="GI992">
        <v>3.5231633159964506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13.482638888888886</v>
      </c>
      <c r="AO993">
        <v>10.91305607734733</v>
      </c>
      <c r="AP993">
        <v>45.82821184511107</v>
      </c>
      <c r="AQ993">
        <v>51.339450747010758</v>
      </c>
      <c r="AR993">
        <v>10.018137536239232</v>
      </c>
      <c r="AS993">
        <v>49.399656108844994</v>
      </c>
      <c r="AT993">
        <v>6.9345555591085573</v>
      </c>
      <c r="AU993">
        <v>17.442824639686307</v>
      </c>
      <c r="AV993"/>
      <c r="AW993"/>
      <c r="FY993" s="212">
        <v>988</v>
      </c>
      <c r="FZ993">
        <v>3.3244913437263213</v>
      </c>
      <c r="GA993">
        <v>7.2718055912966113</v>
      </c>
      <c r="GB993">
        <v>5.551067481217915</v>
      </c>
      <c r="GC993">
        <v>2.4497820414652476</v>
      </c>
      <c r="GD993">
        <v>1.6584140435076022</v>
      </c>
      <c r="GE993">
        <v>3.9118114573654541</v>
      </c>
      <c r="GF993">
        <v>9.1414291295995156</v>
      </c>
      <c r="GG993">
        <v>8.7037660757241984</v>
      </c>
      <c r="GH993">
        <v>2.0285184894292128</v>
      </c>
      <c r="GI993">
        <v>5.7359660531011638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13.693359221198516</v>
      </c>
      <c r="AO994">
        <v>6.1284270854438052</v>
      </c>
      <c r="AP994">
        <v>33.463732639207443</v>
      </c>
      <c r="AQ994">
        <v>29.053771948545389</v>
      </c>
      <c r="AR994">
        <v>5.6244591099977228</v>
      </c>
      <c r="AS994">
        <v>31.952512669942283</v>
      </c>
      <c r="AT994">
        <v>3.220347965453437</v>
      </c>
      <c r="AU994">
        <v>48.133697954949028</v>
      </c>
      <c r="AV994"/>
      <c r="AW994"/>
      <c r="FY994" s="212">
        <v>989</v>
      </c>
      <c r="FZ994">
        <v>0.43984636012316208</v>
      </c>
      <c r="GA994">
        <v>3.7052423003774564</v>
      </c>
      <c r="GB994">
        <v>5.4373697409547717</v>
      </c>
      <c r="GC994">
        <v>2.5418057853644243</v>
      </c>
      <c r="GD994">
        <v>0.95878611925968515</v>
      </c>
      <c r="GE994">
        <v>2.9329972829181616</v>
      </c>
      <c r="GF994">
        <v>8.8120111074834142</v>
      </c>
      <c r="GG994">
        <v>6.7198440444085143</v>
      </c>
      <c r="GH994">
        <v>1.0491168408112799</v>
      </c>
      <c r="GI994">
        <v>4.5026512739075901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14.982434640522872</v>
      </c>
      <c r="AO995">
        <v>6.0157932458312908</v>
      </c>
      <c r="AP995">
        <v>38.560206437315884</v>
      </c>
      <c r="AQ995">
        <v>29.611448185407351</v>
      </c>
      <c r="AR995">
        <v>5.5441395168471725</v>
      </c>
      <c r="AS995">
        <v>34.042103652453633</v>
      </c>
      <c r="AT995" t="e">
        <v>#DIV/0!</v>
      </c>
      <c r="AU995" t="e">
        <v>#DIV/0!</v>
      </c>
      <c r="AV995"/>
      <c r="AW995"/>
      <c r="FY995" s="212">
        <v>990</v>
      </c>
      <c r="FZ995">
        <v>3.6120653420980879</v>
      </c>
      <c r="GA995">
        <v>8.1971580306856744</v>
      </c>
      <c r="GB995">
        <v>6.5956614390613115</v>
      </c>
      <c r="GC995">
        <v>3.2756694674610443</v>
      </c>
      <c r="GD995">
        <v>2.125081706520711</v>
      </c>
      <c r="GE995">
        <v>6.2902529939305802</v>
      </c>
      <c r="GF995">
        <v>7.5014446882677017</v>
      </c>
      <c r="GG995">
        <v>2.0085417211611243</v>
      </c>
      <c r="GH995">
        <v>0.95484053628549792</v>
      </c>
      <c r="GI995">
        <v>5.3831928425003337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14.521586345381522</v>
      </c>
      <c r="AO996">
        <v>7.9255588280283487</v>
      </c>
      <c r="AP996">
        <v>44.094343195295437</v>
      </c>
      <c r="AQ996">
        <v>41.085477422926836</v>
      </c>
      <c r="AR996">
        <v>7.2710892729264849</v>
      </c>
      <c r="AS996">
        <v>40.033799703308425</v>
      </c>
      <c r="AT996">
        <v>4.2336458880512398</v>
      </c>
      <c r="AU996">
        <v>7.533498196378476</v>
      </c>
      <c r="AV996"/>
      <c r="AW996"/>
      <c r="FY996" s="212">
        <v>991</v>
      </c>
      <c r="FZ996">
        <v>9.5862317783517579</v>
      </c>
      <c r="GA996">
        <v>12.739429445821806</v>
      </c>
      <c r="GB996">
        <v>7.5686057886849412</v>
      </c>
      <c r="GC996">
        <v>3.6770609050230445</v>
      </c>
      <c r="GD996">
        <v>0.86849158243763469</v>
      </c>
      <c r="GE996">
        <v>1.8477115658822165</v>
      </c>
      <c r="GF996">
        <v>4.5131999942315524</v>
      </c>
      <c r="GG996">
        <v>3.9366859413446749</v>
      </c>
      <c r="GH996">
        <v>1.2111252970356063</v>
      </c>
      <c r="GI996">
        <v>5.1897024009417567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13.796644912985272</v>
      </c>
      <c r="AO997">
        <v>8.1577796632629109</v>
      </c>
      <c r="AP997">
        <v>44.975380943603405</v>
      </c>
      <c r="AQ997">
        <v>41.52804741055877</v>
      </c>
      <c r="AR997">
        <v>7.5587836742162775</v>
      </c>
      <c r="AS997">
        <v>40.658306244622366</v>
      </c>
      <c r="AT997">
        <v>4.807587610131363</v>
      </c>
      <c r="AU997">
        <v>3.6789250314965454</v>
      </c>
      <c r="AV997"/>
      <c r="AW997"/>
      <c r="FY997" s="212">
        <v>992</v>
      </c>
      <c r="FZ997">
        <v>0.26616026465963777</v>
      </c>
      <c r="GA997">
        <v>0.37385153034564506</v>
      </c>
      <c r="GB997">
        <v>9.8631911392741038</v>
      </c>
      <c r="GC997">
        <v>5.6312944937691007</v>
      </c>
      <c r="GD997">
        <v>1.1340935006925557</v>
      </c>
      <c r="GE997">
        <v>3.4677893363784835</v>
      </c>
      <c r="GF997">
        <v>11.350524220228273</v>
      </c>
      <c r="GG997">
        <v>9.3991046619367946</v>
      </c>
      <c r="GH997">
        <v>2.59384933314265</v>
      </c>
      <c r="GI997">
        <v>6.6496388863856293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15.052836345381527</v>
      </c>
      <c r="AO998">
        <v>8.0514090456444087</v>
      </c>
      <c r="AP998">
        <v>59.769924697903619</v>
      </c>
      <c r="AQ998">
        <v>44.362256405306937</v>
      </c>
      <c r="AR998">
        <v>7.4303759358729717</v>
      </c>
      <c r="AS998">
        <v>37.707372475016633</v>
      </c>
      <c r="AT998">
        <v>3.6855461937220753</v>
      </c>
      <c r="AU998">
        <v>7.1315726901155978</v>
      </c>
      <c r="AV998"/>
      <c r="AW998"/>
      <c r="FY998" s="212">
        <v>993</v>
      </c>
      <c r="FZ998">
        <v>3.4188121663012572</v>
      </c>
      <c r="GA998">
        <v>8.1572895078400585</v>
      </c>
      <c r="GB998">
        <v>12.911943374169535</v>
      </c>
      <c r="GC998">
        <v>6.2946117698018007</v>
      </c>
      <c r="GD998">
        <v>0.88079074175712913</v>
      </c>
      <c r="GE998">
        <v>1.8201667732770921</v>
      </c>
      <c r="GF998">
        <v>5.1021877365008379</v>
      </c>
      <c r="GG998">
        <v>4.9742351077402631</v>
      </c>
      <c r="GH998">
        <v>2.8452196980086302</v>
      </c>
      <c r="GI998">
        <v>6.0778967578933081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14.960720332309629</v>
      </c>
      <c r="AO999">
        <v>6.5326719630544217</v>
      </c>
      <c r="AP999">
        <v>57.092601324296432</v>
      </c>
      <c r="AQ999">
        <v>36.800481791876535</v>
      </c>
      <c r="AR999">
        <v>5.9720182858102779</v>
      </c>
      <c r="AS999">
        <v>34.481076568092959</v>
      </c>
      <c r="AT999">
        <v>3.3798897367866285</v>
      </c>
      <c r="AU999">
        <v>21.102535318496418</v>
      </c>
      <c r="AV999"/>
      <c r="AW999"/>
      <c r="FY999" s="212">
        <v>994</v>
      </c>
      <c r="FZ999">
        <v>9.7183885839921658</v>
      </c>
      <c r="GA999">
        <v>16.159807334943256</v>
      </c>
      <c r="GB999">
        <v>8.5435898286686953</v>
      </c>
      <c r="GC999">
        <v>3.2857623860378737</v>
      </c>
      <c r="GD999">
        <v>1.0769957659627987</v>
      </c>
      <c r="GE999">
        <v>7.1626599069337402</v>
      </c>
      <c r="GF999">
        <v>13.758272310900697</v>
      </c>
      <c r="GG999">
        <v>6.5095413049329203</v>
      </c>
      <c r="GH999">
        <v>2.7284891760386216</v>
      </c>
      <c r="GI999">
        <v>7.9385122644189616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11.739583333333332</v>
      </c>
      <c r="AO1000">
        <v>9.6878967701580709</v>
      </c>
      <c r="AP1000">
        <v>51.575040182883626</v>
      </c>
      <c r="AQ1000">
        <v>45.61594591700505</v>
      </c>
      <c r="AR1000">
        <v>8.8502820971188658</v>
      </c>
      <c r="AS1000">
        <v>47.407793335235112</v>
      </c>
      <c r="AT1000">
        <v>6.2417395167151772</v>
      </c>
      <c r="AU1000">
        <v>10.029538087127438</v>
      </c>
      <c r="AV1000"/>
      <c r="AW1000"/>
      <c r="FY1000" s="212">
        <v>995</v>
      </c>
      <c r="FZ1000">
        <v>0.31857694649972707</v>
      </c>
      <c r="GA1000">
        <v>3.1361385037761034</v>
      </c>
      <c r="GB1000">
        <v>7.7475690839553231</v>
      </c>
      <c r="GC1000">
        <v>3.4715233525995925</v>
      </c>
      <c r="GD1000">
        <v>1.235375890306333</v>
      </c>
      <c r="GE1000">
        <v>4.8323841865928303</v>
      </c>
      <c r="GF1000">
        <v>7.3707972865174156</v>
      </c>
      <c r="GG1000">
        <v>4.3045254302653815</v>
      </c>
      <c r="GH1000">
        <v>3.5932612747532824</v>
      </c>
      <c r="GI1000">
        <v>5.1511099104933651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17.602328431372548</v>
      </c>
      <c r="AO1001">
        <v>8.4314433748636741</v>
      </c>
      <c r="AP1001">
        <v>80.476380985410728</v>
      </c>
      <c r="AQ1001">
        <v>51.759691110112087</v>
      </c>
      <c r="AR1001">
        <v>7.7166870951734801</v>
      </c>
      <c r="AS1001">
        <v>40.361491092739655</v>
      </c>
      <c r="AT1001">
        <v>3.6151092940310345</v>
      </c>
      <c r="AU1001">
        <v>19.779876159932179</v>
      </c>
      <c r="AV1001"/>
      <c r="AW1001"/>
      <c r="FY1001" s="212">
        <v>996</v>
      </c>
      <c r="FZ1001">
        <v>3.5275211593948486</v>
      </c>
      <c r="GA1001">
        <v>4.9332393457096568</v>
      </c>
      <c r="GB1001">
        <v>7.685716834023756</v>
      </c>
      <c r="GC1001">
        <v>4.4871000092066016</v>
      </c>
      <c r="GD1001">
        <v>1.4775663932286764</v>
      </c>
      <c r="GE1001">
        <v>3.8755812666024969</v>
      </c>
      <c r="GF1001">
        <v>11.795908779645014</v>
      </c>
      <c r="GG1001">
        <v>9.3433268508046634</v>
      </c>
      <c r="GH1001">
        <v>1.6659594968307556</v>
      </c>
      <c r="GI1001">
        <v>6.9902115325947083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17.786023997952594</v>
      </c>
      <c r="AO1002">
        <v>8.6526738669405727</v>
      </c>
      <c r="AP1002">
        <v>65.690446953859876</v>
      </c>
      <c r="AQ1002">
        <v>41.058623999728475</v>
      </c>
      <c r="AR1002">
        <v>7.9202030085418489</v>
      </c>
      <c r="AS1002">
        <v>42.754203822351762</v>
      </c>
      <c r="AT1002">
        <v>4.9819040609208098</v>
      </c>
      <c r="AU1002">
        <v>42.391069762798807</v>
      </c>
      <c r="AV1002"/>
      <c r="AW1002"/>
      <c r="FY1002" s="212">
        <v>997</v>
      </c>
      <c r="FZ1002">
        <v>3.5701612013632413</v>
      </c>
      <c r="GA1002">
        <v>8.8085100694701541</v>
      </c>
      <c r="GB1002">
        <v>9.9070931339121344</v>
      </c>
      <c r="GC1002">
        <v>4.603602042921219</v>
      </c>
      <c r="GD1002">
        <v>0.91193431418345539</v>
      </c>
      <c r="GE1002">
        <v>1.8425345481494939</v>
      </c>
      <c r="GF1002">
        <v>11.743891627266132</v>
      </c>
      <c r="GG1002">
        <v>11.485240530012614</v>
      </c>
      <c r="GH1002">
        <v>2.2880019854021825</v>
      </c>
      <c r="GI1002">
        <v>7.1386319854865583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13.29058144342074</v>
      </c>
      <c r="AO1003">
        <v>5.6663493057467331</v>
      </c>
      <c r="AP1003">
        <v>33.060560129772966</v>
      </c>
      <c r="AQ1003">
        <v>33.017309038245628</v>
      </c>
      <c r="AR1003">
        <v>5.2437500402699593</v>
      </c>
      <c r="AS1003">
        <v>31.217668520976247</v>
      </c>
      <c r="AT1003">
        <v>2.5221618428303887</v>
      </c>
      <c r="AU1003">
        <v>22.288227938434382</v>
      </c>
      <c r="AV1003"/>
      <c r="AW1003"/>
      <c r="FY1003" s="212">
        <v>998</v>
      </c>
      <c r="FZ1003">
        <v>0.13308013232981886</v>
      </c>
      <c r="GA1003">
        <v>2.8196013172912067</v>
      </c>
      <c r="GB1003">
        <v>5.6480053486238564</v>
      </c>
      <c r="GC1003">
        <v>3.1443883657808582</v>
      </c>
      <c r="GD1003">
        <v>1.2982733444897017</v>
      </c>
      <c r="GE1003">
        <v>2.7195267744694078</v>
      </c>
      <c r="GF1003">
        <v>13.529492853902173</v>
      </c>
      <c r="GG1003">
        <v>13.142794031347833</v>
      </c>
      <c r="GH1003">
        <v>2.3173536392253391</v>
      </c>
      <c r="GI1003">
        <v>6.4204773161515876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11.496527777777777</v>
      </c>
      <c r="AO1004">
        <v>9.7193393251862741</v>
      </c>
      <c r="AP1004">
        <v>58.222773376065724</v>
      </c>
      <c r="AQ1004">
        <v>49.777051706433241</v>
      </c>
      <c r="AR1004">
        <v>8.9193280877322341</v>
      </c>
      <c r="AS1004">
        <v>47.193752512703135</v>
      </c>
      <c r="AT1004">
        <v>5.970391969709488</v>
      </c>
      <c r="AU1004">
        <v>9.9894890339437001</v>
      </c>
      <c r="AV1004"/>
      <c r="AW1004"/>
      <c r="FY1004" s="212">
        <v>999</v>
      </c>
      <c r="FZ1004">
        <v>0.2560087738762114</v>
      </c>
      <c r="GA1004">
        <v>2.7816305486854014</v>
      </c>
      <c r="GB1004">
        <v>3.6615039826059492</v>
      </c>
      <c r="GC1004">
        <v>1.512403927926453</v>
      </c>
      <c r="GD1004">
        <v>1.336310482544069</v>
      </c>
      <c r="GE1004">
        <v>3.5466117155097043</v>
      </c>
      <c r="GF1004">
        <v>3.1323168827688379</v>
      </c>
      <c r="GG1004">
        <v>1.4817774196782814</v>
      </c>
      <c r="GH1004">
        <v>1.511366265077756</v>
      </c>
      <c r="GI1004">
        <v>2.801950118197202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16.14910130718954</v>
      </c>
      <c r="AO1005">
        <v>7.5332236365039664</v>
      </c>
      <c r="AP1005">
        <v>52.258307850947425</v>
      </c>
      <c r="AQ1005">
        <v>37.099670855608458</v>
      </c>
      <c r="AR1005">
        <v>6.901600520299068</v>
      </c>
      <c r="AS1005">
        <v>38.119929534345694</v>
      </c>
      <c r="AT1005">
        <v>4.7468056047978289</v>
      </c>
      <c r="AU1005">
        <v>34.787584910719929</v>
      </c>
      <c r="AV1005"/>
      <c r="AW1005"/>
      <c r="FY1005" s="212">
        <v>1000</v>
      </c>
      <c r="FZ1005">
        <v>6.4955995735559711</v>
      </c>
      <c r="GA1005">
        <v>9.1512595035149271</v>
      </c>
      <c r="GB1005">
        <v>8.3432238050754979</v>
      </c>
      <c r="GC1005">
        <v>4.5601325171044067</v>
      </c>
      <c r="GD1005">
        <v>1.4827178243200521</v>
      </c>
      <c r="GE1005">
        <v>3.1881513852109542</v>
      </c>
      <c r="GF1005">
        <v>5.5741853929101026</v>
      </c>
      <c r="GG1005">
        <v>5.888527751101015</v>
      </c>
      <c r="GH1005">
        <v>4.5030086264673947</v>
      </c>
      <c r="GI1005">
        <v>6.1122339645719279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17.321831443420741</v>
      </c>
      <c r="AO1006">
        <v>8.742481801926278</v>
      </c>
      <c r="AP1006">
        <v>46.347582641074936</v>
      </c>
      <c r="AQ1006">
        <v>45.943908767972061</v>
      </c>
      <c r="AR1006">
        <v>7.9881136979331888</v>
      </c>
      <c r="AS1006">
        <v>45.156890589215472</v>
      </c>
      <c r="AT1006">
        <v>4.2727437339793779</v>
      </c>
      <c r="AU1006">
        <v>19.247731066259959</v>
      </c>
      <c r="AV1006"/>
      <c r="AW1006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16.136922690763051</v>
      </c>
      <c r="AO1007">
        <v>8.8102590928600151</v>
      </c>
      <c r="AP1007">
        <v>77.500292854328848</v>
      </c>
      <c r="AQ1007">
        <v>51.138244699754992</v>
      </c>
      <c r="AR1007">
        <v>8.1302376369013682</v>
      </c>
      <c r="AS1007">
        <v>41.388763586769393</v>
      </c>
      <c r="AT1007">
        <v>3.6653089312951561</v>
      </c>
      <c r="AU1007">
        <v>1.2497003675723113</v>
      </c>
      <c r="AV1007"/>
      <c r="AW1007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15.992723344357822</v>
      </c>
      <c r="AO1008">
        <v>11.009499623519282</v>
      </c>
      <c r="AP1008">
        <v>64.316373071214656</v>
      </c>
      <c r="AQ1008">
        <v>50.729497366812879</v>
      </c>
      <c r="AR1008">
        <v>10.14764081462506</v>
      </c>
      <c r="AS1008">
        <v>53.725266552374443</v>
      </c>
      <c r="AT1008">
        <v>6.2316030490728282</v>
      </c>
      <c r="AU1008">
        <v>6.2886582114699774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20.548406862745093</v>
      </c>
      <c r="AO1009">
        <v>9.9028979843755973</v>
      </c>
      <c r="AP1009">
        <v>62.520177716401598</v>
      </c>
      <c r="AQ1009">
        <v>52.483153633289909</v>
      </c>
      <c r="AR1009">
        <v>9.0971158236983882</v>
      </c>
      <c r="AS1009">
        <v>55.758953082703876</v>
      </c>
      <c r="AT1009">
        <v>5.8793477301375177</v>
      </c>
      <c r="AU1009">
        <v>26.551998305730322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19.225362233246713</v>
      </c>
      <c r="AO1010">
        <v>13.455380146767775</v>
      </c>
      <c r="AP1010">
        <v>106.37318933454111</v>
      </c>
      <c r="AQ1010">
        <v>76.882018862829739</v>
      </c>
      <c r="AR1010">
        <v>12.308877159514756</v>
      </c>
      <c r="AS1010">
        <v>66.815254213881033</v>
      </c>
      <c r="AT1010">
        <v>7.0698175890676547</v>
      </c>
      <c r="AU1010">
        <v>35.024874159960426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18.086601307189543</v>
      </c>
      <c r="AO1011">
        <v>8.1871122123307565</v>
      </c>
      <c r="AP1011">
        <v>55.665776273288955</v>
      </c>
      <c r="AQ1011">
        <v>41.161261865759357</v>
      </c>
      <c r="AR1011">
        <v>7.6259114775929566</v>
      </c>
      <c r="AS1011">
        <v>50.429996861244526</v>
      </c>
      <c r="AT1011">
        <v>4.8724838057524584</v>
      </c>
      <c r="AU1011">
        <v>38.461301967407913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13.429342369477913</v>
      </c>
      <c r="AO1012">
        <v>12.009749804297332</v>
      </c>
      <c r="AP1012">
        <v>56.542089054884187</v>
      </c>
      <c r="AQ1012">
        <v>55.782131668041181</v>
      </c>
      <c r="AR1012">
        <v>11.026289329036073</v>
      </c>
      <c r="AS1012">
        <v>54.231393029159321</v>
      </c>
      <c r="AT1012">
        <v>7.5621967491362243</v>
      </c>
      <c r="AU1012">
        <v>-6.5669715746400374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24.470932750610285</v>
      </c>
      <c r="AO1013">
        <v>12.093539925792303</v>
      </c>
      <c r="AP1013">
        <v>59.096779355209279</v>
      </c>
      <c r="AQ1013">
        <v>62.299601438167187</v>
      </c>
      <c r="AR1013">
        <v>11.108478986400153</v>
      </c>
      <c r="AS1013">
        <v>59.769259405381035</v>
      </c>
      <c r="AT1013">
        <v>7.0980512848413779</v>
      </c>
      <c r="AU1013">
        <v>52.619611971599063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10.329861111111111</v>
      </c>
      <c r="AO1014">
        <v>11.056429451950279</v>
      </c>
      <c r="AP1014">
        <v>38.655509808243202</v>
      </c>
      <c r="AQ1014">
        <v>51.172993123611782</v>
      </c>
      <c r="AR1014">
        <v>10.150023366742978</v>
      </c>
      <c r="AS1014">
        <v>47.504173766343548</v>
      </c>
      <c r="AT1014">
        <v>7.2813140945664161</v>
      </c>
      <c r="AU1014">
        <v>1.6337956099645903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12.426751122135601</v>
      </c>
      <c r="AO1015">
        <v>4.3924841963145642</v>
      </c>
      <c r="AP1015">
        <v>26.046519325671291</v>
      </c>
      <c r="AQ1015">
        <v>22.021880116869863</v>
      </c>
      <c r="AR1015">
        <v>4.0748323316471939</v>
      </c>
      <c r="AS1015">
        <v>23.852847352486581</v>
      </c>
      <c r="AT1015">
        <v>2.1353145188408078</v>
      </c>
      <c r="AU1015">
        <v>14.520849094286374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21.406045751633986</v>
      </c>
      <c r="AO1016">
        <v>10.107685033094</v>
      </c>
      <c r="AP1016">
        <v>64.143636014228406</v>
      </c>
      <c r="AQ1016">
        <v>55.299040343832246</v>
      </c>
      <c r="AR1016">
        <v>9.3159190439882416</v>
      </c>
      <c r="AS1016">
        <v>51.849264179137002</v>
      </c>
      <c r="AT1016">
        <v>4.6136685801368493</v>
      </c>
      <c r="AU1016">
        <v>48.694177421050412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  <mergeCell ref="FI12:FJ12"/>
    <mergeCell ref="FK12:FL12"/>
    <mergeCell ref="FM12:FN12"/>
    <mergeCell ref="FI13:FJ13"/>
    <mergeCell ref="FK13:FL13"/>
    <mergeCell ref="FM13:FN13"/>
    <mergeCell ref="FI10:FJ10"/>
    <mergeCell ref="FK10:FL10"/>
    <mergeCell ref="FM10:FN10"/>
    <mergeCell ref="FI11:FJ11"/>
    <mergeCell ref="FK11:FL11"/>
    <mergeCell ref="FM11:FN11"/>
    <mergeCell ref="CW86:CX86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2011-08-25T15:47:17Z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