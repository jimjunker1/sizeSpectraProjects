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01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junker\Documents\Projects\sizeSpectra\sizeSpectraProjects\data\"/>
    </mc:Choice>
  </mc:AlternateContent>
  <xr:revisionPtr revIDLastSave="0" documentId="13_ncr:1_{B3281ABA-C95F-45EE-8CA6-B32865AC0C8D}" xr6:coauthVersionLast="36" xr6:coauthVersionMax="36" xr10:uidLastSave="{00000000-0000-0000-0000-000000000000}"/>
  <bookViews>
    <workbookView xWindow="7536" yWindow="156" windowWidth="11688" windowHeight="11760" xr2:uid="{00000000-000D-0000-FFFF-FFFF00000000}"/>
  </bookViews>
  <sheets>
    <sheet name="Cobble Gravel" sheetId="1" r:id="rId1"/>
    <sheet name="Notes" sheetId="4" r:id="rId2"/>
  </sheets>
  <calcPr calcId="191029"/>
</workbook>
</file>

<file path=xl/calcChain.xml><?xml version="1.0" encoding="utf-8"?>
<calcChain xmlns="http://schemas.openxmlformats.org/spreadsheetml/2006/main">
  <c r="FM16" i="1" l="1"/>
  <c r="FM15" i="1"/>
  <c r="FM14" i="1"/>
  <c r="FM13" i="1"/>
  <c r="FM12" i="1"/>
  <c r="FM11" i="1"/>
  <c r="FM10" i="1"/>
  <c r="FM9" i="1"/>
  <c r="FM8" i="1"/>
  <c r="FM7" i="1"/>
  <c r="FK16" i="1"/>
  <c r="FK15" i="1"/>
  <c r="FK14" i="1"/>
  <c r="FK13" i="1"/>
  <c r="FK12" i="1"/>
  <c r="FK11" i="1"/>
  <c r="FK10" i="1"/>
  <c r="FK9" i="1"/>
  <c r="FK8" i="1"/>
  <c r="FK7" i="1"/>
  <c r="FI8" i="1"/>
  <c r="FI9" i="1"/>
  <c r="FI10" i="1"/>
  <c r="FI11" i="1"/>
  <c r="FI12" i="1"/>
  <c r="FI13" i="1"/>
  <c r="FI14" i="1"/>
  <c r="FI15" i="1"/>
  <c r="FI16" i="1"/>
  <c r="FI7" i="1"/>
  <c r="FH16" i="1"/>
  <c r="FH15" i="1"/>
  <c r="FH14" i="1"/>
  <c r="FH13" i="1"/>
  <c r="FH12" i="1"/>
  <c r="FH11" i="1"/>
  <c r="FH10" i="1"/>
  <c r="FH9" i="1"/>
  <c r="FH8" i="1"/>
  <c r="FH7" i="1"/>
  <c r="GI4" i="1"/>
  <c r="GH4" i="1"/>
  <c r="GG4" i="1"/>
  <c r="GF4" i="1"/>
  <c r="GE4" i="1"/>
  <c r="GD4" i="1"/>
  <c r="GC4" i="1"/>
  <c r="GB4" i="1"/>
  <c r="GA4" i="1"/>
  <c r="FZ4" i="1"/>
  <c r="CX117" i="1" l="1"/>
  <c r="CX108" i="1"/>
  <c r="CX155" i="1"/>
  <c r="CX110" i="1"/>
  <c r="CX116" i="1"/>
  <c r="D450" i="1" l="1"/>
  <c r="D449" i="1"/>
  <c r="D448" i="1"/>
  <c r="D447" i="1"/>
  <c r="D446" i="1"/>
  <c r="D445" i="1"/>
  <c r="D444" i="1"/>
  <c r="D443" i="1"/>
  <c r="D442" i="1"/>
  <c r="D441" i="1"/>
  <c r="D432" i="1"/>
  <c r="D431" i="1"/>
  <c r="D430" i="1"/>
  <c r="D429" i="1"/>
  <c r="D428" i="1"/>
  <c r="D427" i="1"/>
  <c r="D426" i="1"/>
  <c r="D425" i="1"/>
  <c r="D424" i="1"/>
  <c r="D423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D551" i="1"/>
  <c r="E551" i="1"/>
  <c r="E553" i="1"/>
  <c r="D553" i="1"/>
  <c r="I552" i="1" s="1"/>
  <c r="C553" i="1"/>
  <c r="C551" i="1"/>
  <c r="C549" i="1"/>
  <c r="C547" i="1"/>
  <c r="C545" i="1"/>
  <c r="C543" i="1"/>
  <c r="C541" i="1"/>
  <c r="C539" i="1"/>
  <c r="C537" i="1"/>
  <c r="C535" i="1"/>
  <c r="C533" i="1"/>
  <c r="C531" i="1"/>
  <c r="G36" i="1"/>
  <c r="H36" i="1"/>
  <c r="H372" i="1" s="1"/>
  <c r="A438" i="1"/>
  <c r="I36" i="1"/>
  <c r="J36" i="1"/>
  <c r="E463" i="1" s="1"/>
  <c r="K36" i="1"/>
  <c r="E465" i="1" s="1"/>
  <c r="H466" i="1" s="1"/>
  <c r="L36" i="1"/>
  <c r="E467" i="1" s="1"/>
  <c r="M36" i="1"/>
  <c r="E469" i="1"/>
  <c r="N36" i="1"/>
  <c r="E471" i="1" s="1"/>
  <c r="O36" i="1"/>
  <c r="P36" i="1"/>
  <c r="P372" i="1" s="1"/>
  <c r="P374" i="1" s="1"/>
  <c r="Q36" i="1"/>
  <c r="R36" i="1"/>
  <c r="E479" i="1" s="1"/>
  <c r="S36" i="1"/>
  <c r="E481" i="1" s="1"/>
  <c r="T36" i="1"/>
  <c r="U36" i="1"/>
  <c r="E485" i="1" s="1"/>
  <c r="V36" i="1"/>
  <c r="W36" i="1"/>
  <c r="X36" i="1"/>
  <c r="Y36" i="1"/>
  <c r="E493" i="1" s="1"/>
  <c r="Z36" i="1"/>
  <c r="E495" i="1" s="1"/>
  <c r="AA36" i="1"/>
  <c r="AB36" i="1"/>
  <c r="E499" i="1" s="1"/>
  <c r="AC36" i="1"/>
  <c r="AD36" i="1"/>
  <c r="AD372" i="1" s="1"/>
  <c r="AE36" i="1"/>
  <c r="AF36" i="1"/>
  <c r="E507" i="1" s="1"/>
  <c r="AG36" i="1"/>
  <c r="AH36" i="1"/>
  <c r="AI36" i="1"/>
  <c r="E513" i="1" s="1"/>
  <c r="AJ36" i="1"/>
  <c r="E515" i="1" s="1"/>
  <c r="AK36" i="1"/>
  <c r="E517" i="1" s="1"/>
  <c r="H518" i="1" s="1"/>
  <c r="E21" i="1"/>
  <c r="E22" i="1"/>
  <c r="E23" i="1"/>
  <c r="E24" i="1"/>
  <c r="E25" i="1"/>
  <c r="E26" i="1"/>
  <c r="E27" i="1"/>
  <c r="E28" i="1"/>
  <c r="E29" i="1"/>
  <c r="B405" i="1"/>
  <c r="C414" i="1" s="1"/>
  <c r="B414" i="1"/>
  <c r="B413" i="1"/>
  <c r="B412" i="1"/>
  <c r="B411" i="1"/>
  <c r="B410" i="1"/>
  <c r="B409" i="1"/>
  <c r="B408" i="1"/>
  <c r="B407" i="1"/>
  <c r="B406" i="1"/>
  <c r="C406" i="1" s="1"/>
  <c r="H398" i="1"/>
  <c r="F398" i="1"/>
  <c r="H397" i="1"/>
  <c r="F397" i="1"/>
  <c r="I372" i="1"/>
  <c r="J372" i="1"/>
  <c r="J376" i="1" s="1"/>
  <c r="M372" i="1"/>
  <c r="M379" i="1" s="1"/>
  <c r="AB372" i="1"/>
  <c r="AB376" i="1" s="1"/>
  <c r="AK372" i="1"/>
  <c r="AK381" i="1" s="1"/>
  <c r="B382" i="1"/>
  <c r="B381" i="1"/>
  <c r="B380" i="1"/>
  <c r="B379" i="1"/>
  <c r="B378" i="1"/>
  <c r="B377" i="1"/>
  <c r="B376" i="1"/>
  <c r="B375" i="1"/>
  <c r="B374" i="1"/>
  <c r="B373" i="1"/>
  <c r="BA178" i="1"/>
  <c r="CM178" i="1"/>
  <c r="BA168" i="1"/>
  <c r="CM168" i="1" s="1"/>
  <c r="BA159" i="1"/>
  <c r="CM159" i="1"/>
  <c r="BA148" i="1"/>
  <c r="CM148" i="1" s="1"/>
  <c r="BA158" i="1"/>
  <c r="BA138" i="1"/>
  <c r="CM138" i="1" s="1"/>
  <c r="BA149" i="1"/>
  <c r="BA128" i="1"/>
  <c r="BA118" i="1"/>
  <c r="CM118" i="1" s="1"/>
  <c r="BA108" i="1"/>
  <c r="CM108" i="1"/>
  <c r="BA98" i="1"/>
  <c r="CM98" i="1"/>
  <c r="BA88" i="1"/>
  <c r="DF207" i="1"/>
  <c r="EJ207" i="1"/>
  <c r="FT207" i="1" s="1"/>
  <c r="EI207" i="1"/>
  <c r="FS207" i="1" s="1"/>
  <c r="EH207" i="1"/>
  <c r="FR207" i="1" s="1"/>
  <c r="EG207" i="1"/>
  <c r="FQ207" i="1" s="1"/>
  <c r="EF207" i="1"/>
  <c r="FP207" i="1"/>
  <c r="EE207" i="1"/>
  <c r="FO207" i="1" s="1"/>
  <c r="ED207" i="1"/>
  <c r="FN207" i="1" s="1"/>
  <c r="EC207" i="1"/>
  <c r="FM207" i="1" s="1"/>
  <c r="EB207" i="1"/>
  <c r="FL207" i="1" s="1"/>
  <c r="EA207" i="1"/>
  <c r="FK207" i="1" s="1"/>
  <c r="DZ207" i="1"/>
  <c r="FJ207" i="1"/>
  <c r="DY207" i="1"/>
  <c r="FI207" i="1" s="1"/>
  <c r="DX207" i="1"/>
  <c r="FH207" i="1" s="1"/>
  <c r="DW207" i="1"/>
  <c r="FG207" i="1" s="1"/>
  <c r="DV207" i="1"/>
  <c r="FF207" i="1"/>
  <c r="DU207" i="1"/>
  <c r="FE207" i="1" s="1"/>
  <c r="DT207" i="1"/>
  <c r="FD207" i="1" s="1"/>
  <c r="DS207" i="1"/>
  <c r="FC207" i="1" s="1"/>
  <c r="DR207" i="1"/>
  <c r="FB207" i="1" s="1"/>
  <c r="DQ207" i="1"/>
  <c r="FA207" i="1" s="1"/>
  <c r="DP207" i="1"/>
  <c r="EZ207" i="1" s="1"/>
  <c r="DO207" i="1"/>
  <c r="EY207" i="1" s="1"/>
  <c r="DN207" i="1"/>
  <c r="EX207" i="1"/>
  <c r="DM207" i="1"/>
  <c r="EW207" i="1" s="1"/>
  <c r="DL207" i="1"/>
  <c r="EV207" i="1" s="1"/>
  <c r="DK207" i="1"/>
  <c r="EU207" i="1" s="1"/>
  <c r="DJ207" i="1"/>
  <c r="ET207" i="1" s="1"/>
  <c r="DI207" i="1"/>
  <c r="ES207" i="1" s="1"/>
  <c r="DH207" i="1"/>
  <c r="ER207" i="1" s="1"/>
  <c r="DG207" i="1"/>
  <c r="EQ207" i="1" s="1"/>
  <c r="DD207" i="1"/>
  <c r="DC207" i="1" s="1"/>
  <c r="CZ207" i="1"/>
  <c r="CM207" i="1"/>
  <c r="CL207" i="1"/>
  <c r="CK207" i="1"/>
  <c r="AY207" i="1"/>
  <c r="B207" i="1"/>
  <c r="DF206" i="1"/>
  <c r="EJ206" i="1"/>
  <c r="FT206" i="1" s="1"/>
  <c r="EI206" i="1"/>
  <c r="FS206" i="1" s="1"/>
  <c r="EH206" i="1"/>
  <c r="FR206" i="1" s="1"/>
  <c r="EG206" i="1"/>
  <c r="FQ206" i="1"/>
  <c r="EF206" i="1"/>
  <c r="FP206" i="1" s="1"/>
  <c r="EE206" i="1"/>
  <c r="FO206" i="1" s="1"/>
  <c r="ED206" i="1"/>
  <c r="FN206" i="1" s="1"/>
  <c r="EC206" i="1"/>
  <c r="FM206" i="1" s="1"/>
  <c r="EB206" i="1"/>
  <c r="FL206" i="1" s="1"/>
  <c r="EA206" i="1"/>
  <c r="FK206" i="1" s="1"/>
  <c r="DZ206" i="1"/>
  <c r="FJ206" i="1" s="1"/>
  <c r="DY206" i="1"/>
  <c r="FI206" i="1"/>
  <c r="DX206" i="1"/>
  <c r="FH206" i="1" s="1"/>
  <c r="DW206" i="1"/>
  <c r="FG206" i="1"/>
  <c r="DV206" i="1"/>
  <c r="FF206" i="1" s="1"/>
  <c r="DU206" i="1"/>
  <c r="FE206" i="1"/>
  <c r="DT206" i="1"/>
  <c r="FD206" i="1" s="1"/>
  <c r="DS206" i="1"/>
  <c r="FC206" i="1" s="1"/>
  <c r="DR206" i="1"/>
  <c r="FB206" i="1" s="1"/>
  <c r="DQ206" i="1"/>
  <c r="FA206" i="1"/>
  <c r="DP206" i="1"/>
  <c r="EZ206" i="1" s="1"/>
  <c r="DO206" i="1"/>
  <c r="EY206" i="1" s="1"/>
  <c r="DN206" i="1"/>
  <c r="EX206" i="1" s="1"/>
  <c r="DM206" i="1"/>
  <c r="EW206" i="1" s="1"/>
  <c r="DL206" i="1"/>
  <c r="EV206" i="1" s="1"/>
  <c r="DK206" i="1"/>
  <c r="EU206" i="1" s="1"/>
  <c r="DJ206" i="1"/>
  <c r="ET206" i="1" s="1"/>
  <c r="DI206" i="1"/>
  <c r="ES206" i="1"/>
  <c r="DH206" i="1"/>
  <c r="ER206" i="1" s="1"/>
  <c r="DG206" i="1"/>
  <c r="EQ206" i="1"/>
  <c r="DD206" i="1"/>
  <c r="DE206" i="1" s="1"/>
  <c r="CZ206" i="1"/>
  <c r="CM206" i="1"/>
  <c r="CL206" i="1"/>
  <c r="CK206" i="1"/>
  <c r="AY206" i="1"/>
  <c r="B206" i="1"/>
  <c r="DF205" i="1"/>
  <c r="EK205" i="1" s="1"/>
  <c r="EJ205" i="1"/>
  <c r="FT205" i="1" s="1"/>
  <c r="EI205" i="1"/>
  <c r="FS205" i="1"/>
  <c r="EH205" i="1"/>
  <c r="FR205" i="1" s="1"/>
  <c r="EG205" i="1"/>
  <c r="FQ205" i="1" s="1"/>
  <c r="EF205" i="1"/>
  <c r="FP205" i="1" s="1"/>
  <c r="EE205" i="1"/>
  <c r="FO205" i="1" s="1"/>
  <c r="ED205" i="1"/>
  <c r="FN205" i="1" s="1"/>
  <c r="EC205" i="1"/>
  <c r="FM205" i="1" s="1"/>
  <c r="EB205" i="1"/>
  <c r="FL205" i="1" s="1"/>
  <c r="EA205" i="1"/>
  <c r="FK205" i="1" s="1"/>
  <c r="DZ205" i="1"/>
  <c r="FJ205" i="1" s="1"/>
  <c r="DY205" i="1"/>
  <c r="FI205" i="1" s="1"/>
  <c r="DX205" i="1"/>
  <c r="FH205" i="1" s="1"/>
  <c r="DW205" i="1"/>
  <c r="FG205" i="1" s="1"/>
  <c r="DV205" i="1"/>
  <c r="FF205" i="1" s="1"/>
  <c r="DU205" i="1"/>
  <c r="FE205" i="1"/>
  <c r="DT205" i="1"/>
  <c r="FD205" i="1" s="1"/>
  <c r="DS205" i="1"/>
  <c r="FC205" i="1"/>
  <c r="DR205" i="1"/>
  <c r="FB205" i="1" s="1"/>
  <c r="DQ205" i="1"/>
  <c r="FA205" i="1" s="1"/>
  <c r="DP205" i="1"/>
  <c r="EZ205" i="1" s="1"/>
  <c r="DO205" i="1"/>
  <c r="EY205" i="1"/>
  <c r="DN205" i="1"/>
  <c r="EX205" i="1" s="1"/>
  <c r="DM205" i="1"/>
  <c r="EW205" i="1" s="1"/>
  <c r="DL205" i="1"/>
  <c r="EV205" i="1" s="1"/>
  <c r="DK205" i="1"/>
  <c r="EU205" i="1" s="1"/>
  <c r="DJ205" i="1"/>
  <c r="ET205" i="1" s="1"/>
  <c r="DI205" i="1"/>
  <c r="ES205" i="1" s="1"/>
  <c r="DH205" i="1"/>
  <c r="ER205" i="1" s="1"/>
  <c r="DG205" i="1"/>
  <c r="EQ205" i="1" s="1"/>
  <c r="DD205" i="1"/>
  <c r="CZ205" i="1"/>
  <c r="CM205" i="1"/>
  <c r="CL205" i="1"/>
  <c r="CK205" i="1"/>
  <c r="AY205" i="1"/>
  <c r="B205" i="1"/>
  <c r="DF204" i="1"/>
  <c r="EJ204" i="1"/>
  <c r="FT204" i="1"/>
  <c r="EI204" i="1"/>
  <c r="FS204" i="1"/>
  <c r="EH204" i="1"/>
  <c r="FR204" i="1"/>
  <c r="EG204" i="1"/>
  <c r="FQ204" i="1" s="1"/>
  <c r="EF204" i="1"/>
  <c r="FP204" i="1"/>
  <c r="EE204" i="1"/>
  <c r="FO204" i="1"/>
  <c r="ED204" i="1"/>
  <c r="FN204" i="1"/>
  <c r="EC204" i="1"/>
  <c r="FM204" i="1" s="1"/>
  <c r="EB204" i="1"/>
  <c r="FL204" i="1"/>
  <c r="EA204" i="1"/>
  <c r="FK204" i="1"/>
  <c r="DZ204" i="1"/>
  <c r="FJ204" i="1"/>
  <c r="DY204" i="1"/>
  <c r="FI204" i="1" s="1"/>
  <c r="DX204" i="1"/>
  <c r="FH204" i="1"/>
  <c r="DW204" i="1"/>
  <c r="FG204" i="1"/>
  <c r="DV204" i="1"/>
  <c r="FF204" i="1"/>
  <c r="DU204" i="1"/>
  <c r="FE204" i="1" s="1"/>
  <c r="DT204" i="1"/>
  <c r="FD204" i="1"/>
  <c r="DS204" i="1"/>
  <c r="FC204" i="1"/>
  <c r="DR204" i="1"/>
  <c r="FB204" i="1"/>
  <c r="DQ204" i="1"/>
  <c r="FA204" i="1" s="1"/>
  <c r="DP204" i="1"/>
  <c r="EZ204" i="1"/>
  <c r="DO204" i="1"/>
  <c r="EY204" i="1"/>
  <c r="DN204" i="1"/>
  <c r="EX204" i="1"/>
  <c r="DM204" i="1"/>
  <c r="EW204" i="1" s="1"/>
  <c r="DL204" i="1"/>
  <c r="EV204" i="1"/>
  <c r="DK204" i="1"/>
  <c r="EU204" i="1"/>
  <c r="DJ204" i="1"/>
  <c r="ET204" i="1"/>
  <c r="DI204" i="1"/>
  <c r="ES204" i="1" s="1"/>
  <c r="DH204" i="1"/>
  <c r="ER204" i="1"/>
  <c r="DG204" i="1"/>
  <c r="EQ204" i="1"/>
  <c r="DD204" i="1"/>
  <c r="DE204" i="1" s="1"/>
  <c r="DC204" i="1"/>
  <c r="CZ204" i="1"/>
  <c r="CM204" i="1"/>
  <c r="CL204" i="1"/>
  <c r="CK204" i="1"/>
  <c r="AY204" i="1"/>
  <c r="B204" i="1"/>
  <c r="DF203" i="1"/>
  <c r="EP203" i="1"/>
  <c r="FU203" i="1" s="1"/>
  <c r="EJ203" i="1"/>
  <c r="FT203" i="1" s="1"/>
  <c r="EI203" i="1"/>
  <c r="FS203" i="1"/>
  <c r="EH203" i="1"/>
  <c r="FR203" i="1" s="1"/>
  <c r="EG203" i="1"/>
  <c r="FQ203" i="1"/>
  <c r="EF203" i="1"/>
  <c r="FP203" i="1" s="1"/>
  <c r="EE203" i="1"/>
  <c r="FO203" i="1" s="1"/>
  <c r="ED203" i="1"/>
  <c r="FN203" i="1" s="1"/>
  <c r="EC203" i="1"/>
  <c r="FM203" i="1"/>
  <c r="EB203" i="1"/>
  <c r="FL203" i="1" s="1"/>
  <c r="EA203" i="1"/>
  <c r="FK203" i="1" s="1"/>
  <c r="DZ203" i="1"/>
  <c r="FJ203" i="1" s="1"/>
  <c r="DY203" i="1"/>
  <c r="FI203" i="1"/>
  <c r="DX203" i="1"/>
  <c r="FH203" i="1" s="1"/>
  <c r="DW203" i="1"/>
  <c r="FG203" i="1" s="1"/>
  <c r="DV203" i="1"/>
  <c r="FF203" i="1" s="1"/>
  <c r="DU203" i="1"/>
  <c r="FE203" i="1" s="1"/>
  <c r="DT203" i="1"/>
  <c r="FD203" i="1" s="1"/>
  <c r="DS203" i="1"/>
  <c r="FC203" i="1" s="1"/>
  <c r="DR203" i="1"/>
  <c r="FB203" i="1" s="1"/>
  <c r="DQ203" i="1"/>
  <c r="FA203" i="1" s="1"/>
  <c r="DP203" i="1"/>
  <c r="EZ203" i="1" s="1"/>
  <c r="DO203" i="1"/>
  <c r="EY203" i="1" s="1"/>
  <c r="DN203" i="1"/>
  <c r="EX203" i="1" s="1"/>
  <c r="DM203" i="1"/>
  <c r="EW203" i="1" s="1"/>
  <c r="DL203" i="1"/>
  <c r="EV203" i="1" s="1"/>
  <c r="DK203" i="1"/>
  <c r="EU203" i="1"/>
  <c r="DJ203" i="1"/>
  <c r="ET203" i="1" s="1"/>
  <c r="DI203" i="1"/>
  <c r="ES203" i="1" s="1"/>
  <c r="DH203" i="1"/>
  <c r="ER203" i="1" s="1"/>
  <c r="DG203" i="1"/>
  <c r="EQ203" i="1" s="1"/>
  <c r="EK203" i="1"/>
  <c r="DD203" i="1"/>
  <c r="DE203" i="1"/>
  <c r="DC203" i="1"/>
  <c r="CZ203" i="1"/>
  <c r="CM203" i="1"/>
  <c r="CL203" i="1"/>
  <c r="CK203" i="1"/>
  <c r="AY203" i="1"/>
  <c r="B203" i="1"/>
  <c r="DF202" i="1"/>
  <c r="EJ202" i="1"/>
  <c r="FT202" i="1" s="1"/>
  <c r="EI202" i="1"/>
  <c r="FS202" i="1"/>
  <c r="EH202" i="1"/>
  <c r="FR202" i="1"/>
  <c r="EG202" i="1"/>
  <c r="FQ202" i="1"/>
  <c r="EF202" i="1"/>
  <c r="FP202" i="1" s="1"/>
  <c r="EE202" i="1"/>
  <c r="FO202" i="1"/>
  <c r="ED202" i="1"/>
  <c r="FN202" i="1"/>
  <c r="EC202" i="1"/>
  <c r="FM202" i="1"/>
  <c r="EB202" i="1"/>
  <c r="FL202" i="1" s="1"/>
  <c r="EA202" i="1"/>
  <c r="FK202" i="1"/>
  <c r="DZ202" i="1"/>
  <c r="FJ202" i="1"/>
  <c r="DY202" i="1"/>
  <c r="FI202" i="1"/>
  <c r="DX202" i="1"/>
  <c r="FH202" i="1" s="1"/>
  <c r="DW202" i="1"/>
  <c r="FG202" i="1"/>
  <c r="DV202" i="1"/>
  <c r="FF202" i="1"/>
  <c r="DU202" i="1"/>
  <c r="FE202" i="1"/>
  <c r="DT202" i="1"/>
  <c r="FD202" i="1" s="1"/>
  <c r="DS202" i="1"/>
  <c r="FC202" i="1"/>
  <c r="DR202" i="1"/>
  <c r="FB202" i="1"/>
  <c r="DQ202" i="1"/>
  <c r="FA202" i="1"/>
  <c r="DP202" i="1"/>
  <c r="EZ202" i="1" s="1"/>
  <c r="DO202" i="1"/>
  <c r="EY202" i="1"/>
  <c r="DN202" i="1"/>
  <c r="EX202" i="1"/>
  <c r="DM202" i="1"/>
  <c r="EW202" i="1"/>
  <c r="DL202" i="1"/>
  <c r="EV202" i="1" s="1"/>
  <c r="DK202" i="1"/>
  <c r="EU202" i="1"/>
  <c r="DJ202" i="1"/>
  <c r="ET202" i="1"/>
  <c r="DI202" i="1"/>
  <c r="ES202" i="1"/>
  <c r="DH202" i="1"/>
  <c r="ER202" i="1" s="1"/>
  <c r="DG202" i="1"/>
  <c r="EQ202" i="1"/>
  <c r="DD202" i="1"/>
  <c r="DC202" i="1" s="1"/>
  <c r="DE202" i="1"/>
  <c r="CZ202" i="1"/>
  <c r="CM202" i="1"/>
  <c r="CL202" i="1"/>
  <c r="CK202" i="1"/>
  <c r="AY202" i="1"/>
  <c r="B202" i="1"/>
  <c r="DF201" i="1"/>
  <c r="EP201" i="1" s="1"/>
  <c r="FU201" i="1" s="1"/>
  <c r="EJ201" i="1"/>
  <c r="FT201" i="1" s="1"/>
  <c r="EI201" i="1"/>
  <c r="FS201" i="1" s="1"/>
  <c r="EH201" i="1"/>
  <c r="FR201" i="1" s="1"/>
  <c r="EG201" i="1"/>
  <c r="FQ201" i="1" s="1"/>
  <c r="EF201" i="1"/>
  <c r="FP201" i="1" s="1"/>
  <c r="EE201" i="1"/>
  <c r="FO201" i="1" s="1"/>
  <c r="ED201" i="1"/>
  <c r="FN201" i="1" s="1"/>
  <c r="EC201" i="1"/>
  <c r="FM201" i="1" s="1"/>
  <c r="EB201" i="1"/>
  <c r="FL201" i="1"/>
  <c r="EA201" i="1"/>
  <c r="FK201" i="1" s="1"/>
  <c r="DZ201" i="1"/>
  <c r="FJ201" i="1" s="1"/>
  <c r="DY201" i="1"/>
  <c r="FI201" i="1" s="1"/>
  <c r="DX201" i="1"/>
  <c r="FH201" i="1" s="1"/>
  <c r="DW201" i="1"/>
  <c r="FG201" i="1" s="1"/>
  <c r="DV201" i="1"/>
  <c r="FF201" i="1"/>
  <c r="DU201" i="1"/>
  <c r="FE201" i="1" s="1"/>
  <c r="DT201" i="1"/>
  <c r="FD201" i="1" s="1"/>
  <c r="DS201" i="1"/>
  <c r="FC201" i="1" s="1"/>
  <c r="DR201" i="1"/>
  <c r="FB201" i="1" s="1"/>
  <c r="DQ201" i="1"/>
  <c r="FA201" i="1" s="1"/>
  <c r="DP201" i="1"/>
  <c r="EZ201" i="1" s="1"/>
  <c r="DO201" i="1"/>
  <c r="EY201" i="1" s="1"/>
  <c r="DN201" i="1"/>
  <c r="EX201" i="1" s="1"/>
  <c r="DM201" i="1"/>
  <c r="EW201" i="1" s="1"/>
  <c r="DL201" i="1"/>
  <c r="EV201" i="1" s="1"/>
  <c r="DK201" i="1"/>
  <c r="EU201" i="1" s="1"/>
  <c r="DJ201" i="1"/>
  <c r="ET201" i="1"/>
  <c r="DI201" i="1"/>
  <c r="ES201" i="1" s="1"/>
  <c r="DH201" i="1"/>
  <c r="ER201" i="1" s="1"/>
  <c r="DG201" i="1"/>
  <c r="EQ201" i="1" s="1"/>
  <c r="DD201" i="1"/>
  <c r="CZ201" i="1"/>
  <c r="CM201" i="1"/>
  <c r="CL201" i="1"/>
  <c r="CK201" i="1"/>
  <c r="AY201" i="1"/>
  <c r="B201" i="1"/>
  <c r="DF200" i="1"/>
  <c r="EJ200" i="1"/>
  <c r="FT200" i="1" s="1"/>
  <c r="EI200" i="1"/>
  <c r="FS200" i="1"/>
  <c r="EH200" i="1"/>
  <c r="FR200" i="1" s="1"/>
  <c r="EG200" i="1"/>
  <c r="FQ200" i="1" s="1"/>
  <c r="EF200" i="1"/>
  <c r="FP200" i="1" s="1"/>
  <c r="EE200" i="1"/>
  <c r="FO200" i="1" s="1"/>
  <c r="ED200" i="1"/>
  <c r="FN200" i="1" s="1"/>
  <c r="EC200" i="1"/>
  <c r="FM200" i="1" s="1"/>
  <c r="EB200" i="1"/>
  <c r="FL200" i="1" s="1"/>
  <c r="EA200" i="1"/>
  <c r="FK200" i="1"/>
  <c r="DZ200" i="1"/>
  <c r="FJ200" i="1" s="1"/>
  <c r="DY200" i="1"/>
  <c r="FI200" i="1"/>
  <c r="DX200" i="1"/>
  <c r="FH200" i="1" s="1"/>
  <c r="DW200" i="1"/>
  <c r="FG200" i="1"/>
  <c r="DV200" i="1"/>
  <c r="FF200" i="1" s="1"/>
  <c r="DU200" i="1"/>
  <c r="FE200" i="1" s="1"/>
  <c r="DT200" i="1"/>
  <c r="FD200" i="1" s="1"/>
  <c r="DS200" i="1"/>
  <c r="FC200" i="1"/>
  <c r="DR200" i="1"/>
  <c r="FB200" i="1" s="1"/>
  <c r="DQ200" i="1"/>
  <c r="FA200" i="1" s="1"/>
  <c r="DP200" i="1"/>
  <c r="EZ200" i="1" s="1"/>
  <c r="DO200" i="1"/>
  <c r="EY200" i="1" s="1"/>
  <c r="DN200" i="1"/>
  <c r="EX200" i="1" s="1"/>
  <c r="DM200" i="1"/>
  <c r="EW200" i="1" s="1"/>
  <c r="DL200" i="1"/>
  <c r="EV200" i="1" s="1"/>
  <c r="DK200" i="1"/>
  <c r="EU200" i="1"/>
  <c r="DJ200" i="1"/>
  <c r="ET200" i="1" s="1"/>
  <c r="DI200" i="1"/>
  <c r="ES200" i="1"/>
  <c r="DH200" i="1"/>
  <c r="ER200" i="1" s="1"/>
  <c r="DG200" i="1"/>
  <c r="EQ200" i="1"/>
  <c r="DD200" i="1"/>
  <c r="DE200" i="1" s="1"/>
  <c r="DC200" i="1"/>
  <c r="CZ200" i="1"/>
  <c r="CM200" i="1"/>
  <c r="CL200" i="1"/>
  <c r="CK200" i="1"/>
  <c r="AY200" i="1"/>
  <c r="B200" i="1"/>
  <c r="DF199" i="1"/>
  <c r="EP199" i="1"/>
  <c r="FU199" i="1" s="1"/>
  <c r="EJ199" i="1"/>
  <c r="FT199" i="1" s="1"/>
  <c r="EI199" i="1"/>
  <c r="FS199" i="1" s="1"/>
  <c r="EH199" i="1"/>
  <c r="FR199" i="1" s="1"/>
  <c r="EG199" i="1"/>
  <c r="FQ199" i="1" s="1"/>
  <c r="EF199" i="1"/>
  <c r="FP199" i="1" s="1"/>
  <c r="EE199" i="1"/>
  <c r="FO199" i="1" s="1"/>
  <c r="ED199" i="1"/>
  <c r="FN199" i="1" s="1"/>
  <c r="EC199" i="1"/>
  <c r="FM199" i="1" s="1"/>
  <c r="EB199" i="1"/>
  <c r="FL199" i="1" s="1"/>
  <c r="EA199" i="1"/>
  <c r="FK199" i="1" s="1"/>
  <c r="DZ199" i="1"/>
  <c r="FJ199" i="1" s="1"/>
  <c r="DY199" i="1"/>
  <c r="FI199" i="1"/>
  <c r="DX199" i="1"/>
  <c r="FH199" i="1" s="1"/>
  <c r="DW199" i="1"/>
  <c r="FG199" i="1" s="1"/>
  <c r="DV199" i="1"/>
  <c r="FF199" i="1" s="1"/>
  <c r="DU199" i="1"/>
  <c r="FE199" i="1" s="1"/>
  <c r="DT199" i="1"/>
  <c r="FD199" i="1" s="1"/>
  <c r="DS199" i="1"/>
  <c r="FC199" i="1"/>
  <c r="DR199" i="1"/>
  <c r="FB199" i="1" s="1"/>
  <c r="DQ199" i="1"/>
  <c r="FA199" i="1" s="1"/>
  <c r="DP199" i="1"/>
  <c r="EZ199" i="1" s="1"/>
  <c r="DO199" i="1"/>
  <c r="EY199" i="1"/>
  <c r="DN199" i="1"/>
  <c r="EX199" i="1" s="1"/>
  <c r="DM199" i="1"/>
  <c r="EW199" i="1" s="1"/>
  <c r="DL199" i="1"/>
  <c r="EV199" i="1" s="1"/>
  <c r="DK199" i="1"/>
  <c r="EU199" i="1" s="1"/>
  <c r="DJ199" i="1"/>
  <c r="ET199" i="1" s="1"/>
  <c r="DI199" i="1"/>
  <c r="ES199" i="1" s="1"/>
  <c r="DH199" i="1"/>
  <c r="ER199" i="1" s="1"/>
  <c r="DG199" i="1"/>
  <c r="EQ199" i="1"/>
  <c r="EK199" i="1"/>
  <c r="DD199" i="1"/>
  <c r="DE199" i="1" s="1"/>
  <c r="CZ199" i="1"/>
  <c r="CM199" i="1"/>
  <c r="CL199" i="1"/>
  <c r="CK199" i="1"/>
  <c r="AY199" i="1"/>
  <c r="B199" i="1"/>
  <c r="DF198" i="1"/>
  <c r="EK198" i="1" s="1"/>
  <c r="EJ198" i="1"/>
  <c r="FT198" i="1" s="1"/>
  <c r="EI198" i="1"/>
  <c r="FS198" i="1" s="1"/>
  <c r="EH198" i="1"/>
  <c r="FR198" i="1"/>
  <c r="EG198" i="1"/>
  <c r="FQ198" i="1" s="1"/>
  <c r="EF198" i="1"/>
  <c r="FP198" i="1" s="1"/>
  <c r="EE198" i="1"/>
  <c r="FO198" i="1" s="1"/>
  <c r="ED198" i="1"/>
  <c r="FN198" i="1"/>
  <c r="EC198" i="1"/>
  <c r="FM198" i="1" s="1"/>
  <c r="EB198" i="1"/>
  <c r="FL198" i="1" s="1"/>
  <c r="EA198" i="1"/>
  <c r="FK198" i="1" s="1"/>
  <c r="DZ198" i="1"/>
  <c r="FJ198" i="1" s="1"/>
  <c r="DY198" i="1"/>
  <c r="FI198" i="1" s="1"/>
  <c r="DX198" i="1"/>
  <c r="FH198" i="1" s="1"/>
  <c r="DW198" i="1"/>
  <c r="FG198" i="1" s="1"/>
  <c r="DV198" i="1"/>
  <c r="FF198" i="1"/>
  <c r="DU198" i="1"/>
  <c r="FE198" i="1" s="1"/>
  <c r="DT198" i="1"/>
  <c r="FD198" i="1" s="1"/>
  <c r="DS198" i="1"/>
  <c r="FC198" i="1" s="1"/>
  <c r="DR198" i="1"/>
  <c r="FB198" i="1"/>
  <c r="DQ198" i="1"/>
  <c r="FA198" i="1" s="1"/>
  <c r="DP198" i="1"/>
  <c r="EZ198" i="1" s="1"/>
  <c r="DO198" i="1"/>
  <c r="EY198" i="1" s="1"/>
  <c r="DN198" i="1"/>
  <c r="EX198" i="1"/>
  <c r="DM198" i="1"/>
  <c r="EW198" i="1" s="1"/>
  <c r="DL198" i="1"/>
  <c r="EV198" i="1" s="1"/>
  <c r="DK198" i="1"/>
  <c r="EU198" i="1" s="1"/>
  <c r="DJ198" i="1"/>
  <c r="ET198" i="1" s="1"/>
  <c r="DI198" i="1"/>
  <c r="ES198" i="1" s="1"/>
  <c r="DH198" i="1"/>
  <c r="ER198" i="1" s="1"/>
  <c r="DG198" i="1"/>
  <c r="EQ198" i="1" s="1"/>
  <c r="DD198" i="1"/>
  <c r="DE198" i="1" s="1"/>
  <c r="DC198" i="1"/>
  <c r="CZ198" i="1"/>
  <c r="CM198" i="1"/>
  <c r="CL198" i="1"/>
  <c r="CK198" i="1"/>
  <c r="AY198" i="1"/>
  <c r="B198" i="1"/>
  <c r="DF197" i="1"/>
  <c r="EP197" i="1" s="1"/>
  <c r="FU197" i="1" s="1"/>
  <c r="EJ197" i="1"/>
  <c r="FT197" i="1" s="1"/>
  <c r="EI197" i="1"/>
  <c r="FS197" i="1" s="1"/>
  <c r="EH197" i="1"/>
  <c r="FR197" i="1" s="1"/>
  <c r="EG197" i="1"/>
  <c r="FQ197" i="1" s="1"/>
  <c r="EF197" i="1"/>
  <c r="FP197" i="1" s="1"/>
  <c r="EE197" i="1"/>
  <c r="FO197" i="1" s="1"/>
  <c r="ED197" i="1"/>
  <c r="FN197" i="1" s="1"/>
  <c r="EC197" i="1"/>
  <c r="FM197" i="1" s="1"/>
  <c r="EB197" i="1"/>
  <c r="FL197" i="1" s="1"/>
  <c r="EA197" i="1"/>
  <c r="FK197" i="1" s="1"/>
  <c r="DZ197" i="1"/>
  <c r="FJ197" i="1"/>
  <c r="DY197" i="1"/>
  <c r="FI197" i="1" s="1"/>
  <c r="DX197" i="1"/>
  <c r="FH197" i="1" s="1"/>
  <c r="DW197" i="1"/>
  <c r="FG197" i="1" s="1"/>
  <c r="DV197" i="1"/>
  <c r="FF197" i="1" s="1"/>
  <c r="DU197" i="1"/>
  <c r="FE197" i="1" s="1"/>
  <c r="DT197" i="1"/>
  <c r="FD197" i="1"/>
  <c r="DS197" i="1"/>
  <c r="FC197" i="1" s="1"/>
  <c r="DR197" i="1"/>
  <c r="FB197" i="1" s="1"/>
  <c r="DQ197" i="1"/>
  <c r="FA197" i="1" s="1"/>
  <c r="DP197" i="1"/>
  <c r="EZ197" i="1" s="1"/>
  <c r="DO197" i="1"/>
  <c r="EY197" i="1" s="1"/>
  <c r="DN197" i="1"/>
  <c r="EX197" i="1" s="1"/>
  <c r="DM197" i="1"/>
  <c r="EW197" i="1" s="1"/>
  <c r="DL197" i="1"/>
  <c r="EV197" i="1" s="1"/>
  <c r="DK197" i="1"/>
  <c r="EU197" i="1" s="1"/>
  <c r="DJ197" i="1"/>
  <c r="ET197" i="1" s="1"/>
  <c r="DI197" i="1"/>
  <c r="ES197" i="1" s="1"/>
  <c r="DH197" i="1"/>
  <c r="ER197" i="1"/>
  <c r="DG197" i="1"/>
  <c r="EQ197" i="1" s="1"/>
  <c r="EK197" i="1"/>
  <c r="DD197" i="1"/>
  <c r="DC197" i="1" s="1"/>
  <c r="DE197" i="1"/>
  <c r="CZ197" i="1"/>
  <c r="CM197" i="1"/>
  <c r="CL197" i="1"/>
  <c r="CK197" i="1"/>
  <c r="AY197" i="1"/>
  <c r="B197" i="1"/>
  <c r="DF196" i="1"/>
  <c r="EP196" i="1" s="1"/>
  <c r="FU196" i="1" s="1"/>
  <c r="EJ196" i="1"/>
  <c r="FT196" i="1" s="1"/>
  <c r="EI196" i="1"/>
  <c r="FS196" i="1" s="1"/>
  <c r="EH196" i="1"/>
  <c r="FR196" i="1" s="1"/>
  <c r="EG196" i="1"/>
  <c r="FQ196" i="1" s="1"/>
  <c r="EF196" i="1"/>
  <c r="FP196" i="1" s="1"/>
  <c r="EE196" i="1"/>
  <c r="FO196" i="1" s="1"/>
  <c r="ED196" i="1"/>
  <c r="FN196" i="1" s="1"/>
  <c r="EC196" i="1"/>
  <c r="FM196" i="1" s="1"/>
  <c r="EB196" i="1"/>
  <c r="FL196" i="1" s="1"/>
  <c r="EA196" i="1"/>
  <c r="FK196" i="1" s="1"/>
  <c r="DZ196" i="1"/>
  <c r="FJ196" i="1" s="1"/>
  <c r="DY196" i="1"/>
  <c r="FI196" i="1" s="1"/>
  <c r="DX196" i="1"/>
  <c r="FH196" i="1" s="1"/>
  <c r="DW196" i="1"/>
  <c r="FG196" i="1" s="1"/>
  <c r="DV196" i="1"/>
  <c r="FF196" i="1" s="1"/>
  <c r="DU196" i="1"/>
  <c r="FE196" i="1" s="1"/>
  <c r="DT196" i="1"/>
  <c r="FD196" i="1" s="1"/>
  <c r="DS196" i="1"/>
  <c r="FC196" i="1" s="1"/>
  <c r="DR196" i="1"/>
  <c r="FB196" i="1" s="1"/>
  <c r="DQ196" i="1"/>
  <c r="FA196" i="1" s="1"/>
  <c r="DP196" i="1"/>
  <c r="EZ196" i="1" s="1"/>
  <c r="DO196" i="1"/>
  <c r="EY196" i="1" s="1"/>
  <c r="DN196" i="1"/>
  <c r="EX196" i="1" s="1"/>
  <c r="DM196" i="1"/>
  <c r="EW196" i="1" s="1"/>
  <c r="DL196" i="1"/>
  <c r="EV196" i="1" s="1"/>
  <c r="DK196" i="1"/>
  <c r="EU196" i="1" s="1"/>
  <c r="DJ196" i="1"/>
  <c r="ET196" i="1" s="1"/>
  <c r="DI196" i="1"/>
  <c r="ES196" i="1" s="1"/>
  <c r="DH196" i="1"/>
  <c r="ER196" i="1" s="1"/>
  <c r="DG196" i="1"/>
  <c r="EQ196" i="1" s="1"/>
  <c r="DD196" i="1"/>
  <c r="CZ196" i="1"/>
  <c r="CM196" i="1"/>
  <c r="CL196" i="1"/>
  <c r="CK196" i="1"/>
  <c r="AY196" i="1"/>
  <c r="B196" i="1"/>
  <c r="DF195" i="1"/>
  <c r="EP195" i="1"/>
  <c r="FU195" i="1" s="1"/>
  <c r="EJ195" i="1"/>
  <c r="FT195" i="1" s="1"/>
  <c r="EI195" i="1"/>
  <c r="FS195" i="1" s="1"/>
  <c r="EH195" i="1"/>
  <c r="FR195" i="1" s="1"/>
  <c r="EG195" i="1"/>
  <c r="FQ195" i="1" s="1"/>
  <c r="EF195" i="1"/>
  <c r="FP195" i="1" s="1"/>
  <c r="EE195" i="1"/>
  <c r="FO195" i="1" s="1"/>
  <c r="ED195" i="1"/>
  <c r="FN195" i="1" s="1"/>
  <c r="EC195" i="1"/>
  <c r="FM195" i="1" s="1"/>
  <c r="EB195" i="1"/>
  <c r="FL195" i="1" s="1"/>
  <c r="EA195" i="1"/>
  <c r="FK195" i="1" s="1"/>
  <c r="DZ195" i="1"/>
  <c r="FJ195" i="1" s="1"/>
  <c r="DY195" i="1"/>
  <c r="FI195" i="1" s="1"/>
  <c r="DX195" i="1"/>
  <c r="FH195" i="1" s="1"/>
  <c r="DW195" i="1"/>
  <c r="FG195" i="1"/>
  <c r="DV195" i="1"/>
  <c r="FF195" i="1" s="1"/>
  <c r="DU195" i="1"/>
  <c r="FE195" i="1" s="1"/>
  <c r="DT195" i="1"/>
  <c r="FD195" i="1" s="1"/>
  <c r="DS195" i="1"/>
  <c r="FC195" i="1" s="1"/>
  <c r="DR195" i="1"/>
  <c r="FB195" i="1" s="1"/>
  <c r="DQ195" i="1"/>
  <c r="FA195" i="1"/>
  <c r="DP195" i="1"/>
  <c r="EZ195" i="1" s="1"/>
  <c r="DO195" i="1"/>
  <c r="EY195" i="1" s="1"/>
  <c r="DN195" i="1"/>
  <c r="EX195" i="1" s="1"/>
  <c r="DM195" i="1"/>
  <c r="EW195" i="1" s="1"/>
  <c r="DL195" i="1"/>
  <c r="EV195" i="1" s="1"/>
  <c r="DK195" i="1"/>
  <c r="EU195" i="1" s="1"/>
  <c r="DJ195" i="1"/>
  <c r="ET195" i="1" s="1"/>
  <c r="DI195" i="1"/>
  <c r="ES195" i="1" s="1"/>
  <c r="DH195" i="1"/>
  <c r="ER195" i="1" s="1"/>
  <c r="DG195" i="1"/>
  <c r="EQ195" i="1" s="1"/>
  <c r="EK195" i="1"/>
  <c r="DD195" i="1"/>
  <c r="DC195" i="1" s="1"/>
  <c r="DE195" i="1"/>
  <c r="CZ195" i="1"/>
  <c r="CM195" i="1"/>
  <c r="CL195" i="1"/>
  <c r="CK195" i="1"/>
  <c r="AY195" i="1"/>
  <c r="B195" i="1"/>
  <c r="DF194" i="1"/>
  <c r="EJ194" i="1"/>
  <c r="FT194" i="1"/>
  <c r="EI194" i="1"/>
  <c r="FS194" i="1" s="1"/>
  <c r="EH194" i="1"/>
  <c r="FR194" i="1" s="1"/>
  <c r="EG194" i="1"/>
  <c r="FQ194" i="1" s="1"/>
  <c r="EF194" i="1"/>
  <c r="FP194" i="1" s="1"/>
  <c r="EE194" i="1"/>
  <c r="FO194" i="1" s="1"/>
  <c r="ED194" i="1"/>
  <c r="FN194" i="1" s="1"/>
  <c r="EC194" i="1"/>
  <c r="FM194" i="1" s="1"/>
  <c r="EB194" i="1"/>
  <c r="FL194" i="1"/>
  <c r="EA194" i="1"/>
  <c r="FK194" i="1" s="1"/>
  <c r="DZ194" i="1"/>
  <c r="FJ194" i="1" s="1"/>
  <c r="DY194" i="1"/>
  <c r="FI194" i="1" s="1"/>
  <c r="DX194" i="1"/>
  <c r="FH194" i="1"/>
  <c r="DW194" i="1"/>
  <c r="FG194" i="1" s="1"/>
  <c r="DV194" i="1"/>
  <c r="FF194" i="1" s="1"/>
  <c r="DU194" i="1"/>
  <c r="FE194" i="1" s="1"/>
  <c r="DT194" i="1"/>
  <c r="FD194" i="1"/>
  <c r="DS194" i="1"/>
  <c r="FC194" i="1" s="1"/>
  <c r="DR194" i="1"/>
  <c r="FB194" i="1" s="1"/>
  <c r="DQ194" i="1"/>
  <c r="FA194" i="1" s="1"/>
  <c r="DP194" i="1"/>
  <c r="EZ194" i="1" s="1"/>
  <c r="DO194" i="1"/>
  <c r="EY194" i="1" s="1"/>
  <c r="DN194" i="1"/>
  <c r="EX194" i="1" s="1"/>
  <c r="DM194" i="1"/>
  <c r="EW194" i="1" s="1"/>
  <c r="DL194" i="1"/>
  <c r="EV194" i="1"/>
  <c r="DK194" i="1"/>
  <c r="EU194" i="1" s="1"/>
  <c r="DJ194" i="1"/>
  <c r="ET194" i="1" s="1"/>
  <c r="DI194" i="1"/>
  <c r="ES194" i="1" s="1"/>
  <c r="DH194" i="1"/>
  <c r="ER194" i="1"/>
  <c r="DG194" i="1"/>
  <c r="EQ194" i="1" s="1"/>
  <c r="DD194" i="1"/>
  <c r="DE194" i="1" s="1"/>
  <c r="CZ194" i="1"/>
  <c r="CM194" i="1"/>
  <c r="CL194" i="1"/>
  <c r="CK194" i="1"/>
  <c r="AY194" i="1"/>
  <c r="B194" i="1"/>
  <c r="DF193" i="1"/>
  <c r="EJ193" i="1"/>
  <c r="FT193" i="1" s="1"/>
  <c r="EI193" i="1"/>
  <c r="FS193" i="1" s="1"/>
  <c r="EH193" i="1"/>
  <c r="FR193" i="1" s="1"/>
  <c r="EG193" i="1"/>
  <c r="FQ193" i="1" s="1"/>
  <c r="EF193" i="1"/>
  <c r="FP193" i="1" s="1"/>
  <c r="EE193" i="1"/>
  <c r="FO193" i="1" s="1"/>
  <c r="ED193" i="1"/>
  <c r="FN193" i="1" s="1"/>
  <c r="EC193" i="1"/>
  <c r="FM193" i="1" s="1"/>
  <c r="EB193" i="1"/>
  <c r="FL193" i="1" s="1"/>
  <c r="EA193" i="1"/>
  <c r="FK193" i="1" s="1"/>
  <c r="DZ193" i="1"/>
  <c r="FJ193" i="1" s="1"/>
  <c r="DY193" i="1"/>
  <c r="FI193" i="1" s="1"/>
  <c r="DX193" i="1"/>
  <c r="FH193" i="1" s="1"/>
  <c r="DW193" i="1"/>
  <c r="FG193" i="1" s="1"/>
  <c r="DV193" i="1"/>
  <c r="FF193" i="1" s="1"/>
  <c r="DU193" i="1"/>
  <c r="FE193" i="1" s="1"/>
  <c r="DT193" i="1"/>
  <c r="FD193" i="1" s="1"/>
  <c r="DS193" i="1"/>
  <c r="FC193" i="1" s="1"/>
  <c r="DR193" i="1"/>
  <c r="FB193" i="1" s="1"/>
  <c r="DQ193" i="1"/>
  <c r="FA193" i="1" s="1"/>
  <c r="DP193" i="1"/>
  <c r="EZ193" i="1" s="1"/>
  <c r="DO193" i="1"/>
  <c r="EY193" i="1" s="1"/>
  <c r="DN193" i="1"/>
  <c r="EX193" i="1" s="1"/>
  <c r="DM193" i="1"/>
  <c r="EW193" i="1" s="1"/>
  <c r="DL193" i="1"/>
  <c r="EV193" i="1" s="1"/>
  <c r="DK193" i="1"/>
  <c r="EU193" i="1" s="1"/>
  <c r="DJ193" i="1"/>
  <c r="ET193" i="1" s="1"/>
  <c r="DI193" i="1"/>
  <c r="ES193" i="1" s="1"/>
  <c r="DH193" i="1"/>
  <c r="ER193" i="1" s="1"/>
  <c r="DG193" i="1"/>
  <c r="EQ193" i="1" s="1"/>
  <c r="DD193" i="1"/>
  <c r="CZ193" i="1"/>
  <c r="CM193" i="1"/>
  <c r="CL193" i="1"/>
  <c r="CK193" i="1"/>
  <c r="AY193" i="1"/>
  <c r="B193" i="1"/>
  <c r="DF192" i="1"/>
  <c r="EJ192" i="1"/>
  <c r="FT192" i="1" s="1"/>
  <c r="EI192" i="1"/>
  <c r="FS192" i="1" s="1"/>
  <c r="EH192" i="1"/>
  <c r="FR192" i="1" s="1"/>
  <c r="EG192" i="1"/>
  <c r="FQ192" i="1"/>
  <c r="EF192" i="1"/>
  <c r="FP192" i="1" s="1"/>
  <c r="EE192" i="1"/>
  <c r="FO192" i="1" s="1"/>
  <c r="ED192" i="1"/>
  <c r="FN192" i="1" s="1"/>
  <c r="EC192" i="1"/>
  <c r="FM192" i="1"/>
  <c r="EB192" i="1"/>
  <c r="FL192" i="1" s="1"/>
  <c r="EA192" i="1"/>
  <c r="FK192" i="1" s="1"/>
  <c r="DZ192" i="1"/>
  <c r="FJ192" i="1" s="1"/>
  <c r="DY192" i="1"/>
  <c r="FI192" i="1"/>
  <c r="DX192" i="1"/>
  <c r="FH192" i="1" s="1"/>
  <c r="DW192" i="1"/>
  <c r="FG192" i="1"/>
  <c r="DV192" i="1"/>
  <c r="FF192" i="1" s="1"/>
  <c r="DU192" i="1"/>
  <c r="FE192" i="1"/>
  <c r="DT192" i="1"/>
  <c r="FD192" i="1" s="1"/>
  <c r="DS192" i="1"/>
  <c r="FC192" i="1" s="1"/>
  <c r="DR192" i="1"/>
  <c r="FB192" i="1" s="1"/>
  <c r="DQ192" i="1"/>
  <c r="FA192" i="1"/>
  <c r="DP192" i="1"/>
  <c r="EZ192" i="1" s="1"/>
  <c r="DO192" i="1"/>
  <c r="EY192" i="1" s="1"/>
  <c r="DN192" i="1"/>
  <c r="EX192" i="1" s="1"/>
  <c r="DM192" i="1"/>
  <c r="EW192" i="1"/>
  <c r="DL192" i="1"/>
  <c r="EV192" i="1" s="1"/>
  <c r="DK192" i="1"/>
  <c r="EU192" i="1" s="1"/>
  <c r="DJ192" i="1"/>
  <c r="ET192" i="1" s="1"/>
  <c r="DI192" i="1"/>
  <c r="ES192" i="1"/>
  <c r="DH192" i="1"/>
  <c r="ER192" i="1" s="1"/>
  <c r="DG192" i="1"/>
  <c r="EQ192" i="1"/>
  <c r="DD192" i="1"/>
  <c r="DE192" i="1" s="1"/>
  <c r="CZ192" i="1"/>
  <c r="CM192" i="1"/>
  <c r="CL192" i="1"/>
  <c r="CK192" i="1"/>
  <c r="AY192" i="1"/>
  <c r="B192" i="1"/>
  <c r="DF191" i="1"/>
  <c r="EP191" i="1" s="1"/>
  <c r="FU191" i="1" s="1"/>
  <c r="EJ191" i="1"/>
  <c r="FT191" i="1" s="1"/>
  <c r="EI191" i="1"/>
  <c r="FS191" i="1" s="1"/>
  <c r="EH191" i="1"/>
  <c r="FR191" i="1" s="1"/>
  <c r="EG191" i="1"/>
  <c r="FQ191" i="1" s="1"/>
  <c r="EF191" i="1"/>
  <c r="FP191" i="1" s="1"/>
  <c r="EE191" i="1"/>
  <c r="FO191" i="1" s="1"/>
  <c r="ED191" i="1"/>
  <c r="FN191" i="1" s="1"/>
  <c r="EC191" i="1"/>
  <c r="FM191" i="1" s="1"/>
  <c r="EB191" i="1"/>
  <c r="FL191" i="1" s="1"/>
  <c r="EA191" i="1"/>
  <c r="FK191" i="1"/>
  <c r="DZ191" i="1"/>
  <c r="FJ191" i="1" s="1"/>
  <c r="DY191" i="1"/>
  <c r="FI191" i="1" s="1"/>
  <c r="DX191" i="1"/>
  <c r="FH191" i="1" s="1"/>
  <c r="DW191" i="1"/>
  <c r="FG191" i="1" s="1"/>
  <c r="DV191" i="1"/>
  <c r="FF191" i="1" s="1"/>
  <c r="DU191" i="1"/>
  <c r="FE191" i="1" s="1"/>
  <c r="DT191" i="1"/>
  <c r="FD191" i="1" s="1"/>
  <c r="DS191" i="1"/>
  <c r="FC191" i="1" s="1"/>
  <c r="DR191" i="1"/>
  <c r="FB191" i="1" s="1"/>
  <c r="DQ191" i="1"/>
  <c r="FA191" i="1" s="1"/>
  <c r="DP191" i="1"/>
  <c r="EZ191" i="1" s="1"/>
  <c r="DO191" i="1"/>
  <c r="EY191" i="1" s="1"/>
  <c r="DN191" i="1"/>
  <c r="EX191" i="1" s="1"/>
  <c r="DM191" i="1"/>
  <c r="EW191" i="1" s="1"/>
  <c r="DL191" i="1"/>
  <c r="EV191" i="1" s="1"/>
  <c r="DK191" i="1"/>
  <c r="EU191" i="1"/>
  <c r="DJ191" i="1"/>
  <c r="ET191" i="1" s="1"/>
  <c r="DI191" i="1"/>
  <c r="ES191" i="1" s="1"/>
  <c r="DH191" i="1"/>
  <c r="ER191" i="1" s="1"/>
  <c r="DG191" i="1"/>
  <c r="EQ191" i="1" s="1"/>
  <c r="DD191" i="1"/>
  <c r="DE191" i="1" s="1"/>
  <c r="DC191" i="1"/>
  <c r="CZ191" i="1"/>
  <c r="CM191" i="1"/>
  <c r="CL191" i="1"/>
  <c r="CK191" i="1"/>
  <c r="AY191" i="1"/>
  <c r="B191" i="1"/>
  <c r="DF190" i="1"/>
  <c r="EK190" i="1" s="1"/>
  <c r="EJ190" i="1"/>
  <c r="FT190" i="1"/>
  <c r="EI190" i="1"/>
  <c r="FS190" i="1" s="1"/>
  <c r="EH190" i="1"/>
  <c r="FR190" i="1" s="1"/>
  <c r="EG190" i="1"/>
  <c r="FQ190" i="1" s="1"/>
  <c r="EF190" i="1"/>
  <c r="FP190" i="1" s="1"/>
  <c r="EE190" i="1"/>
  <c r="FO190" i="1" s="1"/>
  <c r="ED190" i="1"/>
  <c r="FN190" i="1" s="1"/>
  <c r="EC190" i="1"/>
  <c r="FM190" i="1" s="1"/>
  <c r="EB190" i="1"/>
  <c r="FL190" i="1"/>
  <c r="EA190" i="1"/>
  <c r="FK190" i="1" s="1"/>
  <c r="DZ190" i="1"/>
  <c r="FJ190" i="1"/>
  <c r="DY190" i="1"/>
  <c r="FI190" i="1" s="1"/>
  <c r="DX190" i="1"/>
  <c r="FH190" i="1"/>
  <c r="DW190" i="1"/>
  <c r="FG190" i="1" s="1"/>
  <c r="DV190" i="1"/>
  <c r="FF190" i="1" s="1"/>
  <c r="DU190" i="1"/>
  <c r="FE190" i="1" s="1"/>
  <c r="DT190" i="1"/>
  <c r="FD190" i="1"/>
  <c r="DS190" i="1"/>
  <c r="FC190" i="1" s="1"/>
  <c r="DR190" i="1"/>
  <c r="FB190" i="1" s="1"/>
  <c r="DQ190" i="1"/>
  <c r="FA190" i="1" s="1"/>
  <c r="DP190" i="1"/>
  <c r="EZ190" i="1" s="1"/>
  <c r="DO190" i="1"/>
  <c r="EY190" i="1" s="1"/>
  <c r="DN190" i="1"/>
  <c r="EX190" i="1" s="1"/>
  <c r="DM190" i="1"/>
  <c r="EW190" i="1" s="1"/>
  <c r="DL190" i="1"/>
  <c r="EV190" i="1"/>
  <c r="DK190" i="1"/>
  <c r="EU190" i="1" s="1"/>
  <c r="DJ190" i="1"/>
  <c r="ET190" i="1"/>
  <c r="DI190" i="1"/>
  <c r="ES190" i="1" s="1"/>
  <c r="DH190" i="1"/>
  <c r="ER190" i="1"/>
  <c r="DG190" i="1"/>
  <c r="EQ190" i="1" s="1"/>
  <c r="DD190" i="1"/>
  <c r="CZ190" i="1"/>
  <c r="CM190" i="1"/>
  <c r="CL190" i="1"/>
  <c r="CK190" i="1"/>
  <c r="AY190" i="1"/>
  <c r="B190" i="1"/>
  <c r="DF189" i="1"/>
  <c r="EP189" i="1" s="1"/>
  <c r="FU189" i="1" s="1"/>
  <c r="EJ189" i="1"/>
  <c r="FT189" i="1" s="1"/>
  <c r="EI189" i="1"/>
  <c r="FS189" i="1" s="1"/>
  <c r="EH189" i="1"/>
  <c r="FR189" i="1" s="1"/>
  <c r="EG189" i="1"/>
  <c r="FQ189" i="1" s="1"/>
  <c r="EF189" i="1"/>
  <c r="FP189" i="1" s="1"/>
  <c r="EE189" i="1"/>
  <c r="FO189" i="1" s="1"/>
  <c r="ED189" i="1"/>
  <c r="FN189" i="1"/>
  <c r="EC189" i="1"/>
  <c r="FM189" i="1" s="1"/>
  <c r="EB189" i="1"/>
  <c r="FL189" i="1" s="1"/>
  <c r="EA189" i="1"/>
  <c r="FK189" i="1" s="1"/>
  <c r="DZ189" i="1"/>
  <c r="FJ189" i="1" s="1"/>
  <c r="DY189" i="1"/>
  <c r="FI189" i="1" s="1"/>
  <c r="DX189" i="1"/>
  <c r="FH189" i="1" s="1"/>
  <c r="DW189" i="1"/>
  <c r="FG189" i="1" s="1"/>
  <c r="DV189" i="1"/>
  <c r="FF189" i="1" s="1"/>
  <c r="DU189" i="1"/>
  <c r="FE189" i="1" s="1"/>
  <c r="DT189" i="1"/>
  <c r="FD189" i="1" s="1"/>
  <c r="DS189" i="1"/>
  <c r="FC189" i="1" s="1"/>
  <c r="DR189" i="1"/>
  <c r="FB189" i="1" s="1"/>
  <c r="DQ189" i="1"/>
  <c r="FA189" i="1" s="1"/>
  <c r="DP189" i="1"/>
  <c r="EZ189" i="1" s="1"/>
  <c r="DO189" i="1"/>
  <c r="EY189" i="1" s="1"/>
  <c r="DN189" i="1"/>
  <c r="EX189" i="1" s="1"/>
  <c r="DM189" i="1"/>
  <c r="EW189" i="1" s="1"/>
  <c r="DL189" i="1"/>
  <c r="EV189" i="1"/>
  <c r="DK189" i="1"/>
  <c r="EU189" i="1" s="1"/>
  <c r="DJ189" i="1"/>
  <c r="ET189" i="1" s="1"/>
  <c r="DI189" i="1"/>
  <c r="ES189" i="1" s="1"/>
  <c r="DH189" i="1"/>
  <c r="ER189" i="1" s="1"/>
  <c r="DG189" i="1"/>
  <c r="EQ189" i="1" s="1"/>
  <c r="EK189" i="1"/>
  <c r="DD189" i="1"/>
  <c r="DC189" i="1" s="1"/>
  <c r="CZ189" i="1"/>
  <c r="CM189" i="1"/>
  <c r="CL189" i="1"/>
  <c r="CK189" i="1"/>
  <c r="AY189" i="1"/>
  <c r="B189" i="1"/>
  <c r="DF188" i="1"/>
  <c r="EJ188" i="1"/>
  <c r="FT188" i="1"/>
  <c r="EI188" i="1"/>
  <c r="FS188" i="1" s="1"/>
  <c r="EH188" i="1"/>
  <c r="FR188" i="1" s="1"/>
  <c r="EG188" i="1"/>
  <c r="FQ188" i="1" s="1"/>
  <c r="EF188" i="1"/>
  <c r="FP188" i="1" s="1"/>
  <c r="EE188" i="1"/>
  <c r="FO188" i="1" s="1"/>
  <c r="ED188" i="1"/>
  <c r="FN188" i="1"/>
  <c r="EC188" i="1"/>
  <c r="FM188" i="1" s="1"/>
  <c r="EB188" i="1"/>
  <c r="FL188" i="1"/>
  <c r="EA188" i="1"/>
  <c r="FK188" i="1" s="1"/>
  <c r="DZ188" i="1"/>
  <c r="FJ188" i="1" s="1"/>
  <c r="DY188" i="1"/>
  <c r="FI188" i="1" s="1"/>
  <c r="DX188" i="1"/>
  <c r="FH188" i="1" s="1"/>
  <c r="DW188" i="1"/>
  <c r="FG188" i="1" s="1"/>
  <c r="DV188" i="1"/>
  <c r="FF188" i="1" s="1"/>
  <c r="DU188" i="1"/>
  <c r="FE188" i="1" s="1"/>
  <c r="DT188" i="1"/>
  <c r="FD188" i="1"/>
  <c r="DS188" i="1"/>
  <c r="FC188" i="1" s="1"/>
  <c r="DR188" i="1"/>
  <c r="FB188" i="1" s="1"/>
  <c r="DQ188" i="1"/>
  <c r="FA188" i="1" s="1"/>
  <c r="DP188" i="1"/>
  <c r="EZ188" i="1" s="1"/>
  <c r="DO188" i="1"/>
  <c r="EY188" i="1" s="1"/>
  <c r="DN188" i="1"/>
  <c r="EX188" i="1" s="1"/>
  <c r="DM188" i="1"/>
  <c r="EW188" i="1" s="1"/>
  <c r="DL188" i="1"/>
  <c r="EV188" i="1" s="1"/>
  <c r="DK188" i="1"/>
  <c r="EU188" i="1" s="1"/>
  <c r="DJ188" i="1"/>
  <c r="ET188" i="1" s="1"/>
  <c r="DI188" i="1"/>
  <c r="ES188" i="1" s="1"/>
  <c r="DH188" i="1"/>
  <c r="ER188" i="1"/>
  <c r="DG188" i="1"/>
  <c r="EQ188" i="1" s="1"/>
  <c r="DD188" i="1"/>
  <c r="DE188" i="1" s="1"/>
  <c r="DC188" i="1"/>
  <c r="CZ188" i="1"/>
  <c r="CM188" i="1"/>
  <c r="CL188" i="1"/>
  <c r="CK188" i="1"/>
  <c r="AY188" i="1"/>
  <c r="B188" i="1"/>
  <c r="CX187" i="1"/>
  <c r="CZ187" i="1"/>
  <c r="DZ187" i="1" s="1"/>
  <c r="DH187" i="1"/>
  <c r="DP187" i="1"/>
  <c r="EZ187" i="1" s="1"/>
  <c r="DV187" i="1"/>
  <c r="EH187" i="1"/>
  <c r="DD187" i="1"/>
  <c r="BA187" i="1"/>
  <c r="CM187" i="1"/>
  <c r="CL187" i="1"/>
  <c r="CK187" i="1"/>
  <c r="AY187" i="1"/>
  <c r="B186" i="1"/>
  <c r="CX186" i="1"/>
  <c r="DJ186" i="1" s="1"/>
  <c r="CZ186" i="1"/>
  <c r="DU186" i="1" s="1"/>
  <c r="DO186" i="1"/>
  <c r="EY186" i="1" s="1"/>
  <c r="DP186" i="1"/>
  <c r="DQ186" i="1"/>
  <c r="DR186" i="1"/>
  <c r="DS186" i="1"/>
  <c r="DT186" i="1"/>
  <c r="DW186" i="1"/>
  <c r="DX186" i="1"/>
  <c r="DY186" i="1"/>
  <c r="DZ186" i="1"/>
  <c r="EA186" i="1"/>
  <c r="EB186" i="1"/>
  <c r="ED186" i="1"/>
  <c r="EE186" i="1"/>
  <c r="EF186" i="1"/>
  <c r="EG186" i="1"/>
  <c r="EH186" i="1"/>
  <c r="FR186" i="1" s="1"/>
  <c r="EI186" i="1"/>
  <c r="EJ186" i="1"/>
  <c r="DD186" i="1"/>
  <c r="BA186" i="1"/>
  <c r="CM186" i="1"/>
  <c r="CL186" i="1"/>
  <c r="CK186" i="1"/>
  <c r="AY186" i="1"/>
  <c r="B181" i="1"/>
  <c r="CX185" i="1"/>
  <c r="DK185" i="1" s="1"/>
  <c r="EU185" i="1" s="1"/>
  <c r="CZ185" i="1"/>
  <c r="DO185" i="1"/>
  <c r="DS185" i="1"/>
  <c r="DW185" i="1"/>
  <c r="EA185" i="1"/>
  <c r="FK185" i="1" s="1"/>
  <c r="EC185" i="1"/>
  <c r="EE185" i="1"/>
  <c r="DD185" i="1"/>
  <c r="DE185" i="1"/>
  <c r="DC185" i="1"/>
  <c r="BA185" i="1"/>
  <c r="CM185" i="1" s="1"/>
  <c r="CL185" i="1"/>
  <c r="CK185" i="1"/>
  <c r="AY185" i="1"/>
  <c r="B179" i="1"/>
  <c r="CX184" i="1"/>
  <c r="CZ184" i="1"/>
  <c r="DF184" i="1"/>
  <c r="DL184" i="1"/>
  <c r="EV184" i="1" s="1"/>
  <c r="DT184" i="1"/>
  <c r="FD184" i="1" s="1"/>
  <c r="EA184" i="1"/>
  <c r="FK184" i="1" s="1"/>
  <c r="EI184" i="1"/>
  <c r="DD184" i="1"/>
  <c r="BA184" i="1"/>
  <c r="CM184" i="1"/>
  <c r="CL184" i="1"/>
  <c r="CK184" i="1"/>
  <c r="AY184" i="1"/>
  <c r="B184" i="1"/>
  <c r="CX183" i="1"/>
  <c r="CZ183" i="1"/>
  <c r="EJ183" i="1" s="1"/>
  <c r="FT183" i="1" s="1"/>
  <c r="DP183" i="1"/>
  <c r="EZ183" i="1" s="1"/>
  <c r="DR183" i="1"/>
  <c r="DT183" i="1"/>
  <c r="FD183" i="1" s="1"/>
  <c r="DZ183" i="1"/>
  <c r="FJ183" i="1" s="1"/>
  <c r="EF183" i="1"/>
  <c r="EH183" i="1"/>
  <c r="DD183" i="1"/>
  <c r="DC183" i="1" s="1"/>
  <c r="BA183" i="1"/>
  <c r="CM183" i="1" s="1"/>
  <c r="CL183" i="1"/>
  <c r="CK183" i="1"/>
  <c r="AY183" i="1"/>
  <c r="B178" i="1"/>
  <c r="CX182" i="1"/>
  <c r="CZ182" i="1"/>
  <c r="DJ182" i="1" s="1"/>
  <c r="DG182" i="1"/>
  <c r="DI182" i="1"/>
  <c r="ES182" i="1" s="1"/>
  <c r="DM182" i="1"/>
  <c r="DO182" i="1"/>
  <c r="DQ182" i="1"/>
  <c r="DU182" i="1"/>
  <c r="DW182" i="1"/>
  <c r="DY182" i="1"/>
  <c r="EC182" i="1"/>
  <c r="EE182" i="1"/>
  <c r="EG182" i="1"/>
  <c r="DD182" i="1"/>
  <c r="BA182" i="1"/>
  <c r="CM182" i="1"/>
  <c r="CL182" i="1"/>
  <c r="CK182" i="1"/>
  <c r="AY182" i="1"/>
  <c r="B183" i="1"/>
  <c r="CX181" i="1"/>
  <c r="CZ181" i="1"/>
  <c r="DW181" i="1" s="1"/>
  <c r="DQ181" i="1"/>
  <c r="DU181" i="1"/>
  <c r="EC181" i="1"/>
  <c r="EG181" i="1"/>
  <c r="DD181" i="1"/>
  <c r="BA181" i="1"/>
  <c r="CM181" i="1" s="1"/>
  <c r="CL181" i="1"/>
  <c r="CK181" i="1"/>
  <c r="AY181" i="1"/>
  <c r="B180" i="1"/>
  <c r="CX180" i="1"/>
  <c r="CZ180" i="1"/>
  <c r="DS180" i="1" s="1"/>
  <c r="DN180" i="1"/>
  <c r="DP180" i="1"/>
  <c r="DQ180" i="1"/>
  <c r="DR180" i="1"/>
  <c r="DV180" i="1"/>
  <c r="DX180" i="1"/>
  <c r="DY180" i="1"/>
  <c r="DZ180" i="1"/>
  <c r="FJ180" i="1" s="1"/>
  <c r="EA180" i="1"/>
  <c r="EC180" i="1"/>
  <c r="EG180" i="1"/>
  <c r="EH180" i="1"/>
  <c r="EI180" i="1"/>
  <c r="DD180" i="1"/>
  <c r="DE180" i="1" s="1"/>
  <c r="DC180" i="1"/>
  <c r="BA180" i="1"/>
  <c r="CM180" i="1" s="1"/>
  <c r="CL180" i="1"/>
  <c r="CK180" i="1"/>
  <c r="AY180" i="1"/>
  <c r="B182" i="1"/>
  <c r="CX179" i="1"/>
  <c r="CZ179" i="1"/>
  <c r="DR179" i="1" s="1"/>
  <c r="DP179" i="1"/>
  <c r="EH179" i="1"/>
  <c r="DD179" i="1"/>
  <c r="DC179" i="1" s="1"/>
  <c r="BA179" i="1"/>
  <c r="CM179" i="1"/>
  <c r="CL179" i="1"/>
  <c r="CK179" i="1"/>
  <c r="AY179" i="1"/>
  <c r="B187" i="1"/>
  <c r="CX178" i="1"/>
  <c r="CZ178" i="1"/>
  <c r="DT178" i="1" s="1"/>
  <c r="DG178" i="1"/>
  <c r="DJ178" i="1"/>
  <c r="DO178" i="1"/>
  <c r="DQ178" i="1"/>
  <c r="DS178" i="1"/>
  <c r="DW178" i="1"/>
  <c r="DY178" i="1"/>
  <c r="EA178" i="1"/>
  <c r="EE178" i="1"/>
  <c r="EG178" i="1"/>
  <c r="EI178" i="1"/>
  <c r="DD178" i="1"/>
  <c r="DC178" i="1" s="1"/>
  <c r="DE178" i="1"/>
  <c r="DE221" i="1" s="1"/>
  <c r="CL178" i="1"/>
  <c r="CK178" i="1"/>
  <c r="AY178" i="1"/>
  <c r="B185" i="1"/>
  <c r="CX177" i="1"/>
  <c r="CZ177" i="1"/>
  <c r="DN177" i="1"/>
  <c r="DP177" i="1"/>
  <c r="DV177" i="1"/>
  <c r="FF177" i="1" s="1"/>
  <c r="DX177" i="1"/>
  <c r="ED177" i="1"/>
  <c r="EF177" i="1"/>
  <c r="DD177" i="1"/>
  <c r="BA177" i="1"/>
  <c r="CM177" i="1"/>
  <c r="CL177" i="1"/>
  <c r="CK177" i="1"/>
  <c r="AY177" i="1"/>
  <c r="B174" i="1"/>
  <c r="CZ176" i="1"/>
  <c r="DK176" i="1"/>
  <c r="EU176" i="1" s="1"/>
  <c r="DM176" i="1"/>
  <c r="DS176" i="1"/>
  <c r="DU176" i="1"/>
  <c r="EA176" i="1"/>
  <c r="EC176" i="1"/>
  <c r="EI176" i="1"/>
  <c r="DD176" i="1"/>
  <c r="DE176" i="1"/>
  <c r="DC176" i="1"/>
  <c r="BA176" i="1"/>
  <c r="CM176" i="1" s="1"/>
  <c r="CL176" i="1"/>
  <c r="CK176" i="1"/>
  <c r="AY176" i="1"/>
  <c r="B173" i="1"/>
  <c r="CZ175" i="1"/>
  <c r="DH175" i="1"/>
  <c r="DJ175" i="1"/>
  <c r="DL175" i="1"/>
  <c r="DP175" i="1"/>
  <c r="DR175" i="1"/>
  <c r="FB175" i="1" s="1"/>
  <c r="DT175" i="1"/>
  <c r="DX175" i="1"/>
  <c r="DZ175" i="1"/>
  <c r="EB175" i="1"/>
  <c r="EF175" i="1"/>
  <c r="EH175" i="1"/>
  <c r="EJ175" i="1"/>
  <c r="FT175" i="1" s="1"/>
  <c r="DD175" i="1"/>
  <c r="BA175" i="1"/>
  <c r="CM175" i="1" s="1"/>
  <c r="CL175" i="1"/>
  <c r="CK175" i="1"/>
  <c r="AY175" i="1"/>
  <c r="B172" i="1"/>
  <c r="CZ174" i="1"/>
  <c r="DI174" i="1" s="1"/>
  <c r="ES174" i="1" s="1"/>
  <c r="DG174" i="1"/>
  <c r="DK174" i="1"/>
  <c r="DM174" i="1"/>
  <c r="DO174" i="1"/>
  <c r="DQ174" i="1"/>
  <c r="DR174" i="1"/>
  <c r="DS174" i="1"/>
  <c r="FC174" i="1" s="1"/>
  <c r="DT174" i="1"/>
  <c r="FD174" i="1" s="1"/>
  <c r="DU174" i="1"/>
  <c r="DV174" i="1"/>
  <c r="DW174" i="1"/>
  <c r="DX174" i="1"/>
  <c r="DY174" i="1"/>
  <c r="DZ174" i="1"/>
  <c r="EA174" i="1"/>
  <c r="EB174" i="1"/>
  <c r="EC174" i="1"/>
  <c r="ED174" i="1"/>
  <c r="EE174" i="1"/>
  <c r="EF174" i="1"/>
  <c r="EG174" i="1"/>
  <c r="EH174" i="1"/>
  <c r="EI174" i="1"/>
  <c r="EJ174" i="1"/>
  <c r="DD174" i="1"/>
  <c r="DE174" i="1" s="1"/>
  <c r="DC174" i="1"/>
  <c r="BA174" i="1"/>
  <c r="CM174" i="1" s="1"/>
  <c r="CL174" i="1"/>
  <c r="CK174" i="1"/>
  <c r="AY174" i="1"/>
  <c r="B176" i="1"/>
  <c r="CZ173" i="1"/>
  <c r="DG173" i="1" s="1"/>
  <c r="DM173" i="1"/>
  <c r="DO173" i="1"/>
  <c r="DU173" i="1"/>
  <c r="DW173" i="1"/>
  <c r="EC173" i="1"/>
  <c r="EE173" i="1"/>
  <c r="DD173" i="1"/>
  <c r="BA173" i="1"/>
  <c r="CM173" i="1"/>
  <c r="CL173" i="1"/>
  <c r="CK173" i="1"/>
  <c r="AY173" i="1"/>
  <c r="B171" i="1"/>
  <c r="CZ172" i="1"/>
  <c r="DD172" i="1"/>
  <c r="BA172" i="1"/>
  <c r="CM172" i="1" s="1"/>
  <c r="CL172" i="1"/>
  <c r="CK172" i="1"/>
  <c r="AY172" i="1"/>
  <c r="B175" i="1"/>
  <c r="CX171" i="1"/>
  <c r="CZ171" i="1"/>
  <c r="DD171" i="1"/>
  <c r="BA171" i="1"/>
  <c r="CM171" i="1" s="1"/>
  <c r="CL171" i="1"/>
  <c r="CK171" i="1"/>
  <c r="AY171" i="1"/>
  <c r="B168" i="1"/>
  <c r="CX170" i="1"/>
  <c r="CZ170" i="1"/>
  <c r="DF170" i="1"/>
  <c r="DL170" i="1"/>
  <c r="EV170" i="1" s="1"/>
  <c r="DN170" i="1"/>
  <c r="DO170" i="1"/>
  <c r="DP170" i="1"/>
  <c r="DQ170" i="1"/>
  <c r="DR170" i="1"/>
  <c r="DS170" i="1"/>
  <c r="DT170" i="1"/>
  <c r="DU170" i="1"/>
  <c r="DV170" i="1"/>
  <c r="DW170" i="1"/>
  <c r="DX170" i="1"/>
  <c r="DY170" i="1"/>
  <c r="DZ170" i="1"/>
  <c r="EA170" i="1"/>
  <c r="EB170" i="1"/>
  <c r="EC170" i="1"/>
  <c r="ED170" i="1"/>
  <c r="EE170" i="1"/>
  <c r="EF170" i="1"/>
  <c r="FP170" i="1" s="1"/>
  <c r="EG170" i="1"/>
  <c r="EH170" i="1"/>
  <c r="EI170" i="1"/>
  <c r="FS170" i="1" s="1"/>
  <c r="EJ170" i="1"/>
  <c r="DD170" i="1"/>
  <c r="DC170" i="1" s="1"/>
  <c r="DE170" i="1"/>
  <c r="BA170" i="1"/>
  <c r="CM170" i="1"/>
  <c r="CL170" i="1"/>
  <c r="CK170" i="1"/>
  <c r="AY170" i="1"/>
  <c r="B169" i="1"/>
  <c r="CZ169" i="1"/>
  <c r="DI169" i="1" s="1"/>
  <c r="ES169" i="1" s="1"/>
  <c r="DG169" i="1"/>
  <c r="DK169" i="1"/>
  <c r="EU169" i="1" s="1"/>
  <c r="DO169" i="1"/>
  <c r="DS169" i="1"/>
  <c r="DW169" i="1"/>
  <c r="EA169" i="1"/>
  <c r="EE169" i="1"/>
  <c r="EI169" i="1"/>
  <c r="DD169" i="1"/>
  <c r="BA169" i="1"/>
  <c r="CM169" i="1" s="1"/>
  <c r="CL169" i="1"/>
  <c r="CK169" i="1"/>
  <c r="AY169" i="1"/>
  <c r="B170" i="1"/>
  <c r="CX168" i="1"/>
  <c r="DJ168" i="1" s="1"/>
  <c r="CZ168" i="1"/>
  <c r="DZ168" i="1" s="1"/>
  <c r="EF168" i="1"/>
  <c r="DD168" i="1"/>
  <c r="DC168" i="1" s="1"/>
  <c r="DE168" i="1"/>
  <c r="DE220" i="1" s="1"/>
  <c r="CL168" i="1"/>
  <c r="CK168" i="1"/>
  <c r="AY168" i="1"/>
  <c r="B177" i="1"/>
  <c r="CX167" i="1"/>
  <c r="CZ167" i="1"/>
  <c r="DZ167" i="1" s="1"/>
  <c r="DK167" i="1"/>
  <c r="EU167" i="1" s="1"/>
  <c r="DU167" i="1"/>
  <c r="DD167" i="1"/>
  <c r="DE167" i="1" s="1"/>
  <c r="DC167" i="1"/>
  <c r="BA167" i="1"/>
  <c r="CM167" i="1"/>
  <c r="CL167" i="1"/>
  <c r="CK167" i="1"/>
  <c r="AY167" i="1"/>
  <c r="B163" i="1"/>
  <c r="CW166" i="1"/>
  <c r="CX166" i="1"/>
  <c r="DK166" i="1" s="1"/>
  <c r="CZ166" i="1"/>
  <c r="DF166" i="1"/>
  <c r="DP166" i="1"/>
  <c r="DQ166" i="1"/>
  <c r="DV166" i="1"/>
  <c r="EA166" i="1"/>
  <c r="FK166" i="1" s="1"/>
  <c r="EF166" i="1"/>
  <c r="EG166" i="1"/>
  <c r="DD166" i="1"/>
  <c r="BA166" i="1"/>
  <c r="CM166" i="1"/>
  <c r="CL166" i="1"/>
  <c r="CK166" i="1"/>
  <c r="AY166" i="1"/>
  <c r="B158" i="1"/>
  <c r="CZ165" i="1"/>
  <c r="DF165" i="1"/>
  <c r="DG165" i="1"/>
  <c r="DH165" i="1"/>
  <c r="ER165" i="1" s="1"/>
  <c r="DI165" i="1"/>
  <c r="ES165" i="1" s="1"/>
  <c r="DJ165" i="1"/>
  <c r="DK165" i="1"/>
  <c r="DL165" i="1"/>
  <c r="DM165" i="1"/>
  <c r="DN165" i="1"/>
  <c r="DO165" i="1"/>
  <c r="EY165" i="1" s="1"/>
  <c r="DP165" i="1"/>
  <c r="EZ165" i="1" s="1"/>
  <c r="DQ165" i="1"/>
  <c r="DR165" i="1"/>
  <c r="DS165" i="1"/>
  <c r="DT165" i="1"/>
  <c r="DU165" i="1"/>
  <c r="DV165" i="1"/>
  <c r="DW165" i="1"/>
  <c r="DX165" i="1"/>
  <c r="DY165" i="1"/>
  <c r="DZ165" i="1"/>
  <c r="FJ165" i="1" s="1"/>
  <c r="EA165" i="1"/>
  <c r="FK165" i="1" s="1"/>
  <c r="EB165" i="1"/>
  <c r="EC165" i="1"/>
  <c r="FM165" i="1" s="1"/>
  <c r="ED165" i="1"/>
  <c r="EE165" i="1"/>
  <c r="EF165" i="1"/>
  <c r="EG165" i="1"/>
  <c r="EH165" i="1"/>
  <c r="EI165" i="1"/>
  <c r="EJ165" i="1"/>
  <c r="DD165" i="1"/>
  <c r="DC165" i="1" s="1"/>
  <c r="DE165" i="1"/>
  <c r="BA165" i="1"/>
  <c r="CM165" i="1" s="1"/>
  <c r="CL165" i="1"/>
  <c r="CK165" i="1"/>
  <c r="AY165" i="1"/>
  <c r="B167" i="1"/>
  <c r="CZ164" i="1"/>
  <c r="DG164" i="1"/>
  <c r="DO164" i="1"/>
  <c r="DQ164" i="1"/>
  <c r="DY164" i="1"/>
  <c r="EB164" i="1"/>
  <c r="EJ164" i="1"/>
  <c r="DD164" i="1"/>
  <c r="DE164" i="1" s="1"/>
  <c r="DC164" i="1"/>
  <c r="BA164" i="1"/>
  <c r="CM164" i="1"/>
  <c r="CL164" i="1"/>
  <c r="CK164" i="1"/>
  <c r="AY164" i="1"/>
  <c r="B161" i="1"/>
  <c r="CZ163" i="1"/>
  <c r="DF163" i="1"/>
  <c r="DG163" i="1"/>
  <c r="DH163" i="1"/>
  <c r="DI163" i="1"/>
  <c r="ES163" i="1" s="1"/>
  <c r="DJ163" i="1"/>
  <c r="DK163" i="1"/>
  <c r="EU163" i="1" s="1"/>
  <c r="DL163" i="1"/>
  <c r="DM163" i="1"/>
  <c r="DN163" i="1"/>
  <c r="DO163" i="1"/>
  <c r="DP163" i="1"/>
  <c r="DQ163" i="1"/>
  <c r="DR163" i="1"/>
  <c r="DS163" i="1"/>
  <c r="DT163" i="1"/>
  <c r="DU163" i="1"/>
  <c r="DV163" i="1"/>
  <c r="DW163" i="1"/>
  <c r="FG163" i="1" s="1"/>
  <c r="DX163" i="1"/>
  <c r="DY163" i="1"/>
  <c r="DZ163" i="1"/>
  <c r="EA163" i="1"/>
  <c r="EB163" i="1"/>
  <c r="EC163" i="1"/>
  <c r="ED163" i="1"/>
  <c r="EE163" i="1"/>
  <c r="EF163" i="1"/>
  <c r="FP163" i="1" s="1"/>
  <c r="EG163" i="1"/>
  <c r="EH163" i="1"/>
  <c r="EI163" i="1"/>
  <c r="FS163" i="1" s="1"/>
  <c r="EJ163" i="1"/>
  <c r="FT163" i="1" s="1"/>
  <c r="DD163" i="1"/>
  <c r="BA163" i="1"/>
  <c r="CM163" i="1" s="1"/>
  <c r="CL163" i="1"/>
  <c r="CK163" i="1"/>
  <c r="AY163" i="1"/>
  <c r="B162" i="1"/>
  <c r="CZ162" i="1"/>
  <c r="DG162" i="1" s="1"/>
  <c r="DD162" i="1"/>
  <c r="BA162" i="1"/>
  <c r="CM162" i="1" s="1"/>
  <c r="CL162" i="1"/>
  <c r="CK162" i="1"/>
  <c r="AY162" i="1"/>
  <c r="B166" i="1"/>
  <c r="CX161" i="1"/>
  <c r="CZ161" i="1"/>
  <c r="DP161" i="1" s="1"/>
  <c r="DV161" i="1"/>
  <c r="DD161" i="1"/>
  <c r="BA161" i="1"/>
  <c r="CM161" i="1" s="1"/>
  <c r="CL161" i="1"/>
  <c r="CK161" i="1"/>
  <c r="AY161" i="1"/>
  <c r="B164" i="1"/>
  <c r="CW160" i="1"/>
  <c r="EB160" i="1" s="1"/>
  <c r="CX160" i="1"/>
  <c r="CZ160" i="1"/>
  <c r="ED160" i="1"/>
  <c r="DD160" i="1"/>
  <c r="DC160" i="1" s="1"/>
  <c r="DE160" i="1"/>
  <c r="BA160" i="1"/>
  <c r="CM160" i="1"/>
  <c r="CL160" i="1"/>
  <c r="CK160" i="1"/>
  <c r="AY160" i="1"/>
  <c r="B165" i="1"/>
  <c r="CX159" i="1"/>
  <c r="CZ159" i="1"/>
  <c r="DJ159" i="1" s="1"/>
  <c r="DD159" i="1"/>
  <c r="DC159" i="1" s="1"/>
  <c r="DE159" i="1"/>
  <c r="CL159" i="1"/>
  <c r="CK159" i="1"/>
  <c r="AY159" i="1"/>
  <c r="B160" i="1"/>
  <c r="CZ158" i="1"/>
  <c r="DY158" i="1"/>
  <c r="EA158" i="1"/>
  <c r="DD158" i="1"/>
  <c r="CM158" i="1"/>
  <c r="CL158" i="1"/>
  <c r="CK158" i="1"/>
  <c r="AY158" i="1"/>
  <c r="B159" i="1"/>
  <c r="CZ157" i="1"/>
  <c r="DL157" i="1"/>
  <c r="EV157" i="1" s="1"/>
  <c r="DP157" i="1"/>
  <c r="DT157" i="1"/>
  <c r="EB157" i="1"/>
  <c r="EF157" i="1"/>
  <c r="EJ157" i="1"/>
  <c r="DD157" i="1"/>
  <c r="DC157" i="1" s="1"/>
  <c r="DE157" i="1"/>
  <c r="BA157" i="1"/>
  <c r="CM157" i="1" s="1"/>
  <c r="CL157" i="1"/>
  <c r="CK157" i="1"/>
  <c r="AY157" i="1"/>
  <c r="B156" i="1"/>
  <c r="CX156" i="1"/>
  <c r="CZ156" i="1"/>
  <c r="DN156" i="1" s="1"/>
  <c r="DO156" i="1"/>
  <c r="DP156" i="1"/>
  <c r="EZ156" i="1" s="1"/>
  <c r="DQ156" i="1"/>
  <c r="DR156" i="1"/>
  <c r="DS156" i="1"/>
  <c r="DT156" i="1"/>
  <c r="FD156" i="1" s="1"/>
  <c r="DU156" i="1"/>
  <c r="DV156" i="1"/>
  <c r="DW156" i="1"/>
  <c r="DX156" i="1"/>
  <c r="FH156" i="1" s="1"/>
  <c r="DY156" i="1"/>
  <c r="DZ156" i="1"/>
  <c r="EA156" i="1"/>
  <c r="EB156" i="1"/>
  <c r="EC156" i="1"/>
  <c r="ED156" i="1"/>
  <c r="EE156" i="1"/>
  <c r="EF156" i="1"/>
  <c r="FP156" i="1" s="1"/>
  <c r="EG156" i="1"/>
  <c r="EH156" i="1"/>
  <c r="EI156" i="1"/>
  <c r="EJ156" i="1"/>
  <c r="FT156" i="1" s="1"/>
  <c r="DD156" i="1"/>
  <c r="BA156" i="1"/>
  <c r="CM156" i="1" s="1"/>
  <c r="CL156" i="1"/>
  <c r="CK156" i="1"/>
  <c r="AY156" i="1"/>
  <c r="B157" i="1"/>
  <c r="CZ155" i="1"/>
  <c r="DO155" i="1"/>
  <c r="EE155" i="1"/>
  <c r="DD155" i="1"/>
  <c r="DE155" i="1"/>
  <c r="DC155" i="1"/>
  <c r="BA155" i="1"/>
  <c r="CM155" i="1" s="1"/>
  <c r="CL155" i="1"/>
  <c r="CK155" i="1"/>
  <c r="AY155" i="1"/>
  <c r="B153" i="1"/>
  <c r="CZ154" i="1"/>
  <c r="DG154" i="1" s="1"/>
  <c r="DF154" i="1"/>
  <c r="DH154" i="1"/>
  <c r="DJ154" i="1"/>
  <c r="DL154" i="1"/>
  <c r="DN154" i="1"/>
  <c r="DP154" i="1"/>
  <c r="DR154" i="1"/>
  <c r="FB154" i="1" s="1"/>
  <c r="DT154" i="1"/>
  <c r="DV154" i="1"/>
  <c r="DX154" i="1"/>
  <c r="FH154" i="1" s="1"/>
  <c r="DZ154" i="1"/>
  <c r="FJ154" i="1" s="1"/>
  <c r="EB154" i="1"/>
  <c r="ED154" i="1"/>
  <c r="EF154" i="1"/>
  <c r="EH154" i="1"/>
  <c r="FR154" i="1" s="1"/>
  <c r="EJ154" i="1"/>
  <c r="DD154" i="1"/>
  <c r="BA154" i="1"/>
  <c r="CM154" i="1" s="1"/>
  <c r="CL154" i="1"/>
  <c r="CK154" i="1"/>
  <c r="AY154" i="1"/>
  <c r="B148" i="1"/>
  <c r="CZ153" i="1"/>
  <c r="DQ153" i="1" s="1"/>
  <c r="DI153" i="1"/>
  <c r="ES153" i="1" s="1"/>
  <c r="DK153" i="1"/>
  <c r="DM153" i="1"/>
  <c r="DO153" i="1"/>
  <c r="DU153" i="1"/>
  <c r="DY153" i="1"/>
  <c r="EA153" i="1"/>
  <c r="EC153" i="1"/>
  <c r="EE153" i="1"/>
  <c r="FO153" i="1" s="1"/>
  <c r="DD153" i="1"/>
  <c r="DE153" i="1" s="1"/>
  <c r="DC153" i="1"/>
  <c r="BA153" i="1"/>
  <c r="CM153" i="1" s="1"/>
  <c r="CL153" i="1"/>
  <c r="CK153" i="1"/>
  <c r="AY153" i="1"/>
  <c r="B152" i="1"/>
  <c r="CZ152" i="1"/>
  <c r="DG152" i="1" s="1"/>
  <c r="DH152" i="1"/>
  <c r="DJ152" i="1"/>
  <c r="DL152" i="1"/>
  <c r="DN152" i="1"/>
  <c r="EX152" i="1" s="1"/>
  <c r="DT152" i="1"/>
  <c r="DX152" i="1"/>
  <c r="DZ152" i="1"/>
  <c r="EB152" i="1"/>
  <c r="ED152" i="1"/>
  <c r="EJ152" i="1"/>
  <c r="DD152" i="1"/>
  <c r="DC152" i="1" s="1"/>
  <c r="DE152" i="1"/>
  <c r="BA152" i="1"/>
  <c r="CM152" i="1"/>
  <c r="CL152" i="1"/>
  <c r="CK152" i="1"/>
  <c r="AY152" i="1"/>
  <c r="B154" i="1"/>
  <c r="CZ151" i="1"/>
  <c r="DK151" i="1" s="1"/>
  <c r="EU151" i="1" s="1"/>
  <c r="DG151" i="1"/>
  <c r="EQ151" i="1" s="1"/>
  <c r="DO151" i="1"/>
  <c r="EY151" i="1" s="1"/>
  <c r="DW151" i="1"/>
  <c r="EE151" i="1"/>
  <c r="FO151" i="1" s="1"/>
  <c r="DD151" i="1"/>
  <c r="DC151" i="1" s="1"/>
  <c r="B151" i="1"/>
  <c r="CZ150" i="1"/>
  <c r="DG150" i="1" s="1"/>
  <c r="EQ150" i="1" s="1"/>
  <c r="DF150" i="1"/>
  <c r="DH150" i="1"/>
  <c r="DJ150" i="1"/>
  <c r="DL150" i="1"/>
  <c r="EV150" i="1" s="1"/>
  <c r="DN150" i="1"/>
  <c r="DP150" i="1"/>
  <c r="EZ150" i="1" s="1"/>
  <c r="DR150" i="1"/>
  <c r="FB150" i="1" s="1"/>
  <c r="DT150" i="1"/>
  <c r="FD150" i="1" s="1"/>
  <c r="DV150" i="1"/>
  <c r="FF150" i="1" s="1"/>
  <c r="DX150" i="1"/>
  <c r="FH150" i="1"/>
  <c r="DZ150" i="1"/>
  <c r="EB150" i="1"/>
  <c r="FL150" i="1" s="1"/>
  <c r="ED150" i="1"/>
  <c r="EF150" i="1"/>
  <c r="FP150" i="1" s="1"/>
  <c r="EH150" i="1"/>
  <c r="FR150" i="1" s="1"/>
  <c r="EJ150" i="1"/>
  <c r="FT150" i="1" s="1"/>
  <c r="DD150" i="1"/>
  <c r="DC150" i="1" s="1"/>
  <c r="DE150" i="1"/>
  <c r="B149" i="1"/>
  <c r="CW149" i="1"/>
  <c r="DN149" i="1" s="1"/>
  <c r="CX149" i="1"/>
  <c r="CZ149" i="1"/>
  <c r="DP149" i="1"/>
  <c r="EZ149" i="1" s="1"/>
  <c r="ED149" i="1"/>
  <c r="DD149" i="1"/>
  <c r="CM149" i="1"/>
  <c r="CL149" i="1"/>
  <c r="CK149" i="1"/>
  <c r="AY149" i="1"/>
  <c r="B155" i="1"/>
  <c r="CZ148" i="1"/>
  <c r="DF148" i="1"/>
  <c r="DJ148" i="1"/>
  <c r="DN148" i="1"/>
  <c r="DR148" i="1"/>
  <c r="DV148" i="1"/>
  <c r="DZ148" i="1"/>
  <c r="ED148" i="1"/>
  <c r="EH148" i="1"/>
  <c r="DD148" i="1"/>
  <c r="CL148" i="1"/>
  <c r="CK148" i="1"/>
  <c r="AY148" i="1"/>
  <c r="B150" i="1"/>
  <c r="CZ147" i="1"/>
  <c r="DF147" i="1"/>
  <c r="DT147" i="1"/>
  <c r="FD147" i="1" s="1"/>
  <c r="EJ147" i="1"/>
  <c r="DD147" i="1"/>
  <c r="BA147" i="1"/>
  <c r="CM147" i="1"/>
  <c r="CL147" i="1"/>
  <c r="CK147" i="1"/>
  <c r="AY147" i="1"/>
  <c r="B139" i="1"/>
  <c r="CX146" i="1"/>
  <c r="CZ146" i="1"/>
  <c r="DR146" i="1" s="1"/>
  <c r="FB146" i="1" s="1"/>
  <c r="EJ146" i="1"/>
  <c r="DD146" i="1"/>
  <c r="DC146" i="1" s="1"/>
  <c r="DE146" i="1"/>
  <c r="BA146" i="1"/>
  <c r="CM146" i="1"/>
  <c r="CL146" i="1"/>
  <c r="CK146" i="1"/>
  <c r="AY146" i="1"/>
  <c r="B141" i="1"/>
  <c r="CX145" i="1"/>
  <c r="CZ145" i="1"/>
  <c r="DR145" i="1" s="1"/>
  <c r="DI145" i="1"/>
  <c r="ES145" i="1" s="1"/>
  <c r="DM145" i="1"/>
  <c r="DN145" i="1"/>
  <c r="DO145" i="1"/>
  <c r="EY145" i="1" s="1"/>
  <c r="DP145" i="1"/>
  <c r="DQ145" i="1"/>
  <c r="DS145" i="1"/>
  <c r="DT145" i="1"/>
  <c r="FD145" i="1" s="1"/>
  <c r="DU145" i="1"/>
  <c r="DV145" i="1"/>
  <c r="DW145" i="1"/>
  <c r="DX145" i="1"/>
  <c r="DY145" i="1"/>
  <c r="EA145" i="1"/>
  <c r="FK145" i="1" s="1"/>
  <c r="EB145" i="1"/>
  <c r="EC145" i="1"/>
  <c r="ED145" i="1"/>
  <c r="EE145" i="1"/>
  <c r="EF145" i="1"/>
  <c r="EG145" i="1"/>
  <c r="EI145" i="1"/>
  <c r="EJ145" i="1"/>
  <c r="DD145" i="1"/>
  <c r="DE145" i="1"/>
  <c r="DC145" i="1"/>
  <c r="BA145" i="1"/>
  <c r="CM145" i="1" s="1"/>
  <c r="CL145" i="1"/>
  <c r="CK145" i="1"/>
  <c r="AY145" i="1"/>
  <c r="B144" i="1"/>
  <c r="CX144" i="1"/>
  <c r="CZ144" i="1"/>
  <c r="DO144" i="1" s="1"/>
  <c r="DG144" i="1"/>
  <c r="DK144" i="1"/>
  <c r="EU144" i="1" s="1"/>
  <c r="EI144" i="1"/>
  <c r="DD144" i="1"/>
  <c r="DC144" i="1" s="1"/>
  <c r="DE144" i="1"/>
  <c r="BA144" i="1"/>
  <c r="CM144" i="1" s="1"/>
  <c r="CL144" i="1"/>
  <c r="CK144" i="1"/>
  <c r="AY144" i="1"/>
  <c r="B140" i="1"/>
  <c r="CZ143" i="1"/>
  <c r="DF143" i="1" s="1"/>
  <c r="DR143" i="1"/>
  <c r="FB143" i="1" s="1"/>
  <c r="DT143" i="1"/>
  <c r="EC143" i="1"/>
  <c r="EJ143" i="1"/>
  <c r="DD143" i="1"/>
  <c r="BA143" i="1"/>
  <c r="CM143" i="1"/>
  <c r="CL143" i="1"/>
  <c r="CK143" i="1"/>
  <c r="AY143" i="1"/>
  <c r="B138" i="1"/>
  <c r="CX142" i="1"/>
  <c r="CZ142" i="1"/>
  <c r="DN142" i="1"/>
  <c r="EX142" i="1" s="1"/>
  <c r="DO142" i="1"/>
  <c r="DP142" i="1"/>
  <c r="EZ142" i="1" s="1"/>
  <c r="DQ142" i="1"/>
  <c r="DR142" i="1"/>
  <c r="DS142" i="1"/>
  <c r="FC142" i="1" s="1"/>
  <c r="DT142" i="1"/>
  <c r="DU142" i="1"/>
  <c r="DV142" i="1"/>
  <c r="DW142" i="1"/>
  <c r="DX142" i="1"/>
  <c r="DY142" i="1"/>
  <c r="DZ142" i="1"/>
  <c r="EA142" i="1"/>
  <c r="EB142" i="1"/>
  <c r="EC142" i="1"/>
  <c r="FM142" i="1" s="1"/>
  <c r="ED142" i="1"/>
  <c r="EE142" i="1"/>
  <c r="EF142" i="1"/>
  <c r="EG142" i="1"/>
  <c r="EH142" i="1"/>
  <c r="EI142" i="1"/>
  <c r="EJ142" i="1"/>
  <c r="FT142" i="1" s="1"/>
  <c r="DD142" i="1"/>
  <c r="DE142" i="1" s="1"/>
  <c r="DC142" i="1"/>
  <c r="BA142" i="1"/>
  <c r="CM142" i="1"/>
  <c r="CL142" i="1"/>
  <c r="CK142" i="1"/>
  <c r="AY142" i="1"/>
  <c r="B147" i="1"/>
  <c r="CW141" i="1"/>
  <c r="DO141" i="1" s="1"/>
  <c r="CX141" i="1"/>
  <c r="CZ141" i="1"/>
  <c r="DS141" i="1" s="1"/>
  <c r="DI141" i="1"/>
  <c r="ES141" i="1" s="1"/>
  <c r="DM141" i="1"/>
  <c r="DY141" i="1"/>
  <c r="EA141" i="1"/>
  <c r="EC141" i="1"/>
  <c r="DD141" i="1"/>
  <c r="DE141" i="1"/>
  <c r="DE230" i="1" s="1"/>
  <c r="DC141" i="1"/>
  <c r="BA141" i="1"/>
  <c r="CM141" i="1"/>
  <c r="CL141" i="1"/>
  <c r="CK141" i="1"/>
  <c r="AY141" i="1"/>
  <c r="B143" i="1"/>
  <c r="CW140" i="1"/>
  <c r="CX140" i="1"/>
  <c r="CZ140" i="1"/>
  <c r="DO140" i="1"/>
  <c r="DD140" i="1"/>
  <c r="DE140" i="1" s="1"/>
  <c r="DC140" i="1"/>
  <c r="BA140" i="1"/>
  <c r="CM140" i="1"/>
  <c r="CL140" i="1"/>
  <c r="CK140" i="1"/>
  <c r="AY140" i="1"/>
  <c r="B146" i="1"/>
  <c r="CZ139" i="1"/>
  <c r="DJ139" i="1" s="1"/>
  <c r="DF139" i="1"/>
  <c r="DG139" i="1"/>
  <c r="DH139" i="1"/>
  <c r="DI139" i="1"/>
  <c r="ES139" i="1" s="1"/>
  <c r="DN139" i="1"/>
  <c r="EX139" i="1" s="1"/>
  <c r="DO139" i="1"/>
  <c r="DP139" i="1"/>
  <c r="DQ139" i="1"/>
  <c r="DS139" i="1"/>
  <c r="DT139" i="1"/>
  <c r="DX139" i="1"/>
  <c r="DY139" i="1"/>
  <c r="EA139" i="1"/>
  <c r="EB139" i="1"/>
  <c r="ED139" i="1"/>
  <c r="EE139" i="1"/>
  <c r="EI139" i="1"/>
  <c r="EJ139" i="1"/>
  <c r="DD139" i="1"/>
  <c r="DE139" i="1" s="1"/>
  <c r="DC139" i="1"/>
  <c r="BA139" i="1"/>
  <c r="CM139" i="1" s="1"/>
  <c r="CL139" i="1"/>
  <c r="CK139" i="1"/>
  <c r="AY139" i="1"/>
  <c r="B142" i="1"/>
  <c r="CZ138" i="1"/>
  <c r="DI138" i="1" s="1"/>
  <c r="DF138" i="1"/>
  <c r="DG138" i="1"/>
  <c r="DH138" i="1"/>
  <c r="DM138" i="1"/>
  <c r="DN138" i="1"/>
  <c r="DO138" i="1"/>
  <c r="DP138" i="1"/>
  <c r="DU138" i="1"/>
  <c r="DV138" i="1"/>
  <c r="DW138" i="1"/>
  <c r="DX138" i="1"/>
  <c r="EC138" i="1"/>
  <c r="ED138" i="1"/>
  <c r="EE138" i="1"/>
  <c r="EF138" i="1"/>
  <c r="FP138" i="1" s="1"/>
  <c r="DD138" i="1"/>
  <c r="CL138" i="1"/>
  <c r="CK138" i="1"/>
  <c r="AY138" i="1"/>
  <c r="B145" i="1"/>
  <c r="CZ137" i="1"/>
  <c r="DL137" i="1" s="1"/>
  <c r="DF137" i="1"/>
  <c r="DG137" i="1"/>
  <c r="DH137" i="1"/>
  <c r="DI137" i="1"/>
  <c r="ES137" i="1" s="1"/>
  <c r="DJ137" i="1"/>
  <c r="DK137" i="1"/>
  <c r="EU137" i="1" s="1"/>
  <c r="DM137" i="1"/>
  <c r="DN137" i="1"/>
  <c r="DO137" i="1"/>
  <c r="DP137" i="1"/>
  <c r="DQ137" i="1"/>
  <c r="DR137" i="1"/>
  <c r="FB137" i="1" s="1"/>
  <c r="DS137" i="1"/>
  <c r="DU137" i="1"/>
  <c r="DV137" i="1"/>
  <c r="FF137" i="1" s="1"/>
  <c r="DW137" i="1"/>
  <c r="DX137" i="1"/>
  <c r="DY137" i="1"/>
  <c r="DZ137" i="1"/>
  <c r="EA137" i="1"/>
  <c r="EC137" i="1"/>
  <c r="ED137" i="1"/>
  <c r="EE137" i="1"/>
  <c r="EF137" i="1"/>
  <c r="EG137" i="1"/>
  <c r="EH137" i="1"/>
  <c r="FR137" i="1" s="1"/>
  <c r="EI137" i="1"/>
  <c r="DD137" i="1"/>
  <c r="DE137" i="1"/>
  <c r="DC137" i="1"/>
  <c r="BA137" i="1"/>
  <c r="CM137" i="1" s="1"/>
  <c r="CL137" i="1"/>
  <c r="CK137" i="1"/>
  <c r="AY137" i="1"/>
  <c r="B136" i="1"/>
  <c r="CZ136" i="1"/>
  <c r="DG136" i="1" s="1"/>
  <c r="DF136" i="1"/>
  <c r="DH136" i="1"/>
  <c r="DJ136" i="1"/>
  <c r="DL136" i="1"/>
  <c r="DN136" i="1"/>
  <c r="EX136" i="1" s="1"/>
  <c r="DP136" i="1"/>
  <c r="DT136" i="1"/>
  <c r="DV136" i="1"/>
  <c r="FF136" i="1" s="1"/>
  <c r="DX136" i="1"/>
  <c r="DZ136" i="1"/>
  <c r="EB136" i="1"/>
  <c r="ED136" i="1"/>
  <c r="EF136" i="1"/>
  <c r="FP136" i="1" s="1"/>
  <c r="EJ136" i="1"/>
  <c r="FT136" i="1" s="1"/>
  <c r="DD136" i="1"/>
  <c r="DC136" i="1" s="1"/>
  <c r="BA136" i="1"/>
  <c r="CM136" i="1"/>
  <c r="CL136" i="1"/>
  <c r="CK136" i="1"/>
  <c r="AY136" i="1"/>
  <c r="B129" i="1"/>
  <c r="CW135" i="1"/>
  <c r="DL135" i="1" s="1"/>
  <c r="EV135" i="1" s="1"/>
  <c r="CX135" i="1"/>
  <c r="CZ135" i="1"/>
  <c r="DP135" i="1" s="1"/>
  <c r="EZ135" i="1" s="1"/>
  <c r="DF135" i="1"/>
  <c r="DH135" i="1"/>
  <c r="DJ135" i="1"/>
  <c r="DT135" i="1"/>
  <c r="DV135" i="1"/>
  <c r="DX135" i="1"/>
  <c r="DZ135" i="1"/>
  <c r="EJ135" i="1"/>
  <c r="DD135" i="1"/>
  <c r="DC135" i="1" s="1"/>
  <c r="BA135" i="1"/>
  <c r="CM135" i="1"/>
  <c r="CL135" i="1"/>
  <c r="CK135" i="1"/>
  <c r="AY135" i="1"/>
  <c r="B134" i="1"/>
  <c r="CW134" i="1"/>
  <c r="DJ134" i="1" s="1"/>
  <c r="CX134" i="1"/>
  <c r="CZ134" i="1"/>
  <c r="DF134" i="1"/>
  <c r="EH134" i="1"/>
  <c r="FR134" i="1" s="1"/>
  <c r="DD134" i="1"/>
  <c r="DC134" i="1" s="1"/>
  <c r="BA134" i="1"/>
  <c r="CM134" i="1" s="1"/>
  <c r="CL134" i="1"/>
  <c r="CK134" i="1"/>
  <c r="AY134" i="1"/>
  <c r="B133" i="1"/>
  <c r="CZ133" i="1"/>
  <c r="DG133" i="1" s="1"/>
  <c r="DD133" i="1"/>
  <c r="BA133" i="1"/>
  <c r="CM133" i="1" s="1"/>
  <c r="CL133" i="1"/>
  <c r="CK133" i="1"/>
  <c r="AY133" i="1"/>
  <c r="B132" i="1"/>
  <c r="CX132" i="1"/>
  <c r="CZ132" i="1"/>
  <c r="DV132" i="1" s="1"/>
  <c r="DN132" i="1"/>
  <c r="DP132" i="1"/>
  <c r="EZ132" i="1" s="1"/>
  <c r="DR132" i="1"/>
  <c r="DT132" i="1"/>
  <c r="EB132" i="1"/>
  <c r="ED132" i="1"/>
  <c r="EF132" i="1"/>
  <c r="FP132" i="1" s="1"/>
  <c r="EH132" i="1"/>
  <c r="EJ132" i="1"/>
  <c r="DD132" i="1"/>
  <c r="BA132" i="1"/>
  <c r="CM132" i="1" s="1"/>
  <c r="CL132" i="1"/>
  <c r="CK132" i="1"/>
  <c r="AY132" i="1"/>
  <c r="B137" i="1"/>
  <c r="CZ131" i="1"/>
  <c r="DL131" i="1" s="1"/>
  <c r="EV131" i="1" s="1"/>
  <c r="EB131" i="1"/>
  <c r="EC131" i="1"/>
  <c r="DD131" i="1"/>
  <c r="BA131" i="1"/>
  <c r="CM131" i="1" s="1"/>
  <c r="CL131" i="1"/>
  <c r="CK131" i="1"/>
  <c r="AY131" i="1"/>
  <c r="B128" i="1"/>
  <c r="CX130" i="1"/>
  <c r="DG130" i="1" s="1"/>
  <c r="CZ130" i="1"/>
  <c r="DI130" i="1"/>
  <c r="ES130" i="1" s="1"/>
  <c r="DQ130" i="1"/>
  <c r="DU130" i="1"/>
  <c r="DY130" i="1"/>
  <c r="EC130" i="1"/>
  <c r="EG130" i="1"/>
  <c r="DD130" i="1"/>
  <c r="DE130" i="1"/>
  <c r="DC130" i="1"/>
  <c r="BA130" i="1"/>
  <c r="CM130" i="1" s="1"/>
  <c r="CL130" i="1"/>
  <c r="CK130" i="1"/>
  <c r="AY130" i="1"/>
  <c r="B130" i="1"/>
  <c r="CX129" i="1"/>
  <c r="CZ129" i="1"/>
  <c r="DH129" i="1" s="1"/>
  <c r="ER129" i="1" s="1"/>
  <c r="DJ129" i="1"/>
  <c r="DN129" i="1"/>
  <c r="DR129" i="1"/>
  <c r="DV129" i="1"/>
  <c r="FF129" i="1" s="1"/>
  <c r="DZ129" i="1"/>
  <c r="EH129" i="1"/>
  <c r="DD129" i="1"/>
  <c r="BA129" i="1"/>
  <c r="CM129" i="1" s="1"/>
  <c r="CL129" i="1"/>
  <c r="CK129" i="1"/>
  <c r="AY129" i="1"/>
  <c r="B131" i="1"/>
  <c r="CW128" i="1"/>
  <c r="CX128" i="1"/>
  <c r="CZ128" i="1"/>
  <c r="EB128" i="1" s="1"/>
  <c r="DH128" i="1"/>
  <c r="DL128" i="1"/>
  <c r="DP128" i="1"/>
  <c r="DT128" i="1"/>
  <c r="DX128" i="1"/>
  <c r="EF128" i="1"/>
  <c r="EJ128" i="1"/>
  <c r="DD128" i="1"/>
  <c r="CL128" i="1"/>
  <c r="CK128" i="1"/>
  <c r="AY128" i="1"/>
  <c r="B135" i="1"/>
  <c r="CX127" i="1"/>
  <c r="CZ127" i="1"/>
  <c r="DD127" i="1"/>
  <c r="DE127" i="1"/>
  <c r="DC127" i="1"/>
  <c r="BA127" i="1"/>
  <c r="CM127" i="1" s="1"/>
  <c r="CL127" i="1"/>
  <c r="CK127" i="1"/>
  <c r="AY127" i="1"/>
  <c r="B124" i="1"/>
  <c r="CX126" i="1"/>
  <c r="CZ126" i="1"/>
  <c r="DL126" i="1" s="1"/>
  <c r="DF126" i="1"/>
  <c r="DH126" i="1"/>
  <c r="ER126" i="1" s="1"/>
  <c r="DJ126" i="1"/>
  <c r="DT126" i="1"/>
  <c r="FD126" i="1" s="1"/>
  <c r="DV126" i="1"/>
  <c r="DX126" i="1"/>
  <c r="DZ126" i="1"/>
  <c r="EJ126" i="1"/>
  <c r="DD126" i="1"/>
  <c r="BA126" i="1"/>
  <c r="CM126" i="1" s="1"/>
  <c r="CL126" i="1"/>
  <c r="CK126" i="1"/>
  <c r="AY126" i="1"/>
  <c r="B120" i="1"/>
  <c r="CX125" i="1"/>
  <c r="CZ125" i="1"/>
  <c r="DG125" i="1" s="1"/>
  <c r="DF125" i="1"/>
  <c r="DH125" i="1"/>
  <c r="DJ125" i="1"/>
  <c r="DT125" i="1"/>
  <c r="FD125" i="1" s="1"/>
  <c r="DV125" i="1"/>
  <c r="DX125" i="1"/>
  <c r="DZ125" i="1"/>
  <c r="EJ125" i="1"/>
  <c r="DD125" i="1"/>
  <c r="DC125" i="1" s="1"/>
  <c r="BA125" i="1"/>
  <c r="CM125" i="1" s="1"/>
  <c r="CL125" i="1"/>
  <c r="CK125" i="1"/>
  <c r="AY125" i="1"/>
  <c r="B118" i="1"/>
  <c r="CX124" i="1"/>
  <c r="CZ124" i="1"/>
  <c r="DP124" i="1" s="1"/>
  <c r="DN124" i="1"/>
  <c r="DO124" i="1"/>
  <c r="DU124" i="1"/>
  <c r="DV124" i="1"/>
  <c r="FF124" i="1" s="1"/>
  <c r="DW124" i="1"/>
  <c r="EC124" i="1"/>
  <c r="ED124" i="1"/>
  <c r="EE124" i="1"/>
  <c r="DD124" i="1"/>
  <c r="DE124" i="1"/>
  <c r="DC124" i="1"/>
  <c r="BA124" i="1"/>
  <c r="CM124" i="1" s="1"/>
  <c r="CL124" i="1"/>
  <c r="CK124" i="1"/>
  <c r="AY124" i="1"/>
  <c r="B119" i="1"/>
  <c r="CX123" i="1"/>
  <c r="CZ123" i="1"/>
  <c r="DD123" i="1"/>
  <c r="DE123" i="1" s="1"/>
  <c r="BA123" i="1"/>
  <c r="CM123" i="1" s="1"/>
  <c r="CL123" i="1"/>
  <c r="CK123" i="1"/>
  <c r="AY123" i="1"/>
  <c r="B125" i="1"/>
  <c r="CX122" i="1"/>
  <c r="CZ122" i="1"/>
  <c r="DF122" i="1"/>
  <c r="EP122" i="1" s="1"/>
  <c r="DH122" i="1"/>
  <c r="DJ122" i="1"/>
  <c r="DL122" i="1"/>
  <c r="EV122" i="1" s="1"/>
  <c r="DN122" i="1"/>
  <c r="EX122" i="1" s="1"/>
  <c r="DP122" i="1"/>
  <c r="DR122" i="1"/>
  <c r="DT122" i="1"/>
  <c r="DV122" i="1"/>
  <c r="DX122" i="1"/>
  <c r="DZ122" i="1"/>
  <c r="EB122" i="1"/>
  <c r="ED122" i="1"/>
  <c r="EF122" i="1"/>
  <c r="EH122" i="1"/>
  <c r="EJ122" i="1"/>
  <c r="DD122" i="1"/>
  <c r="BA122" i="1"/>
  <c r="CM122" i="1" s="1"/>
  <c r="CL122" i="1"/>
  <c r="CK122" i="1"/>
  <c r="AY122" i="1"/>
  <c r="B123" i="1"/>
  <c r="CW121" i="1"/>
  <c r="CX121" i="1"/>
  <c r="CZ121" i="1"/>
  <c r="DD121" i="1"/>
  <c r="BA121" i="1"/>
  <c r="CM121" i="1"/>
  <c r="CL121" i="1"/>
  <c r="CK121" i="1"/>
  <c r="AY121" i="1"/>
  <c r="B122" i="1"/>
  <c r="CZ120" i="1"/>
  <c r="DF120" i="1"/>
  <c r="DG120" i="1"/>
  <c r="DH120" i="1"/>
  <c r="DI120" i="1"/>
  <c r="ES120" i="1" s="1"/>
  <c r="DJ120" i="1"/>
  <c r="DK120" i="1"/>
  <c r="DL120" i="1"/>
  <c r="EV120" i="1" s="1"/>
  <c r="DM120" i="1"/>
  <c r="DN120" i="1"/>
  <c r="DO120" i="1"/>
  <c r="EY120" i="1" s="1"/>
  <c r="DP120" i="1"/>
  <c r="DQ120" i="1"/>
  <c r="DR120" i="1"/>
  <c r="DS120" i="1"/>
  <c r="DT120" i="1"/>
  <c r="DU120" i="1"/>
  <c r="DV120" i="1"/>
  <c r="DW120" i="1"/>
  <c r="DX120" i="1"/>
  <c r="DY120" i="1"/>
  <c r="FI120" i="1" s="1"/>
  <c r="DZ120" i="1"/>
  <c r="FJ120" i="1" s="1"/>
  <c r="EA120" i="1"/>
  <c r="FK120" i="1" s="1"/>
  <c r="EB120" i="1"/>
  <c r="EC120" i="1"/>
  <c r="FM120" i="1" s="1"/>
  <c r="ED120" i="1"/>
  <c r="EE120" i="1"/>
  <c r="EF120" i="1"/>
  <c r="EG120" i="1"/>
  <c r="EH120" i="1"/>
  <c r="EI120" i="1"/>
  <c r="EJ120" i="1"/>
  <c r="DD120" i="1"/>
  <c r="DE120" i="1" s="1"/>
  <c r="DC120" i="1"/>
  <c r="BA120" i="1"/>
  <c r="CM120" i="1"/>
  <c r="CL120" i="1"/>
  <c r="CK120" i="1"/>
  <c r="AY120" i="1"/>
  <c r="B121" i="1"/>
  <c r="CW119" i="1"/>
  <c r="CX119" i="1"/>
  <c r="CZ119" i="1"/>
  <c r="DO119" i="1" s="1"/>
  <c r="EY119" i="1" s="1"/>
  <c r="DI119" i="1"/>
  <c r="ES119" i="1" s="1"/>
  <c r="DM119" i="1"/>
  <c r="DY119" i="1"/>
  <c r="EA119" i="1"/>
  <c r="EC119" i="1"/>
  <c r="DD119" i="1"/>
  <c r="DE119" i="1"/>
  <c r="DC119" i="1"/>
  <c r="BA119" i="1"/>
  <c r="CM119" i="1"/>
  <c r="CL119" i="1"/>
  <c r="CK119" i="1"/>
  <c r="AY119" i="1"/>
  <c r="B126" i="1"/>
  <c r="CX118" i="1"/>
  <c r="CZ118" i="1"/>
  <c r="DI118" i="1" s="1"/>
  <c r="DG118" i="1"/>
  <c r="DK118" i="1"/>
  <c r="EU118" i="1" s="1"/>
  <c r="EI118" i="1"/>
  <c r="DD118" i="1"/>
  <c r="DC118" i="1" s="1"/>
  <c r="CL118" i="1"/>
  <c r="CK118" i="1"/>
  <c r="AY118" i="1"/>
  <c r="B127" i="1"/>
  <c r="CZ117" i="1"/>
  <c r="DI117" i="1" s="1"/>
  <c r="ES117" i="1" s="1"/>
  <c r="DG117" i="1"/>
  <c r="DK117" i="1"/>
  <c r="EU117" i="1" s="1"/>
  <c r="EI117" i="1"/>
  <c r="DD117" i="1"/>
  <c r="DC117" i="1" s="1"/>
  <c r="DE117" i="1"/>
  <c r="BA117" i="1"/>
  <c r="CM117" i="1" s="1"/>
  <c r="CL117" i="1"/>
  <c r="CK117" i="1"/>
  <c r="AY117" i="1"/>
  <c r="B113" i="1"/>
  <c r="CZ116" i="1"/>
  <c r="DF116" i="1" s="1"/>
  <c r="DT116" i="1"/>
  <c r="FD116" i="1" s="1"/>
  <c r="EJ116" i="1"/>
  <c r="DD116" i="1"/>
  <c r="DC116" i="1" s="1"/>
  <c r="BA116" i="1"/>
  <c r="CM116" i="1" s="1"/>
  <c r="CL116" i="1"/>
  <c r="CK116" i="1"/>
  <c r="AY116" i="1"/>
  <c r="B109" i="1"/>
  <c r="CZ115" i="1"/>
  <c r="DI115" i="1"/>
  <c r="ES115" i="1" s="1"/>
  <c r="DD115" i="1"/>
  <c r="DC115" i="1" s="1"/>
  <c r="BA115" i="1"/>
  <c r="CM115" i="1" s="1"/>
  <c r="CL115" i="1"/>
  <c r="CK115" i="1"/>
  <c r="AY115" i="1"/>
  <c r="B116" i="1"/>
  <c r="CZ114" i="1"/>
  <c r="DF114" i="1"/>
  <c r="DD114" i="1"/>
  <c r="BA114" i="1"/>
  <c r="CM114" i="1"/>
  <c r="CL114" i="1"/>
  <c r="CK114" i="1"/>
  <c r="AY114" i="1"/>
  <c r="B111" i="1"/>
  <c r="CZ113" i="1"/>
  <c r="EE113" i="1" s="1"/>
  <c r="EI113" i="1"/>
  <c r="DD113" i="1"/>
  <c r="DE113" i="1" s="1"/>
  <c r="BA113" i="1"/>
  <c r="CM113" i="1" s="1"/>
  <c r="CL113" i="1"/>
  <c r="CK113" i="1"/>
  <c r="AY113" i="1"/>
  <c r="B112" i="1"/>
  <c r="CZ112" i="1"/>
  <c r="DG112" i="1" s="1"/>
  <c r="DF112" i="1"/>
  <c r="DH112" i="1"/>
  <c r="DJ112" i="1"/>
  <c r="DL112" i="1"/>
  <c r="DN112" i="1"/>
  <c r="DP112" i="1"/>
  <c r="DR112" i="1"/>
  <c r="DT112" i="1"/>
  <c r="DV112" i="1"/>
  <c r="DX112" i="1"/>
  <c r="DZ112" i="1"/>
  <c r="FJ112" i="1" s="1"/>
  <c r="EB112" i="1"/>
  <c r="ED112" i="1"/>
  <c r="EF112" i="1"/>
  <c r="FP112" i="1" s="1"/>
  <c r="EH112" i="1"/>
  <c r="EJ112" i="1"/>
  <c r="FT112" i="1" s="1"/>
  <c r="DD112" i="1"/>
  <c r="DC112" i="1" s="1"/>
  <c r="BA112" i="1"/>
  <c r="CM112" i="1"/>
  <c r="CL112" i="1"/>
  <c r="CK112" i="1"/>
  <c r="AY112" i="1"/>
  <c r="B110" i="1"/>
  <c r="CZ111" i="1"/>
  <c r="DI111" i="1"/>
  <c r="ES111" i="1" s="1"/>
  <c r="DM111" i="1"/>
  <c r="DQ111" i="1"/>
  <c r="DU111" i="1"/>
  <c r="DY111" i="1"/>
  <c r="EC111" i="1"/>
  <c r="FM111" i="1" s="1"/>
  <c r="EG111" i="1"/>
  <c r="DD111" i="1"/>
  <c r="DC111" i="1" s="1"/>
  <c r="DE111" i="1"/>
  <c r="DE227" i="1" s="1"/>
  <c r="BA111" i="1"/>
  <c r="CM111" i="1" s="1"/>
  <c r="CL111" i="1"/>
  <c r="CK111" i="1"/>
  <c r="AY111" i="1"/>
  <c r="B108" i="1"/>
  <c r="CZ110" i="1"/>
  <c r="DG110" i="1" s="1"/>
  <c r="DF110" i="1"/>
  <c r="DH110" i="1"/>
  <c r="DJ110" i="1"/>
  <c r="DL110" i="1"/>
  <c r="DN110" i="1"/>
  <c r="DP110" i="1"/>
  <c r="EZ110" i="1" s="1"/>
  <c r="DR110" i="1"/>
  <c r="DT110" i="1"/>
  <c r="DV110" i="1"/>
  <c r="DX110" i="1"/>
  <c r="DZ110" i="1"/>
  <c r="FJ110" i="1" s="1"/>
  <c r="EB110" i="1"/>
  <c r="ED110" i="1"/>
  <c r="EF110" i="1"/>
  <c r="FP110" i="1" s="1"/>
  <c r="EH110" i="1"/>
  <c r="EJ110" i="1"/>
  <c r="FT110" i="1" s="1"/>
  <c r="DD110" i="1"/>
  <c r="DC110" i="1" s="1"/>
  <c r="BA110" i="1"/>
  <c r="CM110" i="1"/>
  <c r="CL110" i="1"/>
  <c r="CK110" i="1"/>
  <c r="AY110" i="1"/>
  <c r="B114" i="1"/>
  <c r="CZ109" i="1"/>
  <c r="DI109" i="1" s="1"/>
  <c r="ES109" i="1" s="1"/>
  <c r="DO109" i="1"/>
  <c r="EY109" i="1" s="1"/>
  <c r="DS109" i="1"/>
  <c r="FC109" i="1" s="1"/>
  <c r="DW109" i="1"/>
  <c r="EA109" i="1"/>
  <c r="EE109" i="1"/>
  <c r="EI109" i="1"/>
  <c r="DD109" i="1"/>
  <c r="DE109" i="1" s="1"/>
  <c r="DC109" i="1"/>
  <c r="BA109" i="1"/>
  <c r="CM109" i="1" s="1"/>
  <c r="CL109" i="1"/>
  <c r="CK109" i="1"/>
  <c r="AY109" i="1"/>
  <c r="B115" i="1"/>
  <c r="CZ108" i="1"/>
  <c r="DG108" i="1" s="1"/>
  <c r="DF108" i="1"/>
  <c r="DH108" i="1"/>
  <c r="ER108" i="1" s="1"/>
  <c r="DJ108" i="1"/>
  <c r="DL108" i="1"/>
  <c r="EV108" i="1" s="1"/>
  <c r="DN108" i="1"/>
  <c r="DP108" i="1"/>
  <c r="DR108" i="1"/>
  <c r="DT108" i="1"/>
  <c r="FD108" i="1" s="1"/>
  <c r="DV108" i="1"/>
  <c r="DX108" i="1"/>
  <c r="DZ108" i="1"/>
  <c r="EB108" i="1"/>
  <c r="ED108" i="1"/>
  <c r="EF108" i="1"/>
  <c r="EH108" i="1"/>
  <c r="EJ108" i="1"/>
  <c r="DD108" i="1"/>
  <c r="DC108" i="1" s="1"/>
  <c r="CL108" i="1"/>
  <c r="CK108" i="1"/>
  <c r="AY108" i="1"/>
  <c r="B117" i="1"/>
  <c r="CW107" i="1"/>
  <c r="CX107" i="1"/>
  <c r="DG107" i="1" s="1"/>
  <c r="CZ107" i="1"/>
  <c r="DO107" i="1" s="1"/>
  <c r="DM107" i="1"/>
  <c r="DQ107" i="1"/>
  <c r="DU107" i="1"/>
  <c r="DY107" i="1"/>
  <c r="EC107" i="1"/>
  <c r="EG107" i="1"/>
  <c r="DD107" i="1"/>
  <c r="DE107" i="1" s="1"/>
  <c r="DC107" i="1"/>
  <c r="BA107" i="1"/>
  <c r="CM107" i="1" s="1"/>
  <c r="CL107" i="1"/>
  <c r="CK107" i="1"/>
  <c r="AY107" i="1"/>
  <c r="B105" i="1"/>
  <c r="CZ106" i="1"/>
  <c r="DG106" i="1" s="1"/>
  <c r="DF106" i="1"/>
  <c r="DH106" i="1"/>
  <c r="ER106" i="1" s="1"/>
  <c r="DJ106" i="1"/>
  <c r="DL106" i="1"/>
  <c r="EV106" i="1" s="1"/>
  <c r="DN106" i="1"/>
  <c r="EX106" i="1" s="1"/>
  <c r="DP106" i="1"/>
  <c r="DR106" i="1"/>
  <c r="DT106" i="1"/>
  <c r="FD106" i="1" s="1"/>
  <c r="DV106" i="1"/>
  <c r="DX106" i="1"/>
  <c r="DZ106" i="1"/>
  <c r="EB106" i="1"/>
  <c r="ED106" i="1"/>
  <c r="EF106" i="1"/>
  <c r="EH106" i="1"/>
  <c r="EJ106" i="1"/>
  <c r="DD106" i="1"/>
  <c r="DC106" i="1" s="1"/>
  <c r="DE106" i="1"/>
  <c r="BA106" i="1"/>
  <c r="CM106" i="1" s="1"/>
  <c r="CL106" i="1"/>
  <c r="CK106" i="1"/>
  <c r="AY106" i="1"/>
  <c r="B98" i="1"/>
  <c r="CZ105" i="1"/>
  <c r="DI105" i="1" s="1"/>
  <c r="ES105" i="1" s="1"/>
  <c r="DG105" i="1"/>
  <c r="DK105" i="1"/>
  <c r="DO105" i="1"/>
  <c r="DS105" i="1"/>
  <c r="DW105" i="1"/>
  <c r="EA105" i="1"/>
  <c r="EE105" i="1"/>
  <c r="EI105" i="1"/>
  <c r="DD105" i="1"/>
  <c r="DE105" i="1"/>
  <c r="DC105" i="1"/>
  <c r="BA105" i="1"/>
  <c r="CM105" i="1" s="1"/>
  <c r="CL105" i="1"/>
  <c r="CK105" i="1"/>
  <c r="AY105" i="1"/>
  <c r="B101" i="1"/>
  <c r="CZ104" i="1"/>
  <c r="DG104" i="1" s="1"/>
  <c r="DF104" i="1"/>
  <c r="DH104" i="1"/>
  <c r="DJ104" i="1"/>
  <c r="DT104" i="1"/>
  <c r="DV104" i="1"/>
  <c r="DX104" i="1"/>
  <c r="DZ104" i="1"/>
  <c r="FJ104" i="1" s="1"/>
  <c r="EH104" i="1"/>
  <c r="EJ104" i="1"/>
  <c r="DD104" i="1"/>
  <c r="DC104" i="1" s="1"/>
  <c r="BA104" i="1"/>
  <c r="CM104" i="1"/>
  <c r="CL104" i="1"/>
  <c r="CK104" i="1"/>
  <c r="AY104" i="1"/>
  <c r="B106" i="1"/>
  <c r="CZ103" i="1"/>
  <c r="DU103" i="1" s="1"/>
  <c r="DI103" i="1"/>
  <c r="ES103" i="1" s="1"/>
  <c r="DM103" i="1"/>
  <c r="DQ103" i="1"/>
  <c r="DD103" i="1"/>
  <c r="DE103" i="1"/>
  <c r="DC103" i="1"/>
  <c r="BA103" i="1"/>
  <c r="CM103" i="1" s="1"/>
  <c r="CL103" i="1"/>
  <c r="CK103" i="1"/>
  <c r="AY103" i="1"/>
  <c r="B99" i="1"/>
  <c r="CZ102" i="1"/>
  <c r="DG102" i="1" s="1"/>
  <c r="DF102" i="1"/>
  <c r="DH102" i="1"/>
  <c r="DJ102" i="1"/>
  <c r="DL102" i="1"/>
  <c r="EV102" i="1" s="1"/>
  <c r="DT102" i="1"/>
  <c r="DV102" i="1"/>
  <c r="DX102" i="1"/>
  <c r="DZ102" i="1"/>
  <c r="EB102" i="1"/>
  <c r="ED102" i="1"/>
  <c r="EF102" i="1"/>
  <c r="FP102" i="1" s="1"/>
  <c r="EH102" i="1"/>
  <c r="EJ102" i="1"/>
  <c r="DD102" i="1"/>
  <c r="DC102" i="1" s="1"/>
  <c r="DE102" i="1"/>
  <c r="BA102" i="1"/>
  <c r="CM102" i="1" s="1"/>
  <c r="CL102" i="1"/>
  <c r="CK102" i="1"/>
  <c r="AY102" i="1"/>
  <c r="B107" i="1"/>
  <c r="CX101" i="1"/>
  <c r="CZ101" i="1"/>
  <c r="DR101" i="1" s="1"/>
  <c r="DI101" i="1"/>
  <c r="ES101" i="1" s="1"/>
  <c r="DS101" i="1"/>
  <c r="FC101" i="1" s="1"/>
  <c r="DT101" i="1"/>
  <c r="DZ101" i="1"/>
  <c r="FJ101" i="1" s="1"/>
  <c r="EG101" i="1"/>
  <c r="EH101" i="1"/>
  <c r="FR101" i="1" s="1"/>
  <c r="DD101" i="1"/>
  <c r="DE101" i="1" s="1"/>
  <c r="DE226" i="1" s="1"/>
  <c r="BA101" i="1"/>
  <c r="CM101" i="1"/>
  <c r="CL101" i="1"/>
  <c r="CK101" i="1"/>
  <c r="AY101" i="1"/>
  <c r="B103" i="1"/>
  <c r="CX100" i="1"/>
  <c r="CZ100" i="1"/>
  <c r="DI100" i="1" s="1"/>
  <c r="ES100" i="1" s="1"/>
  <c r="DG100" i="1"/>
  <c r="DK100" i="1"/>
  <c r="EU100" i="1" s="1"/>
  <c r="DO100" i="1"/>
  <c r="EY100" i="1" s="1"/>
  <c r="DS100" i="1"/>
  <c r="FC100" i="1" s="1"/>
  <c r="DW100" i="1"/>
  <c r="EA100" i="1"/>
  <c r="EE100" i="1"/>
  <c r="EI100" i="1"/>
  <c r="DD100" i="1"/>
  <c r="DE100" i="1"/>
  <c r="DC100" i="1"/>
  <c r="BA100" i="1"/>
  <c r="CM100" i="1" s="1"/>
  <c r="CL100" i="1"/>
  <c r="CK100" i="1"/>
  <c r="AY100" i="1"/>
  <c r="B100" i="1"/>
  <c r="CZ99" i="1"/>
  <c r="DG99" i="1" s="1"/>
  <c r="DF99" i="1"/>
  <c r="DH99" i="1"/>
  <c r="DJ99" i="1"/>
  <c r="DL99" i="1"/>
  <c r="EV99" i="1" s="1"/>
  <c r="DR99" i="1"/>
  <c r="DT99" i="1"/>
  <c r="DV99" i="1"/>
  <c r="DX99" i="1"/>
  <c r="DZ99" i="1"/>
  <c r="EB99" i="1"/>
  <c r="ED99" i="1"/>
  <c r="EF99" i="1"/>
  <c r="FP99" i="1" s="1"/>
  <c r="EG99" i="1"/>
  <c r="EH99" i="1"/>
  <c r="EI99" i="1"/>
  <c r="FS99" i="1" s="1"/>
  <c r="EJ99" i="1"/>
  <c r="FT99" i="1" s="1"/>
  <c r="DD99" i="1"/>
  <c r="DC99" i="1" s="1"/>
  <c r="BA99" i="1"/>
  <c r="CM99" i="1" s="1"/>
  <c r="CL99" i="1"/>
  <c r="CK99" i="1"/>
  <c r="AY99" i="1"/>
  <c r="B102" i="1"/>
  <c r="CZ98" i="1"/>
  <c r="DI98" i="1"/>
  <c r="DD98" i="1"/>
  <c r="DE98" i="1" s="1"/>
  <c r="DE213" i="1" s="1"/>
  <c r="CL98" i="1"/>
  <c r="CK98" i="1"/>
  <c r="AY98" i="1"/>
  <c r="B104" i="1"/>
  <c r="CZ97" i="1"/>
  <c r="DG97" i="1" s="1"/>
  <c r="DD97" i="1"/>
  <c r="DE97" i="1" s="1"/>
  <c r="DC97" i="1"/>
  <c r="BA97" i="1"/>
  <c r="CM97" i="1" s="1"/>
  <c r="CL97" i="1"/>
  <c r="CK97" i="1"/>
  <c r="AY97" i="1"/>
  <c r="B93" i="1"/>
  <c r="CZ96" i="1"/>
  <c r="DI96" i="1" s="1"/>
  <c r="ES96" i="1" s="1"/>
  <c r="DF96" i="1"/>
  <c r="DG96" i="1"/>
  <c r="DH96" i="1"/>
  <c r="ER96" i="1" s="1"/>
  <c r="DM96" i="1"/>
  <c r="DN96" i="1"/>
  <c r="EX96" i="1" s="1"/>
  <c r="DO96" i="1"/>
  <c r="EY96" i="1" s="1"/>
  <c r="DP96" i="1"/>
  <c r="DU96" i="1"/>
  <c r="DV96" i="1"/>
  <c r="DW96" i="1"/>
  <c r="DX96" i="1"/>
  <c r="DY96" i="1"/>
  <c r="DZ96" i="1"/>
  <c r="FJ96" i="1" s="1"/>
  <c r="EA96" i="1"/>
  <c r="FK96" i="1" s="1"/>
  <c r="EB96" i="1"/>
  <c r="EC96" i="1"/>
  <c r="ED96" i="1"/>
  <c r="EE96" i="1"/>
  <c r="EF96" i="1"/>
  <c r="EG96" i="1"/>
  <c r="EH96" i="1"/>
  <c r="EI96" i="1"/>
  <c r="EJ96" i="1"/>
  <c r="DD96" i="1"/>
  <c r="DC96" i="1" s="1"/>
  <c r="BA96" i="1"/>
  <c r="CM96" i="1"/>
  <c r="CL96" i="1"/>
  <c r="CK96" i="1"/>
  <c r="AY96" i="1"/>
  <c r="B92" i="1"/>
  <c r="CZ95" i="1"/>
  <c r="DD95" i="1"/>
  <c r="DE95" i="1" s="1"/>
  <c r="BA95" i="1"/>
  <c r="CM95" i="1" s="1"/>
  <c r="CL95" i="1"/>
  <c r="CK95" i="1"/>
  <c r="AY95" i="1"/>
  <c r="B88" i="1"/>
  <c r="CZ94" i="1"/>
  <c r="DG94" i="1" s="1"/>
  <c r="DF94" i="1"/>
  <c r="DM94" i="1"/>
  <c r="DN94" i="1"/>
  <c r="DU94" i="1"/>
  <c r="DV94" i="1"/>
  <c r="EC94" i="1"/>
  <c r="ED94" i="1"/>
  <c r="DD94" i="1"/>
  <c r="DC94" i="1" s="1"/>
  <c r="BA94" i="1"/>
  <c r="CM94" i="1" s="1"/>
  <c r="CL94" i="1"/>
  <c r="CK94" i="1"/>
  <c r="AY94" i="1"/>
  <c r="B97" i="1"/>
  <c r="CZ93" i="1"/>
  <c r="DD93" i="1"/>
  <c r="DE93" i="1" s="1"/>
  <c r="DC93" i="1"/>
  <c r="BA93" i="1"/>
  <c r="CM93" i="1" s="1"/>
  <c r="CL93" i="1"/>
  <c r="CK93" i="1"/>
  <c r="AY93" i="1"/>
  <c r="B94" i="1"/>
  <c r="CZ92" i="1"/>
  <c r="DF92" i="1"/>
  <c r="DG92" i="1"/>
  <c r="DH92" i="1"/>
  <c r="DI92" i="1"/>
  <c r="ES92" i="1" s="1"/>
  <c r="DJ92" i="1"/>
  <c r="DK92" i="1"/>
  <c r="DL92" i="1"/>
  <c r="EV92" i="1" s="1"/>
  <c r="DM92" i="1"/>
  <c r="DN92" i="1"/>
  <c r="DO92" i="1"/>
  <c r="DP92" i="1"/>
  <c r="EZ92" i="1" s="1"/>
  <c r="DQ92" i="1"/>
  <c r="DR92" i="1"/>
  <c r="DS92" i="1"/>
  <c r="FC92" i="1" s="1"/>
  <c r="DT92" i="1"/>
  <c r="FD92" i="1" s="1"/>
  <c r="DU92" i="1"/>
  <c r="DV92" i="1"/>
  <c r="DW92" i="1"/>
  <c r="FG92" i="1" s="1"/>
  <c r="DX92" i="1"/>
  <c r="DY92" i="1"/>
  <c r="DZ92" i="1"/>
  <c r="EA92" i="1"/>
  <c r="EB92" i="1"/>
  <c r="EC92" i="1"/>
  <c r="ED92" i="1"/>
  <c r="EE92" i="1"/>
  <c r="EF92" i="1"/>
  <c r="FP92" i="1" s="1"/>
  <c r="EG92" i="1"/>
  <c r="EH92" i="1"/>
  <c r="EI92" i="1"/>
  <c r="FS92" i="1" s="1"/>
  <c r="EJ92" i="1"/>
  <c r="FT92" i="1" s="1"/>
  <c r="DD92" i="1"/>
  <c r="DC92" i="1" s="1"/>
  <c r="BA92" i="1"/>
  <c r="CM92" i="1"/>
  <c r="CL92" i="1"/>
  <c r="CK92" i="1"/>
  <c r="AY92" i="1"/>
  <c r="B90" i="1"/>
  <c r="CZ91" i="1"/>
  <c r="DG91" i="1" s="1"/>
  <c r="DD91" i="1"/>
  <c r="DE91" i="1" s="1"/>
  <c r="DC91" i="1"/>
  <c r="BA91" i="1"/>
  <c r="CM91" i="1" s="1"/>
  <c r="CL91" i="1"/>
  <c r="CK91" i="1"/>
  <c r="AY91" i="1"/>
  <c r="B91" i="1"/>
  <c r="CZ90" i="1"/>
  <c r="DI90" i="1" s="1"/>
  <c r="ES90" i="1" s="1"/>
  <c r="DG90" i="1"/>
  <c r="DH90" i="1"/>
  <c r="DJ90" i="1"/>
  <c r="DM90" i="1"/>
  <c r="DO90" i="1"/>
  <c r="DP90" i="1"/>
  <c r="EZ90" i="1" s="1"/>
  <c r="DR90" i="1"/>
  <c r="DU90" i="1"/>
  <c r="DW90" i="1"/>
  <c r="FG90" i="1" s="1"/>
  <c r="DX90" i="1"/>
  <c r="DZ90" i="1"/>
  <c r="EC90" i="1"/>
  <c r="EE90" i="1"/>
  <c r="EF90" i="1"/>
  <c r="FP90" i="1" s="1"/>
  <c r="EH90" i="1"/>
  <c r="DD90" i="1"/>
  <c r="DC90" i="1" s="1"/>
  <c r="BA90" i="1"/>
  <c r="CM90" i="1"/>
  <c r="CL90" i="1"/>
  <c r="CK90" i="1"/>
  <c r="AY90" i="1"/>
  <c r="B95" i="1"/>
  <c r="CX89" i="1"/>
  <c r="CZ89" i="1"/>
  <c r="DN89" i="1" s="1"/>
  <c r="EX89" i="1" s="1"/>
  <c r="DQ89" i="1"/>
  <c r="DS89" i="1"/>
  <c r="FC89" i="1" s="1"/>
  <c r="DW89" i="1"/>
  <c r="EC89" i="1"/>
  <c r="EG89" i="1"/>
  <c r="EI89" i="1"/>
  <c r="FS89" i="1" s="1"/>
  <c r="DD89" i="1"/>
  <c r="DC89" i="1" s="1"/>
  <c r="DE89" i="1"/>
  <c r="BA89" i="1"/>
  <c r="CM89" i="1" s="1"/>
  <c r="CL89" i="1"/>
  <c r="CK89" i="1"/>
  <c r="AY89" i="1"/>
  <c r="B89" i="1"/>
  <c r="CZ88" i="1"/>
  <c r="DN88" i="1" s="1"/>
  <c r="DF88" i="1"/>
  <c r="DH88" i="1"/>
  <c r="DJ88" i="1"/>
  <c r="DL88" i="1"/>
  <c r="DP88" i="1"/>
  <c r="DR88" i="1"/>
  <c r="DT88" i="1"/>
  <c r="DV88" i="1"/>
  <c r="DX88" i="1"/>
  <c r="DZ88" i="1"/>
  <c r="EB88" i="1"/>
  <c r="EF88" i="1"/>
  <c r="EH88" i="1"/>
  <c r="EJ88" i="1"/>
  <c r="DD88" i="1"/>
  <c r="CL88" i="1"/>
  <c r="CK88" i="1"/>
  <c r="AY88" i="1"/>
  <c r="B96" i="1"/>
  <c r="C79" i="1"/>
  <c r="C78" i="1"/>
  <c r="C77" i="1"/>
  <c r="C76" i="1"/>
  <c r="C75" i="1"/>
  <c r="C74" i="1"/>
  <c r="C73" i="1"/>
  <c r="C72" i="1"/>
  <c r="C71" i="1"/>
  <c r="C70" i="1"/>
  <c r="W13" i="1"/>
  <c r="D13" i="1"/>
  <c r="W12" i="1"/>
  <c r="D12" i="1"/>
  <c r="W11" i="1"/>
  <c r="D11" i="1"/>
  <c r="W10" i="1"/>
  <c r="D10" i="1"/>
  <c r="W9" i="1"/>
  <c r="D9" i="1"/>
  <c r="W8" i="1"/>
  <c r="D8" i="1"/>
  <c r="W7" i="1"/>
  <c r="T7" i="1"/>
  <c r="S7" i="1"/>
  <c r="R7" i="1"/>
  <c r="Q7" i="1"/>
  <c r="P7" i="1"/>
  <c r="O7" i="1"/>
  <c r="N7" i="1"/>
  <c r="M7" i="1"/>
  <c r="D7" i="1"/>
  <c r="W6" i="1"/>
  <c r="T6" i="1"/>
  <c r="S6" i="1"/>
  <c r="R6" i="1"/>
  <c r="Q6" i="1"/>
  <c r="P6" i="1"/>
  <c r="O6" i="1"/>
  <c r="N6" i="1"/>
  <c r="M6" i="1"/>
  <c r="D6" i="1"/>
  <c r="W5" i="1"/>
  <c r="T5" i="1"/>
  <c r="S5" i="1"/>
  <c r="R5" i="1"/>
  <c r="Q5" i="1"/>
  <c r="P5" i="1"/>
  <c r="O5" i="1"/>
  <c r="N5" i="1"/>
  <c r="M5" i="1"/>
  <c r="D5" i="1"/>
  <c r="W4" i="1"/>
  <c r="G4" i="1"/>
  <c r="D4" i="1"/>
  <c r="FI186" i="1" l="1"/>
  <c r="FI180" i="1"/>
  <c r="FI165" i="1"/>
  <c r="FA165" i="1"/>
  <c r="FA166" i="1"/>
  <c r="FI142" i="1"/>
  <c r="FA142" i="1"/>
  <c r="EZ88" i="1"/>
  <c r="DM98" i="1"/>
  <c r="DQ98" i="1"/>
  <c r="DU98" i="1"/>
  <c r="DY98" i="1"/>
  <c r="EC98" i="1"/>
  <c r="DG114" i="1"/>
  <c r="DH114" i="1"/>
  <c r="ER114" i="1" s="1"/>
  <c r="DX114" i="1"/>
  <c r="DJ114" i="1"/>
  <c r="DZ114" i="1"/>
  <c r="DL114" i="1"/>
  <c r="EV114" i="1" s="1"/>
  <c r="EB114" i="1"/>
  <c r="DN114" i="1"/>
  <c r="ED114" i="1"/>
  <c r="DP114" i="1"/>
  <c r="EF114" i="1"/>
  <c r="DR114" i="1"/>
  <c r="EH114" i="1"/>
  <c r="DY140" i="1"/>
  <c r="EA140" i="1"/>
  <c r="FK140" i="1" s="1"/>
  <c r="DJ171" i="1"/>
  <c r="DZ171" i="1"/>
  <c r="FJ171" i="1" s="1"/>
  <c r="DL171" i="1"/>
  <c r="EB171" i="1"/>
  <c r="DN171" i="1"/>
  <c r="ED171" i="1"/>
  <c r="DP171" i="1"/>
  <c r="EZ171" i="1" s="1"/>
  <c r="EF171" i="1"/>
  <c r="DR171" i="1"/>
  <c r="EH171" i="1"/>
  <c r="DF171" i="1"/>
  <c r="DV171" i="1"/>
  <c r="DH171" i="1"/>
  <c r="ER171" i="1" s="1"/>
  <c r="DT171" i="1"/>
  <c r="DX171" i="1"/>
  <c r="EJ171" i="1"/>
  <c r="DF177" i="1"/>
  <c r="DH177" i="1"/>
  <c r="ED88" i="1"/>
  <c r="EE89" i="1"/>
  <c r="DO89" i="1"/>
  <c r="ED90" i="1"/>
  <c r="DV90" i="1"/>
  <c r="DN90" i="1"/>
  <c r="DN212" i="1" s="1"/>
  <c r="DF90" i="1"/>
  <c r="EJ94" i="1"/>
  <c r="FT94" i="1" s="1"/>
  <c r="EB94" i="1"/>
  <c r="DT94" i="1"/>
  <c r="DL94" i="1"/>
  <c r="EV94" i="1" s="1"/>
  <c r="EI101" i="1"/>
  <c r="DM115" i="1"/>
  <c r="DQ115" i="1"/>
  <c r="DU115" i="1"/>
  <c r="DY115" i="1"/>
  <c r="EC115" i="1"/>
  <c r="EG115" i="1"/>
  <c r="DV116" i="1"/>
  <c r="DU131" i="1"/>
  <c r="EH146" i="1"/>
  <c r="FR146" i="1" s="1"/>
  <c r="DH147" i="1"/>
  <c r="DX147" i="1"/>
  <c r="DJ147" i="1"/>
  <c r="DZ147" i="1"/>
  <c r="DL147" i="1"/>
  <c r="EB147" i="1"/>
  <c r="FL147" i="1" s="1"/>
  <c r="DN147" i="1"/>
  <c r="ED147" i="1"/>
  <c r="DP147" i="1"/>
  <c r="EF147" i="1"/>
  <c r="DR147" i="1"/>
  <c r="EH147" i="1"/>
  <c r="EV88" i="1"/>
  <c r="EI94" i="1"/>
  <c r="FS94" i="1" s="1"/>
  <c r="EA94" i="1"/>
  <c r="DS94" i="1"/>
  <c r="FC94" i="1" s="1"/>
  <c r="DK94" i="1"/>
  <c r="EU94" i="1" s="1"/>
  <c r="DT131" i="1"/>
  <c r="DQ140" i="1"/>
  <c r="DG143" i="1"/>
  <c r="DH143" i="1"/>
  <c r="DV143" i="1"/>
  <c r="ED143" i="1"/>
  <c r="DJ143" i="1"/>
  <c r="DW143" i="1"/>
  <c r="EE143" i="1"/>
  <c r="DL143" i="1"/>
  <c r="EV143" i="1" s="1"/>
  <c r="DX143" i="1"/>
  <c r="EF143" i="1"/>
  <c r="DN143" i="1"/>
  <c r="DY143" i="1"/>
  <c r="EG143" i="1"/>
  <c r="DP143" i="1"/>
  <c r="EZ143" i="1" s="1"/>
  <c r="DZ143" i="1"/>
  <c r="EH143" i="1"/>
  <c r="EA143" i="1"/>
  <c r="FK143" i="1" s="1"/>
  <c r="EI143" i="1"/>
  <c r="DT146" i="1"/>
  <c r="EH159" i="1"/>
  <c r="FR159" i="1" s="1"/>
  <c r="EC162" i="1"/>
  <c r="EA89" i="1"/>
  <c r="EJ90" i="1"/>
  <c r="EB90" i="1"/>
  <c r="DT90" i="1"/>
  <c r="FD90" i="1" s="1"/>
  <c r="DL90" i="1"/>
  <c r="EV90" i="1" s="1"/>
  <c r="EH94" i="1"/>
  <c r="DZ94" i="1"/>
  <c r="DR94" i="1"/>
  <c r="DJ94" i="1"/>
  <c r="DU101" i="1"/>
  <c r="EB101" i="1"/>
  <c r="EJ101" i="1"/>
  <c r="DN101" i="1"/>
  <c r="EX101" i="1" s="1"/>
  <c r="DV101" i="1"/>
  <c r="FF101" i="1" s="1"/>
  <c r="EC101" i="1"/>
  <c r="FM101" i="1" s="1"/>
  <c r="DO101" i="1"/>
  <c r="EY101" i="1" s="1"/>
  <c r="ED101" i="1"/>
  <c r="DP101" i="1"/>
  <c r="EZ101" i="1" s="1"/>
  <c r="DW101" i="1"/>
  <c r="EE101" i="1"/>
  <c r="DQ101" i="1"/>
  <c r="DX101" i="1"/>
  <c r="EF101" i="1"/>
  <c r="DC114" i="1"/>
  <c r="DE114" i="1"/>
  <c r="DM131" i="1"/>
  <c r="DC143" i="1"/>
  <c r="DE143" i="1"/>
  <c r="DF158" i="1"/>
  <c r="DN158" i="1"/>
  <c r="EX158" i="1" s="1"/>
  <c r="DV158" i="1"/>
  <c r="ED158" i="1"/>
  <c r="DG158" i="1"/>
  <c r="DO158" i="1"/>
  <c r="DW158" i="1"/>
  <c r="EE158" i="1"/>
  <c r="DH158" i="1"/>
  <c r="DP158" i="1"/>
  <c r="DX158" i="1"/>
  <c r="EF158" i="1"/>
  <c r="DJ158" i="1"/>
  <c r="DR158" i="1"/>
  <c r="DZ158" i="1"/>
  <c r="EH158" i="1"/>
  <c r="DL158" i="1"/>
  <c r="EV158" i="1" s="1"/>
  <c r="DT158" i="1"/>
  <c r="EB158" i="1"/>
  <c r="EJ158" i="1"/>
  <c r="DI158" i="1"/>
  <c r="EC158" i="1"/>
  <c r="DK158" i="1"/>
  <c r="EG158" i="1"/>
  <c r="DM158" i="1"/>
  <c r="EI158" i="1"/>
  <c r="DQ158" i="1"/>
  <c r="DS158" i="1"/>
  <c r="DU158" i="1"/>
  <c r="EF159" i="1"/>
  <c r="EA162" i="1"/>
  <c r="DY89" i="1"/>
  <c r="EI90" i="1"/>
  <c r="EA90" i="1"/>
  <c r="DS90" i="1"/>
  <c r="FC90" i="1" s="1"/>
  <c r="DK90" i="1"/>
  <c r="EG94" i="1"/>
  <c r="DY94" i="1"/>
  <c r="DQ94" i="1"/>
  <c r="DI94" i="1"/>
  <c r="ES94" i="1" s="1"/>
  <c r="DC98" i="1"/>
  <c r="EA101" i="1"/>
  <c r="DG101" i="1"/>
  <c r="DM101" i="1"/>
  <c r="DI113" i="1"/>
  <c r="ES113" i="1" s="1"/>
  <c r="DG113" i="1"/>
  <c r="DK113" i="1"/>
  <c r="DO113" i="1"/>
  <c r="DS113" i="1"/>
  <c r="DW113" i="1"/>
  <c r="EA113" i="1"/>
  <c r="EJ114" i="1"/>
  <c r="DG116" i="1"/>
  <c r="DH116" i="1"/>
  <c r="DX116" i="1"/>
  <c r="DJ116" i="1"/>
  <c r="DZ116" i="1"/>
  <c r="DL116" i="1"/>
  <c r="EB116" i="1"/>
  <c r="DN116" i="1"/>
  <c r="EX116" i="1" s="1"/>
  <c r="ED116" i="1"/>
  <c r="DP116" i="1"/>
  <c r="EF116" i="1"/>
  <c r="DR116" i="1"/>
  <c r="EH116" i="1"/>
  <c r="DE118" i="1"/>
  <c r="DE215" i="1" s="1"/>
  <c r="DE133" i="1"/>
  <c r="DC133" i="1"/>
  <c r="DI142" i="1"/>
  <c r="ES142" i="1" s="1"/>
  <c r="DM142" i="1"/>
  <c r="EW142" i="1" s="1"/>
  <c r="DG146" i="1"/>
  <c r="DV146" i="1"/>
  <c r="DX146" i="1"/>
  <c r="DZ146" i="1"/>
  <c r="FJ146" i="1" s="1"/>
  <c r="EB146" i="1"/>
  <c r="DN146" i="1"/>
  <c r="ED146" i="1"/>
  <c r="DP146" i="1"/>
  <c r="EF146" i="1"/>
  <c r="DR149" i="1"/>
  <c r="EH149" i="1"/>
  <c r="DT149" i="1"/>
  <c r="EJ149" i="1"/>
  <c r="FT149" i="1" s="1"/>
  <c r="DF149" i="1"/>
  <c r="DV149" i="1"/>
  <c r="FF149" i="1" s="1"/>
  <c r="DH149" i="1"/>
  <c r="DX149" i="1"/>
  <c r="DJ149" i="1"/>
  <c r="DZ149" i="1"/>
  <c r="DL149" i="1"/>
  <c r="EB149" i="1"/>
  <c r="DI156" i="1"/>
  <c r="ES156" i="1" s="1"/>
  <c r="DG156" i="1"/>
  <c r="DJ156" i="1"/>
  <c r="ET156" i="1" s="1"/>
  <c r="DF156" i="1"/>
  <c r="DH156" i="1"/>
  <c r="DL156" i="1"/>
  <c r="EF94" i="1"/>
  <c r="FP94" i="1" s="1"/>
  <c r="DX94" i="1"/>
  <c r="DP94" i="1"/>
  <c r="EZ94" i="1" s="1"/>
  <c r="DH94" i="1"/>
  <c r="DV114" i="1"/>
  <c r="DE131" i="1"/>
  <c r="DE229" i="1" s="1"/>
  <c r="DC131" i="1"/>
  <c r="DF131" i="1"/>
  <c r="EP131" i="1" s="1"/>
  <c r="DN131" i="1"/>
  <c r="DV131" i="1"/>
  <c r="ED131" i="1"/>
  <c r="DG131" i="1"/>
  <c r="DO131" i="1"/>
  <c r="DW131" i="1"/>
  <c r="EE131" i="1"/>
  <c r="DH131" i="1"/>
  <c r="DP131" i="1"/>
  <c r="DX131" i="1"/>
  <c r="EF131" i="1"/>
  <c r="DI131" i="1"/>
  <c r="ES131" i="1" s="1"/>
  <c r="DQ131" i="1"/>
  <c r="DY131" i="1"/>
  <c r="EG131" i="1"/>
  <c r="DJ131" i="1"/>
  <c r="DR131" i="1"/>
  <c r="DZ131" i="1"/>
  <c r="EH131" i="1"/>
  <c r="DK131" i="1"/>
  <c r="DS131" i="1"/>
  <c r="EA131" i="1"/>
  <c r="EI131" i="1"/>
  <c r="EE140" i="1"/>
  <c r="DF146" i="1"/>
  <c r="DH146" i="1"/>
  <c r="DJ146" i="1"/>
  <c r="DL146" i="1"/>
  <c r="DN159" i="1"/>
  <c r="DV159" i="1"/>
  <c r="FF159" i="1" s="1"/>
  <c r="EC159" i="1"/>
  <c r="FM159" i="1" s="1"/>
  <c r="DO159" i="1"/>
  <c r="EY159" i="1" s="1"/>
  <c r="ED159" i="1"/>
  <c r="DP159" i="1"/>
  <c r="DW159" i="1"/>
  <c r="EE159" i="1"/>
  <c r="DR159" i="1"/>
  <c r="DY159" i="1"/>
  <c r="FI159" i="1" s="1"/>
  <c r="EG159" i="1"/>
  <c r="DG159" i="1"/>
  <c r="DT159" i="1"/>
  <c r="EA159" i="1"/>
  <c r="EI159" i="1"/>
  <c r="DQ159" i="1"/>
  <c r="EJ159" i="1"/>
  <c r="DS159" i="1"/>
  <c r="DU159" i="1"/>
  <c r="DX159" i="1"/>
  <c r="DZ159" i="1"/>
  <c r="EB159" i="1"/>
  <c r="DH162" i="1"/>
  <c r="ER162" i="1" s="1"/>
  <c r="DP162" i="1"/>
  <c r="DX162" i="1"/>
  <c r="EF162" i="1"/>
  <c r="DI162" i="1"/>
  <c r="ES162" i="1" s="1"/>
  <c r="DQ162" i="1"/>
  <c r="DY162" i="1"/>
  <c r="EG162" i="1"/>
  <c r="DJ162" i="1"/>
  <c r="DR162" i="1"/>
  <c r="DZ162" i="1"/>
  <c r="EH162" i="1"/>
  <c r="DL162" i="1"/>
  <c r="DT162" i="1"/>
  <c r="FD162" i="1" s="1"/>
  <c r="EB162" i="1"/>
  <c r="EJ162" i="1"/>
  <c r="DF162" i="1"/>
  <c r="DN162" i="1"/>
  <c r="DV162" i="1"/>
  <c r="ED162" i="1"/>
  <c r="DK162" i="1"/>
  <c r="EE162" i="1"/>
  <c r="DM162" i="1"/>
  <c r="EI162" i="1"/>
  <c r="DO162" i="1"/>
  <c r="DS162" i="1"/>
  <c r="DU162" i="1"/>
  <c r="DW162" i="1"/>
  <c r="DE169" i="1"/>
  <c r="DC169" i="1"/>
  <c r="DU89" i="1"/>
  <c r="EG90" i="1"/>
  <c r="DY90" i="1"/>
  <c r="DQ90" i="1"/>
  <c r="EE94" i="1"/>
  <c r="DW94" i="1"/>
  <c r="DO94" i="1"/>
  <c r="DC95" i="1"/>
  <c r="EG98" i="1"/>
  <c r="DY101" i="1"/>
  <c r="FI101" i="1" s="1"/>
  <c r="DT114" i="1"/>
  <c r="FD114" i="1" s="1"/>
  <c r="DE115" i="1"/>
  <c r="EJ131" i="1"/>
  <c r="DF132" i="1"/>
  <c r="EP132" i="1" s="1"/>
  <c r="DH132" i="1"/>
  <c r="DJ132" i="1"/>
  <c r="DL132" i="1"/>
  <c r="DZ134" i="1"/>
  <c r="ED134" i="1"/>
  <c r="EC140" i="1"/>
  <c r="FM140" i="1" s="1"/>
  <c r="EB143" i="1"/>
  <c r="DV147" i="1"/>
  <c r="EF149" i="1"/>
  <c r="FP149" i="1" s="1"/>
  <c r="EE117" i="1"/>
  <c r="EE118" i="1"/>
  <c r="DW119" i="1"/>
  <c r="DG119" i="1"/>
  <c r="DG215" i="1" s="1"/>
  <c r="EJ124" i="1"/>
  <c r="FT124" i="1" s="1"/>
  <c r="EB124" i="1"/>
  <c r="DT124" i="1"/>
  <c r="DI124" i="1"/>
  <c r="ES124" i="1" s="1"/>
  <c r="DW141" i="1"/>
  <c r="EE144" i="1"/>
  <c r="DC154" i="1"/>
  <c r="DE154" i="1"/>
  <c r="DE181" i="1"/>
  <c r="DE234" i="1" s="1"/>
  <c r="DC181" i="1"/>
  <c r="DH183" i="1"/>
  <c r="DL183" i="1"/>
  <c r="E489" i="1"/>
  <c r="W372" i="1"/>
  <c r="W381" i="1" s="1"/>
  <c r="EX131" i="1"/>
  <c r="DT96" i="1"/>
  <c r="DL96" i="1"/>
  <c r="EV96" i="1" s="1"/>
  <c r="DC101" i="1"/>
  <c r="DR102" i="1"/>
  <c r="FB102" i="1" s="1"/>
  <c r="EG103" i="1"/>
  <c r="DR104" i="1"/>
  <c r="DI107" i="1"/>
  <c r="ES107" i="1" s="1"/>
  <c r="DK109" i="1"/>
  <c r="EU109" i="1" s="1"/>
  <c r="EA117" i="1"/>
  <c r="EA118" i="1"/>
  <c r="DU119" i="1"/>
  <c r="EI124" i="1"/>
  <c r="EA124" i="1"/>
  <c r="DS124" i="1"/>
  <c r="EH125" i="1"/>
  <c r="FR125" i="1" s="1"/>
  <c r="DR125" i="1"/>
  <c r="FB125" i="1" s="1"/>
  <c r="EH126" i="1"/>
  <c r="FR126" i="1" s="1"/>
  <c r="DR126" i="1"/>
  <c r="FB126" i="1" s="1"/>
  <c r="DF129" i="1"/>
  <c r="DM130" i="1"/>
  <c r="DZ132" i="1"/>
  <c r="DV134" i="1"/>
  <c r="EH135" i="1"/>
  <c r="DR135" i="1"/>
  <c r="DE136" i="1"/>
  <c r="EJ138" i="1"/>
  <c r="EB138" i="1"/>
  <c r="DT138" i="1"/>
  <c r="DL138" i="1"/>
  <c r="DW140" i="1"/>
  <c r="DU141" i="1"/>
  <c r="EA144" i="1"/>
  <c r="DV152" i="1"/>
  <c r="FF152" i="1" s="1"/>
  <c r="DF152" i="1"/>
  <c r="DW153" i="1"/>
  <c r="DG153" i="1"/>
  <c r="DE158" i="1"/>
  <c r="DE219" i="1" s="1"/>
  <c r="DC158" i="1"/>
  <c r="DS96" i="1"/>
  <c r="DK96" i="1"/>
  <c r="EU96" i="1" s="1"/>
  <c r="DP99" i="1"/>
  <c r="EZ99" i="1" s="1"/>
  <c r="DP102" i="1"/>
  <c r="EZ102" i="1" s="1"/>
  <c r="EC103" i="1"/>
  <c r="FM103" i="1" s="1"/>
  <c r="EF104" i="1"/>
  <c r="FP104" i="1" s="1"/>
  <c r="DP104" i="1"/>
  <c r="EZ104" i="1" s="1"/>
  <c r="DG109" i="1"/>
  <c r="DE110" i="1"/>
  <c r="DC113" i="1"/>
  <c r="DW117" i="1"/>
  <c r="DW118" i="1"/>
  <c r="EI119" i="1"/>
  <c r="DS119" i="1"/>
  <c r="DC123" i="1"/>
  <c r="EH124" i="1"/>
  <c r="DZ124" i="1"/>
  <c r="FJ124" i="1" s="1"/>
  <c r="DR124" i="1"/>
  <c r="FB124" i="1" s="1"/>
  <c r="EF125" i="1"/>
  <c r="DP125" i="1"/>
  <c r="EF126" i="1"/>
  <c r="DP126" i="1"/>
  <c r="EZ126" i="1" s="1"/>
  <c r="DX132" i="1"/>
  <c r="DR134" i="1"/>
  <c r="FB134" i="1" s="1"/>
  <c r="EF135" i="1"/>
  <c r="FP135" i="1" s="1"/>
  <c r="EI138" i="1"/>
  <c r="EA138" i="1"/>
  <c r="DS138" i="1"/>
  <c r="DK138" i="1"/>
  <c r="EU138" i="1" s="1"/>
  <c r="DU140" i="1"/>
  <c r="EI141" i="1"/>
  <c r="DW144" i="1"/>
  <c r="FG144" i="1" s="1"/>
  <c r="DC156" i="1"/>
  <c r="DE156" i="1"/>
  <c r="DE162" i="1"/>
  <c r="DE232" i="1" s="1"/>
  <c r="DC162" i="1"/>
  <c r="DG170" i="1"/>
  <c r="DH170" i="1"/>
  <c r="ER170" i="1" s="1"/>
  <c r="DI170" i="1"/>
  <c r="ES170" i="1" s="1"/>
  <c r="DJ170" i="1"/>
  <c r="DK170" i="1"/>
  <c r="EU170" i="1" s="1"/>
  <c r="DM170" i="1"/>
  <c r="DC175" i="1"/>
  <c r="DE175" i="1"/>
  <c r="DF180" i="1"/>
  <c r="DH180" i="1"/>
  <c r="DJ180" i="1"/>
  <c r="DK180" i="1"/>
  <c r="C409" i="1"/>
  <c r="DR96" i="1"/>
  <c r="DJ96" i="1"/>
  <c r="DN99" i="1"/>
  <c r="EX99" i="1" s="1"/>
  <c r="DN102" i="1"/>
  <c r="DY103" i="1"/>
  <c r="ED104" i="1"/>
  <c r="DN104" i="1"/>
  <c r="DS117" i="1"/>
  <c r="DS118" i="1"/>
  <c r="EG119" i="1"/>
  <c r="DQ119" i="1"/>
  <c r="EG124" i="1"/>
  <c r="DY124" i="1"/>
  <c r="DQ124" i="1"/>
  <c r="ED125" i="1"/>
  <c r="DN125" i="1"/>
  <c r="ED126" i="1"/>
  <c r="DN126" i="1"/>
  <c r="ED129" i="1"/>
  <c r="DN134" i="1"/>
  <c r="ED135" i="1"/>
  <c r="DN135" i="1"/>
  <c r="EH138" i="1"/>
  <c r="DZ138" i="1"/>
  <c r="DR138" i="1"/>
  <c r="DJ138" i="1"/>
  <c r="EG139" i="1"/>
  <c r="DW139" i="1"/>
  <c r="DL139" i="1"/>
  <c r="EI140" i="1"/>
  <c r="DS140" i="1"/>
  <c r="EG141" i="1"/>
  <c r="DQ141" i="1"/>
  <c r="DS144" i="1"/>
  <c r="EH152" i="1"/>
  <c r="DR152" i="1"/>
  <c r="EI153" i="1"/>
  <c r="DS153" i="1"/>
  <c r="DF157" i="1"/>
  <c r="DV157" i="1"/>
  <c r="FF157" i="1" s="1"/>
  <c r="DH157" i="1"/>
  <c r="DX157" i="1"/>
  <c r="DJ157" i="1"/>
  <c r="DZ157" i="1"/>
  <c r="DN157" i="1"/>
  <c r="ED157" i="1"/>
  <c r="FN157" i="1" s="1"/>
  <c r="DR157" i="1"/>
  <c r="EH157" i="1"/>
  <c r="DJ164" i="1"/>
  <c r="DH164" i="1"/>
  <c r="DS164" i="1"/>
  <c r="ED164" i="1"/>
  <c r="DI164" i="1"/>
  <c r="ES164" i="1" s="1"/>
  <c r="DT164" i="1"/>
  <c r="EE164" i="1"/>
  <c r="DK164" i="1"/>
  <c r="DV164" i="1"/>
  <c r="EF164" i="1"/>
  <c r="DL164" i="1"/>
  <c r="EV164" i="1" s="1"/>
  <c r="DW164" i="1"/>
  <c r="EG164" i="1"/>
  <c r="DN164" i="1"/>
  <c r="EX164" i="1" s="1"/>
  <c r="DX164" i="1"/>
  <c r="EI164" i="1"/>
  <c r="DF164" i="1"/>
  <c r="DP164" i="1"/>
  <c r="EA164" i="1"/>
  <c r="FK164" i="1" s="1"/>
  <c r="C410" i="1"/>
  <c r="DQ96" i="1"/>
  <c r="EB104" i="1"/>
  <c r="DL104" i="1"/>
  <c r="EV104" i="1" s="1"/>
  <c r="DO117" i="1"/>
  <c r="EY117" i="1" s="1"/>
  <c r="DO118" i="1"/>
  <c r="EE119" i="1"/>
  <c r="EF124" i="1"/>
  <c r="DX124" i="1"/>
  <c r="EB125" i="1"/>
  <c r="DL125" i="1"/>
  <c r="EV125" i="1" s="1"/>
  <c r="EB126" i="1"/>
  <c r="EB135" i="1"/>
  <c r="EH136" i="1"/>
  <c r="DR136" i="1"/>
  <c r="EJ137" i="1"/>
  <c r="EB137" i="1"/>
  <c r="DT137" i="1"/>
  <c r="EG138" i="1"/>
  <c r="DY138" i="1"/>
  <c r="DQ138" i="1"/>
  <c r="EF139" i="1"/>
  <c r="DV139" i="1"/>
  <c r="DK139" i="1"/>
  <c r="EG140" i="1"/>
  <c r="EE141" i="1"/>
  <c r="EH145" i="1"/>
  <c r="DZ145" i="1"/>
  <c r="EF152" i="1"/>
  <c r="DP152" i="1"/>
  <c r="EG153" i="1"/>
  <c r="DK155" i="1"/>
  <c r="EU155" i="1" s="1"/>
  <c r="DW155" i="1"/>
  <c r="DG155" i="1"/>
  <c r="DE172" i="1"/>
  <c r="DC172" i="1"/>
  <c r="DH173" i="1"/>
  <c r="DP173" i="1"/>
  <c r="DX173" i="1"/>
  <c r="EF173" i="1"/>
  <c r="FP173" i="1" s="1"/>
  <c r="DI173" i="1"/>
  <c r="ES173" i="1" s="1"/>
  <c r="DQ173" i="1"/>
  <c r="DY173" i="1"/>
  <c r="EG173" i="1"/>
  <c r="DJ173" i="1"/>
  <c r="DR173" i="1"/>
  <c r="DZ173" i="1"/>
  <c r="EH173" i="1"/>
  <c r="DK173" i="1"/>
  <c r="DS173" i="1"/>
  <c r="EA173" i="1"/>
  <c r="EI173" i="1"/>
  <c r="DL173" i="1"/>
  <c r="EV173" i="1" s="1"/>
  <c r="DT173" i="1"/>
  <c r="FD173" i="1" s="1"/>
  <c r="EB173" i="1"/>
  <c r="EJ173" i="1"/>
  <c r="DF173" i="1"/>
  <c r="DN173" i="1"/>
  <c r="DV173" i="1"/>
  <c r="ED173" i="1"/>
  <c r="C407" i="1"/>
  <c r="DP167" i="1"/>
  <c r="EH178" i="1"/>
  <c r="DZ178" i="1"/>
  <c r="DR178" i="1"/>
  <c r="DI178" i="1"/>
  <c r="EI181" i="1"/>
  <c r="DS181" i="1"/>
  <c r="FC181" i="1" s="1"/>
  <c r="EF182" i="1"/>
  <c r="FP182" i="1" s="1"/>
  <c r="DX182" i="1"/>
  <c r="DP182" i="1"/>
  <c r="DH182" i="1"/>
  <c r="ED187" i="1"/>
  <c r="C408" i="1"/>
  <c r="DH159" i="1"/>
  <c r="ER159" i="1" s="1"/>
  <c r="DJ167" i="1"/>
  <c r="EF178" i="1"/>
  <c r="DX178" i="1"/>
  <c r="DP178" i="1"/>
  <c r="DF178" i="1"/>
  <c r="EE181" i="1"/>
  <c r="DO181" i="1"/>
  <c r="ED182" i="1"/>
  <c r="DV182" i="1"/>
  <c r="DN182" i="1"/>
  <c r="DF182" i="1"/>
  <c r="DE183" i="1"/>
  <c r="DC192" i="1"/>
  <c r="EP205" i="1"/>
  <c r="FU205" i="1" s="1"/>
  <c r="DC206" i="1"/>
  <c r="FE174" i="1"/>
  <c r="H552" i="1"/>
  <c r="DP168" i="1"/>
  <c r="ED178" i="1"/>
  <c r="DV178" i="1"/>
  <c r="DN178" i="1"/>
  <c r="DH178" i="1"/>
  <c r="EF180" i="1"/>
  <c r="DU180" i="1"/>
  <c r="EA181" i="1"/>
  <c r="EJ182" i="1"/>
  <c r="EB182" i="1"/>
  <c r="DT182" i="1"/>
  <c r="DL182" i="1"/>
  <c r="EV182" i="1" s="1"/>
  <c r="DV186" i="1"/>
  <c r="FF186" i="1" s="1"/>
  <c r="DN186" i="1"/>
  <c r="EX186" i="1" s="1"/>
  <c r="C411" i="1"/>
  <c r="EF167" i="1"/>
  <c r="FP167" i="1" s="1"/>
  <c r="EC178" i="1"/>
  <c r="DU178" i="1"/>
  <c r="DL178" i="1"/>
  <c r="EF179" i="1"/>
  <c r="ED180" i="1"/>
  <c r="DY181" i="1"/>
  <c r="FI181" i="1" s="1"/>
  <c r="EI182" i="1"/>
  <c r="FS182" i="1" s="1"/>
  <c r="EA182" i="1"/>
  <c r="DS182" i="1"/>
  <c r="DK182" i="1"/>
  <c r="EU182" i="1" s="1"/>
  <c r="EC186" i="1"/>
  <c r="FM186" i="1" s="1"/>
  <c r="DC194" i="1"/>
  <c r="DC199" i="1"/>
  <c r="C412" i="1"/>
  <c r="FJ92" i="1"/>
  <c r="EA167" i="1"/>
  <c r="EJ178" i="1"/>
  <c r="EB178" i="1"/>
  <c r="DK178" i="1"/>
  <c r="EH182" i="1"/>
  <c r="DZ182" i="1"/>
  <c r="DR182" i="1"/>
  <c r="C413" i="1"/>
  <c r="FQ174" i="1"/>
  <c r="FM90" i="1"/>
  <c r="FI92" i="1"/>
  <c r="FI107" i="1"/>
  <c r="FM141" i="1"/>
  <c r="FI143" i="1"/>
  <c r="FM145" i="1"/>
  <c r="FI153" i="1"/>
  <c r="FM156" i="1"/>
  <c r="FM162" i="1"/>
  <c r="FI164" i="1"/>
  <c r="FM173" i="1"/>
  <c r="FI174" i="1"/>
  <c r="FR90" i="1"/>
  <c r="FJ90" i="1"/>
  <c r="FF90" i="1"/>
  <c r="FB90" i="1"/>
  <c r="FF92" i="1"/>
  <c r="FB92" i="1"/>
  <c r="FB99" i="1"/>
  <c r="FR102" i="1"/>
  <c r="FJ102" i="1"/>
  <c r="FR122" i="1"/>
  <c r="FB122" i="1"/>
  <c r="FR131" i="1"/>
  <c r="FF131" i="1"/>
  <c r="FB131" i="1"/>
  <c r="FJ149" i="1"/>
  <c r="FJ156" i="1"/>
  <c r="FJ157" i="1"/>
  <c r="FR162" i="1"/>
  <c r="FF162" i="1"/>
  <c r="FB162" i="1"/>
  <c r="FF164" i="1"/>
  <c r="FF171" i="1"/>
  <c r="FR173" i="1"/>
  <c r="FF173" i="1"/>
  <c r="FB173" i="1"/>
  <c r="FF174" i="1"/>
  <c r="FR187" i="1"/>
  <c r="W375" i="1"/>
  <c r="Z372" i="1"/>
  <c r="FM89" i="1"/>
  <c r="FQ90" i="1"/>
  <c r="FI90" i="1"/>
  <c r="FE92" i="1"/>
  <c r="FI115" i="1"/>
  <c r="FM119" i="1"/>
  <c r="FI139" i="1"/>
  <c r="FM143" i="1"/>
  <c r="FI145" i="1"/>
  <c r="FI156" i="1"/>
  <c r="FI162" i="1"/>
  <c r="FI173" i="1"/>
  <c r="FM174" i="1"/>
  <c r="FM176" i="1"/>
  <c r="FF104" i="1"/>
  <c r="FR106" i="1"/>
  <c r="FB106" i="1"/>
  <c r="FF110" i="1"/>
  <c r="FF112" i="1"/>
  <c r="FR114" i="1"/>
  <c r="FB114" i="1"/>
  <c r="FR116" i="1"/>
  <c r="FB116" i="1"/>
  <c r="EX126" i="1"/>
  <c r="EX129" i="1"/>
  <c r="FN132" i="1"/>
  <c r="FF132" i="1"/>
  <c r="FN134" i="1"/>
  <c r="FF135" i="1"/>
  <c r="FR147" i="1"/>
  <c r="FB147" i="1"/>
  <c r="FR152" i="1"/>
  <c r="FJ163" i="1"/>
  <c r="FR170" i="1"/>
  <c r="FF170" i="1"/>
  <c r="FB170" i="1"/>
  <c r="FR174" i="1"/>
  <c r="FB179" i="1"/>
  <c r="FR180" i="1"/>
  <c r="AD382" i="1"/>
  <c r="AD381" i="1"/>
  <c r="EW90" i="1"/>
  <c r="EQ91" i="1"/>
  <c r="FA92" i="1"/>
  <c r="EW92" i="1"/>
  <c r="FD94" i="1"/>
  <c r="EQ96" i="1"/>
  <c r="FH99" i="1"/>
  <c r="ET102" i="1"/>
  <c r="FA103" i="1"/>
  <c r="FD124" i="1"/>
  <c r="FD139" i="1"/>
  <c r="FH163" i="1"/>
  <c r="FD164" i="1"/>
  <c r="FD170" i="1"/>
  <c r="FH182" i="1"/>
  <c r="EX88" i="1"/>
  <c r="FO89" i="1"/>
  <c r="EX90" i="1"/>
  <c r="FM92" i="1"/>
  <c r="EX92" i="1"/>
  <c r="FM94" i="1"/>
  <c r="FI94" i="1"/>
  <c r="FA94" i="1"/>
  <c r="EW94" i="1"/>
  <c r="FP96" i="1"/>
  <c r="FD96" i="1"/>
  <c r="FS100" i="1"/>
  <c r="FS101" i="1"/>
  <c r="FO101" i="1"/>
  <c r="FD101" i="1"/>
  <c r="FD102" i="1"/>
  <c r="FD104" i="1"/>
  <c r="EQ104" i="1"/>
  <c r="EQ105" i="1"/>
  <c r="FP106" i="1"/>
  <c r="FH106" i="1"/>
  <c r="FM107" i="1"/>
  <c r="EW107" i="1"/>
  <c r="FP108" i="1"/>
  <c r="FO109" i="1"/>
  <c r="FD110" i="1"/>
  <c r="EQ110" i="1"/>
  <c r="FE111" i="1"/>
  <c r="FD112" i="1"/>
  <c r="EQ112" i="1"/>
  <c r="EQ113" i="1"/>
  <c r="FH114" i="1"/>
  <c r="FM115" i="1"/>
  <c r="EW115" i="1"/>
  <c r="FH116" i="1"/>
  <c r="FO117" i="1"/>
  <c r="FO119" i="1"/>
  <c r="EQ119" i="1"/>
  <c r="FO120" i="1"/>
  <c r="EU120" i="1"/>
  <c r="EQ120" i="1"/>
  <c r="FP124" i="1"/>
  <c r="FH124" i="1"/>
  <c r="FE124" i="1"/>
  <c r="FP126" i="1"/>
  <c r="FI130" i="1"/>
  <c r="FD131" i="1"/>
  <c r="FA131" i="1"/>
  <c r="FD132" i="1"/>
  <c r="FD135" i="1"/>
  <c r="FD137" i="1"/>
  <c r="FP139" i="1"/>
  <c r="EU139" i="1"/>
  <c r="FI140" i="1"/>
  <c r="FA140" i="1"/>
  <c r="FS142" i="1"/>
  <c r="EX145" i="1"/>
  <c r="EX146" i="1"/>
  <c r="EU153" i="1"/>
  <c r="FD154" i="1"/>
  <c r="EX156" i="1"/>
  <c r="FO159" i="1"/>
  <c r="FD159" i="1"/>
  <c r="EX162" i="1"/>
  <c r="FM163" i="1"/>
  <c r="FI163" i="1"/>
  <c r="FA163" i="1"/>
  <c r="EU164" i="1"/>
  <c r="FS165" i="1"/>
  <c r="FO165" i="1"/>
  <c r="EU165" i="1"/>
  <c r="EQ165" i="1"/>
  <c r="EU166" i="1"/>
  <c r="FM170" i="1"/>
  <c r="FI170" i="1"/>
  <c r="FA170" i="1"/>
  <c r="EW170" i="1"/>
  <c r="EX173" i="1"/>
  <c r="EU174" i="1"/>
  <c r="EX177" i="1"/>
  <c r="FA180" i="1"/>
  <c r="FM181" i="1"/>
  <c r="FM182" i="1"/>
  <c r="FI182" i="1"/>
  <c r="EW182" i="1"/>
  <c r="FP183" i="1"/>
  <c r="FS184" i="1"/>
  <c r="FM185" i="1"/>
  <c r="FO186" i="1"/>
  <c r="W380" i="1"/>
  <c r="O372" i="1"/>
  <c r="O381" i="1" s="1"/>
  <c r="E503" i="1"/>
  <c r="FA90" i="1"/>
  <c r="FL92" i="1"/>
  <c r="FH94" i="1"/>
  <c r="FS96" i="1"/>
  <c r="FO96" i="1"/>
  <c r="FO100" i="1"/>
  <c r="FS105" i="1"/>
  <c r="FS124" i="1"/>
  <c r="FS137" i="1"/>
  <c r="FD138" i="1"/>
  <c r="FD143" i="1"/>
  <c r="FA145" i="1"/>
  <c r="FD146" i="1"/>
  <c r="FA153" i="1"/>
  <c r="FO155" i="1"/>
  <c r="EW162" i="1"/>
  <c r="FD163" i="1"/>
  <c r="FD171" i="1"/>
  <c r="FD175" i="1"/>
  <c r="FS181" i="1"/>
  <c r="FD182" i="1"/>
  <c r="N372" i="1"/>
  <c r="N374" i="1" s="1"/>
  <c r="FI89" i="1"/>
  <c r="FA89" i="1"/>
  <c r="FS90" i="1"/>
  <c r="EU90" i="1"/>
  <c r="EU92" i="1"/>
  <c r="EX94" i="1"/>
  <c r="FM96" i="1"/>
  <c r="FI96" i="1"/>
  <c r="FA96" i="1"/>
  <c r="FD99" i="1"/>
  <c r="FP101" i="1"/>
  <c r="FA101" i="1"/>
  <c r="EX102" i="1"/>
  <c r="FI103" i="1"/>
  <c r="EX104" i="1"/>
  <c r="EU105" i="1"/>
  <c r="FA107" i="1"/>
  <c r="FS109" i="1"/>
  <c r="EX110" i="1"/>
  <c r="FI111" i="1"/>
  <c r="EU113" i="1"/>
  <c r="FA115" i="1"/>
  <c r="FS117" i="1"/>
  <c r="FI119" i="1"/>
  <c r="FA119" i="1"/>
  <c r="FD120" i="1"/>
  <c r="FD122" i="1"/>
  <c r="FM124" i="1"/>
  <c r="FI124" i="1"/>
  <c r="FP125" i="1"/>
  <c r="FH125" i="1"/>
  <c r="FM130" i="1"/>
  <c r="EW130" i="1"/>
  <c r="FM131" i="1"/>
  <c r="FI131" i="1"/>
  <c r="EU131" i="1"/>
  <c r="EQ131" i="1"/>
  <c r="EX132" i="1"/>
  <c r="EX134" i="1"/>
  <c r="FD136" i="1"/>
  <c r="EQ136" i="1"/>
  <c r="FM137" i="1"/>
  <c r="FI137" i="1"/>
  <c r="FA137" i="1"/>
  <c r="EW137" i="1"/>
  <c r="EQ139" i="1"/>
  <c r="FI141" i="1"/>
  <c r="FP142" i="1"/>
  <c r="FH142" i="1"/>
  <c r="FD142" i="1"/>
  <c r="FS143" i="1"/>
  <c r="FO143" i="1"/>
  <c r="FS144" i="1"/>
  <c r="FO145" i="1"/>
  <c r="FH146" i="1"/>
  <c r="FD149" i="1"/>
  <c r="FD152" i="1"/>
  <c r="EQ152" i="1"/>
  <c r="FM153" i="1"/>
  <c r="EW153" i="1"/>
  <c r="EX154" i="1"/>
  <c r="FD157" i="1"/>
  <c r="FA159" i="1"/>
  <c r="EU162" i="1"/>
  <c r="EX163" i="1"/>
  <c r="FA164" i="1"/>
  <c r="FP165" i="1"/>
  <c r="FD165" i="1"/>
  <c r="FP166" i="1"/>
  <c r="EX170" i="1"/>
  <c r="FP171" i="1"/>
  <c r="FO173" i="1"/>
  <c r="EU173" i="1"/>
  <c r="FO174" i="1"/>
  <c r="EW174" i="1"/>
  <c r="FP177" i="1"/>
  <c r="FP178" i="1"/>
  <c r="FH178" i="1"/>
  <c r="FM180" i="1"/>
  <c r="EU180" i="1"/>
  <c r="FP186" i="1"/>
  <c r="FD186" i="1"/>
  <c r="FA186" i="1"/>
  <c r="M375" i="1"/>
  <c r="U372" i="1"/>
  <c r="U382" i="1" s="1"/>
  <c r="L372" i="1"/>
  <c r="H382" i="1"/>
  <c r="H379" i="1"/>
  <c r="H380" i="1"/>
  <c r="H375" i="1"/>
  <c r="H378" i="1"/>
  <c r="ET90" i="1"/>
  <c r="ET92" i="1"/>
  <c r="FH96" i="1"/>
  <c r="FK101" i="1"/>
  <c r="FE103" i="1"/>
  <c r="ET106" i="1"/>
  <c r="FQ107" i="1"/>
  <c r="EQ107" i="1"/>
  <c r="ET108" i="1"/>
  <c r="FT120" i="1"/>
  <c r="FT122" i="1"/>
  <c r="EY131" i="1"/>
  <c r="EQ133" i="1"/>
  <c r="FT143" i="1"/>
  <c r="EQ143" i="1"/>
  <c r="EQ144" i="1"/>
  <c r="FT145" i="1"/>
  <c r="ET146" i="1"/>
  <c r="ET148" i="1"/>
  <c r="EY153" i="1"/>
  <c r="ET154" i="1"/>
  <c r="FH157" i="1"/>
  <c r="ET162" i="1"/>
  <c r="EQ164" i="1"/>
  <c r="FT165" i="1"/>
  <c r="FH165" i="1"/>
  <c r="FK173" i="1"/>
  <c r="EY173" i="1"/>
  <c r="EQ173" i="1"/>
  <c r="EQ174" i="1"/>
  <c r="EY185" i="1"/>
  <c r="AB380" i="1"/>
  <c r="N381" i="1"/>
  <c r="E475" i="1"/>
  <c r="FQ89" i="1"/>
  <c r="FO90" i="1"/>
  <c r="FK90" i="1"/>
  <c r="EY90" i="1"/>
  <c r="EQ90" i="1"/>
  <c r="FR92" i="1"/>
  <c r="EY92" i="1"/>
  <c r="EQ92" i="1"/>
  <c r="FR94" i="1"/>
  <c r="FF94" i="1"/>
  <c r="FB94" i="1"/>
  <c r="ET94" i="1"/>
  <c r="FE96" i="1"/>
  <c r="EW96" i="1"/>
  <c r="EQ97" i="1"/>
  <c r="EW98" i="1"/>
  <c r="FR99" i="1"/>
  <c r="FL99" i="1"/>
  <c r="EQ99" i="1"/>
  <c r="EQ100" i="1"/>
  <c r="FT101" i="1"/>
  <c r="FH101" i="1"/>
  <c r="FE101" i="1"/>
  <c r="EW101" i="1"/>
  <c r="FT102" i="1"/>
  <c r="FF102" i="1"/>
  <c r="FH104" i="1"/>
  <c r="FO105" i="1"/>
  <c r="EY105" i="1"/>
  <c r="FT106" i="1"/>
  <c r="EQ106" i="1"/>
  <c r="FE107" i="1"/>
  <c r="EY107" i="1"/>
  <c r="EQ108" i="1"/>
  <c r="EQ109" i="1"/>
  <c r="FH110" i="1"/>
  <c r="EW111" i="1"/>
  <c r="FH112" i="1"/>
  <c r="FO113" i="1"/>
  <c r="EY113" i="1"/>
  <c r="FT114" i="1"/>
  <c r="FL114" i="1"/>
  <c r="EQ114" i="1"/>
  <c r="FT116" i="1"/>
  <c r="FL116" i="1"/>
  <c r="EQ117" i="1"/>
  <c r="EQ118" i="1"/>
  <c r="FK119" i="1"/>
  <c r="FE120" i="1"/>
  <c r="EW120" i="1"/>
  <c r="FN122" i="1"/>
  <c r="FF122" i="1"/>
  <c r="FR124" i="1"/>
  <c r="EY124" i="1"/>
  <c r="FF125" i="1"/>
  <c r="FF126" i="1"/>
  <c r="FO131" i="1"/>
  <c r="FK131" i="1"/>
  <c r="EW131" i="1"/>
  <c r="FR132" i="1"/>
  <c r="FB132" i="1"/>
  <c r="FF134" i="1"/>
  <c r="FR135" i="1"/>
  <c r="FB135" i="1"/>
  <c r="FH136" i="1"/>
  <c r="FO137" i="1"/>
  <c r="FK137" i="1"/>
  <c r="EY137" i="1"/>
  <c r="EQ137" i="1"/>
  <c r="FT139" i="1"/>
  <c r="FO139" i="1"/>
  <c r="EY139" i="1"/>
  <c r="ET139" i="1"/>
  <c r="FO140" i="1"/>
  <c r="EY140" i="1"/>
  <c r="EW141" i="1"/>
  <c r="FR142" i="1"/>
  <c r="FF142" i="1"/>
  <c r="FB142" i="1"/>
  <c r="FK144" i="1"/>
  <c r="EW145" i="1"/>
  <c r="FT146" i="1"/>
  <c r="EQ146" i="1"/>
  <c r="FF147" i="1"/>
  <c r="FH149" i="1"/>
  <c r="FH152" i="1"/>
  <c r="EQ154" i="1"/>
  <c r="FR156" i="1"/>
  <c r="FF156" i="1"/>
  <c r="FB156" i="1"/>
  <c r="EQ156" i="1"/>
  <c r="FR157" i="1"/>
  <c r="FB157" i="1"/>
  <c r="FH159" i="1"/>
  <c r="ET159" i="1"/>
  <c r="FF161" i="1"/>
  <c r="FO162" i="1"/>
  <c r="FK162" i="1"/>
  <c r="EY162" i="1"/>
  <c r="EQ162" i="1"/>
  <c r="FR163" i="1"/>
  <c r="FN163" i="1"/>
  <c r="FF163" i="1"/>
  <c r="FB163" i="1"/>
  <c r="EY163" i="1"/>
  <c r="EQ163" i="1"/>
  <c r="FH164" i="1"/>
  <c r="FQ165" i="1"/>
  <c r="EW165" i="1"/>
  <c r="FK167" i="1"/>
  <c r="ET167" i="1"/>
  <c r="FK169" i="1"/>
  <c r="FO170" i="1"/>
  <c r="FK170" i="1"/>
  <c r="EY170" i="1"/>
  <c r="EQ170" i="1"/>
  <c r="FR171" i="1"/>
  <c r="FB171" i="1"/>
  <c r="ET171" i="1"/>
  <c r="FT173" i="1"/>
  <c r="FH173" i="1"/>
  <c r="FL174" i="1"/>
  <c r="FH174" i="1"/>
  <c r="ET175" i="1"/>
  <c r="EW176" i="1"/>
  <c r="FH177" i="1"/>
  <c r="FR179" i="1"/>
  <c r="FF180" i="1"/>
  <c r="ET180" i="1"/>
  <c r="FF182" i="1"/>
  <c r="FB182" i="1"/>
  <c r="FR183" i="1"/>
  <c r="FB183" i="1"/>
  <c r="FO185" i="1"/>
  <c r="FT186" i="1"/>
  <c r="FH186" i="1"/>
  <c r="FF187" i="1"/>
  <c r="J377" i="1"/>
  <c r="J378" i="1"/>
  <c r="W379" i="1"/>
  <c r="AD380" i="1"/>
  <c r="AF372" i="1"/>
  <c r="AF376" i="1" s="1"/>
  <c r="Y372" i="1"/>
  <c r="Y379" i="1" s="1"/>
  <c r="H468" i="1"/>
  <c r="EY89" i="1"/>
  <c r="FE94" i="1"/>
  <c r="FT96" i="1"/>
  <c r="ET99" i="1"/>
  <c r="EQ102" i="1"/>
  <c r="FT104" i="1"/>
  <c r="FK105" i="1"/>
  <c r="FK113" i="1"/>
  <c r="FQ115" i="1"/>
  <c r="FH120" i="1"/>
  <c r="EQ125" i="1"/>
  <c r="FT126" i="1"/>
  <c r="EQ130" i="1"/>
  <c r="FN131" i="1"/>
  <c r="FH132" i="1"/>
  <c r="FH135" i="1"/>
  <c r="EQ138" i="1"/>
  <c r="FH139" i="1"/>
  <c r="FK141" i="1"/>
  <c r="FH143" i="1"/>
  <c r="FH145" i="1"/>
  <c r="FT147" i="1"/>
  <c r="FT152" i="1"/>
  <c r="EQ153" i="1"/>
  <c r="FK159" i="1"/>
  <c r="EQ159" i="1"/>
  <c r="FQ163" i="1"/>
  <c r="ET163" i="1"/>
  <c r="EQ169" i="1"/>
  <c r="FH171" i="1"/>
  <c r="FK174" i="1"/>
  <c r="EY174" i="1"/>
  <c r="FK176" i="1"/>
  <c r="FN180" i="1"/>
  <c r="FE180" i="1"/>
  <c r="FK181" i="1"/>
  <c r="FT182" i="1"/>
  <c r="FK186" i="1"/>
  <c r="FK89" i="1"/>
  <c r="FT90" i="1"/>
  <c r="FH90" i="1"/>
  <c r="FO92" i="1"/>
  <c r="FK92" i="1"/>
  <c r="FH92" i="1"/>
  <c r="FO94" i="1"/>
  <c r="FK94" i="1"/>
  <c r="EY94" i="1"/>
  <c r="EQ94" i="1"/>
  <c r="FR96" i="1"/>
  <c r="FN96" i="1"/>
  <c r="FF96" i="1"/>
  <c r="FB96" i="1"/>
  <c r="ET96" i="1"/>
  <c r="FF99" i="1"/>
  <c r="FK100" i="1"/>
  <c r="FB101" i="1"/>
  <c r="EQ101" i="1"/>
  <c r="FH102" i="1"/>
  <c r="EW103" i="1"/>
  <c r="FR104" i="1"/>
  <c r="FB104" i="1"/>
  <c r="ET104" i="1"/>
  <c r="FF106" i="1"/>
  <c r="FK109" i="1"/>
  <c r="FR110" i="1"/>
  <c r="FB110" i="1"/>
  <c r="ET110" i="1"/>
  <c r="FR112" i="1"/>
  <c r="FB112" i="1"/>
  <c r="ET112" i="1"/>
  <c r="FF114" i="1"/>
  <c r="FF116" i="1"/>
  <c r="FK117" i="1"/>
  <c r="EW119" i="1"/>
  <c r="FR120" i="1"/>
  <c r="FF120" i="1"/>
  <c r="FB120" i="1"/>
  <c r="ET120" i="1"/>
  <c r="FH122" i="1"/>
  <c r="FO124" i="1"/>
  <c r="FK124" i="1"/>
  <c r="FT125" i="1"/>
  <c r="FH126" i="1"/>
  <c r="FR129" i="1"/>
  <c r="FB129" i="1"/>
  <c r="FT131" i="1"/>
  <c r="FH131" i="1"/>
  <c r="FT132" i="1"/>
  <c r="FT135" i="1"/>
  <c r="FR136" i="1"/>
  <c r="FB136" i="1"/>
  <c r="ET136" i="1"/>
  <c r="FT137" i="1"/>
  <c r="FH137" i="1"/>
  <c r="EW138" i="1"/>
  <c r="FK139" i="1"/>
  <c r="FF139" i="1"/>
  <c r="FO141" i="1"/>
  <c r="EY141" i="1"/>
  <c r="FO142" i="1"/>
  <c r="FK142" i="1"/>
  <c r="EY142" i="1"/>
  <c r="FR143" i="1"/>
  <c r="FF143" i="1"/>
  <c r="FO144" i="1"/>
  <c r="EY144" i="1"/>
  <c r="FR145" i="1"/>
  <c r="FN145" i="1"/>
  <c r="FF145" i="1"/>
  <c r="FB145" i="1"/>
  <c r="FF146" i="1"/>
  <c r="FH147" i="1"/>
  <c r="FR149" i="1"/>
  <c r="FB149" i="1"/>
  <c r="ET149" i="1"/>
  <c r="FB152" i="1"/>
  <c r="ET152" i="1"/>
  <c r="FK153" i="1"/>
  <c r="FT154" i="1"/>
  <c r="FF154" i="1"/>
  <c r="EY155" i="1"/>
  <c r="FO156" i="1"/>
  <c r="FK156" i="1"/>
  <c r="EY156" i="1"/>
  <c r="FT157" i="1"/>
  <c r="EW158" i="1"/>
  <c r="FT159" i="1"/>
  <c r="FB159" i="1"/>
  <c r="FT162" i="1"/>
  <c r="FH162" i="1"/>
  <c r="FO163" i="1"/>
  <c r="FK163" i="1"/>
  <c r="FT164" i="1"/>
  <c r="FO164" i="1"/>
  <c r="EY164" i="1"/>
  <c r="ET164" i="1"/>
  <c r="FR165" i="1"/>
  <c r="FF165" i="1"/>
  <c r="FB165" i="1"/>
  <c r="ET165" i="1"/>
  <c r="FF166" i="1"/>
  <c r="FO169" i="1"/>
  <c r="EY169" i="1"/>
  <c r="FT170" i="1"/>
  <c r="FH170" i="1"/>
  <c r="FT171" i="1"/>
  <c r="EW173" i="1"/>
  <c r="FT174" i="1"/>
  <c r="FB174" i="1"/>
  <c r="FR175" i="1"/>
  <c r="FH175" i="1"/>
  <c r="FK180" i="1"/>
  <c r="FH180" i="1"/>
  <c r="FB180" i="1"/>
  <c r="FO181" i="1"/>
  <c r="EY181" i="1"/>
  <c r="FR182" i="1"/>
  <c r="FO182" i="1"/>
  <c r="FK182" i="1"/>
  <c r="EY182" i="1"/>
  <c r="EQ182" i="1"/>
  <c r="FB186" i="1"/>
  <c r="J373" i="1"/>
  <c r="N380" i="1"/>
  <c r="AI372" i="1"/>
  <c r="AI382" i="1" s="1"/>
  <c r="S372" i="1"/>
  <c r="S373" i="1" s="1"/>
  <c r="H516" i="1"/>
  <c r="DE151" i="1"/>
  <c r="DE231" i="1" s="1"/>
  <c r="EK137" i="1"/>
  <c r="EK201" i="1"/>
  <c r="EK191" i="1"/>
  <c r="EK196" i="1"/>
  <c r="EP198" i="1"/>
  <c r="FU198" i="1" s="1"/>
  <c r="FJ108" i="1"/>
  <c r="EX108" i="1"/>
  <c r="EV128" i="1"/>
  <c r="FS138" i="1"/>
  <c r="FM138" i="1"/>
  <c r="FM158" i="1"/>
  <c r="EY158" i="1"/>
  <c r="FJ168" i="1"/>
  <c r="FS178" i="1"/>
  <c r="FB178" i="1"/>
  <c r="EY178" i="1"/>
  <c r="FF88" i="1"/>
  <c r="FO118" i="1"/>
  <c r="EZ128" i="1"/>
  <c r="FB148" i="1"/>
  <c r="ET168" i="1"/>
  <c r="FI178" i="1"/>
  <c r="EU178" i="1"/>
  <c r="FH88" i="1"/>
  <c r="ER88" i="1"/>
  <c r="FB108" i="1"/>
  <c r="FS118" i="1"/>
  <c r="ES118" i="1"/>
  <c r="FT128" i="1"/>
  <c r="FD128" i="1"/>
  <c r="FO138" i="1"/>
  <c r="FK138" i="1"/>
  <c r="EX138" i="1"/>
  <c r="FF148" i="1"/>
  <c r="FK158" i="1"/>
  <c r="EU158" i="1"/>
  <c r="EQ158" i="1"/>
  <c r="FJ178" i="1"/>
  <c r="FD178" i="1"/>
  <c r="EV178" i="1"/>
  <c r="EQ178" i="1"/>
  <c r="FT138" i="1"/>
  <c r="FT158" i="1"/>
  <c r="FN158" i="1"/>
  <c r="FD158" i="1"/>
  <c r="EZ178" i="1"/>
  <c r="FT88" i="1"/>
  <c r="FD88" i="1"/>
  <c r="FM98" i="1"/>
  <c r="FK118" i="1"/>
  <c r="FI138" i="1"/>
  <c r="FF138" i="1"/>
  <c r="FI158" i="1"/>
  <c r="FR108" i="1"/>
  <c r="FF108" i="1"/>
  <c r="EY118" i="1"/>
  <c r="FP128" i="1"/>
  <c r="ES138" i="1"/>
  <c r="FR148" i="1"/>
  <c r="FT178" i="1"/>
  <c r="FM178" i="1"/>
  <c r="FC178" i="1"/>
  <c r="FP88" i="1"/>
  <c r="FE98" i="1"/>
  <c r="FN108" i="1"/>
  <c r="FR88" i="1"/>
  <c r="FJ88" i="1"/>
  <c r="FB88" i="1"/>
  <c r="ET88" i="1"/>
  <c r="FI98" i="1"/>
  <c r="ES98" i="1"/>
  <c r="FH128" i="1"/>
  <c r="FE138" i="1"/>
  <c r="EY138" i="1"/>
  <c r="FJ148" i="1"/>
  <c r="FO158" i="1"/>
  <c r="FH158" i="1"/>
  <c r="FE158" i="1"/>
  <c r="FB158" i="1"/>
  <c r="FR178" i="1"/>
  <c r="FO178" i="1"/>
  <c r="FK178" i="1"/>
  <c r="ES178" i="1"/>
  <c r="FF158" i="1"/>
  <c r="FF178" i="1"/>
  <c r="FT108" i="1"/>
  <c r="FH108" i="1"/>
  <c r="FR138" i="1"/>
  <c r="FH138" i="1"/>
  <c r="FB138" i="1"/>
  <c r="FR158" i="1"/>
  <c r="EV147" i="1"/>
  <c r="ET147" i="1"/>
  <c r="EQ155" i="1"/>
  <c r="EV116" i="1"/>
  <c r="EQ116" i="1"/>
  <c r="AK29" i="1"/>
  <c r="AK45" i="1" s="1"/>
  <c r="AK431" i="1" s="1"/>
  <c r="AK449" i="1" s="1"/>
  <c r="AJ28" i="1"/>
  <c r="AJ44" i="1" s="1"/>
  <c r="AJ430" i="1" s="1"/>
  <c r="AJ448" i="1" s="1"/>
  <c r="X28" i="1"/>
  <c r="X44" i="1" s="1"/>
  <c r="X430" i="1" s="1"/>
  <c r="X448" i="1" s="1"/>
  <c r="P28" i="1"/>
  <c r="P44" i="1" s="1"/>
  <c r="P430" i="1" s="1"/>
  <c r="P448" i="1" s="1"/>
  <c r="L28" i="1"/>
  <c r="L44" i="1" s="1"/>
  <c r="L430" i="1" s="1"/>
  <c r="L448" i="1" s="1"/>
  <c r="AE27" i="1"/>
  <c r="AE43" i="1" s="1"/>
  <c r="AE429" i="1" s="1"/>
  <c r="AE447" i="1" s="1"/>
  <c r="AF24" i="1"/>
  <c r="AF40" i="1" s="1"/>
  <c r="AF426" i="1" s="1"/>
  <c r="AF444" i="1" s="1"/>
  <c r="X24" i="1"/>
  <c r="X40" i="1" s="1"/>
  <c r="X426" i="1" s="1"/>
  <c r="X444" i="1" s="1"/>
  <c r="P24" i="1"/>
  <c r="P40" i="1" s="1"/>
  <c r="P426" i="1" s="1"/>
  <c r="P444" i="1" s="1"/>
  <c r="H24" i="1"/>
  <c r="H40" i="1" s="1"/>
  <c r="H426" i="1" s="1"/>
  <c r="H444" i="1" s="1"/>
  <c r="O23" i="1"/>
  <c r="O39" i="1" s="1"/>
  <c r="O425" i="1" s="1"/>
  <c r="O443" i="1" s="1"/>
  <c r="AK21" i="1"/>
  <c r="AK37" i="1" s="1"/>
  <c r="AK423" i="1" s="1"/>
  <c r="AK441" i="1" s="1"/>
  <c r="Q21" i="1"/>
  <c r="Q37" i="1" s="1"/>
  <c r="Q423" i="1" s="1"/>
  <c r="Q441" i="1" s="1"/>
  <c r="L23" i="1"/>
  <c r="L39" i="1" s="1"/>
  <c r="L425" i="1" s="1"/>
  <c r="L443" i="1" s="1"/>
  <c r="AJ23" i="1"/>
  <c r="AJ39" i="1" s="1"/>
  <c r="AJ425" i="1" s="1"/>
  <c r="AJ443" i="1" s="1"/>
  <c r="AF23" i="1"/>
  <c r="AF39" i="1" s="1"/>
  <c r="AF425" i="1" s="1"/>
  <c r="AF443" i="1" s="1"/>
  <c r="X23" i="1"/>
  <c r="X39" i="1" s="1"/>
  <c r="X425" i="1" s="1"/>
  <c r="X443" i="1" s="1"/>
  <c r="AH21" i="1"/>
  <c r="AH37" i="1" s="1"/>
  <c r="AH423" i="1" s="1"/>
  <c r="AH441" i="1" s="1"/>
  <c r="H22" i="1"/>
  <c r="H38" i="1" s="1"/>
  <c r="H424" i="1" s="1"/>
  <c r="H442" i="1" s="1"/>
  <c r="AF28" i="1"/>
  <c r="AF44" i="1" s="1"/>
  <c r="AF430" i="1" s="1"/>
  <c r="AF448" i="1" s="1"/>
  <c r="U25" i="1"/>
  <c r="U41" i="1" s="1"/>
  <c r="U427" i="1" s="1"/>
  <c r="U445" i="1" s="1"/>
  <c r="Y29" i="1"/>
  <c r="Y45" i="1" s="1"/>
  <c r="Y431" i="1" s="1"/>
  <c r="Y449" i="1" s="1"/>
  <c r="I28" i="1"/>
  <c r="I44" i="1" s="1"/>
  <c r="I430" i="1" s="1"/>
  <c r="I448" i="1" s="1"/>
  <c r="AJ25" i="1"/>
  <c r="AJ41" i="1" s="1"/>
  <c r="AJ427" i="1" s="1"/>
  <c r="AJ445" i="1" s="1"/>
  <c r="L25" i="1"/>
  <c r="L41" i="1" s="1"/>
  <c r="L427" i="1" s="1"/>
  <c r="L445" i="1" s="1"/>
  <c r="AB25" i="1"/>
  <c r="AB41" i="1" s="1"/>
  <c r="AB427" i="1" s="1"/>
  <c r="AB445" i="1" s="1"/>
  <c r="AD25" i="1"/>
  <c r="AD41" i="1" s="1"/>
  <c r="AD427" i="1" s="1"/>
  <c r="AD445" i="1" s="1"/>
  <c r="AB24" i="1"/>
  <c r="AB40" i="1" s="1"/>
  <c r="AB426" i="1" s="1"/>
  <c r="AB444" i="1" s="1"/>
  <c r="T24" i="1"/>
  <c r="T40" i="1" s="1"/>
  <c r="T426" i="1" s="1"/>
  <c r="T444" i="1" s="1"/>
  <c r="L24" i="1"/>
  <c r="L40" i="1" s="1"/>
  <c r="L426" i="1" s="1"/>
  <c r="L444" i="1" s="1"/>
  <c r="AJ24" i="1"/>
  <c r="AJ40" i="1" s="1"/>
  <c r="AJ426" i="1" s="1"/>
  <c r="AJ444" i="1" s="1"/>
  <c r="AK23" i="1"/>
  <c r="AK39" i="1" s="1"/>
  <c r="AK425" i="1" s="1"/>
  <c r="AK443" i="1" s="1"/>
  <c r="AG23" i="1"/>
  <c r="AG39" i="1" s="1"/>
  <c r="AG425" i="1" s="1"/>
  <c r="AG443" i="1" s="1"/>
  <c r="AC23" i="1"/>
  <c r="AC39" i="1" s="1"/>
  <c r="AC425" i="1" s="1"/>
  <c r="AC443" i="1" s="1"/>
  <c r="Y23" i="1"/>
  <c r="Y39" i="1" s="1"/>
  <c r="Y425" i="1" s="1"/>
  <c r="Y443" i="1" s="1"/>
  <c r="U23" i="1"/>
  <c r="U39" i="1" s="1"/>
  <c r="U425" i="1" s="1"/>
  <c r="U443" i="1" s="1"/>
  <c r="M23" i="1"/>
  <c r="M39" i="1" s="1"/>
  <c r="M425" i="1" s="1"/>
  <c r="M443" i="1" s="1"/>
  <c r="I23" i="1"/>
  <c r="I39" i="1" s="1"/>
  <c r="I425" i="1" s="1"/>
  <c r="I443" i="1" s="1"/>
  <c r="D73" i="1"/>
  <c r="D537" i="1" s="1"/>
  <c r="K23" i="1"/>
  <c r="K39" i="1" s="1"/>
  <c r="K425" i="1" s="1"/>
  <c r="K443" i="1" s="1"/>
  <c r="T23" i="1"/>
  <c r="T39" i="1" s="1"/>
  <c r="T425" i="1" s="1"/>
  <c r="T443" i="1" s="1"/>
  <c r="AJ22" i="1"/>
  <c r="AJ38" i="1" s="1"/>
  <c r="AJ424" i="1" s="1"/>
  <c r="AJ442" i="1" s="1"/>
  <c r="AF22" i="1"/>
  <c r="AF38" i="1" s="1"/>
  <c r="AF424" i="1" s="1"/>
  <c r="AF442" i="1" s="1"/>
  <c r="AB22" i="1"/>
  <c r="AB38" i="1" s="1"/>
  <c r="AB424" i="1" s="1"/>
  <c r="AB442" i="1" s="1"/>
  <c r="X22" i="1"/>
  <c r="X38" i="1" s="1"/>
  <c r="X424" i="1" s="1"/>
  <c r="X442" i="1" s="1"/>
  <c r="T22" i="1"/>
  <c r="T38" i="1" s="1"/>
  <c r="T424" i="1" s="1"/>
  <c r="T442" i="1" s="1"/>
  <c r="P22" i="1"/>
  <c r="P38" i="1" s="1"/>
  <c r="P424" i="1" s="1"/>
  <c r="P442" i="1" s="1"/>
  <c r="L22" i="1"/>
  <c r="L38" i="1" s="1"/>
  <c r="L424" i="1" s="1"/>
  <c r="L442" i="1" s="1"/>
  <c r="P25" i="1"/>
  <c r="P41" i="1" s="1"/>
  <c r="P427" i="1" s="1"/>
  <c r="P445" i="1" s="1"/>
  <c r="AJ26" i="1"/>
  <c r="AJ42" i="1" s="1"/>
  <c r="AJ428" i="1" s="1"/>
  <c r="AJ446" i="1" s="1"/>
  <c r="AB26" i="1"/>
  <c r="AB42" i="1" s="1"/>
  <c r="AB428" i="1" s="1"/>
  <c r="AB446" i="1" s="1"/>
  <c r="X26" i="1"/>
  <c r="X42" i="1" s="1"/>
  <c r="X428" i="1" s="1"/>
  <c r="X446" i="1" s="1"/>
  <c r="T26" i="1"/>
  <c r="T42" i="1" s="1"/>
  <c r="T428" i="1" s="1"/>
  <c r="T446" i="1" s="1"/>
  <c r="L26" i="1"/>
  <c r="L42" i="1" s="1"/>
  <c r="L428" i="1" s="1"/>
  <c r="L446" i="1" s="1"/>
  <c r="Q22" i="1"/>
  <c r="Q38" i="1" s="1"/>
  <c r="Q424" i="1" s="1"/>
  <c r="Q442" i="1" s="1"/>
  <c r="AI29" i="1"/>
  <c r="AI45" i="1" s="1"/>
  <c r="AI431" i="1" s="1"/>
  <c r="AI449" i="1" s="1"/>
  <c r="AA29" i="1"/>
  <c r="AA45" i="1" s="1"/>
  <c r="AA431" i="1" s="1"/>
  <c r="AA449" i="1" s="1"/>
  <c r="S29" i="1"/>
  <c r="S45" i="1" s="1"/>
  <c r="S431" i="1" s="1"/>
  <c r="S449" i="1" s="1"/>
  <c r="G29" i="1"/>
  <c r="G45" i="1" s="1"/>
  <c r="G431" i="1" s="1"/>
  <c r="G449" i="1" s="1"/>
  <c r="D79" i="1"/>
  <c r="D549" i="1" s="1"/>
  <c r="AE29" i="1"/>
  <c r="AE45" i="1" s="1"/>
  <c r="AE431" i="1" s="1"/>
  <c r="AE449" i="1" s="1"/>
  <c r="W29" i="1"/>
  <c r="W45" i="1" s="1"/>
  <c r="W431" i="1" s="1"/>
  <c r="W449" i="1" s="1"/>
  <c r="O29" i="1"/>
  <c r="O45" i="1" s="1"/>
  <c r="O431" i="1" s="1"/>
  <c r="O449" i="1" s="1"/>
  <c r="K29" i="1"/>
  <c r="K45" i="1" s="1"/>
  <c r="K431" i="1" s="1"/>
  <c r="K449" i="1" s="1"/>
  <c r="AB29" i="1"/>
  <c r="AB45" i="1" s="1"/>
  <c r="AB431" i="1" s="1"/>
  <c r="AB449" i="1" s="1"/>
  <c r="AF29" i="1"/>
  <c r="AF45" i="1" s="1"/>
  <c r="AF431" i="1" s="1"/>
  <c r="AF449" i="1" s="1"/>
  <c r="T29" i="1"/>
  <c r="T45" i="1" s="1"/>
  <c r="T431" i="1" s="1"/>
  <c r="T449" i="1" s="1"/>
  <c r="H29" i="1"/>
  <c r="H45" i="1" s="1"/>
  <c r="H431" i="1" s="1"/>
  <c r="H449" i="1" s="1"/>
  <c r="AG29" i="1"/>
  <c r="AG45" i="1" s="1"/>
  <c r="AG431" i="1" s="1"/>
  <c r="AG449" i="1" s="1"/>
  <c r="AC29" i="1"/>
  <c r="AC45" i="1" s="1"/>
  <c r="AC431" i="1" s="1"/>
  <c r="AC449" i="1" s="1"/>
  <c r="U29" i="1"/>
  <c r="U45" i="1" s="1"/>
  <c r="U431" i="1" s="1"/>
  <c r="U449" i="1" s="1"/>
  <c r="Q29" i="1"/>
  <c r="Q45" i="1" s="1"/>
  <c r="Q431" i="1" s="1"/>
  <c r="Q449" i="1" s="1"/>
  <c r="M29" i="1"/>
  <c r="M45" i="1" s="1"/>
  <c r="M431" i="1" s="1"/>
  <c r="M449" i="1" s="1"/>
  <c r="I29" i="1"/>
  <c r="I45" i="1" s="1"/>
  <c r="I431" i="1" s="1"/>
  <c r="I449" i="1" s="1"/>
  <c r="AJ29" i="1"/>
  <c r="AJ45" i="1" s="1"/>
  <c r="AJ431" i="1" s="1"/>
  <c r="AJ449" i="1" s="1"/>
  <c r="P29" i="1"/>
  <c r="P45" i="1" s="1"/>
  <c r="P431" i="1" s="1"/>
  <c r="P449" i="1" s="1"/>
  <c r="L29" i="1"/>
  <c r="L45" i="1" s="1"/>
  <c r="L431" i="1" s="1"/>
  <c r="L449" i="1" s="1"/>
  <c r="U28" i="1"/>
  <c r="U44" i="1" s="1"/>
  <c r="U430" i="1" s="1"/>
  <c r="U448" i="1" s="1"/>
  <c r="Q28" i="1"/>
  <c r="Q44" i="1" s="1"/>
  <c r="Q430" i="1" s="1"/>
  <c r="Q448" i="1" s="1"/>
  <c r="M28" i="1"/>
  <c r="M44" i="1" s="1"/>
  <c r="M430" i="1" s="1"/>
  <c r="M448" i="1" s="1"/>
  <c r="X29" i="1"/>
  <c r="X45" i="1" s="1"/>
  <c r="X431" i="1" s="1"/>
  <c r="X449" i="1" s="1"/>
  <c r="AB28" i="1"/>
  <c r="AB44" i="1" s="1"/>
  <c r="AB430" i="1" s="1"/>
  <c r="AB448" i="1" s="1"/>
  <c r="D78" i="1"/>
  <c r="D547" i="1" s="1"/>
  <c r="AK28" i="1"/>
  <c r="AK44" i="1" s="1"/>
  <c r="AK430" i="1" s="1"/>
  <c r="AK448" i="1" s="1"/>
  <c r="AG28" i="1"/>
  <c r="AG44" i="1" s="1"/>
  <c r="AG430" i="1" s="1"/>
  <c r="AG448" i="1" s="1"/>
  <c r="AC28" i="1"/>
  <c r="AC44" i="1" s="1"/>
  <c r="AC430" i="1" s="1"/>
  <c r="AC448" i="1" s="1"/>
  <c r="Y28" i="1"/>
  <c r="Y44" i="1" s="1"/>
  <c r="Y430" i="1" s="1"/>
  <c r="Y448" i="1" s="1"/>
  <c r="AI28" i="1"/>
  <c r="AI44" i="1" s="1"/>
  <c r="AI430" i="1" s="1"/>
  <c r="AI448" i="1" s="1"/>
  <c r="AA28" i="1"/>
  <c r="AA44" i="1" s="1"/>
  <c r="AA430" i="1" s="1"/>
  <c r="AA448" i="1" s="1"/>
  <c r="W28" i="1"/>
  <c r="W44" i="1" s="1"/>
  <c r="W430" i="1" s="1"/>
  <c r="W448" i="1" s="1"/>
  <c r="S28" i="1"/>
  <c r="S44" i="1" s="1"/>
  <c r="S430" i="1" s="1"/>
  <c r="S448" i="1" s="1"/>
  <c r="O28" i="1"/>
  <c r="O44" i="1" s="1"/>
  <c r="O430" i="1" s="1"/>
  <c r="O448" i="1" s="1"/>
  <c r="K28" i="1"/>
  <c r="K44" i="1" s="1"/>
  <c r="K430" i="1" s="1"/>
  <c r="K448" i="1" s="1"/>
  <c r="G28" i="1"/>
  <c r="G44" i="1" s="1"/>
  <c r="G430" i="1" s="1"/>
  <c r="T28" i="1"/>
  <c r="T44" i="1" s="1"/>
  <c r="T430" i="1" s="1"/>
  <c r="T448" i="1" s="1"/>
  <c r="H28" i="1"/>
  <c r="H44" i="1" s="1"/>
  <c r="H430" i="1" s="1"/>
  <c r="H448" i="1" s="1"/>
  <c r="AE28" i="1"/>
  <c r="AE44" i="1" s="1"/>
  <c r="AE430" i="1" s="1"/>
  <c r="AE448" i="1" s="1"/>
  <c r="AF27" i="1"/>
  <c r="AF43" i="1" s="1"/>
  <c r="AF429" i="1" s="1"/>
  <c r="AF447" i="1" s="1"/>
  <c r="P27" i="1"/>
  <c r="P43" i="1" s="1"/>
  <c r="P429" i="1" s="1"/>
  <c r="P447" i="1" s="1"/>
  <c r="D77" i="1"/>
  <c r="C380" i="1" s="1"/>
  <c r="AK27" i="1"/>
  <c r="AK43" i="1" s="1"/>
  <c r="AK429" i="1" s="1"/>
  <c r="AK447" i="1" s="1"/>
  <c r="AG27" i="1"/>
  <c r="AG43" i="1" s="1"/>
  <c r="AG429" i="1" s="1"/>
  <c r="AG447" i="1" s="1"/>
  <c r="AC27" i="1"/>
  <c r="AC43" i="1" s="1"/>
  <c r="AC429" i="1" s="1"/>
  <c r="AC447" i="1" s="1"/>
  <c r="Y27" i="1"/>
  <c r="Y43" i="1" s="1"/>
  <c r="Y429" i="1" s="1"/>
  <c r="Y447" i="1" s="1"/>
  <c r="U27" i="1"/>
  <c r="U43" i="1" s="1"/>
  <c r="U429" i="1" s="1"/>
  <c r="U447" i="1" s="1"/>
  <c r="Q27" i="1"/>
  <c r="Q43" i="1" s="1"/>
  <c r="Q429" i="1" s="1"/>
  <c r="Q447" i="1" s="1"/>
  <c r="M27" i="1"/>
  <c r="M43" i="1" s="1"/>
  <c r="M429" i="1" s="1"/>
  <c r="M447" i="1" s="1"/>
  <c r="I27" i="1"/>
  <c r="I43" i="1" s="1"/>
  <c r="I429" i="1" s="1"/>
  <c r="I447" i="1" s="1"/>
  <c r="AI27" i="1"/>
  <c r="AI43" i="1" s="1"/>
  <c r="AI429" i="1" s="1"/>
  <c r="AI447" i="1" s="1"/>
  <c r="AA27" i="1"/>
  <c r="AA43" i="1" s="1"/>
  <c r="AA429" i="1" s="1"/>
  <c r="AA447" i="1" s="1"/>
  <c r="W27" i="1"/>
  <c r="W43" i="1" s="1"/>
  <c r="W429" i="1" s="1"/>
  <c r="W447" i="1" s="1"/>
  <c r="S27" i="1"/>
  <c r="S43" i="1" s="1"/>
  <c r="S429" i="1" s="1"/>
  <c r="S447" i="1" s="1"/>
  <c r="O27" i="1"/>
  <c r="O43" i="1" s="1"/>
  <c r="O429" i="1" s="1"/>
  <c r="O447" i="1" s="1"/>
  <c r="K27" i="1"/>
  <c r="K43" i="1" s="1"/>
  <c r="K429" i="1" s="1"/>
  <c r="K447" i="1" s="1"/>
  <c r="G27" i="1"/>
  <c r="G43" i="1" s="1"/>
  <c r="G429" i="1" s="1"/>
  <c r="G447" i="1" s="1"/>
  <c r="U26" i="1"/>
  <c r="U42" i="1" s="1"/>
  <c r="U428" i="1" s="1"/>
  <c r="U446" i="1" s="1"/>
  <c r="M26" i="1"/>
  <c r="M42" i="1" s="1"/>
  <c r="M428" i="1" s="1"/>
  <c r="M446" i="1" s="1"/>
  <c r="AI26" i="1"/>
  <c r="AI42" i="1" s="1"/>
  <c r="AI428" i="1" s="1"/>
  <c r="AI446" i="1" s="1"/>
  <c r="AE26" i="1"/>
  <c r="AE42" i="1" s="1"/>
  <c r="AE428" i="1" s="1"/>
  <c r="AE446" i="1" s="1"/>
  <c r="AA26" i="1"/>
  <c r="AA42" i="1" s="1"/>
  <c r="AA428" i="1" s="1"/>
  <c r="AA446" i="1" s="1"/>
  <c r="W26" i="1"/>
  <c r="W42" i="1" s="1"/>
  <c r="W428" i="1" s="1"/>
  <c r="W446" i="1" s="1"/>
  <c r="S26" i="1"/>
  <c r="S42" i="1" s="1"/>
  <c r="S428" i="1" s="1"/>
  <c r="S446" i="1" s="1"/>
  <c r="O26" i="1"/>
  <c r="O42" i="1" s="1"/>
  <c r="O428" i="1" s="1"/>
  <c r="O446" i="1" s="1"/>
  <c r="K26" i="1"/>
  <c r="K42" i="1" s="1"/>
  <c r="K428" i="1" s="1"/>
  <c r="K446" i="1" s="1"/>
  <c r="AG26" i="1"/>
  <c r="AG42" i="1" s="1"/>
  <c r="AG428" i="1" s="1"/>
  <c r="AG446" i="1" s="1"/>
  <c r="D76" i="1"/>
  <c r="D543" i="1" s="1"/>
  <c r="AB27" i="1"/>
  <c r="AB43" i="1" s="1"/>
  <c r="AB429" i="1" s="1"/>
  <c r="AB447" i="1" s="1"/>
  <c r="P26" i="1"/>
  <c r="P42" i="1" s="1"/>
  <c r="P428" i="1" s="1"/>
  <c r="P446" i="1" s="1"/>
  <c r="AJ27" i="1"/>
  <c r="AJ43" i="1" s="1"/>
  <c r="AJ429" i="1" s="1"/>
  <c r="AJ447" i="1" s="1"/>
  <c r="T27" i="1"/>
  <c r="T43" i="1" s="1"/>
  <c r="T429" i="1" s="1"/>
  <c r="T447" i="1" s="1"/>
  <c r="H27" i="1"/>
  <c r="H43" i="1" s="1"/>
  <c r="H429" i="1" s="1"/>
  <c r="H447" i="1" s="1"/>
  <c r="AF26" i="1"/>
  <c r="AF42" i="1" s="1"/>
  <c r="AF428" i="1" s="1"/>
  <c r="AF446" i="1" s="1"/>
  <c r="H26" i="1"/>
  <c r="H42" i="1" s="1"/>
  <c r="H428" i="1" s="1"/>
  <c r="H446" i="1" s="1"/>
  <c r="L27" i="1"/>
  <c r="L43" i="1" s="1"/>
  <c r="L429" i="1" s="1"/>
  <c r="L447" i="1" s="1"/>
  <c r="AK26" i="1"/>
  <c r="AK42" i="1" s="1"/>
  <c r="AK428" i="1" s="1"/>
  <c r="AK446" i="1" s="1"/>
  <c r="AC26" i="1"/>
  <c r="AC42" i="1" s="1"/>
  <c r="AC428" i="1" s="1"/>
  <c r="AC446" i="1" s="1"/>
  <c r="Y26" i="1"/>
  <c r="Y42" i="1" s="1"/>
  <c r="Y428" i="1" s="1"/>
  <c r="Y446" i="1" s="1"/>
  <c r="Q26" i="1"/>
  <c r="Q42" i="1" s="1"/>
  <c r="Q428" i="1" s="1"/>
  <c r="Q446" i="1" s="1"/>
  <c r="I26" i="1"/>
  <c r="I42" i="1" s="1"/>
  <c r="I428" i="1" s="1"/>
  <c r="I446" i="1" s="1"/>
  <c r="X27" i="1"/>
  <c r="X43" i="1" s="1"/>
  <c r="X429" i="1" s="1"/>
  <c r="X447" i="1" s="1"/>
  <c r="D75" i="1"/>
  <c r="D541" i="1" s="1"/>
  <c r="G26" i="1"/>
  <c r="G42" i="1" s="1"/>
  <c r="G428" i="1" s="1"/>
  <c r="G25" i="1"/>
  <c r="G41" i="1" s="1"/>
  <c r="AI25" i="1"/>
  <c r="AI41" i="1" s="1"/>
  <c r="AI427" i="1" s="1"/>
  <c r="AI445" i="1" s="1"/>
  <c r="AE25" i="1"/>
  <c r="AE41" i="1" s="1"/>
  <c r="AE427" i="1" s="1"/>
  <c r="AE445" i="1" s="1"/>
  <c r="AA25" i="1"/>
  <c r="AA41" i="1" s="1"/>
  <c r="AA427" i="1" s="1"/>
  <c r="AA445" i="1" s="1"/>
  <c r="W25" i="1"/>
  <c r="W41" i="1" s="1"/>
  <c r="W427" i="1" s="1"/>
  <c r="W445" i="1" s="1"/>
  <c r="S25" i="1"/>
  <c r="S41" i="1" s="1"/>
  <c r="S427" i="1" s="1"/>
  <c r="S445" i="1" s="1"/>
  <c r="K25" i="1"/>
  <c r="K41" i="1" s="1"/>
  <c r="K427" i="1" s="1"/>
  <c r="K445" i="1" s="1"/>
  <c r="O25" i="1"/>
  <c r="O41" i="1" s="1"/>
  <c r="O427" i="1" s="1"/>
  <c r="O445" i="1" s="1"/>
  <c r="T25" i="1"/>
  <c r="T41" i="1" s="1"/>
  <c r="T427" i="1" s="1"/>
  <c r="T445" i="1" s="1"/>
  <c r="AK25" i="1"/>
  <c r="AK41" i="1" s="1"/>
  <c r="AK427" i="1" s="1"/>
  <c r="AK445" i="1" s="1"/>
  <c r="AG25" i="1"/>
  <c r="AG41" i="1" s="1"/>
  <c r="AG427" i="1" s="1"/>
  <c r="AG445" i="1" s="1"/>
  <c r="AC25" i="1"/>
  <c r="AC41" i="1" s="1"/>
  <c r="AC427" i="1" s="1"/>
  <c r="AC445" i="1" s="1"/>
  <c r="Y25" i="1"/>
  <c r="Y41" i="1" s="1"/>
  <c r="Y427" i="1" s="1"/>
  <c r="Y445" i="1" s="1"/>
  <c r="Q25" i="1"/>
  <c r="Q41" i="1" s="1"/>
  <c r="Q427" i="1" s="1"/>
  <c r="Q445" i="1" s="1"/>
  <c r="M25" i="1"/>
  <c r="M41" i="1" s="1"/>
  <c r="M427" i="1" s="1"/>
  <c r="M445" i="1" s="1"/>
  <c r="I25" i="1"/>
  <c r="I41" i="1" s="1"/>
  <c r="I427" i="1" s="1"/>
  <c r="I445" i="1" s="1"/>
  <c r="AF25" i="1"/>
  <c r="AF41" i="1" s="1"/>
  <c r="AF427" i="1" s="1"/>
  <c r="AF445" i="1" s="1"/>
  <c r="H25" i="1"/>
  <c r="H41" i="1" s="1"/>
  <c r="H427" i="1" s="1"/>
  <c r="H445" i="1" s="1"/>
  <c r="D74" i="1"/>
  <c r="D539" i="1" s="1"/>
  <c r="X25" i="1"/>
  <c r="X41" i="1" s="1"/>
  <c r="X427" i="1" s="1"/>
  <c r="X445" i="1" s="1"/>
  <c r="AK24" i="1"/>
  <c r="AK40" i="1" s="1"/>
  <c r="AK426" i="1" s="1"/>
  <c r="AK444" i="1" s="1"/>
  <c r="AG24" i="1"/>
  <c r="AG40" i="1" s="1"/>
  <c r="AG426" i="1" s="1"/>
  <c r="AG444" i="1" s="1"/>
  <c r="AC24" i="1"/>
  <c r="AC40" i="1" s="1"/>
  <c r="AC426" i="1" s="1"/>
  <c r="AC444" i="1" s="1"/>
  <c r="Y24" i="1"/>
  <c r="Y40" i="1" s="1"/>
  <c r="Y426" i="1" s="1"/>
  <c r="Y444" i="1" s="1"/>
  <c r="U24" i="1"/>
  <c r="U40" i="1" s="1"/>
  <c r="U426" i="1" s="1"/>
  <c r="U444" i="1" s="1"/>
  <c r="Q24" i="1"/>
  <c r="Q40" i="1" s="1"/>
  <c r="Q426" i="1" s="1"/>
  <c r="Q444" i="1" s="1"/>
  <c r="M24" i="1"/>
  <c r="M40" i="1" s="1"/>
  <c r="M426" i="1" s="1"/>
  <c r="M444" i="1" s="1"/>
  <c r="I24" i="1"/>
  <c r="I40" i="1" s="1"/>
  <c r="I426" i="1" s="1"/>
  <c r="I444" i="1" s="1"/>
  <c r="AI23" i="1"/>
  <c r="AI39" i="1" s="1"/>
  <c r="AI425" i="1" s="1"/>
  <c r="AI443" i="1" s="1"/>
  <c r="AE23" i="1"/>
  <c r="AE39" i="1" s="1"/>
  <c r="AE425" i="1" s="1"/>
  <c r="AE443" i="1" s="1"/>
  <c r="AA23" i="1"/>
  <c r="AA39" i="1" s="1"/>
  <c r="AA425" i="1" s="1"/>
  <c r="AA443" i="1" s="1"/>
  <c r="S23" i="1"/>
  <c r="S39" i="1" s="1"/>
  <c r="S425" i="1" s="1"/>
  <c r="S443" i="1" s="1"/>
  <c r="G23" i="1"/>
  <c r="G39" i="1" s="1"/>
  <c r="G425" i="1" s="1"/>
  <c r="G443" i="1" s="1"/>
  <c r="AB23" i="1"/>
  <c r="AB39" i="1" s="1"/>
  <c r="AB425" i="1" s="1"/>
  <c r="AB443" i="1" s="1"/>
  <c r="P23" i="1"/>
  <c r="P39" i="1" s="1"/>
  <c r="P425" i="1" s="1"/>
  <c r="P443" i="1" s="1"/>
  <c r="H23" i="1"/>
  <c r="H39" i="1" s="1"/>
  <c r="H425" i="1" s="1"/>
  <c r="H443" i="1" s="1"/>
  <c r="AG22" i="1"/>
  <c r="AG38" i="1" s="1"/>
  <c r="AG424" i="1" s="1"/>
  <c r="AG442" i="1" s="1"/>
  <c r="AC22" i="1"/>
  <c r="AC38" i="1" s="1"/>
  <c r="AC424" i="1" s="1"/>
  <c r="AC442" i="1" s="1"/>
  <c r="U30" i="1"/>
  <c r="U46" i="1" s="1"/>
  <c r="U61" i="1" s="1"/>
  <c r="M22" i="1"/>
  <c r="M38" i="1" s="1"/>
  <c r="M424" i="1" s="1"/>
  <c r="M442" i="1" s="1"/>
  <c r="I22" i="1"/>
  <c r="I38" i="1" s="1"/>
  <c r="I424" i="1" s="1"/>
  <c r="I442" i="1" s="1"/>
  <c r="Q23" i="1"/>
  <c r="Q39" i="1" s="1"/>
  <c r="Q425" i="1" s="1"/>
  <c r="Q443" i="1" s="1"/>
  <c r="D72" i="1"/>
  <c r="D535" i="1" s="1"/>
  <c r="Y22" i="1"/>
  <c r="Y38" i="1" s="1"/>
  <c r="Y424" i="1" s="1"/>
  <c r="Y442" i="1" s="1"/>
  <c r="AI30" i="1"/>
  <c r="AI46" i="1" s="1"/>
  <c r="AI61" i="1" s="1"/>
  <c r="AA30" i="1"/>
  <c r="AA46" i="1" s="1"/>
  <c r="AA432" i="1" s="1"/>
  <c r="AA450" i="1" s="1"/>
  <c r="O30" i="1"/>
  <c r="O46" i="1" s="1"/>
  <c r="O432" i="1" s="1"/>
  <c r="O450" i="1" s="1"/>
  <c r="G21" i="1"/>
  <c r="G37" i="1" s="1"/>
  <c r="G423" i="1" s="1"/>
  <c r="X30" i="1"/>
  <c r="X46" i="1" s="1"/>
  <c r="X432" i="1" s="1"/>
  <c r="X450" i="1" s="1"/>
  <c r="T30" i="1"/>
  <c r="T46" i="1" s="1"/>
  <c r="T432" i="1" s="1"/>
  <c r="T450" i="1" s="1"/>
  <c r="H30" i="1"/>
  <c r="H46" i="1" s="1"/>
  <c r="H432" i="1" s="1"/>
  <c r="H450" i="1" s="1"/>
  <c r="AK30" i="1"/>
  <c r="AK46" i="1" s="1"/>
  <c r="AK61" i="1" s="1"/>
  <c r="AG21" i="1"/>
  <c r="AG37" i="1" s="1"/>
  <c r="AG423" i="1" s="1"/>
  <c r="AG441" i="1" s="1"/>
  <c r="AC30" i="1"/>
  <c r="AC46" i="1" s="1"/>
  <c r="AC432" i="1" s="1"/>
  <c r="AC450" i="1" s="1"/>
  <c r="Y30" i="1"/>
  <c r="Y46" i="1" s="1"/>
  <c r="Y432" i="1" s="1"/>
  <c r="Y450" i="1" s="1"/>
  <c r="U21" i="1"/>
  <c r="U37" i="1" s="1"/>
  <c r="U423" i="1" s="1"/>
  <c r="U441" i="1" s="1"/>
  <c r="Q30" i="1"/>
  <c r="Q46" i="1" s="1"/>
  <c r="Q432" i="1" s="1"/>
  <c r="Q450" i="1" s="1"/>
  <c r="M21" i="1"/>
  <c r="M37" i="1" s="1"/>
  <c r="M423" i="1" s="1"/>
  <c r="M441" i="1" s="1"/>
  <c r="I21" i="1"/>
  <c r="I37" i="1" s="1"/>
  <c r="I423" i="1" s="1"/>
  <c r="I441" i="1" s="1"/>
  <c r="L30" i="1"/>
  <c r="L46" i="1" s="1"/>
  <c r="L432" i="1" s="1"/>
  <c r="L450" i="1" s="1"/>
  <c r="J21" i="1"/>
  <c r="J37" i="1" s="1"/>
  <c r="J423" i="1" s="1"/>
  <c r="J441" i="1" s="1"/>
  <c r="AD21" i="1"/>
  <c r="AD37" i="1" s="1"/>
  <c r="AD423" i="1" s="1"/>
  <c r="AD441" i="1" s="1"/>
  <c r="Z21" i="1"/>
  <c r="Z37" i="1" s="1"/>
  <c r="Z423" i="1" s="1"/>
  <c r="Z441" i="1" s="1"/>
  <c r="V21" i="1"/>
  <c r="V37" i="1" s="1"/>
  <c r="V423" i="1" s="1"/>
  <c r="V441" i="1" s="1"/>
  <c r="R21" i="1"/>
  <c r="R37" i="1" s="1"/>
  <c r="R423" i="1" s="1"/>
  <c r="R441" i="1" s="1"/>
  <c r="N21" i="1"/>
  <c r="N37" i="1" s="1"/>
  <c r="N423" i="1" s="1"/>
  <c r="N441" i="1" s="1"/>
  <c r="AG30" i="1"/>
  <c r="AG46" i="1" s="1"/>
  <c r="AG432" i="1" s="1"/>
  <c r="AG450" i="1" s="1"/>
  <c r="X21" i="1"/>
  <c r="X37" i="1" s="1"/>
  <c r="X423" i="1" s="1"/>
  <c r="X441" i="1" s="1"/>
  <c r="W30" i="1"/>
  <c r="W46" i="1" s="1"/>
  <c r="W61" i="1" s="1"/>
  <c r="S30" i="1"/>
  <c r="S46" i="1" s="1"/>
  <c r="S61" i="1" s="1"/>
  <c r="K30" i="1"/>
  <c r="K46" i="1" s="1"/>
  <c r="K432" i="1" s="1"/>
  <c r="K450" i="1" s="1"/>
  <c r="G30" i="1"/>
  <c r="G46" i="1" s="1"/>
  <c r="G432" i="1" s="1"/>
  <c r="G450" i="1" s="1"/>
  <c r="AD29" i="1"/>
  <c r="AD45" i="1" s="1"/>
  <c r="AD431" i="1" s="1"/>
  <c r="AD449" i="1" s="1"/>
  <c r="V29" i="1"/>
  <c r="V45" i="1" s="1"/>
  <c r="V431" i="1" s="1"/>
  <c r="V449" i="1" s="1"/>
  <c r="N29" i="1"/>
  <c r="N45" i="1" s="1"/>
  <c r="N431" i="1" s="1"/>
  <c r="N449" i="1" s="1"/>
  <c r="AD27" i="1"/>
  <c r="AD43" i="1" s="1"/>
  <c r="AD429" i="1" s="1"/>
  <c r="AD447" i="1" s="1"/>
  <c r="V27" i="1"/>
  <c r="V43" i="1" s="1"/>
  <c r="V429" i="1" s="1"/>
  <c r="V447" i="1" s="1"/>
  <c r="N27" i="1"/>
  <c r="N43" i="1" s="1"/>
  <c r="N429" i="1" s="1"/>
  <c r="N447" i="1" s="1"/>
  <c r="AH25" i="1"/>
  <c r="AH41" i="1" s="1"/>
  <c r="AH427" i="1" s="1"/>
  <c r="AH445" i="1" s="1"/>
  <c r="Z25" i="1"/>
  <c r="Z41" i="1" s="1"/>
  <c r="Z427" i="1" s="1"/>
  <c r="Z445" i="1" s="1"/>
  <c r="R25" i="1"/>
  <c r="R41" i="1" s="1"/>
  <c r="R427" i="1" s="1"/>
  <c r="R445" i="1" s="1"/>
  <c r="J25" i="1"/>
  <c r="J41" i="1" s="1"/>
  <c r="J427" i="1" s="1"/>
  <c r="J445" i="1" s="1"/>
  <c r="AK22" i="1"/>
  <c r="AK38" i="1" s="1"/>
  <c r="AK424" i="1" s="1"/>
  <c r="AK442" i="1" s="1"/>
  <c r="Y21" i="1"/>
  <c r="Y37" i="1" s="1"/>
  <c r="Y423" i="1" s="1"/>
  <c r="Y441" i="1" s="1"/>
  <c r="L21" i="1"/>
  <c r="L37" i="1" s="1"/>
  <c r="L423" i="1" s="1"/>
  <c r="L441" i="1" s="1"/>
  <c r="AE30" i="1"/>
  <c r="AE46" i="1" s="1"/>
  <c r="M30" i="1"/>
  <c r="M46" i="1" s="1"/>
  <c r="M61" i="1" s="1"/>
  <c r="W23" i="1"/>
  <c r="W39" i="1" s="1"/>
  <c r="W425" i="1" s="1"/>
  <c r="W443" i="1" s="1"/>
  <c r="U22" i="1"/>
  <c r="U38" i="1" s="1"/>
  <c r="U424" i="1" s="1"/>
  <c r="U442" i="1" s="1"/>
  <c r="T21" i="1"/>
  <c r="T37" i="1" s="1"/>
  <c r="T423" i="1" s="1"/>
  <c r="T441" i="1" s="1"/>
  <c r="AI21" i="1"/>
  <c r="AI37" i="1" s="1"/>
  <c r="AI423" i="1" s="1"/>
  <c r="AI441" i="1" s="1"/>
  <c r="AE21" i="1"/>
  <c r="AE37" i="1" s="1"/>
  <c r="AE423" i="1" s="1"/>
  <c r="AE441" i="1" s="1"/>
  <c r="AA21" i="1"/>
  <c r="AA37" i="1" s="1"/>
  <c r="AA423" i="1" s="1"/>
  <c r="AA441" i="1" s="1"/>
  <c r="W21" i="1"/>
  <c r="W37" i="1" s="1"/>
  <c r="W423" i="1" s="1"/>
  <c r="W441" i="1" s="1"/>
  <c r="S21" i="1"/>
  <c r="S37" i="1" s="1"/>
  <c r="S423" i="1" s="1"/>
  <c r="S441" i="1" s="1"/>
  <c r="O21" i="1"/>
  <c r="O37" i="1" s="1"/>
  <c r="O423" i="1" s="1"/>
  <c r="O441" i="1" s="1"/>
  <c r="K21" i="1"/>
  <c r="K37" i="1" s="1"/>
  <c r="K423" i="1" s="1"/>
  <c r="K441" i="1" s="1"/>
  <c r="AH29" i="1"/>
  <c r="AH45" i="1" s="1"/>
  <c r="AH431" i="1" s="1"/>
  <c r="AH449" i="1" s="1"/>
  <c r="Z29" i="1"/>
  <c r="Z45" i="1" s="1"/>
  <c r="Z431" i="1" s="1"/>
  <c r="Z449" i="1" s="1"/>
  <c r="R29" i="1"/>
  <c r="R45" i="1" s="1"/>
  <c r="R431" i="1" s="1"/>
  <c r="R449" i="1" s="1"/>
  <c r="J29" i="1"/>
  <c r="AH27" i="1"/>
  <c r="AH43" i="1" s="1"/>
  <c r="AH429" i="1" s="1"/>
  <c r="AH447" i="1" s="1"/>
  <c r="Z27" i="1"/>
  <c r="Z43" i="1" s="1"/>
  <c r="Z429" i="1" s="1"/>
  <c r="Z447" i="1" s="1"/>
  <c r="R27" i="1"/>
  <c r="R43" i="1" s="1"/>
  <c r="R429" i="1" s="1"/>
  <c r="R447" i="1" s="1"/>
  <c r="J27" i="1"/>
  <c r="V25" i="1"/>
  <c r="V41" i="1" s="1"/>
  <c r="V427" i="1" s="1"/>
  <c r="V445" i="1" s="1"/>
  <c r="N25" i="1"/>
  <c r="N41" i="1" s="1"/>
  <c r="N427" i="1" s="1"/>
  <c r="N445" i="1" s="1"/>
  <c r="I30" i="1"/>
  <c r="I46" i="1" s="1"/>
  <c r="I61" i="1" s="1"/>
  <c r="AC21" i="1"/>
  <c r="AC37" i="1" s="1"/>
  <c r="AC423" i="1" s="1"/>
  <c r="AC441" i="1" s="1"/>
  <c r="H21" i="1"/>
  <c r="H37" i="1" s="1"/>
  <c r="H423" i="1" s="1"/>
  <c r="H441" i="1" s="1"/>
  <c r="AI22" i="1"/>
  <c r="AI38" i="1" s="1"/>
  <c r="AI424" i="1" s="1"/>
  <c r="AI442" i="1" s="1"/>
  <c r="AE22" i="1"/>
  <c r="AE38" i="1" s="1"/>
  <c r="AE424" i="1" s="1"/>
  <c r="AE442" i="1" s="1"/>
  <c r="AA22" i="1"/>
  <c r="AA38" i="1" s="1"/>
  <c r="AA424" i="1" s="1"/>
  <c r="AA442" i="1" s="1"/>
  <c r="W22" i="1"/>
  <c r="W38" i="1" s="1"/>
  <c r="W424" i="1" s="1"/>
  <c r="W442" i="1" s="1"/>
  <c r="S22" i="1"/>
  <c r="S38" i="1" s="1"/>
  <c r="S424" i="1" s="1"/>
  <c r="S442" i="1" s="1"/>
  <c r="O22" i="1"/>
  <c r="O38" i="1" s="1"/>
  <c r="O424" i="1" s="1"/>
  <c r="O442" i="1" s="1"/>
  <c r="K22" i="1"/>
  <c r="K38" i="1" s="1"/>
  <c r="K424" i="1" s="1"/>
  <c r="K442" i="1" s="1"/>
  <c r="EW163" i="1"/>
  <c r="S379" i="1"/>
  <c r="S377" i="1"/>
  <c r="FQ181" i="1"/>
  <c r="FQ156" i="1"/>
  <c r="FN150" i="1"/>
  <c r="FN143" i="1"/>
  <c r="FN120" i="1"/>
  <c r="E505" i="1"/>
  <c r="H506" i="1" s="1"/>
  <c r="FN178" i="1"/>
  <c r="FN173" i="1"/>
  <c r="FN165" i="1"/>
  <c r="FN137" i="1"/>
  <c r="FN124" i="1"/>
  <c r="FN114" i="1"/>
  <c r="FL186" i="1"/>
  <c r="FL173" i="1"/>
  <c r="FL165" i="1"/>
  <c r="FL163" i="1"/>
  <c r="FL152" i="1"/>
  <c r="FL143" i="1"/>
  <c r="FL138" i="1"/>
  <c r="FL124" i="1"/>
  <c r="FL175" i="1"/>
  <c r="FL158" i="1"/>
  <c r="FL157" i="1"/>
  <c r="FL154" i="1"/>
  <c r="FL149" i="1"/>
  <c r="FL146" i="1"/>
  <c r="FL142" i="1"/>
  <c r="FL137" i="1"/>
  <c r="FL112" i="1"/>
  <c r="FG181" i="1"/>
  <c r="FG174" i="1"/>
  <c r="E491" i="1"/>
  <c r="H492" i="1" s="1"/>
  <c r="X372" i="1"/>
  <c r="X373" i="1" s="1"/>
  <c r="FG162" i="1"/>
  <c r="FG156" i="1"/>
  <c r="ER152" i="1"/>
  <c r="ER149" i="1"/>
  <c r="ER131" i="1"/>
  <c r="ER112" i="1"/>
  <c r="ER157" i="1"/>
  <c r="ER156" i="1"/>
  <c r="ER154" i="1"/>
  <c r="ER146" i="1"/>
  <c r="ER135" i="1"/>
  <c r="ER125" i="1"/>
  <c r="ER120" i="1"/>
  <c r="EP165" i="1"/>
  <c r="EP150" i="1"/>
  <c r="EP143" i="1"/>
  <c r="EP120" i="1"/>
  <c r="EP178" i="1"/>
  <c r="EP173" i="1"/>
  <c r="EP158" i="1"/>
  <c r="EP136" i="1"/>
  <c r="EP110" i="1"/>
  <c r="Z381" i="1"/>
  <c r="Z380" i="1"/>
  <c r="Z382" i="1"/>
  <c r="Z378" i="1"/>
  <c r="Z374" i="1"/>
  <c r="O376" i="1"/>
  <c r="J380" i="1"/>
  <c r="J374" i="1"/>
  <c r="J382" i="1"/>
  <c r="J381" i="1"/>
  <c r="AA372" i="1"/>
  <c r="AA374" i="1" s="1"/>
  <c r="FJ182" i="1"/>
  <c r="FJ158" i="1"/>
  <c r="FJ150" i="1"/>
  <c r="FJ143" i="1"/>
  <c r="FJ142" i="1"/>
  <c r="FJ114" i="1"/>
  <c r="FJ159" i="1"/>
  <c r="FJ145" i="1"/>
  <c r="FJ137" i="1"/>
  <c r="FJ131" i="1"/>
  <c r="E487" i="1"/>
  <c r="FE156" i="1"/>
  <c r="FC164" i="1"/>
  <c r="T372" i="1"/>
  <c r="T377" i="1" s="1"/>
  <c r="FC169" i="1"/>
  <c r="FC156" i="1"/>
  <c r="FC153" i="1"/>
  <c r="EZ186" i="1"/>
  <c r="EZ177" i="1"/>
  <c r="EZ170" i="1"/>
  <c r="EZ152" i="1"/>
  <c r="EZ145" i="1"/>
  <c r="EZ131" i="1"/>
  <c r="EZ116" i="1"/>
  <c r="E477" i="1"/>
  <c r="H478" i="1" s="1"/>
  <c r="Q372" i="1"/>
  <c r="Q382" i="1" s="1"/>
  <c r="EZ182" i="1"/>
  <c r="EZ154" i="1"/>
  <c r="EZ146" i="1"/>
  <c r="EZ137" i="1"/>
  <c r="EZ120" i="1"/>
  <c r="AK378" i="1"/>
  <c r="AK379" i="1"/>
  <c r="AK377" i="1"/>
  <c r="AK374" i="1"/>
  <c r="AB378" i="1"/>
  <c r="AB374" i="1"/>
  <c r="AB375" i="1"/>
  <c r="R372" i="1"/>
  <c r="R379" i="1" s="1"/>
  <c r="FA174" i="1"/>
  <c r="FA181" i="1"/>
  <c r="FA162" i="1"/>
  <c r="FA156" i="1"/>
  <c r="EX157" i="1"/>
  <c r="EX150" i="1"/>
  <c r="EX143" i="1"/>
  <c r="EX120" i="1"/>
  <c r="E473" i="1"/>
  <c r="H474" i="1" s="1"/>
  <c r="EX178" i="1"/>
  <c r="EX165" i="1"/>
  <c r="EX159" i="1"/>
  <c r="EX137" i="1"/>
  <c r="EX124" i="1"/>
  <c r="EX114" i="1"/>
  <c r="EV165" i="1"/>
  <c r="EV163" i="1"/>
  <c r="EV152" i="1"/>
  <c r="EV156" i="1"/>
  <c r="EV154" i="1"/>
  <c r="EV149" i="1"/>
  <c r="EV146" i="1"/>
  <c r="EV138" i="1"/>
  <c r="EV137" i="1"/>
  <c r="EV112" i="1"/>
  <c r="FN90" i="1"/>
  <c r="ER90" i="1"/>
  <c r="FQ92" i="1"/>
  <c r="FN99" i="1"/>
  <c r="ER99" i="1"/>
  <c r="FQ101" i="1"/>
  <c r="FL102" i="1"/>
  <c r="FL104" i="1"/>
  <c r="FL131" i="1"/>
  <c r="FL135" i="1"/>
  <c r="FN136" i="1"/>
  <c r="FG143" i="1"/>
  <c r="FN152" i="1"/>
  <c r="FQ153" i="1"/>
  <c r="FN156" i="1"/>
  <c r="ER158" i="1"/>
  <c r="FG169" i="1"/>
  <c r="EP170" i="1"/>
  <c r="ER178" i="1"/>
  <c r="ER182" i="1"/>
  <c r="AE372" i="1"/>
  <c r="AE374" i="1" s="1"/>
  <c r="E511" i="1"/>
  <c r="H512" i="1" s="1"/>
  <c r="E501" i="1"/>
  <c r="H502" i="1" s="1"/>
  <c r="E461" i="1"/>
  <c r="H462" i="1" s="1"/>
  <c r="E457" i="1"/>
  <c r="FL88" i="1"/>
  <c r="FE89" i="1"/>
  <c r="FE90" i="1"/>
  <c r="FN92" i="1"/>
  <c r="ER92" i="1"/>
  <c r="FQ94" i="1"/>
  <c r="FJ94" i="1"/>
  <c r="FG94" i="1"/>
  <c r="FL96" i="1"/>
  <c r="FC96" i="1"/>
  <c r="EZ96" i="1"/>
  <c r="FQ98" i="1"/>
  <c r="FJ99" i="1"/>
  <c r="FG100" i="1"/>
  <c r="FL101" i="1"/>
  <c r="FG101" i="1"/>
  <c r="ER102" i="1"/>
  <c r="FQ103" i="1"/>
  <c r="FN104" i="1"/>
  <c r="ER104" i="1"/>
  <c r="FC105" i="1"/>
  <c r="FJ106" i="1"/>
  <c r="EZ106" i="1"/>
  <c r="EZ108" i="1"/>
  <c r="EZ112" i="1"/>
  <c r="ER116" i="1"/>
  <c r="FC117" i="1"/>
  <c r="FC118" i="1"/>
  <c r="FQ119" i="1"/>
  <c r="FC124" i="1"/>
  <c r="EZ124" i="1"/>
  <c r="EZ125" i="1"/>
  <c r="FG131" i="1"/>
  <c r="FJ136" i="1"/>
  <c r="EZ136" i="1"/>
  <c r="FQ137" i="1"/>
  <c r="FG137" i="1"/>
  <c r="FE137" i="1"/>
  <c r="FC137" i="1"/>
  <c r="ER137" i="1"/>
  <c r="FG139" i="1"/>
  <c r="FG140" i="1"/>
  <c r="FE141" i="1"/>
  <c r="FG145" i="1"/>
  <c r="FJ152" i="1"/>
  <c r="FG153" i="1"/>
  <c r="EZ157" i="1"/>
  <c r="FC158" i="1"/>
  <c r="FN159" i="1"/>
  <c r="FL162" i="1"/>
  <c r="ER163" i="1"/>
  <c r="FL164" i="1"/>
  <c r="FG165" i="1"/>
  <c r="FG170" i="1"/>
  <c r="FJ173" i="1"/>
  <c r="FG173" i="1"/>
  <c r="ER173" i="1"/>
  <c r="FJ175" i="1"/>
  <c r="ER175" i="1"/>
  <c r="EZ179" i="1"/>
  <c r="FE181" i="1"/>
  <c r="FC185" i="1"/>
  <c r="FQ186" i="1"/>
  <c r="FN186" i="1"/>
  <c r="FJ186" i="1"/>
  <c r="FG186" i="1"/>
  <c r="O377" i="1"/>
  <c r="S381" i="1"/>
  <c r="V372" i="1"/>
  <c r="V376" i="1" s="1"/>
  <c r="G372" i="1"/>
  <c r="H514" i="1"/>
  <c r="E497" i="1"/>
  <c r="H498" i="1" s="1"/>
  <c r="E483" i="1"/>
  <c r="H484" i="1" s="1"/>
  <c r="W377" i="1"/>
  <c r="W376" i="1"/>
  <c r="W373" i="1"/>
  <c r="M378" i="1"/>
  <c r="M377" i="1"/>
  <c r="AJ372" i="1"/>
  <c r="AJ382" i="1" s="1"/>
  <c r="FS164" i="1"/>
  <c r="FS162" i="1"/>
  <c r="FS139" i="1"/>
  <c r="FS180" i="1"/>
  <c r="FS169" i="1"/>
  <c r="FS156" i="1"/>
  <c r="FS153" i="1"/>
  <c r="AG372" i="1"/>
  <c r="AG378" i="1" s="1"/>
  <c r="FP152" i="1"/>
  <c r="FP145" i="1"/>
  <c r="FP143" i="1"/>
  <c r="FP131" i="1"/>
  <c r="FP116" i="1"/>
  <c r="E509" i="1"/>
  <c r="H508" i="1" s="1"/>
  <c r="FP157" i="1"/>
  <c r="FP154" i="1"/>
  <c r="FP146" i="1"/>
  <c r="FP137" i="1"/>
  <c r="FP120" i="1"/>
  <c r="K372" i="1"/>
  <c r="ET182" i="1"/>
  <c r="ET170" i="1"/>
  <c r="ET150" i="1"/>
  <c r="ET143" i="1"/>
  <c r="ET138" i="1"/>
  <c r="ET137" i="1"/>
  <c r="ET114" i="1"/>
  <c r="ET131" i="1"/>
  <c r="FL94" i="1"/>
  <c r="FQ99" i="1"/>
  <c r="FN101" i="1"/>
  <c r="EP102" i="1"/>
  <c r="FN106" i="1"/>
  <c r="FN116" i="1"/>
  <c r="FG119" i="1"/>
  <c r="ER132" i="1"/>
  <c r="ER138" i="1"/>
  <c r="FQ143" i="1"/>
  <c r="FL145" i="1"/>
  <c r="EP152" i="1"/>
  <c r="FL156" i="1"/>
  <c r="FQ162" i="1"/>
  <c r="FQ166" i="1"/>
  <c r="EP166" i="1"/>
  <c r="FQ173" i="1"/>
  <c r="FG178" i="1"/>
  <c r="FN88" i="1"/>
  <c r="EP88" i="1"/>
  <c r="FG89" i="1"/>
  <c r="FL90" i="1"/>
  <c r="FN94" i="1"/>
  <c r="ER94" i="1"/>
  <c r="FQ96" i="1"/>
  <c r="FG96" i="1"/>
  <c r="FN102" i="1"/>
  <c r="FG105" i="1"/>
  <c r="FL106" i="1"/>
  <c r="EP106" i="1"/>
  <c r="FL108" i="1"/>
  <c r="FN110" i="1"/>
  <c r="FG113" i="1"/>
  <c r="EP114" i="1"/>
  <c r="FL120" i="1"/>
  <c r="FG120" i="1"/>
  <c r="FL122" i="1"/>
  <c r="FL125" i="1"/>
  <c r="EP125" i="1"/>
  <c r="FN126" i="1"/>
  <c r="EP126" i="1"/>
  <c r="FL128" i="1"/>
  <c r="FN129" i="1"/>
  <c r="FE130" i="1"/>
  <c r="FQ131" i="1"/>
  <c r="EP137" i="1"/>
  <c r="FQ138" i="1"/>
  <c r="FN138" i="1"/>
  <c r="FJ138" i="1"/>
  <c r="FQ139" i="1"/>
  <c r="FL139" i="1"/>
  <c r="FC139" i="1"/>
  <c r="FQ140" i="1"/>
  <c r="FG141" i="1"/>
  <c r="FQ142" i="1"/>
  <c r="FN142" i="1"/>
  <c r="ER143" i="1"/>
  <c r="FC144" i="1"/>
  <c r="FQ145" i="1"/>
  <c r="FN146" i="1"/>
  <c r="EP146" i="1"/>
  <c r="FJ147" i="1"/>
  <c r="EP148" i="1"/>
  <c r="ER150" i="1"/>
  <c r="FN154" i="1"/>
  <c r="EP154" i="1"/>
  <c r="FG155" i="1"/>
  <c r="EP157" i="1"/>
  <c r="FQ158" i="1"/>
  <c r="FL159" i="1"/>
  <c r="FC159" i="1"/>
  <c r="EZ159" i="1"/>
  <c r="FC162" i="1"/>
  <c r="EZ162" i="1"/>
  <c r="FQ164" i="1"/>
  <c r="FN164" i="1"/>
  <c r="FQ170" i="1"/>
  <c r="FN170" i="1"/>
  <c r="FJ170" i="1"/>
  <c r="FE170" i="1"/>
  <c r="FE173" i="1"/>
  <c r="FN174" i="1"/>
  <c r="FC176" i="1"/>
  <c r="ER177" i="1"/>
  <c r="EZ180" i="1"/>
  <c r="ER180" i="1"/>
  <c r="FL182" i="1"/>
  <c r="FE182" i="1"/>
  <c r="FE186" i="1"/>
  <c r="ER187" i="1"/>
  <c r="Z373" i="1"/>
  <c r="O379" i="1"/>
  <c r="S380" i="1"/>
  <c r="AH372" i="1"/>
  <c r="AH379" i="1" s="1"/>
  <c r="AC372" i="1"/>
  <c r="AC378" i="1" s="1"/>
  <c r="FG109" i="1"/>
  <c r="FL110" i="1"/>
  <c r="EV110" i="1"/>
  <c r="FE115" i="1"/>
  <c r="FJ116" i="1"/>
  <c r="ET116" i="1"/>
  <c r="FG117" i="1"/>
  <c r="FG118" i="1"/>
  <c r="FS119" i="1"/>
  <c r="FC119" i="1"/>
  <c r="FS120" i="1"/>
  <c r="FC120" i="1"/>
  <c r="FP122" i="1"/>
  <c r="EZ122" i="1"/>
  <c r="ER122" i="1"/>
  <c r="FQ124" i="1"/>
  <c r="FA124" i="1"/>
  <c r="FN125" i="1"/>
  <c r="EX125" i="1"/>
  <c r="FJ126" i="1"/>
  <c r="ET126" i="1"/>
  <c r="EP129" i="1"/>
  <c r="FE131" i="1"/>
  <c r="FJ132" i="1"/>
  <c r="ET132" i="1"/>
  <c r="FN135" i="1"/>
  <c r="EX135" i="1"/>
  <c r="FL136" i="1"/>
  <c r="EV136" i="1"/>
  <c r="FC138" i="1"/>
  <c r="EZ138" i="1"/>
  <c r="FN139" i="1"/>
  <c r="EZ139" i="1"/>
  <c r="FS140" i="1"/>
  <c r="FC140" i="1"/>
  <c r="FQ141" i="1"/>
  <c r="FA141" i="1"/>
  <c r="FG142" i="1"/>
  <c r="FE145" i="1"/>
  <c r="FN147" i="1"/>
  <c r="EX147" i="1"/>
  <c r="EP147" i="1"/>
  <c r="FN148" i="1"/>
  <c r="EX148" i="1"/>
  <c r="EZ158" i="1"/>
  <c r="ET158" i="1"/>
  <c r="FS159" i="1"/>
  <c r="FP159" i="1"/>
  <c r="FG159" i="1"/>
  <c r="FL160" i="1"/>
  <c r="EZ161" i="1"/>
  <c r="FP162" i="1"/>
  <c r="FJ162" i="1"/>
  <c r="FE163" i="1"/>
  <c r="FG164" i="1"/>
  <c r="FE165" i="1"/>
  <c r="EZ167" i="1"/>
  <c r="EZ168" i="1"/>
  <c r="FL171" i="1"/>
  <c r="EV171" i="1"/>
  <c r="FC173" i="1"/>
  <c r="EZ173" i="1"/>
  <c r="ET173" i="1"/>
  <c r="EV175" i="1"/>
  <c r="FS176" i="1"/>
  <c r="FE176" i="1"/>
  <c r="EP177" i="1"/>
  <c r="FQ178" i="1"/>
  <c r="FE178" i="1"/>
  <c r="FA178" i="1"/>
  <c r="ET178" i="1"/>
  <c r="FP179" i="1"/>
  <c r="FP180" i="1"/>
  <c r="FQ182" i="1"/>
  <c r="FC182" i="1"/>
  <c r="ER183" i="1"/>
  <c r="FG185" i="1"/>
  <c r="FC186" i="1"/>
  <c r="ET186" i="1"/>
  <c r="FJ187" i="1"/>
  <c r="ER110" i="1"/>
  <c r="FQ111" i="1"/>
  <c r="FA111" i="1"/>
  <c r="FN112" i="1"/>
  <c r="EX112" i="1"/>
  <c r="FS113" i="1"/>
  <c r="FC113" i="1"/>
  <c r="FP114" i="1"/>
  <c r="EZ114" i="1"/>
  <c r="FE119" i="1"/>
  <c r="FQ120" i="1"/>
  <c r="FA120" i="1"/>
  <c r="FJ122" i="1"/>
  <c r="ET122" i="1"/>
  <c r="FG124" i="1"/>
  <c r="FJ125" i="1"/>
  <c r="ET125" i="1"/>
  <c r="FL126" i="1"/>
  <c r="EV126" i="1"/>
  <c r="ER128" i="1"/>
  <c r="FJ129" i="1"/>
  <c r="ET129" i="1"/>
  <c r="FQ130" i="1"/>
  <c r="FA130" i="1"/>
  <c r="FS131" i="1"/>
  <c r="FC131" i="1"/>
  <c r="FL132" i="1"/>
  <c r="EV132" i="1"/>
  <c r="FJ134" i="1"/>
  <c r="ET134" i="1"/>
  <c r="FJ135" i="1"/>
  <c r="ET135" i="1"/>
  <c r="ER136" i="1"/>
  <c r="FG138" i="1"/>
  <c r="FA138" i="1"/>
  <c r="FA139" i="1"/>
  <c r="EV139" i="1"/>
  <c r="ER139" i="1"/>
  <c r="FE140" i="1"/>
  <c r="FS141" i="1"/>
  <c r="FC141" i="1"/>
  <c r="FE142" i="1"/>
  <c r="FS145" i="1"/>
  <c r="FC145" i="1"/>
  <c r="FP147" i="1"/>
  <c r="EZ147" i="1"/>
  <c r="ER147" i="1"/>
  <c r="FN149" i="1"/>
  <c r="EX149" i="1"/>
  <c r="FG151" i="1"/>
  <c r="FE153" i="1"/>
  <c r="ET157" i="1"/>
  <c r="FS158" i="1"/>
  <c r="FP158" i="1"/>
  <c r="FG158" i="1"/>
  <c r="FA158" i="1"/>
  <c r="FQ159" i="1"/>
  <c r="FE159" i="1"/>
  <c r="FN160" i="1"/>
  <c r="FN162" i="1"/>
  <c r="FE162" i="1"/>
  <c r="EV162" i="1"/>
  <c r="EP162" i="1"/>
  <c r="FC163" i="1"/>
  <c r="EZ163" i="1"/>
  <c r="FP164" i="1"/>
  <c r="EZ164" i="1"/>
  <c r="ER164" i="1"/>
  <c r="FC165" i="1"/>
  <c r="EZ166" i="1"/>
  <c r="FE167" i="1"/>
  <c r="FJ167" i="1"/>
  <c r="FP168" i="1"/>
  <c r="FL170" i="1"/>
  <c r="FC170" i="1"/>
  <c r="FN171" i="1"/>
  <c r="EX171" i="1"/>
  <c r="EP171" i="1"/>
  <c r="FS173" i="1"/>
  <c r="FA173" i="1"/>
  <c r="FS174" i="1"/>
  <c r="FP174" i="1"/>
  <c r="FJ174" i="1"/>
  <c r="FP175" i="1"/>
  <c r="EZ175" i="1"/>
  <c r="FN177" i="1"/>
  <c r="FL178" i="1"/>
  <c r="FQ180" i="1"/>
  <c r="FC180" i="1"/>
  <c r="EX180" i="1"/>
  <c r="FN182" i="1"/>
  <c r="FG182" i="1"/>
  <c r="FA182" i="1"/>
  <c r="EX182" i="1"/>
  <c r="EV183" i="1"/>
  <c r="FS186" i="1"/>
  <c r="FN187" i="1"/>
  <c r="DF89" i="1"/>
  <c r="DH89" i="1"/>
  <c r="ER89" i="1" s="1"/>
  <c r="DJ89" i="1"/>
  <c r="ET89" i="1" s="1"/>
  <c r="DL89" i="1"/>
  <c r="EV89" i="1" s="1"/>
  <c r="DF93" i="1"/>
  <c r="DH93" i="1"/>
  <c r="ER93" i="1" s="1"/>
  <c r="DJ93" i="1"/>
  <c r="ET93" i="1" s="1"/>
  <c r="DL93" i="1"/>
  <c r="EV93" i="1" s="1"/>
  <c r="DN93" i="1"/>
  <c r="EX93" i="1" s="1"/>
  <c r="DP93" i="1"/>
  <c r="EZ93" i="1" s="1"/>
  <c r="DR93" i="1"/>
  <c r="FB93" i="1" s="1"/>
  <c r="DT93" i="1"/>
  <c r="FD93" i="1" s="1"/>
  <c r="DV93" i="1"/>
  <c r="FF93" i="1" s="1"/>
  <c r="DX93" i="1"/>
  <c r="FH93" i="1" s="1"/>
  <c r="DZ93" i="1"/>
  <c r="FJ93" i="1" s="1"/>
  <c r="EB93" i="1"/>
  <c r="FL93" i="1" s="1"/>
  <c r="ED93" i="1"/>
  <c r="FN93" i="1" s="1"/>
  <c r="EF93" i="1"/>
  <c r="FP93" i="1" s="1"/>
  <c r="EH93" i="1"/>
  <c r="FR93" i="1" s="1"/>
  <c r="EJ93" i="1"/>
  <c r="FT93" i="1" s="1"/>
  <c r="DF95" i="1"/>
  <c r="DH95" i="1"/>
  <c r="ER95" i="1" s="1"/>
  <c r="DJ95" i="1"/>
  <c r="ET95" i="1" s="1"/>
  <c r="DL95" i="1"/>
  <c r="EV95" i="1" s="1"/>
  <c r="DN95" i="1"/>
  <c r="EX95" i="1" s="1"/>
  <c r="DP95" i="1"/>
  <c r="EZ95" i="1" s="1"/>
  <c r="DR95" i="1"/>
  <c r="FB95" i="1" s="1"/>
  <c r="DT95" i="1"/>
  <c r="FD95" i="1" s="1"/>
  <c r="DV95" i="1"/>
  <c r="FF95" i="1" s="1"/>
  <c r="DX95" i="1"/>
  <c r="FH95" i="1" s="1"/>
  <c r="DZ95" i="1"/>
  <c r="FJ95" i="1" s="1"/>
  <c r="EB95" i="1"/>
  <c r="FL95" i="1" s="1"/>
  <c r="ED95" i="1"/>
  <c r="FN95" i="1" s="1"/>
  <c r="EF95" i="1"/>
  <c r="FP95" i="1" s="1"/>
  <c r="EH95" i="1"/>
  <c r="FR95" i="1" s="1"/>
  <c r="EJ95" i="1"/>
  <c r="FT95" i="1" s="1"/>
  <c r="DG121" i="1"/>
  <c r="EQ121" i="1" s="1"/>
  <c r="DI121" i="1"/>
  <c r="ES121" i="1" s="1"/>
  <c r="DK121" i="1"/>
  <c r="EU121" i="1" s="1"/>
  <c r="DM121" i="1"/>
  <c r="EW121" i="1" s="1"/>
  <c r="DO121" i="1"/>
  <c r="EY121" i="1" s="1"/>
  <c r="DQ121" i="1"/>
  <c r="FA121" i="1" s="1"/>
  <c r="DS121" i="1"/>
  <c r="FC121" i="1" s="1"/>
  <c r="DU121" i="1"/>
  <c r="FE121" i="1" s="1"/>
  <c r="DW121" i="1"/>
  <c r="FG121" i="1" s="1"/>
  <c r="DY121" i="1"/>
  <c r="FI121" i="1" s="1"/>
  <c r="EA121" i="1"/>
  <c r="FK121" i="1" s="1"/>
  <c r="EC121" i="1"/>
  <c r="FM121" i="1" s="1"/>
  <c r="EE121" i="1"/>
  <c r="FO121" i="1" s="1"/>
  <c r="EG121" i="1"/>
  <c r="FQ121" i="1" s="1"/>
  <c r="EI121" i="1"/>
  <c r="FS121" i="1" s="1"/>
  <c r="DN123" i="1"/>
  <c r="EX123" i="1" s="1"/>
  <c r="DP123" i="1"/>
  <c r="EZ123" i="1" s="1"/>
  <c r="DR123" i="1"/>
  <c r="FB123" i="1" s="1"/>
  <c r="DT123" i="1"/>
  <c r="FD123" i="1" s="1"/>
  <c r="DV123" i="1"/>
  <c r="FF123" i="1" s="1"/>
  <c r="DX123" i="1"/>
  <c r="FH123" i="1" s="1"/>
  <c r="DZ123" i="1"/>
  <c r="FJ123" i="1" s="1"/>
  <c r="EB123" i="1"/>
  <c r="FL123" i="1" s="1"/>
  <c r="ED123" i="1"/>
  <c r="FN123" i="1" s="1"/>
  <c r="EF123" i="1"/>
  <c r="FP123" i="1" s="1"/>
  <c r="EH123" i="1"/>
  <c r="FR123" i="1" s="1"/>
  <c r="EJ123" i="1"/>
  <c r="FT123" i="1" s="1"/>
  <c r="DN127" i="1"/>
  <c r="EX127" i="1" s="1"/>
  <c r="DP127" i="1"/>
  <c r="EZ127" i="1" s="1"/>
  <c r="DR127" i="1"/>
  <c r="FB127" i="1" s="1"/>
  <c r="DT127" i="1"/>
  <c r="FD127" i="1" s="1"/>
  <c r="DV127" i="1"/>
  <c r="FF127" i="1" s="1"/>
  <c r="DX127" i="1"/>
  <c r="FH127" i="1" s="1"/>
  <c r="DZ127" i="1"/>
  <c r="FJ127" i="1" s="1"/>
  <c r="EB127" i="1"/>
  <c r="FL127" i="1" s="1"/>
  <c r="ED127" i="1"/>
  <c r="FN127" i="1" s="1"/>
  <c r="EF127" i="1"/>
  <c r="FP127" i="1" s="1"/>
  <c r="EH127" i="1"/>
  <c r="FR127" i="1" s="1"/>
  <c r="EJ127" i="1"/>
  <c r="FT127" i="1" s="1"/>
  <c r="DC129" i="1"/>
  <c r="DE129" i="1"/>
  <c r="DG140" i="1"/>
  <c r="EQ140" i="1" s="1"/>
  <c r="DK140" i="1"/>
  <c r="EU140" i="1" s="1"/>
  <c r="DC149" i="1"/>
  <c r="DE149" i="1"/>
  <c r="DE218" i="1" s="1"/>
  <c r="EP149" i="1"/>
  <c r="DF172" i="1"/>
  <c r="DH172" i="1"/>
  <c r="ER172" i="1" s="1"/>
  <c r="DJ172" i="1"/>
  <c r="ET172" i="1" s="1"/>
  <c r="DL172" i="1"/>
  <c r="EV172" i="1" s="1"/>
  <c r="DN172" i="1"/>
  <c r="EX172" i="1" s="1"/>
  <c r="DP172" i="1"/>
  <c r="EZ172" i="1" s="1"/>
  <c r="DR172" i="1"/>
  <c r="FB172" i="1" s="1"/>
  <c r="DT172" i="1"/>
  <c r="FD172" i="1" s="1"/>
  <c r="DV172" i="1"/>
  <c r="FF172" i="1" s="1"/>
  <c r="DX172" i="1"/>
  <c r="FH172" i="1" s="1"/>
  <c r="DZ172" i="1"/>
  <c r="FJ172" i="1" s="1"/>
  <c r="EB172" i="1"/>
  <c r="FL172" i="1" s="1"/>
  <c r="ED172" i="1"/>
  <c r="FN172" i="1" s="1"/>
  <c r="EF172" i="1"/>
  <c r="FP172" i="1" s="1"/>
  <c r="EH172" i="1"/>
  <c r="FR172" i="1" s="1"/>
  <c r="EJ172" i="1"/>
  <c r="FT172" i="1" s="1"/>
  <c r="DG172" i="1"/>
  <c r="EQ172" i="1" s="1"/>
  <c r="DK172" i="1"/>
  <c r="EU172" i="1" s="1"/>
  <c r="DO172" i="1"/>
  <c r="EY172" i="1" s="1"/>
  <c r="DS172" i="1"/>
  <c r="FC172" i="1" s="1"/>
  <c r="DW172" i="1"/>
  <c r="FG172" i="1" s="1"/>
  <c r="EA172" i="1"/>
  <c r="FK172" i="1" s="1"/>
  <c r="EE172" i="1"/>
  <c r="FO172" i="1" s="1"/>
  <c r="EI172" i="1"/>
  <c r="FS172" i="1" s="1"/>
  <c r="DI172" i="1"/>
  <c r="ES172" i="1" s="1"/>
  <c r="DQ172" i="1"/>
  <c r="FA172" i="1" s="1"/>
  <c r="DY172" i="1"/>
  <c r="FI172" i="1" s="1"/>
  <c r="EG172" i="1"/>
  <c r="FQ172" i="1" s="1"/>
  <c r="EP192" i="1"/>
  <c r="FU192" i="1" s="1"/>
  <c r="EK192" i="1"/>
  <c r="DF98" i="1"/>
  <c r="DH98" i="1"/>
  <c r="DJ98" i="1"/>
  <c r="DL98" i="1"/>
  <c r="DN98" i="1"/>
  <c r="DP98" i="1"/>
  <c r="DR98" i="1"/>
  <c r="DT98" i="1"/>
  <c r="DV98" i="1"/>
  <c r="DX98" i="1"/>
  <c r="DZ98" i="1"/>
  <c r="EB98" i="1"/>
  <c r="ED98" i="1"/>
  <c r="EF98" i="1"/>
  <c r="EH98" i="1"/>
  <c r="EJ98" i="1"/>
  <c r="DF103" i="1"/>
  <c r="DH103" i="1"/>
  <c r="ER103" i="1" s="1"/>
  <c r="DJ103" i="1"/>
  <c r="ET103" i="1" s="1"/>
  <c r="DL103" i="1"/>
  <c r="EV103" i="1" s="1"/>
  <c r="DN103" i="1"/>
  <c r="EX103" i="1" s="1"/>
  <c r="DP103" i="1"/>
  <c r="EZ103" i="1" s="1"/>
  <c r="DR103" i="1"/>
  <c r="FB103" i="1" s="1"/>
  <c r="DT103" i="1"/>
  <c r="FD103" i="1" s="1"/>
  <c r="DV103" i="1"/>
  <c r="FF103" i="1" s="1"/>
  <c r="DX103" i="1"/>
  <c r="FH103" i="1" s="1"/>
  <c r="DZ103" i="1"/>
  <c r="FJ103" i="1" s="1"/>
  <c r="EB103" i="1"/>
  <c r="FL103" i="1" s="1"/>
  <c r="ED103" i="1"/>
  <c r="FN103" i="1" s="1"/>
  <c r="EF103" i="1"/>
  <c r="FP103" i="1" s="1"/>
  <c r="EH103" i="1"/>
  <c r="FR103" i="1" s="1"/>
  <c r="EJ103" i="1"/>
  <c r="FT103" i="1" s="1"/>
  <c r="DF111" i="1"/>
  <c r="DH111" i="1"/>
  <c r="ER111" i="1" s="1"/>
  <c r="DJ111" i="1"/>
  <c r="ET111" i="1" s="1"/>
  <c r="DL111" i="1"/>
  <c r="EV111" i="1" s="1"/>
  <c r="DN111" i="1"/>
  <c r="EX111" i="1" s="1"/>
  <c r="DP111" i="1"/>
  <c r="EZ111" i="1" s="1"/>
  <c r="DR111" i="1"/>
  <c r="FB111" i="1" s="1"/>
  <c r="DT111" i="1"/>
  <c r="FD111" i="1" s="1"/>
  <c r="DV111" i="1"/>
  <c r="FF111" i="1" s="1"/>
  <c r="DX111" i="1"/>
  <c r="FH111" i="1" s="1"/>
  <c r="DZ111" i="1"/>
  <c r="FJ111" i="1" s="1"/>
  <c r="EB111" i="1"/>
  <c r="FL111" i="1" s="1"/>
  <c r="ED111" i="1"/>
  <c r="FN111" i="1" s="1"/>
  <c r="EF111" i="1"/>
  <c r="FP111" i="1" s="1"/>
  <c r="EH111" i="1"/>
  <c r="FR111" i="1" s="1"/>
  <c r="EJ111" i="1"/>
  <c r="FT111" i="1" s="1"/>
  <c r="DF115" i="1"/>
  <c r="DH115" i="1"/>
  <c r="ER115" i="1" s="1"/>
  <c r="DJ115" i="1"/>
  <c r="ET115" i="1" s="1"/>
  <c r="DL115" i="1"/>
  <c r="EV115" i="1" s="1"/>
  <c r="DN115" i="1"/>
  <c r="EX115" i="1" s="1"/>
  <c r="DP115" i="1"/>
  <c r="EZ115" i="1" s="1"/>
  <c r="DR115" i="1"/>
  <c r="FB115" i="1" s="1"/>
  <c r="DT115" i="1"/>
  <c r="FD115" i="1" s="1"/>
  <c r="DV115" i="1"/>
  <c r="FF115" i="1" s="1"/>
  <c r="DX115" i="1"/>
  <c r="FH115" i="1" s="1"/>
  <c r="DZ115" i="1"/>
  <c r="FJ115" i="1" s="1"/>
  <c r="EB115" i="1"/>
  <c r="FL115" i="1" s="1"/>
  <c r="ED115" i="1"/>
  <c r="FN115" i="1" s="1"/>
  <c r="EF115" i="1"/>
  <c r="FP115" i="1" s="1"/>
  <c r="EH115" i="1"/>
  <c r="FR115" i="1" s="1"/>
  <c r="EJ115" i="1"/>
  <c r="FT115" i="1" s="1"/>
  <c r="DC121" i="1"/>
  <c r="DE121" i="1"/>
  <c r="DE228" i="1" s="1"/>
  <c r="DG128" i="1"/>
  <c r="DI128" i="1"/>
  <c r="DK128" i="1"/>
  <c r="DM128" i="1"/>
  <c r="DO128" i="1"/>
  <c r="DQ128" i="1"/>
  <c r="DS128" i="1"/>
  <c r="DU128" i="1"/>
  <c r="DW128" i="1"/>
  <c r="DY128" i="1"/>
  <c r="EA128" i="1"/>
  <c r="EC128" i="1"/>
  <c r="EE128" i="1"/>
  <c r="EG128" i="1"/>
  <c r="EI128" i="1"/>
  <c r="DN130" i="1"/>
  <c r="EX130" i="1" s="1"/>
  <c r="DP130" i="1"/>
  <c r="EZ130" i="1" s="1"/>
  <c r="DR130" i="1"/>
  <c r="FB130" i="1" s="1"/>
  <c r="DT130" i="1"/>
  <c r="FD130" i="1" s="1"/>
  <c r="DV130" i="1"/>
  <c r="FF130" i="1" s="1"/>
  <c r="DX130" i="1"/>
  <c r="FH130" i="1" s="1"/>
  <c r="DZ130" i="1"/>
  <c r="FJ130" i="1" s="1"/>
  <c r="EB130" i="1"/>
  <c r="FL130" i="1" s="1"/>
  <c r="ED130" i="1"/>
  <c r="FN130" i="1" s="1"/>
  <c r="EF130" i="1"/>
  <c r="FP130" i="1" s="1"/>
  <c r="EH130" i="1"/>
  <c r="FR130" i="1" s="1"/>
  <c r="EJ130" i="1"/>
  <c r="FT130" i="1" s="1"/>
  <c r="DG134" i="1"/>
  <c r="EQ134" i="1" s="1"/>
  <c r="DI134" i="1"/>
  <c r="ES134" i="1" s="1"/>
  <c r="DK134" i="1"/>
  <c r="EU134" i="1" s="1"/>
  <c r="DM134" i="1"/>
  <c r="EW134" i="1" s="1"/>
  <c r="DO134" i="1"/>
  <c r="EY134" i="1" s="1"/>
  <c r="DQ134" i="1"/>
  <c r="FA134" i="1" s="1"/>
  <c r="DS134" i="1"/>
  <c r="FC134" i="1" s="1"/>
  <c r="DU134" i="1"/>
  <c r="FE134" i="1" s="1"/>
  <c r="DW134" i="1"/>
  <c r="FG134" i="1" s="1"/>
  <c r="DY134" i="1"/>
  <c r="FI134" i="1" s="1"/>
  <c r="EA134" i="1"/>
  <c r="FK134" i="1" s="1"/>
  <c r="EC134" i="1"/>
  <c r="FM134" i="1" s="1"/>
  <c r="EE134" i="1"/>
  <c r="FO134" i="1" s="1"/>
  <c r="EG134" i="1"/>
  <c r="FQ134" i="1" s="1"/>
  <c r="EI134" i="1"/>
  <c r="FS134" i="1" s="1"/>
  <c r="DG160" i="1"/>
  <c r="EQ160" i="1" s="1"/>
  <c r="DI160" i="1"/>
  <c r="ES160" i="1" s="1"/>
  <c r="DK160" i="1"/>
  <c r="EU160" i="1" s="1"/>
  <c r="DM160" i="1"/>
  <c r="EW160" i="1" s="1"/>
  <c r="DO160" i="1"/>
  <c r="EY160" i="1" s="1"/>
  <c r="DQ160" i="1"/>
  <c r="FA160" i="1" s="1"/>
  <c r="DS160" i="1"/>
  <c r="FC160" i="1" s="1"/>
  <c r="DU160" i="1"/>
  <c r="FE160" i="1" s="1"/>
  <c r="DW160" i="1"/>
  <c r="FG160" i="1" s="1"/>
  <c r="DY160" i="1"/>
  <c r="FI160" i="1" s="1"/>
  <c r="EA160" i="1"/>
  <c r="FK160" i="1" s="1"/>
  <c r="EC160" i="1"/>
  <c r="FM160" i="1" s="1"/>
  <c r="EE160" i="1"/>
  <c r="FO160" i="1" s="1"/>
  <c r="EG160" i="1"/>
  <c r="FQ160" i="1" s="1"/>
  <c r="EI160" i="1"/>
  <c r="FS160" i="1" s="1"/>
  <c r="DH160" i="1"/>
  <c r="ER160" i="1" s="1"/>
  <c r="DP160" i="1"/>
  <c r="EZ160" i="1" s="1"/>
  <c r="DX160" i="1"/>
  <c r="FH160" i="1" s="1"/>
  <c r="EF160" i="1"/>
  <c r="FP160" i="1" s="1"/>
  <c r="DJ160" i="1"/>
  <c r="ET160" i="1" s="1"/>
  <c r="DR160" i="1"/>
  <c r="FB160" i="1" s="1"/>
  <c r="DZ160" i="1"/>
  <c r="FJ160" i="1" s="1"/>
  <c r="EH160" i="1"/>
  <c r="FR160" i="1" s="1"/>
  <c r="DF160" i="1"/>
  <c r="DV160" i="1"/>
  <c r="FF160" i="1" s="1"/>
  <c r="DT160" i="1"/>
  <c r="FD160" i="1" s="1"/>
  <c r="EJ160" i="1"/>
  <c r="FT160" i="1" s="1"/>
  <c r="DG161" i="1"/>
  <c r="EQ161" i="1" s="1"/>
  <c r="DI161" i="1"/>
  <c r="ES161" i="1" s="1"/>
  <c r="DK161" i="1"/>
  <c r="EU161" i="1" s="1"/>
  <c r="DM161" i="1"/>
  <c r="EW161" i="1" s="1"/>
  <c r="DO161" i="1"/>
  <c r="EY161" i="1" s="1"/>
  <c r="DQ161" i="1"/>
  <c r="FA161" i="1" s="1"/>
  <c r="DS161" i="1"/>
  <c r="FC161" i="1" s="1"/>
  <c r="DU161" i="1"/>
  <c r="FE161" i="1" s="1"/>
  <c r="DW161" i="1"/>
  <c r="FG161" i="1" s="1"/>
  <c r="DY161" i="1"/>
  <c r="FI161" i="1" s="1"/>
  <c r="EA161" i="1"/>
  <c r="FK161" i="1" s="1"/>
  <c r="EC161" i="1"/>
  <c r="FM161" i="1" s="1"/>
  <c r="EE161" i="1"/>
  <c r="FO161" i="1" s="1"/>
  <c r="EG161" i="1"/>
  <c r="FQ161" i="1" s="1"/>
  <c r="EI161" i="1"/>
  <c r="FS161" i="1" s="1"/>
  <c r="DJ161" i="1"/>
  <c r="ET161" i="1" s="1"/>
  <c r="DR161" i="1"/>
  <c r="FB161" i="1" s="1"/>
  <c r="DZ161" i="1"/>
  <c r="FJ161" i="1" s="1"/>
  <c r="EH161" i="1"/>
  <c r="FR161" i="1" s="1"/>
  <c r="DL161" i="1"/>
  <c r="EV161" i="1" s="1"/>
  <c r="DT161" i="1"/>
  <c r="FD161" i="1" s="1"/>
  <c r="EB161" i="1"/>
  <c r="FL161" i="1" s="1"/>
  <c r="EJ161" i="1"/>
  <c r="FT161" i="1" s="1"/>
  <c r="DN161" i="1"/>
  <c r="EX161" i="1" s="1"/>
  <c r="ED161" i="1"/>
  <c r="FN161" i="1" s="1"/>
  <c r="DH161" i="1"/>
  <c r="ER161" i="1" s="1"/>
  <c r="DX161" i="1"/>
  <c r="FH161" i="1" s="1"/>
  <c r="EK163" i="1"/>
  <c r="EP163" i="1"/>
  <c r="DC193" i="1"/>
  <c r="DE193" i="1"/>
  <c r="EP204" i="1"/>
  <c r="FU204" i="1" s="1"/>
  <c r="EK204" i="1"/>
  <c r="DG88" i="1"/>
  <c r="DI88" i="1"/>
  <c r="DK88" i="1"/>
  <c r="DM88" i="1"/>
  <c r="DO88" i="1"/>
  <c r="DQ88" i="1"/>
  <c r="DS88" i="1"/>
  <c r="DU88" i="1"/>
  <c r="DW88" i="1"/>
  <c r="DY88" i="1"/>
  <c r="EA88" i="1"/>
  <c r="EC88" i="1"/>
  <c r="EE88" i="1"/>
  <c r="EG88" i="1"/>
  <c r="EI88" i="1"/>
  <c r="DF100" i="1"/>
  <c r="DH100" i="1"/>
  <c r="ER100" i="1" s="1"/>
  <c r="DJ100" i="1"/>
  <c r="ET100" i="1" s="1"/>
  <c r="DL100" i="1"/>
  <c r="EV100" i="1" s="1"/>
  <c r="DF118" i="1"/>
  <c r="DH118" i="1"/>
  <c r="DJ118" i="1"/>
  <c r="DL118" i="1"/>
  <c r="EV118" i="1" s="1"/>
  <c r="DF119" i="1"/>
  <c r="DH119" i="1"/>
  <c r="ER119" i="1" s="1"/>
  <c r="DJ119" i="1"/>
  <c r="ET119" i="1" s="1"/>
  <c r="DL119" i="1"/>
  <c r="EV119" i="1" s="1"/>
  <c r="DN119" i="1"/>
  <c r="EX119" i="1" s="1"/>
  <c r="DP119" i="1"/>
  <c r="EZ119" i="1" s="1"/>
  <c r="DR119" i="1"/>
  <c r="FB119" i="1" s="1"/>
  <c r="DT119" i="1"/>
  <c r="FD119" i="1" s="1"/>
  <c r="DV119" i="1"/>
  <c r="FF119" i="1" s="1"/>
  <c r="DX119" i="1"/>
  <c r="FH119" i="1" s="1"/>
  <c r="DZ119" i="1"/>
  <c r="FJ119" i="1" s="1"/>
  <c r="EB119" i="1"/>
  <c r="FL119" i="1" s="1"/>
  <c r="ED119" i="1"/>
  <c r="FN119" i="1" s="1"/>
  <c r="EF119" i="1"/>
  <c r="FP119" i="1" s="1"/>
  <c r="EH119" i="1"/>
  <c r="FR119" i="1" s="1"/>
  <c r="EJ119" i="1"/>
  <c r="FT119" i="1" s="1"/>
  <c r="DG122" i="1"/>
  <c r="EQ122" i="1" s="1"/>
  <c r="DI122" i="1"/>
  <c r="ES122" i="1" s="1"/>
  <c r="DK122" i="1"/>
  <c r="EU122" i="1" s="1"/>
  <c r="DM122" i="1"/>
  <c r="EW122" i="1" s="1"/>
  <c r="DO122" i="1"/>
  <c r="EY122" i="1" s="1"/>
  <c r="DQ122" i="1"/>
  <c r="FA122" i="1" s="1"/>
  <c r="DS122" i="1"/>
  <c r="FC122" i="1" s="1"/>
  <c r="DU122" i="1"/>
  <c r="FE122" i="1" s="1"/>
  <c r="DW122" i="1"/>
  <c r="FG122" i="1" s="1"/>
  <c r="DY122" i="1"/>
  <c r="FI122" i="1" s="1"/>
  <c r="EA122" i="1"/>
  <c r="FK122" i="1" s="1"/>
  <c r="EC122" i="1"/>
  <c r="FM122" i="1" s="1"/>
  <c r="EE122" i="1"/>
  <c r="FO122" i="1" s="1"/>
  <c r="EG122" i="1"/>
  <c r="FQ122" i="1" s="1"/>
  <c r="EI122" i="1"/>
  <c r="FS122" i="1" s="1"/>
  <c r="DG126" i="1"/>
  <c r="EQ126" i="1" s="1"/>
  <c r="DI126" i="1"/>
  <c r="ES126" i="1" s="1"/>
  <c r="DK126" i="1"/>
  <c r="EU126" i="1" s="1"/>
  <c r="DM126" i="1"/>
  <c r="EW126" i="1" s="1"/>
  <c r="DO126" i="1"/>
  <c r="EY126" i="1" s="1"/>
  <c r="DQ126" i="1"/>
  <c r="FA126" i="1" s="1"/>
  <c r="DS126" i="1"/>
  <c r="FC126" i="1" s="1"/>
  <c r="DU126" i="1"/>
  <c r="FE126" i="1" s="1"/>
  <c r="DW126" i="1"/>
  <c r="FG126" i="1" s="1"/>
  <c r="DY126" i="1"/>
  <c r="FI126" i="1" s="1"/>
  <c r="EA126" i="1"/>
  <c r="FK126" i="1" s="1"/>
  <c r="EC126" i="1"/>
  <c r="FM126" i="1" s="1"/>
  <c r="EE126" i="1"/>
  <c r="FO126" i="1" s="1"/>
  <c r="EG126" i="1"/>
  <c r="FQ126" i="1" s="1"/>
  <c r="EI126" i="1"/>
  <c r="FS126" i="1" s="1"/>
  <c r="DC128" i="1"/>
  <c r="DE128" i="1"/>
  <c r="DE216" i="1" s="1"/>
  <c r="DG132" i="1"/>
  <c r="EQ132" i="1" s="1"/>
  <c r="DI132" i="1"/>
  <c r="ES132" i="1" s="1"/>
  <c r="DK132" i="1"/>
  <c r="EU132" i="1" s="1"/>
  <c r="DM132" i="1"/>
  <c r="EW132" i="1" s="1"/>
  <c r="DO132" i="1"/>
  <c r="EY132" i="1" s="1"/>
  <c r="DQ132" i="1"/>
  <c r="FA132" i="1" s="1"/>
  <c r="DS132" i="1"/>
  <c r="FC132" i="1" s="1"/>
  <c r="DU132" i="1"/>
  <c r="FE132" i="1" s="1"/>
  <c r="DW132" i="1"/>
  <c r="FG132" i="1" s="1"/>
  <c r="DY132" i="1"/>
  <c r="FI132" i="1" s="1"/>
  <c r="EA132" i="1"/>
  <c r="FK132" i="1" s="1"/>
  <c r="EC132" i="1"/>
  <c r="FM132" i="1" s="1"/>
  <c r="EE132" i="1"/>
  <c r="FO132" i="1" s="1"/>
  <c r="EG132" i="1"/>
  <c r="FQ132" i="1" s="1"/>
  <c r="EI132" i="1"/>
  <c r="FS132" i="1" s="1"/>
  <c r="DG135" i="1"/>
  <c r="EQ135" i="1" s="1"/>
  <c r="DI135" i="1"/>
  <c r="ES135" i="1" s="1"/>
  <c r="DK135" i="1"/>
  <c r="EU135" i="1" s="1"/>
  <c r="DM135" i="1"/>
  <c r="EW135" i="1" s="1"/>
  <c r="DO135" i="1"/>
  <c r="EY135" i="1" s="1"/>
  <c r="DQ135" i="1"/>
  <c r="FA135" i="1" s="1"/>
  <c r="DS135" i="1"/>
  <c r="FC135" i="1" s="1"/>
  <c r="DU135" i="1"/>
  <c r="FE135" i="1" s="1"/>
  <c r="DW135" i="1"/>
  <c r="FG135" i="1" s="1"/>
  <c r="DY135" i="1"/>
  <c r="FI135" i="1" s="1"/>
  <c r="EA135" i="1"/>
  <c r="FK135" i="1" s="1"/>
  <c r="EC135" i="1"/>
  <c r="FM135" i="1" s="1"/>
  <c r="EE135" i="1"/>
  <c r="FO135" i="1" s="1"/>
  <c r="EG135" i="1"/>
  <c r="FQ135" i="1" s="1"/>
  <c r="EI135" i="1"/>
  <c r="FS135" i="1" s="1"/>
  <c r="EP139" i="1"/>
  <c r="DG141" i="1"/>
  <c r="EQ141" i="1" s="1"/>
  <c r="DK141" i="1"/>
  <c r="EU141" i="1" s="1"/>
  <c r="DF142" i="1"/>
  <c r="DH142" i="1"/>
  <c r="ER142" i="1" s="1"/>
  <c r="DJ142" i="1"/>
  <c r="ET142" i="1" s="1"/>
  <c r="DL142" i="1"/>
  <c r="EV142" i="1" s="1"/>
  <c r="DG142" i="1"/>
  <c r="EQ142" i="1" s="1"/>
  <c r="DK142" i="1"/>
  <c r="EU142" i="1" s="1"/>
  <c r="DN144" i="1"/>
  <c r="EX144" i="1" s="1"/>
  <c r="DP144" i="1"/>
  <c r="EZ144" i="1" s="1"/>
  <c r="DR144" i="1"/>
  <c r="FB144" i="1" s="1"/>
  <c r="DT144" i="1"/>
  <c r="FD144" i="1" s="1"/>
  <c r="DV144" i="1"/>
  <c r="FF144" i="1" s="1"/>
  <c r="DX144" i="1"/>
  <c r="FH144" i="1" s="1"/>
  <c r="DZ144" i="1"/>
  <c r="FJ144" i="1" s="1"/>
  <c r="EB144" i="1"/>
  <c r="FL144" i="1" s="1"/>
  <c r="ED144" i="1"/>
  <c r="FN144" i="1" s="1"/>
  <c r="EF144" i="1"/>
  <c r="FP144" i="1" s="1"/>
  <c r="EH144" i="1"/>
  <c r="FR144" i="1" s="1"/>
  <c r="EJ144" i="1"/>
  <c r="FT144" i="1" s="1"/>
  <c r="DI144" i="1"/>
  <c r="ES144" i="1" s="1"/>
  <c r="DM144" i="1"/>
  <c r="EW144" i="1" s="1"/>
  <c r="DQ144" i="1"/>
  <c r="FA144" i="1" s="1"/>
  <c r="DU144" i="1"/>
  <c r="FE144" i="1" s="1"/>
  <c r="DY144" i="1"/>
  <c r="FI144" i="1" s="1"/>
  <c r="EC144" i="1"/>
  <c r="FM144" i="1" s="1"/>
  <c r="EG144" i="1"/>
  <c r="FQ144" i="1" s="1"/>
  <c r="DF145" i="1"/>
  <c r="DH145" i="1"/>
  <c r="ER145" i="1" s="1"/>
  <c r="DJ145" i="1"/>
  <c r="ET145" i="1" s="1"/>
  <c r="DL145" i="1"/>
  <c r="EV145" i="1" s="1"/>
  <c r="DG145" i="1"/>
  <c r="EQ145" i="1" s="1"/>
  <c r="DK145" i="1"/>
  <c r="EU145" i="1" s="1"/>
  <c r="DG148" i="1"/>
  <c r="DI148" i="1"/>
  <c r="ES148" i="1" s="1"/>
  <c r="DK148" i="1"/>
  <c r="EU148" i="1" s="1"/>
  <c r="DM148" i="1"/>
  <c r="EW148" i="1" s="1"/>
  <c r="DO148" i="1"/>
  <c r="DQ148" i="1"/>
  <c r="DS148" i="1"/>
  <c r="DU148" i="1"/>
  <c r="DW148" i="1"/>
  <c r="DY148" i="1"/>
  <c r="EA148" i="1"/>
  <c r="EC148" i="1"/>
  <c r="EE148" i="1"/>
  <c r="EG148" i="1"/>
  <c r="EI148" i="1"/>
  <c r="DH148" i="1"/>
  <c r="DL148" i="1"/>
  <c r="EV148" i="1" s="1"/>
  <c r="DP148" i="1"/>
  <c r="DT148" i="1"/>
  <c r="DX148" i="1"/>
  <c r="EB148" i="1"/>
  <c r="EF148" i="1"/>
  <c r="EJ148" i="1"/>
  <c r="DC161" i="1"/>
  <c r="DE161" i="1"/>
  <c r="DJ166" i="1"/>
  <c r="ET166" i="1" s="1"/>
  <c r="DM166" i="1"/>
  <c r="EW166" i="1" s="1"/>
  <c r="DR166" i="1"/>
  <c r="FB166" i="1" s="1"/>
  <c r="DU166" i="1"/>
  <c r="FE166" i="1" s="1"/>
  <c r="DZ166" i="1"/>
  <c r="FJ166" i="1" s="1"/>
  <c r="EC166" i="1"/>
  <c r="FM166" i="1" s="1"/>
  <c r="EH166" i="1"/>
  <c r="FR166" i="1" s="1"/>
  <c r="DO166" i="1"/>
  <c r="EY166" i="1" s="1"/>
  <c r="DT166" i="1"/>
  <c r="FD166" i="1" s="1"/>
  <c r="DW166" i="1"/>
  <c r="FG166" i="1" s="1"/>
  <c r="EB166" i="1"/>
  <c r="FL166" i="1" s="1"/>
  <c r="EE166" i="1"/>
  <c r="FO166" i="1" s="1"/>
  <c r="EJ166" i="1"/>
  <c r="FT166" i="1" s="1"/>
  <c r="DI166" i="1"/>
  <c r="ES166" i="1" s="1"/>
  <c r="DN166" i="1"/>
  <c r="EX166" i="1" s="1"/>
  <c r="DY166" i="1"/>
  <c r="FI166" i="1" s="1"/>
  <c r="ED166" i="1"/>
  <c r="FN166" i="1" s="1"/>
  <c r="DH166" i="1"/>
  <c r="ER166" i="1" s="1"/>
  <c r="DS166" i="1"/>
  <c r="FC166" i="1" s="1"/>
  <c r="DX166" i="1"/>
  <c r="FH166" i="1" s="1"/>
  <c r="EI166" i="1"/>
  <c r="FS166" i="1" s="1"/>
  <c r="DG167" i="1"/>
  <c r="EQ167" i="1" s="1"/>
  <c r="DL167" i="1"/>
  <c r="EV167" i="1" s="1"/>
  <c r="DF167" i="1"/>
  <c r="DI167" i="1"/>
  <c r="ES167" i="1" s="1"/>
  <c r="DH167" i="1"/>
  <c r="ER167" i="1" s="1"/>
  <c r="DM167" i="1"/>
  <c r="EW167" i="1" s="1"/>
  <c r="DM89" i="1"/>
  <c r="EW89" i="1" s="1"/>
  <c r="DI89" i="1"/>
  <c r="ES89" i="1" s="1"/>
  <c r="DE90" i="1"/>
  <c r="EK90" i="1"/>
  <c r="EI91" i="1"/>
  <c r="FS91" i="1" s="1"/>
  <c r="EE91" i="1"/>
  <c r="FO91" i="1" s="1"/>
  <c r="EA91" i="1"/>
  <c r="FK91" i="1" s="1"/>
  <c r="DW91" i="1"/>
  <c r="FG91" i="1" s="1"/>
  <c r="DS91" i="1"/>
  <c r="FC91" i="1" s="1"/>
  <c r="DO91" i="1"/>
  <c r="EY91" i="1" s="1"/>
  <c r="DK91" i="1"/>
  <c r="DE92" i="1"/>
  <c r="EK92" i="1"/>
  <c r="EI93" i="1"/>
  <c r="FS93" i="1" s="1"/>
  <c r="EE93" i="1"/>
  <c r="FO93" i="1" s="1"/>
  <c r="EA93" i="1"/>
  <c r="FK93" i="1" s="1"/>
  <c r="DW93" i="1"/>
  <c r="FG93" i="1" s="1"/>
  <c r="DS93" i="1"/>
  <c r="FC93" i="1" s="1"/>
  <c r="DO93" i="1"/>
  <c r="EY93" i="1" s="1"/>
  <c r="DK93" i="1"/>
  <c r="EU93" i="1" s="1"/>
  <c r="DG93" i="1"/>
  <c r="EQ93" i="1" s="1"/>
  <c r="DE94" i="1"/>
  <c r="EK94" i="1"/>
  <c r="EI95" i="1"/>
  <c r="FS95" i="1" s="1"/>
  <c r="EE95" i="1"/>
  <c r="FO95" i="1" s="1"/>
  <c r="EA95" i="1"/>
  <c r="FK95" i="1" s="1"/>
  <c r="DW95" i="1"/>
  <c r="FG95" i="1" s="1"/>
  <c r="DS95" i="1"/>
  <c r="FC95" i="1" s="1"/>
  <c r="DO95" i="1"/>
  <c r="EY95" i="1" s="1"/>
  <c r="DK95" i="1"/>
  <c r="EU95" i="1" s="1"/>
  <c r="DG95" i="1"/>
  <c r="EQ95" i="1" s="1"/>
  <c r="DE96" i="1"/>
  <c r="EK96" i="1"/>
  <c r="EI97" i="1"/>
  <c r="FS97" i="1" s="1"/>
  <c r="EE97" i="1"/>
  <c r="FO97" i="1" s="1"/>
  <c r="EA97" i="1"/>
  <c r="FK97" i="1" s="1"/>
  <c r="DW97" i="1"/>
  <c r="FG97" i="1" s="1"/>
  <c r="DS97" i="1"/>
  <c r="FC97" i="1" s="1"/>
  <c r="DO97" i="1"/>
  <c r="EY97" i="1" s="1"/>
  <c r="DK97" i="1"/>
  <c r="EU97" i="1" s="1"/>
  <c r="EK120" i="1"/>
  <c r="EH121" i="1"/>
  <c r="FR121" i="1" s="1"/>
  <c r="ED121" i="1"/>
  <c r="FN121" i="1" s="1"/>
  <c r="DZ121" i="1"/>
  <c r="FJ121" i="1" s="1"/>
  <c r="DV121" i="1"/>
  <c r="FF121" i="1" s="1"/>
  <c r="DR121" i="1"/>
  <c r="FB121" i="1" s="1"/>
  <c r="DN121" i="1"/>
  <c r="EX121" i="1" s="1"/>
  <c r="DJ121" i="1"/>
  <c r="ET121" i="1" s="1"/>
  <c r="DF121" i="1"/>
  <c r="EI123" i="1"/>
  <c r="FS123" i="1" s="1"/>
  <c r="EE123" i="1"/>
  <c r="FO123" i="1" s="1"/>
  <c r="EA123" i="1"/>
  <c r="FK123" i="1" s="1"/>
  <c r="DW123" i="1"/>
  <c r="FG123" i="1" s="1"/>
  <c r="DS123" i="1"/>
  <c r="FC123" i="1" s="1"/>
  <c r="DO123" i="1"/>
  <c r="EY123" i="1" s="1"/>
  <c r="DK123" i="1"/>
  <c r="DG123" i="1"/>
  <c r="EQ123" i="1" s="1"/>
  <c r="DM124" i="1"/>
  <c r="EW124" i="1" s="1"/>
  <c r="DE125" i="1"/>
  <c r="EI127" i="1"/>
  <c r="FS127" i="1" s="1"/>
  <c r="EE127" i="1"/>
  <c r="FO127" i="1" s="1"/>
  <c r="EA127" i="1"/>
  <c r="FK127" i="1" s="1"/>
  <c r="DW127" i="1"/>
  <c r="FG127" i="1" s="1"/>
  <c r="DS127" i="1"/>
  <c r="FC127" i="1" s="1"/>
  <c r="DO127" i="1"/>
  <c r="EY127" i="1" s="1"/>
  <c r="DK127" i="1"/>
  <c r="EU127" i="1" s="1"/>
  <c r="DG127" i="1"/>
  <c r="EQ127" i="1" s="1"/>
  <c r="EI133" i="1"/>
  <c r="FS133" i="1" s="1"/>
  <c r="EE133" i="1"/>
  <c r="FO133" i="1" s="1"/>
  <c r="EA133" i="1"/>
  <c r="FK133" i="1" s="1"/>
  <c r="DW133" i="1"/>
  <c r="FG133" i="1" s="1"/>
  <c r="DS133" i="1"/>
  <c r="FC133" i="1" s="1"/>
  <c r="DO133" i="1"/>
  <c r="EY133" i="1" s="1"/>
  <c r="DK133" i="1"/>
  <c r="EU133" i="1" s="1"/>
  <c r="DE134" i="1"/>
  <c r="EP134" i="1"/>
  <c r="DM140" i="1"/>
  <c r="EW140" i="1" s="1"/>
  <c r="EC172" i="1"/>
  <c r="FM172" i="1" s="1"/>
  <c r="DM172" i="1"/>
  <c r="EW172" i="1" s="1"/>
  <c r="EP90" i="1"/>
  <c r="EP92" i="1"/>
  <c r="EP94" i="1"/>
  <c r="EP96" i="1"/>
  <c r="EI98" i="1"/>
  <c r="EE98" i="1"/>
  <c r="EA98" i="1"/>
  <c r="DW98" i="1"/>
  <c r="DS98" i="1"/>
  <c r="DO98" i="1"/>
  <c r="DK98" i="1"/>
  <c r="DG98" i="1"/>
  <c r="DE99" i="1"/>
  <c r="EP99" i="1"/>
  <c r="EG100" i="1"/>
  <c r="FQ100" i="1" s="1"/>
  <c r="EC100" i="1"/>
  <c r="FM100" i="1" s="1"/>
  <c r="DY100" i="1"/>
  <c r="FI100" i="1" s="1"/>
  <c r="DU100" i="1"/>
  <c r="FE100" i="1" s="1"/>
  <c r="DQ100" i="1"/>
  <c r="FA100" i="1" s="1"/>
  <c r="DM100" i="1"/>
  <c r="EW100" i="1" s="1"/>
  <c r="DK101" i="1"/>
  <c r="EU101" i="1" s="1"/>
  <c r="EI103" i="1"/>
  <c r="FS103" i="1" s="1"/>
  <c r="EE103" i="1"/>
  <c r="FO103" i="1" s="1"/>
  <c r="EA103" i="1"/>
  <c r="FK103" i="1" s="1"/>
  <c r="DW103" i="1"/>
  <c r="FG103" i="1" s="1"/>
  <c r="DS103" i="1"/>
  <c r="FC103" i="1" s="1"/>
  <c r="DO103" i="1"/>
  <c r="EY103" i="1" s="1"/>
  <c r="DK103" i="1"/>
  <c r="EU103" i="1" s="1"/>
  <c r="DG103" i="1"/>
  <c r="EQ103" i="1" s="1"/>
  <c r="DE104" i="1"/>
  <c r="EP104" i="1"/>
  <c r="EG105" i="1"/>
  <c r="FQ105" i="1" s="1"/>
  <c r="EC105" i="1"/>
  <c r="FM105" i="1" s="1"/>
  <c r="DY105" i="1"/>
  <c r="FI105" i="1" s="1"/>
  <c r="DU105" i="1"/>
  <c r="FE105" i="1" s="1"/>
  <c r="DQ105" i="1"/>
  <c r="FA105" i="1" s="1"/>
  <c r="DM105" i="1"/>
  <c r="EW105" i="1" s="1"/>
  <c r="EI107" i="1"/>
  <c r="FS107" i="1" s="1"/>
  <c r="EE107" i="1"/>
  <c r="FO107" i="1" s="1"/>
  <c r="EA107" i="1"/>
  <c r="FK107" i="1" s="1"/>
  <c r="DW107" i="1"/>
  <c r="FG107" i="1" s="1"/>
  <c r="DS107" i="1"/>
  <c r="FC107" i="1" s="1"/>
  <c r="DK107" i="1"/>
  <c r="EU107" i="1" s="1"/>
  <c r="DE108" i="1"/>
  <c r="DE214" i="1" s="1"/>
  <c r="EP108" i="1"/>
  <c r="EG109" i="1"/>
  <c r="FQ109" i="1" s="1"/>
  <c r="EC109" i="1"/>
  <c r="FM109" i="1" s="1"/>
  <c r="DY109" i="1"/>
  <c r="FI109" i="1" s="1"/>
  <c r="DU109" i="1"/>
  <c r="FE109" i="1" s="1"/>
  <c r="DQ109" i="1"/>
  <c r="FA109" i="1" s="1"/>
  <c r="DM109" i="1"/>
  <c r="EW109" i="1" s="1"/>
  <c r="EI111" i="1"/>
  <c r="FS111" i="1" s="1"/>
  <c r="EE111" i="1"/>
  <c r="FO111" i="1" s="1"/>
  <c r="EA111" i="1"/>
  <c r="FK111" i="1" s="1"/>
  <c r="DW111" i="1"/>
  <c r="FG111" i="1" s="1"/>
  <c r="DS111" i="1"/>
  <c r="FC111" i="1" s="1"/>
  <c r="DO111" i="1"/>
  <c r="EY111" i="1" s="1"/>
  <c r="DK111" i="1"/>
  <c r="EU111" i="1" s="1"/>
  <c r="DG111" i="1"/>
  <c r="EQ111" i="1" s="1"/>
  <c r="DE112" i="1"/>
  <c r="EP112" i="1"/>
  <c r="EG113" i="1"/>
  <c r="FQ113" i="1" s="1"/>
  <c r="EC113" i="1"/>
  <c r="FM113" i="1" s="1"/>
  <c r="DY113" i="1"/>
  <c r="FI113" i="1" s="1"/>
  <c r="DU113" i="1"/>
  <c r="FE113" i="1" s="1"/>
  <c r="DQ113" i="1"/>
  <c r="FA113" i="1" s="1"/>
  <c r="DM113" i="1"/>
  <c r="EW113" i="1" s="1"/>
  <c r="EI115" i="1"/>
  <c r="FS115" i="1" s="1"/>
  <c r="EE115" i="1"/>
  <c r="FO115" i="1" s="1"/>
  <c r="EA115" i="1"/>
  <c r="FK115" i="1" s="1"/>
  <c r="DW115" i="1"/>
  <c r="FG115" i="1" s="1"/>
  <c r="DS115" i="1"/>
  <c r="FC115" i="1" s="1"/>
  <c r="DO115" i="1"/>
  <c r="EY115" i="1" s="1"/>
  <c r="DK115" i="1"/>
  <c r="EU115" i="1" s="1"/>
  <c r="DG115" i="1"/>
  <c r="EQ115" i="1" s="1"/>
  <c r="DE116" i="1"/>
  <c r="EP116" i="1"/>
  <c r="EG117" i="1"/>
  <c r="FQ117" i="1" s="1"/>
  <c r="EC117" i="1"/>
  <c r="FM117" i="1" s="1"/>
  <c r="DY117" i="1"/>
  <c r="FI117" i="1" s="1"/>
  <c r="DU117" i="1"/>
  <c r="FE117" i="1" s="1"/>
  <c r="DQ117" i="1"/>
  <c r="FA117" i="1" s="1"/>
  <c r="DM117" i="1"/>
  <c r="EW117" i="1" s="1"/>
  <c r="EG118" i="1"/>
  <c r="EC118" i="1"/>
  <c r="DY118" i="1"/>
  <c r="DU118" i="1"/>
  <c r="DQ118" i="1"/>
  <c r="DM118" i="1"/>
  <c r="DK119" i="1"/>
  <c r="EU119" i="1" s="1"/>
  <c r="EH128" i="1"/>
  <c r="ED128" i="1"/>
  <c r="DZ128" i="1"/>
  <c r="DV128" i="1"/>
  <c r="DR128" i="1"/>
  <c r="DN128" i="1"/>
  <c r="DJ128" i="1"/>
  <c r="DF128" i="1"/>
  <c r="EJ129" i="1"/>
  <c r="FT129" i="1" s="1"/>
  <c r="EF129" i="1"/>
  <c r="FP129" i="1" s="1"/>
  <c r="EB129" i="1"/>
  <c r="FL129" i="1" s="1"/>
  <c r="DX129" i="1"/>
  <c r="FH129" i="1" s="1"/>
  <c r="DT129" i="1"/>
  <c r="FD129" i="1" s="1"/>
  <c r="DP129" i="1"/>
  <c r="EZ129" i="1" s="1"/>
  <c r="DL129" i="1"/>
  <c r="EV129" i="1" s="1"/>
  <c r="EI130" i="1"/>
  <c r="FS130" i="1" s="1"/>
  <c r="EE130" i="1"/>
  <c r="FO130" i="1" s="1"/>
  <c r="EA130" i="1"/>
  <c r="FK130" i="1" s="1"/>
  <c r="DW130" i="1"/>
  <c r="FG130" i="1" s="1"/>
  <c r="DS130" i="1"/>
  <c r="FC130" i="1" s="1"/>
  <c r="DO130" i="1"/>
  <c r="EY130" i="1" s="1"/>
  <c r="DK130" i="1"/>
  <c r="EU130" i="1" s="1"/>
  <c r="EJ134" i="1"/>
  <c r="FT134" i="1" s="1"/>
  <c r="EF134" i="1"/>
  <c r="FP134" i="1" s="1"/>
  <c r="EB134" i="1"/>
  <c r="FL134" i="1" s="1"/>
  <c r="DX134" i="1"/>
  <c r="FH134" i="1" s="1"/>
  <c r="DT134" i="1"/>
  <c r="FD134" i="1" s="1"/>
  <c r="DP134" i="1"/>
  <c r="EZ134" i="1" s="1"/>
  <c r="DL134" i="1"/>
  <c r="EV134" i="1" s="1"/>
  <c r="DH134" i="1"/>
  <c r="ER134" i="1" s="1"/>
  <c r="DE135" i="1"/>
  <c r="EP135" i="1"/>
  <c r="EI151" i="1"/>
  <c r="FS151" i="1" s="1"/>
  <c r="EA151" i="1"/>
  <c r="FK151" i="1" s="1"/>
  <c r="DS151" i="1"/>
  <c r="FC151" i="1" s="1"/>
  <c r="EI155" i="1"/>
  <c r="FS155" i="1" s="1"/>
  <c r="EA155" i="1"/>
  <c r="FK155" i="1" s="1"/>
  <c r="DS155" i="1"/>
  <c r="FC155" i="1" s="1"/>
  <c r="DL160" i="1"/>
  <c r="EV160" i="1" s="1"/>
  <c r="DF161" i="1"/>
  <c r="DF91" i="1"/>
  <c r="DH91" i="1"/>
  <c r="ER91" i="1" s="1"/>
  <c r="DJ91" i="1"/>
  <c r="ET91" i="1" s="1"/>
  <c r="DL91" i="1"/>
  <c r="EV91" i="1" s="1"/>
  <c r="DN91" i="1"/>
  <c r="EX91" i="1" s="1"/>
  <c r="DP91" i="1"/>
  <c r="EZ91" i="1" s="1"/>
  <c r="DR91" i="1"/>
  <c r="FB91" i="1" s="1"/>
  <c r="DT91" i="1"/>
  <c r="FD91" i="1" s="1"/>
  <c r="DV91" i="1"/>
  <c r="FF91" i="1" s="1"/>
  <c r="DX91" i="1"/>
  <c r="FH91" i="1" s="1"/>
  <c r="DZ91" i="1"/>
  <c r="FJ91" i="1" s="1"/>
  <c r="EB91" i="1"/>
  <c r="FL91" i="1" s="1"/>
  <c r="ED91" i="1"/>
  <c r="FN91" i="1" s="1"/>
  <c r="EF91" i="1"/>
  <c r="FP91" i="1" s="1"/>
  <c r="EH91" i="1"/>
  <c r="FR91" i="1" s="1"/>
  <c r="EJ91" i="1"/>
  <c r="FT91" i="1" s="1"/>
  <c r="DF97" i="1"/>
  <c r="DH97" i="1"/>
  <c r="ER97" i="1" s="1"/>
  <c r="DJ97" i="1"/>
  <c r="ET97" i="1" s="1"/>
  <c r="DL97" i="1"/>
  <c r="EV97" i="1" s="1"/>
  <c r="DN97" i="1"/>
  <c r="EX97" i="1" s="1"/>
  <c r="DP97" i="1"/>
  <c r="EZ97" i="1" s="1"/>
  <c r="DR97" i="1"/>
  <c r="FB97" i="1" s="1"/>
  <c r="DT97" i="1"/>
  <c r="FD97" i="1" s="1"/>
  <c r="DV97" i="1"/>
  <c r="FF97" i="1" s="1"/>
  <c r="DX97" i="1"/>
  <c r="FH97" i="1" s="1"/>
  <c r="DZ97" i="1"/>
  <c r="FJ97" i="1" s="1"/>
  <c r="EB97" i="1"/>
  <c r="FL97" i="1" s="1"/>
  <c r="ED97" i="1"/>
  <c r="FN97" i="1" s="1"/>
  <c r="EF97" i="1"/>
  <c r="FP97" i="1" s="1"/>
  <c r="EH97" i="1"/>
  <c r="FR97" i="1" s="1"/>
  <c r="EJ97" i="1"/>
  <c r="FT97" i="1" s="1"/>
  <c r="DF124" i="1"/>
  <c r="DH124" i="1"/>
  <c r="ER124" i="1" s="1"/>
  <c r="DJ124" i="1"/>
  <c r="ET124" i="1" s="1"/>
  <c r="DL124" i="1"/>
  <c r="EV124" i="1" s="1"/>
  <c r="DF130" i="1"/>
  <c r="DH130" i="1"/>
  <c r="ER130" i="1" s="1"/>
  <c r="DJ130" i="1"/>
  <c r="ET130" i="1" s="1"/>
  <c r="DL130" i="1"/>
  <c r="EV130" i="1" s="1"/>
  <c r="DF133" i="1"/>
  <c r="DH133" i="1"/>
  <c r="ER133" i="1" s="1"/>
  <c r="DJ133" i="1"/>
  <c r="ET133" i="1" s="1"/>
  <c r="DL133" i="1"/>
  <c r="EV133" i="1" s="1"/>
  <c r="DN133" i="1"/>
  <c r="EX133" i="1" s="1"/>
  <c r="DP133" i="1"/>
  <c r="EZ133" i="1" s="1"/>
  <c r="DR133" i="1"/>
  <c r="FB133" i="1" s="1"/>
  <c r="DT133" i="1"/>
  <c r="FD133" i="1" s="1"/>
  <c r="DV133" i="1"/>
  <c r="FF133" i="1" s="1"/>
  <c r="DX133" i="1"/>
  <c r="FH133" i="1" s="1"/>
  <c r="DZ133" i="1"/>
  <c r="FJ133" i="1" s="1"/>
  <c r="EB133" i="1"/>
  <c r="FL133" i="1" s="1"/>
  <c r="ED133" i="1"/>
  <c r="FN133" i="1" s="1"/>
  <c r="EF133" i="1"/>
  <c r="FP133" i="1" s="1"/>
  <c r="EH133" i="1"/>
  <c r="FR133" i="1" s="1"/>
  <c r="EJ133" i="1"/>
  <c r="FT133" i="1" s="1"/>
  <c r="DC88" i="1"/>
  <c r="DE88" i="1"/>
  <c r="DE212" i="1" s="1"/>
  <c r="DN100" i="1"/>
  <c r="EX100" i="1" s="1"/>
  <c r="DP100" i="1"/>
  <c r="EZ100" i="1" s="1"/>
  <c r="DR100" i="1"/>
  <c r="FB100" i="1" s="1"/>
  <c r="DT100" i="1"/>
  <c r="FD100" i="1" s="1"/>
  <c r="DV100" i="1"/>
  <c r="FF100" i="1" s="1"/>
  <c r="DX100" i="1"/>
  <c r="FH100" i="1" s="1"/>
  <c r="DZ100" i="1"/>
  <c r="FJ100" i="1" s="1"/>
  <c r="EB100" i="1"/>
  <c r="FL100" i="1" s="1"/>
  <c r="ED100" i="1"/>
  <c r="FN100" i="1" s="1"/>
  <c r="EF100" i="1"/>
  <c r="FP100" i="1" s="1"/>
  <c r="EH100" i="1"/>
  <c r="FR100" i="1" s="1"/>
  <c r="EJ100" i="1"/>
  <c r="FT100" i="1" s="1"/>
  <c r="DF101" i="1"/>
  <c r="DH101" i="1"/>
  <c r="ER101" i="1" s="1"/>
  <c r="DJ101" i="1"/>
  <c r="ET101" i="1" s="1"/>
  <c r="DL101" i="1"/>
  <c r="EV101" i="1" s="1"/>
  <c r="DF105" i="1"/>
  <c r="DH105" i="1"/>
  <c r="ER105" i="1" s="1"/>
  <c r="DJ105" i="1"/>
  <c r="ET105" i="1" s="1"/>
  <c r="DL105" i="1"/>
  <c r="EV105" i="1" s="1"/>
  <c r="DN105" i="1"/>
  <c r="EX105" i="1" s="1"/>
  <c r="DP105" i="1"/>
  <c r="EZ105" i="1" s="1"/>
  <c r="DR105" i="1"/>
  <c r="FB105" i="1" s="1"/>
  <c r="DT105" i="1"/>
  <c r="FD105" i="1" s="1"/>
  <c r="DV105" i="1"/>
  <c r="FF105" i="1" s="1"/>
  <c r="DX105" i="1"/>
  <c r="FH105" i="1" s="1"/>
  <c r="DZ105" i="1"/>
  <c r="FJ105" i="1" s="1"/>
  <c r="EB105" i="1"/>
  <c r="FL105" i="1" s="1"/>
  <c r="ED105" i="1"/>
  <c r="FN105" i="1" s="1"/>
  <c r="EF105" i="1"/>
  <c r="FP105" i="1" s="1"/>
  <c r="EH105" i="1"/>
  <c r="FR105" i="1" s="1"/>
  <c r="EJ105" i="1"/>
  <c r="FT105" i="1" s="1"/>
  <c r="DF109" i="1"/>
  <c r="DH109" i="1"/>
  <c r="ER109" i="1" s="1"/>
  <c r="DJ109" i="1"/>
  <c r="ET109" i="1" s="1"/>
  <c r="DL109" i="1"/>
  <c r="EV109" i="1" s="1"/>
  <c r="DN109" i="1"/>
  <c r="EX109" i="1" s="1"/>
  <c r="DP109" i="1"/>
  <c r="EZ109" i="1" s="1"/>
  <c r="DR109" i="1"/>
  <c r="FB109" i="1" s="1"/>
  <c r="DT109" i="1"/>
  <c r="FD109" i="1" s="1"/>
  <c r="DV109" i="1"/>
  <c r="FF109" i="1" s="1"/>
  <c r="DX109" i="1"/>
  <c r="FH109" i="1" s="1"/>
  <c r="DZ109" i="1"/>
  <c r="FJ109" i="1" s="1"/>
  <c r="EB109" i="1"/>
  <c r="FL109" i="1" s="1"/>
  <c r="ED109" i="1"/>
  <c r="FN109" i="1" s="1"/>
  <c r="EF109" i="1"/>
  <c r="FP109" i="1" s="1"/>
  <c r="EH109" i="1"/>
  <c r="FR109" i="1" s="1"/>
  <c r="EJ109" i="1"/>
  <c r="FT109" i="1" s="1"/>
  <c r="DF113" i="1"/>
  <c r="DH113" i="1"/>
  <c r="ER113" i="1" s="1"/>
  <c r="DJ113" i="1"/>
  <c r="ET113" i="1" s="1"/>
  <c r="DL113" i="1"/>
  <c r="EV113" i="1" s="1"/>
  <c r="DN113" i="1"/>
  <c r="EX113" i="1" s="1"/>
  <c r="DP113" i="1"/>
  <c r="EZ113" i="1" s="1"/>
  <c r="DR113" i="1"/>
  <c r="FB113" i="1" s="1"/>
  <c r="DT113" i="1"/>
  <c r="FD113" i="1" s="1"/>
  <c r="DV113" i="1"/>
  <c r="FF113" i="1" s="1"/>
  <c r="DX113" i="1"/>
  <c r="FH113" i="1" s="1"/>
  <c r="DZ113" i="1"/>
  <c r="FJ113" i="1" s="1"/>
  <c r="EB113" i="1"/>
  <c r="FL113" i="1" s="1"/>
  <c r="ED113" i="1"/>
  <c r="FN113" i="1" s="1"/>
  <c r="EF113" i="1"/>
  <c r="FP113" i="1" s="1"/>
  <c r="EH113" i="1"/>
  <c r="FR113" i="1" s="1"/>
  <c r="EJ113" i="1"/>
  <c r="FT113" i="1" s="1"/>
  <c r="DF117" i="1"/>
  <c r="DH117" i="1"/>
  <c r="ER117" i="1" s="1"/>
  <c r="DJ117" i="1"/>
  <c r="ET117" i="1" s="1"/>
  <c r="DL117" i="1"/>
  <c r="EV117" i="1" s="1"/>
  <c r="DN117" i="1"/>
  <c r="EX117" i="1" s="1"/>
  <c r="DP117" i="1"/>
  <c r="EZ117" i="1" s="1"/>
  <c r="DR117" i="1"/>
  <c r="FB117" i="1" s="1"/>
  <c r="DT117" i="1"/>
  <c r="FD117" i="1" s="1"/>
  <c r="DV117" i="1"/>
  <c r="FF117" i="1" s="1"/>
  <c r="DX117" i="1"/>
  <c r="FH117" i="1" s="1"/>
  <c r="DZ117" i="1"/>
  <c r="FJ117" i="1" s="1"/>
  <c r="EB117" i="1"/>
  <c r="FL117" i="1" s="1"/>
  <c r="ED117" i="1"/>
  <c r="FN117" i="1" s="1"/>
  <c r="EF117" i="1"/>
  <c r="FP117" i="1" s="1"/>
  <c r="EH117" i="1"/>
  <c r="FR117" i="1" s="1"/>
  <c r="EJ117" i="1"/>
  <c r="FT117" i="1" s="1"/>
  <c r="DN118" i="1"/>
  <c r="DP118" i="1"/>
  <c r="DR118" i="1"/>
  <c r="DT118" i="1"/>
  <c r="DV118" i="1"/>
  <c r="DX118" i="1"/>
  <c r="DZ118" i="1"/>
  <c r="EB118" i="1"/>
  <c r="ED118" i="1"/>
  <c r="EF118" i="1"/>
  <c r="EH118" i="1"/>
  <c r="EJ118" i="1"/>
  <c r="DC122" i="1"/>
  <c r="DE122" i="1"/>
  <c r="DF123" i="1"/>
  <c r="DH123" i="1"/>
  <c r="ER123" i="1" s="1"/>
  <c r="DJ123" i="1"/>
  <c r="ET123" i="1" s="1"/>
  <c r="DL123" i="1"/>
  <c r="DC126" i="1"/>
  <c r="DE126" i="1"/>
  <c r="DF127" i="1"/>
  <c r="DH127" i="1"/>
  <c r="ER127" i="1" s="1"/>
  <c r="DJ127" i="1"/>
  <c r="ET127" i="1" s="1"/>
  <c r="DL127" i="1"/>
  <c r="EV127" i="1" s="1"/>
  <c r="DG129" i="1"/>
  <c r="EQ129" i="1" s="1"/>
  <c r="DI129" i="1"/>
  <c r="ES129" i="1" s="1"/>
  <c r="DK129" i="1"/>
  <c r="EU129" i="1" s="1"/>
  <c r="DM129" i="1"/>
  <c r="EW129" i="1" s="1"/>
  <c r="DO129" i="1"/>
  <c r="EY129" i="1" s="1"/>
  <c r="DQ129" i="1"/>
  <c r="FA129" i="1" s="1"/>
  <c r="DS129" i="1"/>
  <c r="FC129" i="1" s="1"/>
  <c r="DU129" i="1"/>
  <c r="FE129" i="1" s="1"/>
  <c r="DW129" i="1"/>
  <c r="FG129" i="1" s="1"/>
  <c r="DY129" i="1"/>
  <c r="FI129" i="1" s="1"/>
  <c r="EA129" i="1"/>
  <c r="FK129" i="1" s="1"/>
  <c r="EC129" i="1"/>
  <c r="FM129" i="1" s="1"/>
  <c r="EE129" i="1"/>
  <c r="FO129" i="1" s="1"/>
  <c r="EG129" i="1"/>
  <c r="FQ129" i="1" s="1"/>
  <c r="EI129" i="1"/>
  <c r="FS129" i="1" s="1"/>
  <c r="DC132" i="1"/>
  <c r="DE132" i="1"/>
  <c r="DC138" i="1"/>
  <c r="DE138" i="1"/>
  <c r="DE217" i="1" s="1"/>
  <c r="EK138" i="1"/>
  <c r="EP138" i="1"/>
  <c r="DC148" i="1"/>
  <c r="DE148" i="1"/>
  <c r="DF151" i="1"/>
  <c r="DH151" i="1"/>
  <c r="ER151" i="1" s="1"/>
  <c r="DJ151" i="1"/>
  <c r="ET151" i="1" s="1"/>
  <c r="DL151" i="1"/>
  <c r="EV151" i="1" s="1"/>
  <c r="DN151" i="1"/>
  <c r="EX151" i="1" s="1"/>
  <c r="DP151" i="1"/>
  <c r="EZ151" i="1" s="1"/>
  <c r="DR151" i="1"/>
  <c r="FB151" i="1" s="1"/>
  <c r="DT151" i="1"/>
  <c r="FD151" i="1" s="1"/>
  <c r="DV151" i="1"/>
  <c r="FF151" i="1" s="1"/>
  <c r="DX151" i="1"/>
  <c r="FH151" i="1" s="1"/>
  <c r="DZ151" i="1"/>
  <c r="FJ151" i="1" s="1"/>
  <c r="EB151" i="1"/>
  <c r="FL151" i="1" s="1"/>
  <c r="ED151" i="1"/>
  <c r="FN151" i="1" s="1"/>
  <c r="EF151" i="1"/>
  <c r="FP151" i="1" s="1"/>
  <c r="EH151" i="1"/>
  <c r="FR151" i="1" s="1"/>
  <c r="EJ151" i="1"/>
  <c r="FT151" i="1" s="1"/>
  <c r="DI151" i="1"/>
  <c r="ES151" i="1" s="1"/>
  <c r="DM151" i="1"/>
  <c r="EW151" i="1" s="1"/>
  <c r="DQ151" i="1"/>
  <c r="FA151" i="1" s="1"/>
  <c r="DU151" i="1"/>
  <c r="FE151" i="1" s="1"/>
  <c r="DY151" i="1"/>
  <c r="FI151" i="1" s="1"/>
  <c r="EC151" i="1"/>
  <c r="FM151" i="1" s="1"/>
  <c r="EG151" i="1"/>
  <c r="FQ151" i="1" s="1"/>
  <c r="DF155" i="1"/>
  <c r="DH155" i="1"/>
  <c r="ER155" i="1" s="1"/>
  <c r="DJ155" i="1"/>
  <c r="DL155" i="1"/>
  <c r="EV155" i="1" s="1"/>
  <c r="DN155" i="1"/>
  <c r="EX155" i="1" s="1"/>
  <c r="DP155" i="1"/>
  <c r="EZ155" i="1" s="1"/>
  <c r="DR155" i="1"/>
  <c r="FB155" i="1" s="1"/>
  <c r="DT155" i="1"/>
  <c r="FD155" i="1" s="1"/>
  <c r="DV155" i="1"/>
  <c r="FF155" i="1" s="1"/>
  <c r="DX155" i="1"/>
  <c r="FH155" i="1" s="1"/>
  <c r="DZ155" i="1"/>
  <c r="FJ155" i="1" s="1"/>
  <c r="EB155" i="1"/>
  <c r="FL155" i="1" s="1"/>
  <c r="ED155" i="1"/>
  <c r="FN155" i="1" s="1"/>
  <c r="EF155" i="1"/>
  <c r="FP155" i="1" s="1"/>
  <c r="EH155" i="1"/>
  <c r="FR155" i="1" s="1"/>
  <c r="EJ155" i="1"/>
  <c r="FT155" i="1" s="1"/>
  <c r="DI155" i="1"/>
  <c r="DM155" i="1"/>
  <c r="EW155" i="1" s="1"/>
  <c r="DQ155" i="1"/>
  <c r="FA155" i="1" s="1"/>
  <c r="DU155" i="1"/>
  <c r="FE155" i="1" s="1"/>
  <c r="DY155" i="1"/>
  <c r="FI155" i="1" s="1"/>
  <c r="EC155" i="1"/>
  <c r="FM155" i="1" s="1"/>
  <c r="EG155" i="1"/>
  <c r="FQ155" i="1" s="1"/>
  <c r="DC163" i="1"/>
  <c r="DE163" i="1"/>
  <c r="DE166" i="1"/>
  <c r="DC166" i="1"/>
  <c r="DO167" i="1"/>
  <c r="EY167" i="1" s="1"/>
  <c r="DT167" i="1"/>
  <c r="FD167" i="1" s="1"/>
  <c r="DW167" i="1"/>
  <c r="FG167" i="1" s="1"/>
  <c r="EB167" i="1"/>
  <c r="FL167" i="1" s="1"/>
  <c r="EE167" i="1"/>
  <c r="FO167" i="1" s="1"/>
  <c r="EJ167" i="1"/>
  <c r="FT167" i="1" s="1"/>
  <c r="DN167" i="1"/>
  <c r="EX167" i="1" s="1"/>
  <c r="DQ167" i="1"/>
  <c r="FA167" i="1" s="1"/>
  <c r="DV167" i="1"/>
  <c r="FF167" i="1" s="1"/>
  <c r="DY167" i="1"/>
  <c r="FI167" i="1" s="1"/>
  <c r="ED167" i="1"/>
  <c r="FN167" i="1" s="1"/>
  <c r="EG167" i="1"/>
  <c r="FQ167" i="1" s="1"/>
  <c r="DS167" i="1"/>
  <c r="FC167" i="1" s="1"/>
  <c r="DX167" i="1"/>
  <c r="FH167" i="1" s="1"/>
  <c r="EI167" i="1"/>
  <c r="FS167" i="1" s="1"/>
  <c r="DR167" i="1"/>
  <c r="FB167" i="1" s="1"/>
  <c r="EC167" i="1"/>
  <c r="FM167" i="1" s="1"/>
  <c r="EH167" i="1"/>
  <c r="FR167" i="1" s="1"/>
  <c r="DG168" i="1"/>
  <c r="DI168" i="1"/>
  <c r="DK168" i="1"/>
  <c r="DM168" i="1"/>
  <c r="EW168" i="1" s="1"/>
  <c r="DO168" i="1"/>
  <c r="EY168" i="1" s="1"/>
  <c r="DQ168" i="1"/>
  <c r="DS168" i="1"/>
  <c r="DU168" i="1"/>
  <c r="DW168" i="1"/>
  <c r="DY168" i="1"/>
  <c r="EA168" i="1"/>
  <c r="EC168" i="1"/>
  <c r="EE168" i="1"/>
  <c r="EG168" i="1"/>
  <c r="EI168" i="1"/>
  <c r="DL168" i="1"/>
  <c r="EV168" i="1" s="1"/>
  <c r="DT168" i="1"/>
  <c r="EB168" i="1"/>
  <c r="EJ168" i="1"/>
  <c r="DF168" i="1"/>
  <c r="DN168" i="1"/>
  <c r="EX168" i="1" s="1"/>
  <c r="DV168" i="1"/>
  <c r="ED168" i="1"/>
  <c r="DH168" i="1"/>
  <c r="DX168" i="1"/>
  <c r="DR168" i="1"/>
  <c r="EH168" i="1"/>
  <c r="EP184" i="1"/>
  <c r="DH186" i="1"/>
  <c r="ER186" i="1" s="1"/>
  <c r="DM186" i="1"/>
  <c r="EW186" i="1" s="1"/>
  <c r="DF186" i="1"/>
  <c r="DI186" i="1"/>
  <c r="ES186" i="1" s="1"/>
  <c r="DL186" i="1"/>
  <c r="EV186" i="1" s="1"/>
  <c r="DK186" i="1"/>
  <c r="EU186" i="1" s="1"/>
  <c r="DG186" i="1"/>
  <c r="EQ186" i="1" s="1"/>
  <c r="DK89" i="1"/>
  <c r="EU89" i="1" s="1"/>
  <c r="DG89" i="1"/>
  <c r="EQ89" i="1" s="1"/>
  <c r="EG91" i="1"/>
  <c r="FQ91" i="1" s="1"/>
  <c r="EC91" i="1"/>
  <c r="FM91" i="1" s="1"/>
  <c r="DY91" i="1"/>
  <c r="FI91" i="1" s="1"/>
  <c r="DU91" i="1"/>
  <c r="FE91" i="1" s="1"/>
  <c r="DQ91" i="1"/>
  <c r="DM91" i="1"/>
  <c r="EW91" i="1" s="1"/>
  <c r="DI91" i="1"/>
  <c r="ES91" i="1" s="1"/>
  <c r="EG93" i="1"/>
  <c r="FQ93" i="1" s="1"/>
  <c r="EC93" i="1"/>
  <c r="FM93" i="1" s="1"/>
  <c r="DY93" i="1"/>
  <c r="FI93" i="1" s="1"/>
  <c r="DU93" i="1"/>
  <c r="FE93" i="1" s="1"/>
  <c r="DQ93" i="1"/>
  <c r="FA93" i="1" s="1"/>
  <c r="DM93" i="1"/>
  <c r="EW93" i="1" s="1"/>
  <c r="DI93" i="1"/>
  <c r="ES93" i="1" s="1"/>
  <c r="EG95" i="1"/>
  <c r="FQ95" i="1" s="1"/>
  <c r="EC95" i="1"/>
  <c r="FM95" i="1" s="1"/>
  <c r="DY95" i="1"/>
  <c r="FI95" i="1" s="1"/>
  <c r="DU95" i="1"/>
  <c r="FE95" i="1" s="1"/>
  <c r="DQ95" i="1"/>
  <c r="FA95" i="1" s="1"/>
  <c r="DM95" i="1"/>
  <c r="EW95" i="1" s="1"/>
  <c r="DI95" i="1"/>
  <c r="ES95" i="1" s="1"/>
  <c r="EG97" i="1"/>
  <c r="FQ97" i="1" s="1"/>
  <c r="EC97" i="1"/>
  <c r="FM97" i="1" s="1"/>
  <c r="DY97" i="1"/>
  <c r="FI97" i="1" s="1"/>
  <c r="DU97" i="1"/>
  <c r="FE97" i="1" s="1"/>
  <c r="DQ97" i="1"/>
  <c r="FA97" i="1" s="1"/>
  <c r="DM97" i="1"/>
  <c r="EW97" i="1" s="1"/>
  <c r="DI97" i="1"/>
  <c r="ES97" i="1" s="1"/>
  <c r="DF107" i="1"/>
  <c r="EJ121" i="1"/>
  <c r="FT121" i="1" s="1"/>
  <c r="EF121" i="1"/>
  <c r="FP121" i="1" s="1"/>
  <c r="EB121" i="1"/>
  <c r="FL121" i="1" s="1"/>
  <c r="DX121" i="1"/>
  <c r="FH121" i="1" s="1"/>
  <c r="DT121" i="1"/>
  <c r="FD121" i="1" s="1"/>
  <c r="DP121" i="1"/>
  <c r="EZ121" i="1" s="1"/>
  <c r="DL121" i="1"/>
  <c r="EV121" i="1" s="1"/>
  <c r="DH121" i="1"/>
  <c r="ER121" i="1" s="1"/>
  <c r="EG123" i="1"/>
  <c r="FQ123" i="1" s="1"/>
  <c r="EC123" i="1"/>
  <c r="FM123" i="1" s="1"/>
  <c r="DY123" i="1"/>
  <c r="FI123" i="1" s="1"/>
  <c r="DU123" i="1"/>
  <c r="FE123" i="1" s="1"/>
  <c r="DQ123" i="1"/>
  <c r="FA123" i="1" s="1"/>
  <c r="DM123" i="1"/>
  <c r="EW123" i="1" s="1"/>
  <c r="DI123" i="1"/>
  <c r="ES123" i="1" s="1"/>
  <c r="DK124" i="1"/>
  <c r="EU124" i="1" s="1"/>
  <c r="DG124" i="1"/>
  <c r="EQ124" i="1" s="1"/>
  <c r="EG127" i="1"/>
  <c r="FQ127" i="1" s="1"/>
  <c r="EC127" i="1"/>
  <c r="FM127" i="1" s="1"/>
  <c r="DY127" i="1"/>
  <c r="FI127" i="1" s="1"/>
  <c r="DU127" i="1"/>
  <c r="FE127" i="1" s="1"/>
  <c r="DQ127" i="1"/>
  <c r="FA127" i="1" s="1"/>
  <c r="DM127" i="1"/>
  <c r="EW127" i="1" s="1"/>
  <c r="DI127" i="1"/>
  <c r="ES127" i="1" s="1"/>
  <c r="EK131" i="1"/>
  <c r="EG133" i="1"/>
  <c r="FQ133" i="1" s="1"/>
  <c r="EC133" i="1"/>
  <c r="FM133" i="1" s="1"/>
  <c r="DY133" i="1"/>
  <c r="FI133" i="1" s="1"/>
  <c r="DU133" i="1"/>
  <c r="FE133" i="1" s="1"/>
  <c r="DQ133" i="1"/>
  <c r="FA133" i="1" s="1"/>
  <c r="DM133" i="1"/>
  <c r="EW133" i="1" s="1"/>
  <c r="DI133" i="1"/>
  <c r="ES133" i="1" s="1"/>
  <c r="DI140" i="1"/>
  <c r="ES140" i="1" s="1"/>
  <c r="DN160" i="1"/>
  <c r="EX160" i="1" s="1"/>
  <c r="EF161" i="1"/>
  <c r="FP161" i="1" s="1"/>
  <c r="EK170" i="1"/>
  <c r="DU172" i="1"/>
  <c r="FE172" i="1" s="1"/>
  <c r="DG147" i="1"/>
  <c r="EQ147" i="1" s="1"/>
  <c r="DI147" i="1"/>
  <c r="ES147" i="1" s="1"/>
  <c r="DK147" i="1"/>
  <c r="DM147" i="1"/>
  <c r="DO147" i="1"/>
  <c r="EY147" i="1" s="1"/>
  <c r="DQ147" i="1"/>
  <c r="FA147" i="1" s="1"/>
  <c r="DS147" i="1"/>
  <c r="FC147" i="1" s="1"/>
  <c r="DU147" i="1"/>
  <c r="FE147" i="1" s="1"/>
  <c r="DW147" i="1"/>
  <c r="FG147" i="1" s="1"/>
  <c r="DY147" i="1"/>
  <c r="FI147" i="1" s="1"/>
  <c r="EA147" i="1"/>
  <c r="FK147" i="1" s="1"/>
  <c r="EC147" i="1"/>
  <c r="FM147" i="1" s="1"/>
  <c r="EE147" i="1"/>
  <c r="FO147" i="1" s="1"/>
  <c r="EG147" i="1"/>
  <c r="FQ147" i="1" s="1"/>
  <c r="EI147" i="1"/>
  <c r="FS147" i="1" s="1"/>
  <c r="DG149" i="1"/>
  <c r="EQ149" i="1" s="1"/>
  <c r="DI149" i="1"/>
  <c r="ES149" i="1" s="1"/>
  <c r="DK149" i="1"/>
  <c r="EU149" i="1" s="1"/>
  <c r="DM149" i="1"/>
  <c r="EW149" i="1" s="1"/>
  <c r="DO149" i="1"/>
  <c r="EY149" i="1" s="1"/>
  <c r="DQ149" i="1"/>
  <c r="FA149" i="1" s="1"/>
  <c r="DS149" i="1"/>
  <c r="FC149" i="1" s="1"/>
  <c r="DU149" i="1"/>
  <c r="FE149" i="1" s="1"/>
  <c r="DW149" i="1"/>
  <c r="FG149" i="1" s="1"/>
  <c r="DY149" i="1"/>
  <c r="FI149" i="1" s="1"/>
  <c r="EA149" i="1"/>
  <c r="FK149" i="1" s="1"/>
  <c r="EC149" i="1"/>
  <c r="FM149" i="1" s="1"/>
  <c r="EE149" i="1"/>
  <c r="FO149" i="1" s="1"/>
  <c r="EG149" i="1"/>
  <c r="FQ149" i="1" s="1"/>
  <c r="EI149" i="1"/>
  <c r="FS149" i="1" s="1"/>
  <c r="DF153" i="1"/>
  <c r="DH153" i="1"/>
  <c r="ER153" i="1" s="1"/>
  <c r="DJ153" i="1"/>
  <c r="ET153" i="1" s="1"/>
  <c r="DL153" i="1"/>
  <c r="DN153" i="1"/>
  <c r="EX153" i="1" s="1"/>
  <c r="DP153" i="1"/>
  <c r="EZ153" i="1" s="1"/>
  <c r="DR153" i="1"/>
  <c r="FB153" i="1" s="1"/>
  <c r="DT153" i="1"/>
  <c r="FD153" i="1" s="1"/>
  <c r="DV153" i="1"/>
  <c r="FF153" i="1" s="1"/>
  <c r="DX153" i="1"/>
  <c r="FH153" i="1" s="1"/>
  <c r="DZ153" i="1"/>
  <c r="FJ153" i="1" s="1"/>
  <c r="EB153" i="1"/>
  <c r="FL153" i="1" s="1"/>
  <c r="ED153" i="1"/>
  <c r="FN153" i="1" s="1"/>
  <c r="EF153" i="1"/>
  <c r="FP153" i="1" s="1"/>
  <c r="EH153" i="1"/>
  <c r="FR153" i="1" s="1"/>
  <c r="EJ153" i="1"/>
  <c r="FT153" i="1" s="1"/>
  <c r="EP156" i="1"/>
  <c r="DC173" i="1"/>
  <c r="DE173" i="1"/>
  <c r="DG179" i="1"/>
  <c r="EQ179" i="1" s="1"/>
  <c r="DI179" i="1"/>
  <c r="ES179" i="1" s="1"/>
  <c r="DK179" i="1"/>
  <c r="EU179" i="1" s="1"/>
  <c r="DM179" i="1"/>
  <c r="EW179" i="1" s="1"/>
  <c r="DO179" i="1"/>
  <c r="EY179" i="1" s="1"/>
  <c r="DQ179" i="1"/>
  <c r="FA179" i="1" s="1"/>
  <c r="DS179" i="1"/>
  <c r="FC179" i="1" s="1"/>
  <c r="DU179" i="1"/>
  <c r="FE179" i="1" s="1"/>
  <c r="DW179" i="1"/>
  <c r="FG179" i="1" s="1"/>
  <c r="DY179" i="1"/>
  <c r="FI179" i="1" s="1"/>
  <c r="EA179" i="1"/>
  <c r="FK179" i="1" s="1"/>
  <c r="EC179" i="1"/>
  <c r="FM179" i="1" s="1"/>
  <c r="EE179" i="1"/>
  <c r="FO179" i="1" s="1"/>
  <c r="EG179" i="1"/>
  <c r="FQ179" i="1" s="1"/>
  <c r="EI179" i="1"/>
  <c r="FS179" i="1" s="1"/>
  <c r="DL179" i="1"/>
  <c r="EV179" i="1" s="1"/>
  <c r="DT179" i="1"/>
  <c r="FD179" i="1" s="1"/>
  <c r="EB179" i="1"/>
  <c r="FL179" i="1" s="1"/>
  <c r="EJ179" i="1"/>
  <c r="FT179" i="1" s="1"/>
  <c r="DF179" i="1"/>
  <c r="DN179" i="1"/>
  <c r="EX179" i="1" s="1"/>
  <c r="DV179" i="1"/>
  <c r="FF179" i="1" s="1"/>
  <c r="ED179" i="1"/>
  <c r="FN179" i="1" s="1"/>
  <c r="DJ179" i="1"/>
  <c r="ET179" i="1" s="1"/>
  <c r="DZ179" i="1"/>
  <c r="FJ179" i="1" s="1"/>
  <c r="DH179" i="1"/>
  <c r="ER179" i="1" s="1"/>
  <c r="DX179" i="1"/>
  <c r="FH179" i="1" s="1"/>
  <c r="EP180" i="1"/>
  <c r="DF181" i="1"/>
  <c r="DH181" i="1"/>
  <c r="ER181" i="1" s="1"/>
  <c r="DJ181" i="1"/>
  <c r="ET181" i="1" s="1"/>
  <c r="DL181" i="1"/>
  <c r="EV181" i="1" s="1"/>
  <c r="DK181" i="1"/>
  <c r="EU181" i="1" s="1"/>
  <c r="DM181" i="1"/>
  <c r="EW181" i="1" s="1"/>
  <c r="DI181" i="1"/>
  <c r="ES181" i="1" s="1"/>
  <c r="DG181" i="1"/>
  <c r="EQ181" i="1" s="1"/>
  <c r="DF185" i="1"/>
  <c r="DH185" i="1"/>
  <c r="ER185" i="1" s="1"/>
  <c r="DJ185" i="1"/>
  <c r="ET185" i="1" s="1"/>
  <c r="DL185" i="1"/>
  <c r="EV185" i="1" s="1"/>
  <c r="DI185" i="1"/>
  <c r="ES185" i="1" s="1"/>
  <c r="DG185" i="1"/>
  <c r="EQ185" i="1" s="1"/>
  <c r="DM185" i="1"/>
  <c r="EW185" i="1" s="1"/>
  <c r="DC205" i="1"/>
  <c r="DE205" i="1"/>
  <c r="H494" i="1"/>
  <c r="H464" i="1"/>
  <c r="EE99" i="1"/>
  <c r="FO99" i="1" s="1"/>
  <c r="EC99" i="1"/>
  <c r="FM99" i="1" s="1"/>
  <c r="EA99" i="1"/>
  <c r="FK99" i="1" s="1"/>
  <c r="DY99" i="1"/>
  <c r="FI99" i="1" s="1"/>
  <c r="DW99" i="1"/>
  <c r="FG99" i="1" s="1"/>
  <c r="DU99" i="1"/>
  <c r="FE99" i="1" s="1"/>
  <c r="DS99" i="1"/>
  <c r="FC99" i="1" s="1"/>
  <c r="DQ99" i="1"/>
  <c r="FA99" i="1" s="1"/>
  <c r="DO99" i="1"/>
  <c r="EY99" i="1" s="1"/>
  <c r="DM99" i="1"/>
  <c r="EW99" i="1" s="1"/>
  <c r="DK99" i="1"/>
  <c r="EU99" i="1" s="1"/>
  <c r="DI99" i="1"/>
  <c r="ES99" i="1" s="1"/>
  <c r="EI102" i="1"/>
  <c r="FS102" i="1" s="1"/>
  <c r="EG102" i="1"/>
  <c r="FQ102" i="1" s="1"/>
  <c r="EE102" i="1"/>
  <c r="FO102" i="1" s="1"/>
  <c r="EC102" i="1"/>
  <c r="FM102" i="1" s="1"/>
  <c r="EA102" i="1"/>
  <c r="FK102" i="1" s="1"/>
  <c r="DY102" i="1"/>
  <c r="FI102" i="1" s="1"/>
  <c r="DW102" i="1"/>
  <c r="FG102" i="1" s="1"/>
  <c r="DU102" i="1"/>
  <c r="FE102" i="1" s="1"/>
  <c r="DS102" i="1"/>
  <c r="FC102" i="1" s="1"/>
  <c r="DQ102" i="1"/>
  <c r="FA102" i="1" s="1"/>
  <c r="DO102" i="1"/>
  <c r="EY102" i="1" s="1"/>
  <c r="DM102" i="1"/>
  <c r="EW102" i="1" s="1"/>
  <c r="DK102" i="1"/>
  <c r="EU102" i="1" s="1"/>
  <c r="DI102" i="1"/>
  <c r="ES102" i="1" s="1"/>
  <c r="EI104" i="1"/>
  <c r="FS104" i="1" s="1"/>
  <c r="EG104" i="1"/>
  <c r="FQ104" i="1" s="1"/>
  <c r="EE104" i="1"/>
  <c r="FO104" i="1" s="1"/>
  <c r="EC104" i="1"/>
  <c r="FM104" i="1" s="1"/>
  <c r="EA104" i="1"/>
  <c r="FK104" i="1" s="1"/>
  <c r="DY104" i="1"/>
  <c r="FI104" i="1" s="1"/>
  <c r="DW104" i="1"/>
  <c r="FG104" i="1" s="1"/>
  <c r="DU104" i="1"/>
  <c r="FE104" i="1" s="1"/>
  <c r="DS104" i="1"/>
  <c r="FC104" i="1" s="1"/>
  <c r="DQ104" i="1"/>
  <c r="FA104" i="1" s="1"/>
  <c r="DO104" i="1"/>
  <c r="EY104" i="1" s="1"/>
  <c r="DM104" i="1"/>
  <c r="EW104" i="1" s="1"/>
  <c r="DK104" i="1"/>
  <c r="EU104" i="1" s="1"/>
  <c r="DI104" i="1"/>
  <c r="ES104" i="1" s="1"/>
  <c r="EI106" i="1"/>
  <c r="FS106" i="1" s="1"/>
  <c r="EG106" i="1"/>
  <c r="FQ106" i="1" s="1"/>
  <c r="EE106" i="1"/>
  <c r="FO106" i="1" s="1"/>
  <c r="EC106" i="1"/>
  <c r="FM106" i="1" s="1"/>
  <c r="EA106" i="1"/>
  <c r="FK106" i="1" s="1"/>
  <c r="DY106" i="1"/>
  <c r="FI106" i="1" s="1"/>
  <c r="DW106" i="1"/>
  <c r="FG106" i="1" s="1"/>
  <c r="DU106" i="1"/>
  <c r="FE106" i="1" s="1"/>
  <c r="DS106" i="1"/>
  <c r="FC106" i="1" s="1"/>
  <c r="DQ106" i="1"/>
  <c r="FA106" i="1" s="1"/>
  <c r="DO106" i="1"/>
  <c r="EY106" i="1" s="1"/>
  <c r="DM106" i="1"/>
  <c r="EW106" i="1" s="1"/>
  <c r="DK106" i="1"/>
  <c r="EU106" i="1" s="1"/>
  <c r="DI106" i="1"/>
  <c r="ES106" i="1" s="1"/>
  <c r="EJ107" i="1"/>
  <c r="FT107" i="1" s="1"/>
  <c r="EH107" i="1"/>
  <c r="FR107" i="1" s="1"/>
  <c r="EF107" i="1"/>
  <c r="FP107" i="1" s="1"/>
  <c r="ED107" i="1"/>
  <c r="FN107" i="1" s="1"/>
  <c r="EB107" i="1"/>
  <c r="FL107" i="1" s="1"/>
  <c r="DZ107" i="1"/>
  <c r="FJ107" i="1" s="1"/>
  <c r="DX107" i="1"/>
  <c r="FH107" i="1" s="1"/>
  <c r="DV107" i="1"/>
  <c r="FF107" i="1" s="1"/>
  <c r="DT107" i="1"/>
  <c r="FD107" i="1" s="1"/>
  <c r="DR107" i="1"/>
  <c r="FB107" i="1" s="1"/>
  <c r="DP107" i="1"/>
  <c r="EZ107" i="1" s="1"/>
  <c r="DN107" i="1"/>
  <c r="EX107" i="1" s="1"/>
  <c r="DL107" i="1"/>
  <c r="EV107" i="1" s="1"/>
  <c r="DJ107" i="1"/>
  <c r="ET107" i="1" s="1"/>
  <c r="DH107" i="1"/>
  <c r="ER107" i="1" s="1"/>
  <c r="EI108" i="1"/>
  <c r="EG108" i="1"/>
  <c r="EE108" i="1"/>
  <c r="EC108" i="1"/>
  <c r="EA108" i="1"/>
  <c r="DY108" i="1"/>
  <c r="DW108" i="1"/>
  <c r="DU108" i="1"/>
  <c r="DS108" i="1"/>
  <c r="DQ108" i="1"/>
  <c r="DO108" i="1"/>
  <c r="DM108" i="1"/>
  <c r="EW108" i="1" s="1"/>
  <c r="DK108" i="1"/>
  <c r="EU108" i="1" s="1"/>
  <c r="DI108" i="1"/>
  <c r="ES108" i="1" s="1"/>
  <c r="EI110" i="1"/>
  <c r="FS110" i="1" s="1"/>
  <c r="EG110" i="1"/>
  <c r="FQ110" i="1" s="1"/>
  <c r="EE110" i="1"/>
  <c r="FO110" i="1" s="1"/>
  <c r="EC110" i="1"/>
  <c r="FM110" i="1" s="1"/>
  <c r="EA110" i="1"/>
  <c r="FK110" i="1" s="1"/>
  <c r="DY110" i="1"/>
  <c r="FI110" i="1" s="1"/>
  <c r="DW110" i="1"/>
  <c r="FG110" i="1" s="1"/>
  <c r="DU110" i="1"/>
  <c r="FE110" i="1" s="1"/>
  <c r="DS110" i="1"/>
  <c r="FC110" i="1" s="1"/>
  <c r="DQ110" i="1"/>
  <c r="FA110" i="1" s="1"/>
  <c r="DO110" i="1"/>
  <c r="EY110" i="1" s="1"/>
  <c r="DM110" i="1"/>
  <c r="EW110" i="1" s="1"/>
  <c r="DK110" i="1"/>
  <c r="EU110" i="1" s="1"/>
  <c r="DI110" i="1"/>
  <c r="ES110" i="1" s="1"/>
  <c r="EI112" i="1"/>
  <c r="FS112" i="1" s="1"/>
  <c r="EG112" i="1"/>
  <c r="FQ112" i="1" s="1"/>
  <c r="EE112" i="1"/>
  <c r="FO112" i="1" s="1"/>
  <c r="EC112" i="1"/>
  <c r="FM112" i="1" s="1"/>
  <c r="EA112" i="1"/>
  <c r="FK112" i="1" s="1"/>
  <c r="DY112" i="1"/>
  <c r="FI112" i="1" s="1"/>
  <c r="DW112" i="1"/>
  <c r="FG112" i="1" s="1"/>
  <c r="DU112" i="1"/>
  <c r="FE112" i="1" s="1"/>
  <c r="DS112" i="1"/>
  <c r="FC112" i="1" s="1"/>
  <c r="DQ112" i="1"/>
  <c r="FA112" i="1" s="1"/>
  <c r="DO112" i="1"/>
  <c r="EY112" i="1" s="1"/>
  <c r="DM112" i="1"/>
  <c r="EW112" i="1" s="1"/>
  <c r="DK112" i="1"/>
  <c r="EU112" i="1" s="1"/>
  <c r="DI112" i="1"/>
  <c r="ES112" i="1" s="1"/>
  <c r="EI114" i="1"/>
  <c r="FS114" i="1" s="1"/>
  <c r="EG114" i="1"/>
  <c r="FQ114" i="1" s="1"/>
  <c r="EE114" i="1"/>
  <c r="FO114" i="1" s="1"/>
  <c r="EC114" i="1"/>
  <c r="FM114" i="1" s="1"/>
  <c r="EA114" i="1"/>
  <c r="FK114" i="1" s="1"/>
  <c r="DY114" i="1"/>
  <c r="FI114" i="1" s="1"/>
  <c r="DW114" i="1"/>
  <c r="FG114" i="1" s="1"/>
  <c r="DU114" i="1"/>
  <c r="FE114" i="1" s="1"/>
  <c r="DS114" i="1"/>
  <c r="FC114" i="1" s="1"/>
  <c r="DQ114" i="1"/>
  <c r="FA114" i="1" s="1"/>
  <c r="DO114" i="1"/>
  <c r="EY114" i="1" s="1"/>
  <c r="DM114" i="1"/>
  <c r="EW114" i="1" s="1"/>
  <c r="DK114" i="1"/>
  <c r="EU114" i="1" s="1"/>
  <c r="DI114" i="1"/>
  <c r="ES114" i="1" s="1"/>
  <c r="EI116" i="1"/>
  <c r="FS116" i="1" s="1"/>
  <c r="EG116" i="1"/>
  <c r="FQ116" i="1" s="1"/>
  <c r="EE116" i="1"/>
  <c r="FO116" i="1" s="1"/>
  <c r="EC116" i="1"/>
  <c r="FM116" i="1" s="1"/>
  <c r="EA116" i="1"/>
  <c r="FK116" i="1" s="1"/>
  <c r="DY116" i="1"/>
  <c r="FI116" i="1" s="1"/>
  <c r="DW116" i="1"/>
  <c r="FG116" i="1" s="1"/>
  <c r="DU116" i="1"/>
  <c r="FE116" i="1" s="1"/>
  <c r="DS116" i="1"/>
  <c r="FC116" i="1" s="1"/>
  <c r="DQ116" i="1"/>
  <c r="FA116" i="1" s="1"/>
  <c r="DO116" i="1"/>
  <c r="EY116" i="1" s="1"/>
  <c r="DM116" i="1"/>
  <c r="DK116" i="1"/>
  <c r="DI116" i="1"/>
  <c r="EI125" i="1"/>
  <c r="FS125" i="1" s="1"/>
  <c r="EG125" i="1"/>
  <c r="FQ125" i="1" s="1"/>
  <c r="EE125" i="1"/>
  <c r="FO125" i="1" s="1"/>
  <c r="EC125" i="1"/>
  <c r="FM125" i="1" s="1"/>
  <c r="EA125" i="1"/>
  <c r="FK125" i="1" s="1"/>
  <c r="DY125" i="1"/>
  <c r="FI125" i="1" s="1"/>
  <c r="DW125" i="1"/>
  <c r="FG125" i="1" s="1"/>
  <c r="DU125" i="1"/>
  <c r="FE125" i="1" s="1"/>
  <c r="DS125" i="1"/>
  <c r="FC125" i="1" s="1"/>
  <c r="DQ125" i="1"/>
  <c r="FA125" i="1" s="1"/>
  <c r="DO125" i="1"/>
  <c r="EY125" i="1" s="1"/>
  <c r="DM125" i="1"/>
  <c r="EW125" i="1" s="1"/>
  <c r="DK125" i="1"/>
  <c r="EU125" i="1" s="1"/>
  <c r="DI125" i="1"/>
  <c r="ES125" i="1" s="1"/>
  <c r="EI136" i="1"/>
  <c r="FS136" i="1" s="1"/>
  <c r="EG136" i="1"/>
  <c r="FQ136" i="1" s="1"/>
  <c r="EE136" i="1"/>
  <c r="FO136" i="1" s="1"/>
  <c r="EC136" i="1"/>
  <c r="FM136" i="1" s="1"/>
  <c r="EA136" i="1"/>
  <c r="FK136" i="1" s="1"/>
  <c r="DY136" i="1"/>
  <c r="FI136" i="1" s="1"/>
  <c r="DW136" i="1"/>
  <c r="FG136" i="1" s="1"/>
  <c r="DU136" i="1"/>
  <c r="FE136" i="1" s="1"/>
  <c r="DS136" i="1"/>
  <c r="FC136" i="1" s="1"/>
  <c r="DQ136" i="1"/>
  <c r="FA136" i="1" s="1"/>
  <c r="DO136" i="1"/>
  <c r="EY136" i="1" s="1"/>
  <c r="DM136" i="1"/>
  <c r="EW136" i="1" s="1"/>
  <c r="DK136" i="1"/>
  <c r="EU136" i="1" s="1"/>
  <c r="DI136" i="1"/>
  <c r="ES136" i="1" s="1"/>
  <c r="EH139" i="1"/>
  <c r="FR139" i="1" s="1"/>
  <c r="EC139" i="1"/>
  <c r="FM139" i="1" s="1"/>
  <c r="DZ139" i="1"/>
  <c r="FJ139" i="1" s="1"/>
  <c r="DU139" i="1"/>
  <c r="FE139" i="1" s="1"/>
  <c r="DR139" i="1"/>
  <c r="FB139" i="1" s="1"/>
  <c r="DM139" i="1"/>
  <c r="EW139" i="1" s="1"/>
  <c r="DM159" i="1"/>
  <c r="EW159" i="1" s="1"/>
  <c r="DF140" i="1"/>
  <c r="DH140" i="1"/>
  <c r="ER140" i="1" s="1"/>
  <c r="DJ140" i="1"/>
  <c r="ET140" i="1" s="1"/>
  <c r="DL140" i="1"/>
  <c r="EV140" i="1" s="1"/>
  <c r="DN140" i="1"/>
  <c r="EX140" i="1" s="1"/>
  <c r="DP140" i="1"/>
  <c r="EZ140" i="1" s="1"/>
  <c r="DR140" i="1"/>
  <c r="FB140" i="1" s="1"/>
  <c r="DT140" i="1"/>
  <c r="FD140" i="1" s="1"/>
  <c r="DV140" i="1"/>
  <c r="FF140" i="1" s="1"/>
  <c r="DX140" i="1"/>
  <c r="FH140" i="1" s="1"/>
  <c r="DZ140" i="1"/>
  <c r="FJ140" i="1" s="1"/>
  <c r="EB140" i="1"/>
  <c r="FL140" i="1" s="1"/>
  <c r="ED140" i="1"/>
  <c r="FN140" i="1" s="1"/>
  <c r="EF140" i="1"/>
  <c r="FP140" i="1" s="1"/>
  <c r="EH140" i="1"/>
  <c r="FR140" i="1" s="1"/>
  <c r="EJ140" i="1"/>
  <c r="FT140" i="1" s="1"/>
  <c r="DF141" i="1"/>
  <c r="DH141" i="1"/>
  <c r="ER141" i="1" s="1"/>
  <c r="DJ141" i="1"/>
  <c r="ET141" i="1" s="1"/>
  <c r="DL141" i="1"/>
  <c r="EV141" i="1" s="1"/>
  <c r="DN141" i="1"/>
  <c r="EX141" i="1" s="1"/>
  <c r="DP141" i="1"/>
  <c r="EZ141" i="1" s="1"/>
  <c r="DR141" i="1"/>
  <c r="FB141" i="1" s="1"/>
  <c r="DT141" i="1"/>
  <c r="FD141" i="1" s="1"/>
  <c r="DV141" i="1"/>
  <c r="FF141" i="1" s="1"/>
  <c r="DX141" i="1"/>
  <c r="FH141" i="1" s="1"/>
  <c r="DZ141" i="1"/>
  <c r="FJ141" i="1" s="1"/>
  <c r="EB141" i="1"/>
  <c r="FL141" i="1" s="1"/>
  <c r="ED141" i="1"/>
  <c r="FN141" i="1" s="1"/>
  <c r="EF141" i="1"/>
  <c r="FP141" i="1" s="1"/>
  <c r="EH141" i="1"/>
  <c r="FR141" i="1" s="1"/>
  <c r="EJ141" i="1"/>
  <c r="FT141" i="1" s="1"/>
  <c r="DF144" i="1"/>
  <c r="DH144" i="1"/>
  <c r="ER144" i="1" s="1"/>
  <c r="DJ144" i="1"/>
  <c r="ET144" i="1" s="1"/>
  <c r="DL144" i="1"/>
  <c r="EV144" i="1" s="1"/>
  <c r="DC147" i="1"/>
  <c r="DE147" i="1"/>
  <c r="DI159" i="1"/>
  <c r="ES159" i="1" s="1"/>
  <c r="DL159" i="1"/>
  <c r="EV159" i="1" s="1"/>
  <c r="DF159" i="1"/>
  <c r="DK159" i="1"/>
  <c r="EU159" i="1" s="1"/>
  <c r="EP164" i="1"/>
  <c r="DJ184" i="1"/>
  <c r="ET184" i="1" s="1"/>
  <c r="DM184" i="1"/>
  <c r="EW184" i="1" s="1"/>
  <c r="DR184" i="1"/>
  <c r="FB184" i="1" s="1"/>
  <c r="DU184" i="1"/>
  <c r="FE184" i="1" s="1"/>
  <c r="DZ184" i="1"/>
  <c r="FJ184" i="1" s="1"/>
  <c r="EC184" i="1"/>
  <c r="FM184" i="1" s="1"/>
  <c r="EH184" i="1"/>
  <c r="FR184" i="1" s="1"/>
  <c r="DH184" i="1"/>
  <c r="ER184" i="1" s="1"/>
  <c r="DO184" i="1"/>
  <c r="EY184" i="1" s="1"/>
  <c r="DS184" i="1"/>
  <c r="FC184" i="1" s="1"/>
  <c r="DV184" i="1"/>
  <c r="FF184" i="1" s="1"/>
  <c r="EG184" i="1"/>
  <c r="FQ184" i="1" s="1"/>
  <c r="EJ184" i="1"/>
  <c r="FT184" i="1" s="1"/>
  <c r="DG184" i="1"/>
  <c r="EQ184" i="1" s="1"/>
  <c r="DK184" i="1"/>
  <c r="EU184" i="1" s="1"/>
  <c r="DN184" i="1"/>
  <c r="EX184" i="1" s="1"/>
  <c r="DY184" i="1"/>
  <c r="FI184" i="1" s="1"/>
  <c r="EB184" i="1"/>
  <c r="FL184" i="1" s="1"/>
  <c r="EF184" i="1"/>
  <c r="FP184" i="1" s="1"/>
  <c r="DQ184" i="1"/>
  <c r="FA184" i="1" s="1"/>
  <c r="DX184" i="1"/>
  <c r="FH184" i="1" s="1"/>
  <c r="EE184" i="1"/>
  <c r="FO184" i="1" s="1"/>
  <c r="DI184" i="1"/>
  <c r="ES184" i="1" s="1"/>
  <c r="DP184" i="1"/>
  <c r="EZ184" i="1" s="1"/>
  <c r="DW184" i="1"/>
  <c r="FG184" i="1" s="1"/>
  <c r="ED184" i="1"/>
  <c r="FN184" i="1" s="1"/>
  <c r="DC186" i="1"/>
  <c r="DE186" i="1"/>
  <c r="EJ89" i="1"/>
  <c r="FT89" i="1" s="1"/>
  <c r="EH89" i="1"/>
  <c r="FR89" i="1" s="1"/>
  <c r="EF89" i="1"/>
  <c r="FP89" i="1" s="1"/>
  <c r="ED89" i="1"/>
  <c r="FN89" i="1" s="1"/>
  <c r="EB89" i="1"/>
  <c r="FL89" i="1" s="1"/>
  <c r="DZ89" i="1"/>
  <c r="FJ89" i="1" s="1"/>
  <c r="DX89" i="1"/>
  <c r="FH89" i="1" s="1"/>
  <c r="DV89" i="1"/>
  <c r="FF89" i="1" s="1"/>
  <c r="DT89" i="1"/>
  <c r="FD89" i="1" s="1"/>
  <c r="DR89" i="1"/>
  <c r="FB89" i="1" s="1"/>
  <c r="DP89" i="1"/>
  <c r="EZ89" i="1" s="1"/>
  <c r="DG166" i="1"/>
  <c r="EQ166" i="1" s="1"/>
  <c r="DG157" i="1"/>
  <c r="EQ157" i="1" s="1"/>
  <c r="DI157" i="1"/>
  <c r="ES157" i="1" s="1"/>
  <c r="DK157" i="1"/>
  <c r="EU157" i="1" s="1"/>
  <c r="DM157" i="1"/>
  <c r="EW157" i="1" s="1"/>
  <c r="DO157" i="1"/>
  <c r="EY157" i="1" s="1"/>
  <c r="DQ157" i="1"/>
  <c r="FA157" i="1" s="1"/>
  <c r="DS157" i="1"/>
  <c r="FC157" i="1" s="1"/>
  <c r="DU157" i="1"/>
  <c r="FE157" i="1" s="1"/>
  <c r="DW157" i="1"/>
  <c r="FG157" i="1" s="1"/>
  <c r="DY157" i="1"/>
  <c r="FI157" i="1" s="1"/>
  <c r="EA157" i="1"/>
  <c r="FK157" i="1" s="1"/>
  <c r="EC157" i="1"/>
  <c r="FM157" i="1" s="1"/>
  <c r="EE157" i="1"/>
  <c r="FO157" i="1" s="1"/>
  <c r="EG157" i="1"/>
  <c r="FQ157" i="1" s="1"/>
  <c r="EI157" i="1"/>
  <c r="FS157" i="1" s="1"/>
  <c r="DG171" i="1"/>
  <c r="EQ171" i="1" s="1"/>
  <c r="DI171" i="1"/>
  <c r="ES171" i="1" s="1"/>
  <c r="DK171" i="1"/>
  <c r="EU171" i="1" s="1"/>
  <c r="DM171" i="1"/>
  <c r="EW171" i="1" s="1"/>
  <c r="DO171" i="1"/>
  <c r="EY171" i="1" s="1"/>
  <c r="DQ171" i="1"/>
  <c r="FA171" i="1" s="1"/>
  <c r="DS171" i="1"/>
  <c r="FC171" i="1" s="1"/>
  <c r="DU171" i="1"/>
  <c r="FE171" i="1" s="1"/>
  <c r="DW171" i="1"/>
  <c r="FG171" i="1" s="1"/>
  <c r="DY171" i="1"/>
  <c r="FI171" i="1" s="1"/>
  <c r="EA171" i="1"/>
  <c r="FK171" i="1" s="1"/>
  <c r="EC171" i="1"/>
  <c r="FM171" i="1" s="1"/>
  <c r="EE171" i="1"/>
  <c r="FO171" i="1" s="1"/>
  <c r="EG171" i="1"/>
  <c r="FQ171" i="1" s="1"/>
  <c r="EI171" i="1"/>
  <c r="FS171" i="1" s="1"/>
  <c r="DF176" i="1"/>
  <c r="DH176" i="1"/>
  <c r="ER176" i="1" s="1"/>
  <c r="DJ176" i="1"/>
  <c r="ET176" i="1" s="1"/>
  <c r="DL176" i="1"/>
  <c r="EV176" i="1" s="1"/>
  <c r="DN176" i="1"/>
  <c r="EX176" i="1" s="1"/>
  <c r="DP176" i="1"/>
  <c r="EZ176" i="1" s="1"/>
  <c r="DR176" i="1"/>
  <c r="FB176" i="1" s="1"/>
  <c r="DT176" i="1"/>
  <c r="FD176" i="1" s="1"/>
  <c r="DV176" i="1"/>
  <c r="FF176" i="1" s="1"/>
  <c r="DX176" i="1"/>
  <c r="FH176" i="1" s="1"/>
  <c r="DZ176" i="1"/>
  <c r="FJ176" i="1" s="1"/>
  <c r="EB176" i="1"/>
  <c r="FL176" i="1" s="1"/>
  <c r="ED176" i="1"/>
  <c r="FN176" i="1" s="1"/>
  <c r="EF176" i="1"/>
  <c r="FP176" i="1" s="1"/>
  <c r="EH176" i="1"/>
  <c r="FR176" i="1" s="1"/>
  <c r="EJ176" i="1"/>
  <c r="FT176" i="1" s="1"/>
  <c r="DG176" i="1"/>
  <c r="EQ176" i="1" s="1"/>
  <c r="DO176" i="1"/>
  <c r="EY176" i="1" s="1"/>
  <c r="DW176" i="1"/>
  <c r="FG176" i="1" s="1"/>
  <c r="EE176" i="1"/>
  <c r="FO176" i="1" s="1"/>
  <c r="DI176" i="1"/>
  <c r="ES176" i="1" s="1"/>
  <c r="DQ176" i="1"/>
  <c r="FA176" i="1" s="1"/>
  <c r="DY176" i="1"/>
  <c r="FI176" i="1" s="1"/>
  <c r="EG176" i="1"/>
  <c r="FQ176" i="1" s="1"/>
  <c r="DG177" i="1"/>
  <c r="EQ177" i="1" s="1"/>
  <c r="DI177" i="1"/>
  <c r="ES177" i="1" s="1"/>
  <c r="DK177" i="1"/>
  <c r="EU177" i="1" s="1"/>
  <c r="DM177" i="1"/>
  <c r="EW177" i="1" s="1"/>
  <c r="DO177" i="1"/>
  <c r="EY177" i="1" s="1"/>
  <c r="DQ177" i="1"/>
  <c r="FA177" i="1" s="1"/>
  <c r="DS177" i="1"/>
  <c r="FC177" i="1" s="1"/>
  <c r="DU177" i="1"/>
  <c r="FE177" i="1" s="1"/>
  <c r="DW177" i="1"/>
  <c r="FG177" i="1" s="1"/>
  <c r="DY177" i="1"/>
  <c r="FI177" i="1" s="1"/>
  <c r="EA177" i="1"/>
  <c r="FK177" i="1" s="1"/>
  <c r="EC177" i="1"/>
  <c r="FM177" i="1" s="1"/>
  <c r="EE177" i="1"/>
  <c r="FO177" i="1" s="1"/>
  <c r="EG177" i="1"/>
  <c r="FQ177" i="1" s="1"/>
  <c r="EI177" i="1"/>
  <c r="FS177" i="1" s="1"/>
  <c r="DJ177" i="1"/>
  <c r="ET177" i="1" s="1"/>
  <c r="DR177" i="1"/>
  <c r="FB177" i="1" s="1"/>
  <c r="DZ177" i="1"/>
  <c r="FJ177" i="1" s="1"/>
  <c r="EH177" i="1"/>
  <c r="FR177" i="1" s="1"/>
  <c r="DL177" i="1"/>
  <c r="EV177" i="1" s="1"/>
  <c r="DT177" i="1"/>
  <c r="FD177" i="1" s="1"/>
  <c r="EB177" i="1"/>
  <c r="FL177" i="1" s="1"/>
  <c r="EJ177" i="1"/>
  <c r="FT177" i="1" s="1"/>
  <c r="DC182" i="1"/>
  <c r="DE182" i="1"/>
  <c r="EK182" i="1"/>
  <c r="EP182" i="1"/>
  <c r="EK193" i="1"/>
  <c r="EP193" i="1"/>
  <c r="FU193" i="1" s="1"/>
  <c r="DE196" i="1"/>
  <c r="DC196" i="1"/>
  <c r="EK207" i="1"/>
  <c r="EP207" i="1"/>
  <c r="FU207" i="1" s="1"/>
  <c r="CM88" i="1"/>
  <c r="AG373" i="1"/>
  <c r="DU143" i="1"/>
  <c r="FE143" i="1" s="1"/>
  <c r="DS143" i="1"/>
  <c r="FC143" i="1" s="1"/>
  <c r="DQ143" i="1"/>
  <c r="FA143" i="1" s="1"/>
  <c r="DO143" i="1"/>
  <c r="EY143" i="1" s="1"/>
  <c r="DM143" i="1"/>
  <c r="EW143" i="1" s="1"/>
  <c r="DK143" i="1"/>
  <c r="EU143" i="1" s="1"/>
  <c r="DI143" i="1"/>
  <c r="ES143" i="1" s="1"/>
  <c r="EI146" i="1"/>
  <c r="FS146" i="1" s="1"/>
  <c r="EG146" i="1"/>
  <c r="FQ146" i="1" s="1"/>
  <c r="EE146" i="1"/>
  <c r="FO146" i="1" s="1"/>
  <c r="EC146" i="1"/>
  <c r="FM146" i="1" s="1"/>
  <c r="EA146" i="1"/>
  <c r="FK146" i="1" s="1"/>
  <c r="DY146" i="1"/>
  <c r="FI146" i="1" s="1"/>
  <c r="DW146" i="1"/>
  <c r="FG146" i="1" s="1"/>
  <c r="DU146" i="1"/>
  <c r="FE146" i="1" s="1"/>
  <c r="DS146" i="1"/>
  <c r="FC146" i="1" s="1"/>
  <c r="DQ146" i="1"/>
  <c r="FA146" i="1" s="1"/>
  <c r="DO146" i="1"/>
  <c r="EY146" i="1" s="1"/>
  <c r="DM146" i="1"/>
  <c r="EW146" i="1" s="1"/>
  <c r="DK146" i="1"/>
  <c r="EU146" i="1" s="1"/>
  <c r="DI146" i="1"/>
  <c r="ES146" i="1" s="1"/>
  <c r="EI150" i="1"/>
  <c r="FS150" i="1" s="1"/>
  <c r="EG150" i="1"/>
  <c r="FQ150" i="1" s="1"/>
  <c r="EE150" i="1"/>
  <c r="FO150" i="1" s="1"/>
  <c r="EC150" i="1"/>
  <c r="FM150" i="1" s="1"/>
  <c r="EA150" i="1"/>
  <c r="FK150" i="1" s="1"/>
  <c r="DY150" i="1"/>
  <c r="FI150" i="1" s="1"/>
  <c r="DW150" i="1"/>
  <c r="FG150" i="1" s="1"/>
  <c r="DU150" i="1"/>
  <c r="FE150" i="1" s="1"/>
  <c r="DS150" i="1"/>
  <c r="FC150" i="1" s="1"/>
  <c r="DQ150" i="1"/>
  <c r="FA150" i="1" s="1"/>
  <c r="DO150" i="1"/>
  <c r="EY150" i="1" s="1"/>
  <c r="DM150" i="1"/>
  <c r="EW150" i="1" s="1"/>
  <c r="DK150" i="1"/>
  <c r="EU150" i="1" s="1"/>
  <c r="DI150" i="1"/>
  <c r="ES150" i="1" s="1"/>
  <c r="EI152" i="1"/>
  <c r="FS152" i="1" s="1"/>
  <c r="EG152" i="1"/>
  <c r="FQ152" i="1" s="1"/>
  <c r="EE152" i="1"/>
  <c r="FO152" i="1" s="1"/>
  <c r="EC152" i="1"/>
  <c r="FM152" i="1" s="1"/>
  <c r="EA152" i="1"/>
  <c r="FK152" i="1" s="1"/>
  <c r="DY152" i="1"/>
  <c r="FI152" i="1" s="1"/>
  <c r="DW152" i="1"/>
  <c r="FG152" i="1" s="1"/>
  <c r="DU152" i="1"/>
  <c r="FE152" i="1" s="1"/>
  <c r="DS152" i="1"/>
  <c r="FC152" i="1" s="1"/>
  <c r="DQ152" i="1"/>
  <c r="FA152" i="1" s="1"/>
  <c r="DO152" i="1"/>
  <c r="EY152" i="1" s="1"/>
  <c r="DM152" i="1"/>
  <c r="EW152" i="1" s="1"/>
  <c r="DK152" i="1"/>
  <c r="EU152" i="1" s="1"/>
  <c r="DI152" i="1"/>
  <c r="ES152" i="1" s="1"/>
  <c r="EI154" i="1"/>
  <c r="FS154" i="1" s="1"/>
  <c r="EG154" i="1"/>
  <c r="FQ154" i="1" s="1"/>
  <c r="EE154" i="1"/>
  <c r="FO154" i="1" s="1"/>
  <c r="EC154" i="1"/>
  <c r="FM154" i="1" s="1"/>
  <c r="EA154" i="1"/>
  <c r="FK154" i="1" s="1"/>
  <c r="DY154" i="1"/>
  <c r="FI154" i="1" s="1"/>
  <c r="DW154" i="1"/>
  <c r="FG154" i="1" s="1"/>
  <c r="DU154" i="1"/>
  <c r="FE154" i="1" s="1"/>
  <c r="DS154" i="1"/>
  <c r="FC154" i="1" s="1"/>
  <c r="DQ154" i="1"/>
  <c r="FA154" i="1" s="1"/>
  <c r="DO154" i="1"/>
  <c r="EY154" i="1" s="1"/>
  <c r="DM154" i="1"/>
  <c r="DK154" i="1"/>
  <c r="DI154" i="1"/>
  <c r="ES154" i="1" s="1"/>
  <c r="DM156" i="1"/>
  <c r="EW156" i="1" s="1"/>
  <c r="DK156" i="1"/>
  <c r="EU156" i="1" s="1"/>
  <c r="EK158" i="1"/>
  <c r="EK162" i="1"/>
  <c r="EH164" i="1"/>
  <c r="FR164" i="1" s="1"/>
  <c r="EC164" i="1"/>
  <c r="FM164" i="1" s="1"/>
  <c r="DZ164" i="1"/>
  <c r="FJ164" i="1" s="1"/>
  <c r="DU164" i="1"/>
  <c r="FE164" i="1" s="1"/>
  <c r="DR164" i="1"/>
  <c r="FB164" i="1" s="1"/>
  <c r="DM164" i="1"/>
  <c r="EW164" i="1" s="1"/>
  <c r="EK165" i="1"/>
  <c r="DL166" i="1"/>
  <c r="EV166" i="1" s="1"/>
  <c r="EG169" i="1"/>
  <c r="FQ169" i="1" s="1"/>
  <c r="EC169" i="1"/>
  <c r="FM169" i="1" s="1"/>
  <c r="DY169" i="1"/>
  <c r="FI169" i="1" s="1"/>
  <c r="DU169" i="1"/>
  <c r="FE169" i="1" s="1"/>
  <c r="DQ169" i="1"/>
  <c r="FA169" i="1" s="1"/>
  <c r="DM169" i="1"/>
  <c r="EW169" i="1" s="1"/>
  <c r="EK173" i="1"/>
  <c r="DF169" i="1"/>
  <c r="DH169" i="1"/>
  <c r="ER169" i="1" s="1"/>
  <c r="DJ169" i="1"/>
  <c r="ET169" i="1" s="1"/>
  <c r="DL169" i="1"/>
  <c r="EV169" i="1" s="1"/>
  <c r="DN169" i="1"/>
  <c r="EX169" i="1" s="1"/>
  <c r="DP169" i="1"/>
  <c r="EZ169" i="1" s="1"/>
  <c r="DR169" i="1"/>
  <c r="FB169" i="1" s="1"/>
  <c r="DT169" i="1"/>
  <c r="FD169" i="1" s="1"/>
  <c r="DV169" i="1"/>
  <c r="FF169" i="1" s="1"/>
  <c r="DX169" i="1"/>
  <c r="FH169" i="1" s="1"/>
  <c r="DZ169" i="1"/>
  <c r="FJ169" i="1" s="1"/>
  <c r="EB169" i="1"/>
  <c r="FL169" i="1" s="1"/>
  <c r="ED169" i="1"/>
  <c r="FN169" i="1" s="1"/>
  <c r="EF169" i="1"/>
  <c r="FP169" i="1" s="1"/>
  <c r="EH169" i="1"/>
  <c r="FR169" i="1" s="1"/>
  <c r="EJ169" i="1"/>
  <c r="FT169" i="1" s="1"/>
  <c r="DC171" i="1"/>
  <c r="DE171" i="1"/>
  <c r="DE233" i="1" s="1"/>
  <c r="DC177" i="1"/>
  <c r="DE177" i="1"/>
  <c r="DE184" i="1"/>
  <c r="DC184" i="1"/>
  <c r="DG187" i="1"/>
  <c r="EQ187" i="1" s="1"/>
  <c r="DI187" i="1"/>
  <c r="ES187" i="1" s="1"/>
  <c r="DK187" i="1"/>
  <c r="EU187" i="1" s="1"/>
  <c r="DM187" i="1"/>
  <c r="EW187" i="1" s="1"/>
  <c r="DO187" i="1"/>
  <c r="EY187" i="1" s="1"/>
  <c r="DQ187" i="1"/>
  <c r="FA187" i="1" s="1"/>
  <c r="DS187" i="1"/>
  <c r="FC187" i="1" s="1"/>
  <c r="DU187" i="1"/>
  <c r="FE187" i="1" s="1"/>
  <c r="DW187" i="1"/>
  <c r="FG187" i="1" s="1"/>
  <c r="DY187" i="1"/>
  <c r="FI187" i="1" s="1"/>
  <c r="EA187" i="1"/>
  <c r="FK187" i="1" s="1"/>
  <c r="EC187" i="1"/>
  <c r="FM187" i="1" s="1"/>
  <c r="EE187" i="1"/>
  <c r="FO187" i="1" s="1"/>
  <c r="EG187" i="1"/>
  <c r="FQ187" i="1" s="1"/>
  <c r="EI187" i="1"/>
  <c r="FS187" i="1" s="1"/>
  <c r="DL187" i="1"/>
  <c r="EV187" i="1" s="1"/>
  <c r="DT187" i="1"/>
  <c r="FD187" i="1" s="1"/>
  <c r="EB187" i="1"/>
  <c r="FL187" i="1" s="1"/>
  <c r="EJ187" i="1"/>
  <c r="FT187" i="1" s="1"/>
  <c r="DN187" i="1"/>
  <c r="EX187" i="1" s="1"/>
  <c r="DR187" i="1"/>
  <c r="FB187" i="1" s="1"/>
  <c r="EF187" i="1"/>
  <c r="FP187" i="1" s="1"/>
  <c r="DF187" i="1"/>
  <c r="DJ187" i="1"/>
  <c r="ET187" i="1" s="1"/>
  <c r="DX187" i="1"/>
  <c r="FH187" i="1" s="1"/>
  <c r="DC190" i="1"/>
  <c r="DE190" i="1"/>
  <c r="EK194" i="1"/>
  <c r="EP194" i="1"/>
  <c r="FU194" i="1" s="1"/>
  <c r="EP200" i="1"/>
  <c r="FU200" i="1" s="1"/>
  <c r="EK200" i="1"/>
  <c r="EK202" i="1"/>
  <c r="EP202" i="1"/>
  <c r="FU202" i="1" s="1"/>
  <c r="V374" i="1"/>
  <c r="L373" i="1"/>
  <c r="L382" i="1"/>
  <c r="L374" i="1"/>
  <c r="L380" i="1"/>
  <c r="I382" i="1"/>
  <c r="I380" i="1"/>
  <c r="I376" i="1"/>
  <c r="I378" i="1"/>
  <c r="I373" i="1"/>
  <c r="I381" i="1"/>
  <c r="I379" i="1"/>
  <c r="I377" i="1"/>
  <c r="I375" i="1"/>
  <c r="I374" i="1"/>
  <c r="DG175" i="1"/>
  <c r="EQ175" i="1" s="1"/>
  <c r="DI175" i="1"/>
  <c r="ES175" i="1" s="1"/>
  <c r="DK175" i="1"/>
  <c r="DM175" i="1"/>
  <c r="DO175" i="1"/>
  <c r="EY175" i="1" s="1"/>
  <c r="DQ175" i="1"/>
  <c r="FA175" i="1" s="1"/>
  <c r="DS175" i="1"/>
  <c r="FC175" i="1" s="1"/>
  <c r="DU175" i="1"/>
  <c r="FE175" i="1" s="1"/>
  <c r="DW175" i="1"/>
  <c r="FG175" i="1" s="1"/>
  <c r="DY175" i="1"/>
  <c r="FI175" i="1" s="1"/>
  <c r="EA175" i="1"/>
  <c r="FK175" i="1" s="1"/>
  <c r="EC175" i="1"/>
  <c r="FM175" i="1" s="1"/>
  <c r="EE175" i="1"/>
  <c r="FO175" i="1" s="1"/>
  <c r="EG175" i="1"/>
  <c r="FQ175" i="1" s="1"/>
  <c r="EI175" i="1"/>
  <c r="FS175" i="1" s="1"/>
  <c r="DG180" i="1"/>
  <c r="EQ180" i="1" s="1"/>
  <c r="DL180" i="1"/>
  <c r="EV180" i="1" s="1"/>
  <c r="DG183" i="1"/>
  <c r="EQ183" i="1" s="1"/>
  <c r="DI183" i="1"/>
  <c r="ES183" i="1" s="1"/>
  <c r="DK183" i="1"/>
  <c r="EU183" i="1" s="1"/>
  <c r="DM183" i="1"/>
  <c r="EW183" i="1" s="1"/>
  <c r="DO183" i="1"/>
  <c r="EY183" i="1" s="1"/>
  <c r="DQ183" i="1"/>
  <c r="FA183" i="1" s="1"/>
  <c r="DS183" i="1"/>
  <c r="FC183" i="1" s="1"/>
  <c r="DU183" i="1"/>
  <c r="FE183" i="1" s="1"/>
  <c r="DW183" i="1"/>
  <c r="FG183" i="1" s="1"/>
  <c r="DY183" i="1"/>
  <c r="FI183" i="1" s="1"/>
  <c r="EA183" i="1"/>
  <c r="FK183" i="1" s="1"/>
  <c r="EC183" i="1"/>
  <c r="FM183" i="1" s="1"/>
  <c r="EE183" i="1"/>
  <c r="FO183" i="1" s="1"/>
  <c r="EG183" i="1"/>
  <c r="FQ183" i="1" s="1"/>
  <c r="EI183" i="1"/>
  <c r="FS183" i="1" s="1"/>
  <c r="DF183" i="1"/>
  <c r="DN183" i="1"/>
  <c r="EX183" i="1" s="1"/>
  <c r="DV183" i="1"/>
  <c r="FF183" i="1" s="1"/>
  <c r="ED183" i="1"/>
  <c r="FN183" i="1" s="1"/>
  <c r="DN185" i="1"/>
  <c r="EX185" i="1" s="1"/>
  <c r="DP185" i="1"/>
  <c r="EZ185" i="1" s="1"/>
  <c r="DR185" i="1"/>
  <c r="FB185" i="1" s="1"/>
  <c r="DT185" i="1"/>
  <c r="FD185" i="1" s="1"/>
  <c r="DV185" i="1"/>
  <c r="FF185" i="1" s="1"/>
  <c r="DX185" i="1"/>
  <c r="FH185" i="1" s="1"/>
  <c r="DZ185" i="1"/>
  <c r="FJ185" i="1" s="1"/>
  <c r="EB185" i="1"/>
  <c r="FL185" i="1" s="1"/>
  <c r="ED185" i="1"/>
  <c r="FN185" i="1" s="1"/>
  <c r="EF185" i="1"/>
  <c r="FP185" i="1" s="1"/>
  <c r="EH185" i="1"/>
  <c r="FR185" i="1" s="1"/>
  <c r="EJ185" i="1"/>
  <c r="FT185" i="1" s="1"/>
  <c r="DQ185" i="1"/>
  <c r="FA185" i="1" s="1"/>
  <c r="DY185" i="1"/>
  <c r="FI185" i="1" s="1"/>
  <c r="EG185" i="1"/>
  <c r="FQ185" i="1" s="1"/>
  <c r="DC187" i="1"/>
  <c r="DE187" i="1"/>
  <c r="EP188" i="1"/>
  <c r="FU188" i="1" s="1"/>
  <c r="EK188" i="1"/>
  <c r="DC201" i="1"/>
  <c r="DE201" i="1"/>
  <c r="EP206" i="1"/>
  <c r="FU206" i="1" s="1"/>
  <c r="EK206" i="1"/>
  <c r="P381" i="1"/>
  <c r="P377" i="1"/>
  <c r="P373" i="1"/>
  <c r="P375" i="1"/>
  <c r="P380" i="1"/>
  <c r="P382" i="1"/>
  <c r="P379" i="1"/>
  <c r="P378" i="1"/>
  <c r="P376" i="1"/>
  <c r="M382" i="1"/>
  <c r="M380" i="1"/>
  <c r="M376" i="1"/>
  <c r="M381" i="1"/>
  <c r="M374" i="1"/>
  <c r="M373" i="1"/>
  <c r="G551" i="1"/>
  <c r="DF174" i="1"/>
  <c r="DH174" i="1"/>
  <c r="ER174" i="1" s="1"/>
  <c r="DJ174" i="1"/>
  <c r="ET174" i="1" s="1"/>
  <c r="DL174" i="1"/>
  <c r="EV174" i="1" s="1"/>
  <c r="DN174" i="1"/>
  <c r="EX174" i="1" s="1"/>
  <c r="DP174" i="1"/>
  <c r="EZ174" i="1" s="1"/>
  <c r="DO180" i="1"/>
  <c r="EY180" i="1" s="1"/>
  <c r="DT180" i="1"/>
  <c r="FD180" i="1" s="1"/>
  <c r="DW180" i="1"/>
  <c r="FG180" i="1" s="1"/>
  <c r="EB180" i="1"/>
  <c r="FL180" i="1" s="1"/>
  <c r="EE180" i="1"/>
  <c r="FO180" i="1" s="1"/>
  <c r="EJ180" i="1"/>
  <c r="FT180" i="1" s="1"/>
  <c r="AD379" i="1"/>
  <c r="AD375" i="1"/>
  <c r="AD378" i="1"/>
  <c r="AD376" i="1"/>
  <c r="AD377" i="1"/>
  <c r="AD374" i="1"/>
  <c r="AD373" i="1"/>
  <c r="ED175" i="1"/>
  <c r="FN175" i="1" s="1"/>
  <c r="DV175" i="1"/>
  <c r="FF175" i="1" s="1"/>
  <c r="DN175" i="1"/>
  <c r="DF175" i="1"/>
  <c r="DM178" i="1"/>
  <c r="DE179" i="1"/>
  <c r="DM180" i="1"/>
  <c r="EW180" i="1" s="1"/>
  <c r="DI180" i="1"/>
  <c r="ES180" i="1" s="1"/>
  <c r="EB183" i="1"/>
  <c r="FL183" i="1" s="1"/>
  <c r="DX183" i="1"/>
  <c r="FH183" i="1" s="1"/>
  <c r="DJ183" i="1"/>
  <c r="ET183" i="1" s="1"/>
  <c r="EI185" i="1"/>
  <c r="FS185" i="1" s="1"/>
  <c r="DU185" i="1"/>
  <c r="FE185" i="1" s="1"/>
  <c r="DE189" i="1"/>
  <c r="EP190" i="1"/>
  <c r="FU190" i="1" s="1"/>
  <c r="DE207" i="1"/>
  <c r="DN181" i="1"/>
  <c r="EX181" i="1" s="1"/>
  <c r="DP181" i="1"/>
  <c r="EZ181" i="1" s="1"/>
  <c r="DR181" i="1"/>
  <c r="FB181" i="1" s="1"/>
  <c r="DT181" i="1"/>
  <c r="FD181" i="1" s="1"/>
  <c r="DV181" i="1"/>
  <c r="FF181" i="1" s="1"/>
  <c r="DX181" i="1"/>
  <c r="FH181" i="1" s="1"/>
  <c r="DZ181" i="1"/>
  <c r="FJ181" i="1" s="1"/>
  <c r="EB181" i="1"/>
  <c r="FL181" i="1" s="1"/>
  <c r="ED181" i="1"/>
  <c r="FN181" i="1" s="1"/>
  <c r="EF181" i="1"/>
  <c r="FP181" i="1" s="1"/>
  <c r="EH181" i="1"/>
  <c r="FR181" i="1" s="1"/>
  <c r="EJ181" i="1"/>
  <c r="FT181" i="1" s="1"/>
  <c r="AK382" i="1"/>
  <c r="AK380" i="1"/>
  <c r="AK376" i="1"/>
  <c r="AK375" i="1"/>
  <c r="AK373" i="1"/>
  <c r="AB381" i="1"/>
  <c r="AB377" i="1"/>
  <c r="AB373" i="1"/>
  <c r="AB382" i="1"/>
  <c r="AB379" i="1"/>
  <c r="Y380" i="1"/>
  <c r="S378" i="1"/>
  <c r="S374" i="1"/>
  <c r="N379" i="1"/>
  <c r="N375" i="1"/>
  <c r="H381" i="1"/>
  <c r="H377" i="1"/>
  <c r="H373" i="1"/>
  <c r="H376" i="1"/>
  <c r="H374" i="1"/>
  <c r="AJ30" i="1"/>
  <c r="AJ46" i="1" s="1"/>
  <c r="AJ21" i="1"/>
  <c r="AJ37" i="1" s="1"/>
  <c r="AJ423" i="1" s="1"/>
  <c r="AJ441" i="1" s="1"/>
  <c r="AF21" i="1"/>
  <c r="AF37" i="1" s="1"/>
  <c r="AF423" i="1" s="1"/>
  <c r="AF441" i="1" s="1"/>
  <c r="AF30" i="1"/>
  <c r="AF46" i="1" s="1"/>
  <c r="AB30" i="1"/>
  <c r="AB46" i="1" s="1"/>
  <c r="AB21" i="1"/>
  <c r="AB37" i="1" s="1"/>
  <c r="AB423" i="1" s="1"/>
  <c r="AB441" i="1" s="1"/>
  <c r="P21" i="1"/>
  <c r="P30" i="1"/>
  <c r="P46" i="1" s="1"/>
  <c r="AH28" i="1"/>
  <c r="AH44" i="1" s="1"/>
  <c r="AH430" i="1" s="1"/>
  <c r="AH448" i="1" s="1"/>
  <c r="AD28" i="1"/>
  <c r="AD44" i="1" s="1"/>
  <c r="AD430" i="1" s="1"/>
  <c r="AD448" i="1" s="1"/>
  <c r="Z28" i="1"/>
  <c r="Z44" i="1" s="1"/>
  <c r="Z430" i="1" s="1"/>
  <c r="Z448" i="1" s="1"/>
  <c r="V28" i="1"/>
  <c r="V44" i="1" s="1"/>
  <c r="V430" i="1" s="1"/>
  <c r="V448" i="1" s="1"/>
  <c r="R28" i="1"/>
  <c r="R44" i="1" s="1"/>
  <c r="R430" i="1" s="1"/>
  <c r="R448" i="1" s="1"/>
  <c r="N28" i="1"/>
  <c r="N44" i="1" s="1"/>
  <c r="N430" i="1" s="1"/>
  <c r="N448" i="1" s="1"/>
  <c r="J28" i="1"/>
  <c r="CM128" i="1"/>
  <c r="AC382" i="1"/>
  <c r="AC380" i="1"/>
  <c r="AC374" i="1"/>
  <c r="T378" i="1"/>
  <c r="K378" i="1"/>
  <c r="H480" i="1"/>
  <c r="H470" i="1"/>
  <c r="Z379" i="1"/>
  <c r="Z375" i="1"/>
  <c r="W382" i="1"/>
  <c r="W378" i="1"/>
  <c r="W374" i="1"/>
  <c r="J379" i="1"/>
  <c r="J375" i="1"/>
  <c r="G382" i="1"/>
  <c r="AH23" i="1"/>
  <c r="AH39" i="1" s="1"/>
  <c r="AH425" i="1" s="1"/>
  <c r="AH443" i="1" s="1"/>
  <c r="AH30" i="1"/>
  <c r="AH46" i="1" s="1"/>
  <c r="AD23" i="1"/>
  <c r="AD39" i="1" s="1"/>
  <c r="AD425" i="1" s="1"/>
  <c r="AD443" i="1" s="1"/>
  <c r="AD30" i="1"/>
  <c r="AD46" i="1" s="1"/>
  <c r="Z23" i="1"/>
  <c r="Z39" i="1" s="1"/>
  <c r="Z425" i="1" s="1"/>
  <c r="Z443" i="1" s="1"/>
  <c r="Z30" i="1"/>
  <c r="Z46" i="1" s="1"/>
  <c r="V23" i="1"/>
  <c r="V39" i="1" s="1"/>
  <c r="V425" i="1" s="1"/>
  <c r="V443" i="1" s="1"/>
  <c r="V30" i="1"/>
  <c r="V46" i="1" s="1"/>
  <c r="R23" i="1"/>
  <c r="R39" i="1" s="1"/>
  <c r="R425" i="1" s="1"/>
  <c r="R443" i="1" s="1"/>
  <c r="R30" i="1"/>
  <c r="R46" i="1" s="1"/>
  <c r="N23" i="1"/>
  <c r="N39" i="1" s="1"/>
  <c r="N425" i="1" s="1"/>
  <c r="N443" i="1" s="1"/>
  <c r="N30" i="1"/>
  <c r="N46" i="1" s="1"/>
  <c r="J23" i="1"/>
  <c r="J30" i="1"/>
  <c r="D70" i="1"/>
  <c r="E459" i="1"/>
  <c r="G22" i="1"/>
  <c r="D71" i="1"/>
  <c r="AH26" i="1"/>
  <c r="AH42" i="1" s="1"/>
  <c r="AH428" i="1" s="1"/>
  <c r="AH446" i="1" s="1"/>
  <c r="AD26" i="1"/>
  <c r="AD42" i="1" s="1"/>
  <c r="AD428" i="1" s="1"/>
  <c r="AD446" i="1" s="1"/>
  <c r="Z26" i="1"/>
  <c r="Z42" i="1" s="1"/>
  <c r="Z428" i="1" s="1"/>
  <c r="Z446" i="1" s="1"/>
  <c r="V26" i="1"/>
  <c r="V42" i="1" s="1"/>
  <c r="V428" i="1" s="1"/>
  <c r="V446" i="1" s="1"/>
  <c r="R26" i="1"/>
  <c r="R42" i="1" s="1"/>
  <c r="R428" i="1" s="1"/>
  <c r="R446" i="1" s="1"/>
  <c r="N26" i="1"/>
  <c r="N42" i="1" s="1"/>
  <c r="N428" i="1" s="1"/>
  <c r="N446" i="1" s="1"/>
  <c r="J26" i="1"/>
  <c r="AH24" i="1"/>
  <c r="AH40" i="1" s="1"/>
  <c r="AH426" i="1" s="1"/>
  <c r="AH444" i="1" s="1"/>
  <c r="AD24" i="1"/>
  <c r="AD40" i="1" s="1"/>
  <c r="AD426" i="1" s="1"/>
  <c r="AD444" i="1" s="1"/>
  <c r="Z24" i="1"/>
  <c r="Z40" i="1" s="1"/>
  <c r="Z426" i="1" s="1"/>
  <c r="Z444" i="1" s="1"/>
  <c r="V24" i="1"/>
  <c r="V40" i="1" s="1"/>
  <c r="V426" i="1" s="1"/>
  <c r="V444" i="1" s="1"/>
  <c r="R24" i="1"/>
  <c r="R40" i="1" s="1"/>
  <c r="R426" i="1" s="1"/>
  <c r="R444" i="1" s="1"/>
  <c r="N24" i="1"/>
  <c r="N40" i="1" s="1"/>
  <c r="N426" i="1" s="1"/>
  <c r="N444" i="1" s="1"/>
  <c r="J24" i="1"/>
  <c r="J40" i="1" s="1"/>
  <c r="J426" i="1" s="1"/>
  <c r="J444" i="1" s="1"/>
  <c r="D459" i="1"/>
  <c r="D461" i="1"/>
  <c r="D463" i="1"/>
  <c r="D465" i="1"/>
  <c r="D467" i="1"/>
  <c r="D469" i="1"/>
  <c r="D471" i="1"/>
  <c r="D473" i="1"/>
  <c r="D475" i="1"/>
  <c r="D477" i="1"/>
  <c r="D479" i="1"/>
  <c r="D481" i="1"/>
  <c r="D483" i="1"/>
  <c r="D485" i="1"/>
  <c r="D487" i="1"/>
  <c r="D489" i="1"/>
  <c r="D491" i="1"/>
  <c r="D493" i="1"/>
  <c r="D495" i="1"/>
  <c r="D497" i="1"/>
  <c r="D499" i="1"/>
  <c r="D501" i="1"/>
  <c r="D503" i="1"/>
  <c r="D505" i="1"/>
  <c r="D507" i="1"/>
  <c r="D509" i="1"/>
  <c r="D511" i="1"/>
  <c r="D513" i="1"/>
  <c r="D515" i="1"/>
  <c r="D517" i="1"/>
  <c r="J552" i="1"/>
  <c r="K552" i="1" s="1"/>
  <c r="AI24" i="1"/>
  <c r="AI40" i="1" s="1"/>
  <c r="AI426" i="1" s="1"/>
  <c r="AI444" i="1" s="1"/>
  <c r="AE24" i="1"/>
  <c r="AE40" i="1" s="1"/>
  <c r="AE426" i="1" s="1"/>
  <c r="AE444" i="1" s="1"/>
  <c r="AA24" i="1"/>
  <c r="AA40" i="1" s="1"/>
  <c r="AA426" i="1" s="1"/>
  <c r="AA444" i="1" s="1"/>
  <c r="W24" i="1"/>
  <c r="W40" i="1" s="1"/>
  <c r="W426" i="1" s="1"/>
  <c r="W444" i="1" s="1"/>
  <c r="S24" i="1"/>
  <c r="S40" i="1" s="1"/>
  <c r="S426" i="1" s="1"/>
  <c r="S444" i="1" s="1"/>
  <c r="O24" i="1"/>
  <c r="O40" i="1" s="1"/>
  <c r="O426" i="1" s="1"/>
  <c r="O444" i="1" s="1"/>
  <c r="K24" i="1"/>
  <c r="K40" i="1" s="1"/>
  <c r="K426" i="1" s="1"/>
  <c r="K444" i="1" s="1"/>
  <c r="G24" i="1"/>
  <c r="D457" i="1"/>
  <c r="G553" i="1"/>
  <c r="AH22" i="1"/>
  <c r="AH38" i="1" s="1"/>
  <c r="AH424" i="1" s="1"/>
  <c r="AH442" i="1" s="1"/>
  <c r="AD22" i="1"/>
  <c r="AD38" i="1" s="1"/>
  <c r="AD424" i="1" s="1"/>
  <c r="AD442" i="1" s="1"/>
  <c r="Z22" i="1"/>
  <c r="Z38" i="1" s="1"/>
  <c r="Z424" i="1" s="1"/>
  <c r="Z442" i="1" s="1"/>
  <c r="V22" i="1"/>
  <c r="V38" i="1" s="1"/>
  <c r="V424" i="1" s="1"/>
  <c r="V442" i="1" s="1"/>
  <c r="R22" i="1"/>
  <c r="R38" i="1" s="1"/>
  <c r="R424" i="1" s="1"/>
  <c r="R442" i="1" s="1"/>
  <c r="N22" i="1"/>
  <c r="N38" i="1" s="1"/>
  <c r="N424" i="1" s="1"/>
  <c r="N442" i="1" s="1"/>
  <c r="J22" i="1"/>
  <c r="J38" i="1" s="1"/>
  <c r="J424" i="1" s="1"/>
  <c r="J442" i="1" s="1"/>
  <c r="AJ381" i="1" l="1"/>
  <c r="AG382" i="1"/>
  <c r="U373" i="1"/>
  <c r="H488" i="1"/>
  <c r="AA379" i="1"/>
  <c r="AA382" i="1"/>
  <c r="DH216" i="1"/>
  <c r="AA376" i="1"/>
  <c r="EQ148" i="1"/>
  <c r="DG218" i="1"/>
  <c r="DH218" i="1"/>
  <c r="DL212" i="1"/>
  <c r="FA98" i="1"/>
  <c r="DQ213" i="1"/>
  <c r="FA88" i="1"/>
  <c r="DQ212" i="1"/>
  <c r="EZ98" i="1"/>
  <c r="DP213" i="1"/>
  <c r="DG217" i="1"/>
  <c r="DM213" i="1"/>
  <c r="EU98" i="1"/>
  <c r="DK213" i="1"/>
  <c r="ER118" i="1"/>
  <c r="DH215" i="1"/>
  <c r="EY88" i="1"/>
  <c r="DO212" i="1"/>
  <c r="EX98" i="1"/>
  <c r="DN213" i="1"/>
  <c r="DW217" i="1"/>
  <c r="DP212" i="1"/>
  <c r="EU168" i="1"/>
  <c r="DK220" i="1"/>
  <c r="EW88" i="1"/>
  <c r="DM212" i="1"/>
  <c r="EV98" i="1"/>
  <c r="DL213" i="1"/>
  <c r="DH217" i="1"/>
  <c r="EY98" i="1"/>
  <c r="DO213" i="1"/>
  <c r="AJ380" i="1"/>
  <c r="ES168" i="1"/>
  <c r="DI220" i="1"/>
  <c r="EU88" i="1"/>
  <c r="DK212" i="1"/>
  <c r="EQ128" i="1"/>
  <c r="DG216" i="1"/>
  <c r="DX212" i="1"/>
  <c r="ES158" i="1"/>
  <c r="DI219" i="1"/>
  <c r="Z376" i="1"/>
  <c r="Z377" i="1"/>
  <c r="T380" i="1"/>
  <c r="AF377" i="1"/>
  <c r="N376" i="1"/>
  <c r="V381" i="1"/>
  <c r="FU92" i="1"/>
  <c r="N377" i="1"/>
  <c r="AE382" i="1"/>
  <c r="Q374" i="1"/>
  <c r="AE378" i="1"/>
  <c r="AF381" i="1"/>
  <c r="N378" i="1"/>
  <c r="X374" i="1"/>
  <c r="AI378" i="1"/>
  <c r="AF380" i="1"/>
  <c r="U374" i="1"/>
  <c r="U378" i="1"/>
  <c r="L376" i="1"/>
  <c r="L378" i="1"/>
  <c r="N382" i="1"/>
  <c r="N373" i="1"/>
  <c r="O382" i="1"/>
  <c r="Y376" i="1"/>
  <c r="AI374" i="1"/>
  <c r="U381" i="1"/>
  <c r="U380" i="1"/>
  <c r="AG380" i="1"/>
  <c r="AJ378" i="1"/>
  <c r="AJ377" i="1"/>
  <c r="Y373" i="1"/>
  <c r="H476" i="1"/>
  <c r="O373" i="1"/>
  <c r="H460" i="1"/>
  <c r="O378" i="1"/>
  <c r="Q376" i="1"/>
  <c r="T381" i="1"/>
  <c r="S376" i="1"/>
  <c r="Y378" i="1"/>
  <c r="AI376" i="1"/>
  <c r="L379" i="1"/>
  <c r="L381" i="1"/>
  <c r="U377" i="1"/>
  <c r="U376" i="1"/>
  <c r="AG377" i="1"/>
  <c r="AJ379" i="1"/>
  <c r="AJ373" i="1"/>
  <c r="Y374" i="1"/>
  <c r="O380" i="1"/>
  <c r="S375" i="1"/>
  <c r="Y381" i="1"/>
  <c r="U379" i="1"/>
  <c r="O374" i="1"/>
  <c r="Q379" i="1"/>
  <c r="S382" i="1"/>
  <c r="Y382" i="1"/>
  <c r="X381" i="1"/>
  <c r="AI373" i="1"/>
  <c r="L375" i="1"/>
  <c r="L377" i="1"/>
  <c r="U375" i="1"/>
  <c r="AG375" i="1"/>
  <c r="AJ374" i="1"/>
  <c r="H496" i="1"/>
  <c r="O375" i="1"/>
  <c r="AI381" i="1"/>
  <c r="AI380" i="1"/>
  <c r="AI379" i="1"/>
  <c r="AI377" i="1"/>
  <c r="AI375" i="1"/>
  <c r="Y377" i="1"/>
  <c r="Y375" i="1"/>
  <c r="H510" i="1"/>
  <c r="AH375" i="1"/>
  <c r="AC376" i="1"/>
  <c r="AF373" i="1"/>
  <c r="AA377" i="1"/>
  <c r="H500" i="1"/>
  <c r="AF379" i="1"/>
  <c r="AF374" i="1"/>
  <c r="AF378" i="1"/>
  <c r="G459" i="1"/>
  <c r="H482" i="1"/>
  <c r="H472" i="1"/>
  <c r="AC381" i="1"/>
  <c r="AF375" i="1"/>
  <c r="AA375" i="1"/>
  <c r="H490" i="1"/>
  <c r="AF382" i="1"/>
  <c r="DK219" i="1"/>
  <c r="DF216" i="1"/>
  <c r="EH221" i="1"/>
  <c r="DO217" i="1"/>
  <c r="EH214" i="1"/>
  <c r="DP219" i="1"/>
  <c r="DT217" i="1"/>
  <c r="DR212" i="1"/>
  <c r="DS221" i="1"/>
  <c r="DV217" i="1"/>
  <c r="FU131" i="1"/>
  <c r="EG213" i="1"/>
  <c r="EA221" i="1"/>
  <c r="EH212" i="1"/>
  <c r="EA215" i="1"/>
  <c r="EI219" i="1"/>
  <c r="DF214" i="1"/>
  <c r="DF212" i="1"/>
  <c r="DF218" i="1"/>
  <c r="FU137" i="1"/>
  <c r="DF219" i="1"/>
  <c r="DF217" i="1"/>
  <c r="DF221" i="1"/>
  <c r="FR168" i="1"/>
  <c r="EH220" i="1"/>
  <c r="FT168" i="1"/>
  <c r="EJ220" i="1"/>
  <c r="FS168" i="1"/>
  <c r="EI220" i="1"/>
  <c r="FC168" i="1"/>
  <c r="DS220" i="1"/>
  <c r="FH118" i="1"/>
  <c r="DX215" i="1"/>
  <c r="FO98" i="1"/>
  <c r="EE213" i="1"/>
  <c r="FG148" i="1"/>
  <c r="DW218" i="1"/>
  <c r="EY148" i="1"/>
  <c r="DO218" i="1"/>
  <c r="FM88" i="1"/>
  <c r="EC212" i="1"/>
  <c r="FE88" i="1"/>
  <c r="DU212" i="1"/>
  <c r="FQ128" i="1"/>
  <c r="EG216" i="1"/>
  <c r="ES128" i="1"/>
  <c r="DI216" i="1"/>
  <c r="FT98" i="1"/>
  <c r="EJ213" i="1"/>
  <c r="FD98" i="1"/>
  <c r="DT213" i="1"/>
  <c r="FK108" i="1"/>
  <c r="EA214" i="1"/>
  <c r="ER168" i="1"/>
  <c r="DH220" i="1"/>
  <c r="FR118" i="1"/>
  <c r="EH215" i="1"/>
  <c r="FB118" i="1"/>
  <c r="DR215" i="1"/>
  <c r="FB128" i="1"/>
  <c r="DR216" i="1"/>
  <c r="FK98" i="1"/>
  <c r="EA213" i="1"/>
  <c r="EZ148" i="1"/>
  <c r="DP218" i="1"/>
  <c r="FI148" i="1"/>
  <c r="DY218" i="1"/>
  <c r="FK128" i="1"/>
  <c r="EA216" i="1"/>
  <c r="EU128" i="1"/>
  <c r="DK216" i="1"/>
  <c r="FF98" i="1"/>
  <c r="DV213" i="1"/>
  <c r="FA108" i="1"/>
  <c r="DQ214" i="1"/>
  <c r="FI108" i="1"/>
  <c r="DY214" i="1"/>
  <c r="FQ108" i="1"/>
  <c r="EG214" i="1"/>
  <c r="FH168" i="1"/>
  <c r="DX220" i="1"/>
  <c r="FD168" i="1"/>
  <c r="DT220" i="1"/>
  <c r="FO168" i="1"/>
  <c r="EE220" i="1"/>
  <c r="FG168" i="1"/>
  <c r="DW220" i="1"/>
  <c r="EQ168" i="1"/>
  <c r="DG220" i="1"/>
  <c r="FT118" i="1"/>
  <c r="EJ215" i="1"/>
  <c r="FL118" i="1"/>
  <c r="EB215" i="1"/>
  <c r="FD118" i="1"/>
  <c r="DT215" i="1"/>
  <c r="EX128" i="1"/>
  <c r="DN216" i="1"/>
  <c r="FN128" i="1"/>
  <c r="ED216" i="1"/>
  <c r="FA118" i="1"/>
  <c r="DQ215" i="1"/>
  <c r="FQ118" i="1"/>
  <c r="EG215" i="1"/>
  <c r="EQ98" i="1"/>
  <c r="DG213" i="1"/>
  <c r="FG98" i="1"/>
  <c r="DW213" i="1"/>
  <c r="FT148" i="1"/>
  <c r="EJ218" i="1"/>
  <c r="FD148" i="1"/>
  <c r="DT218" i="1"/>
  <c r="FS148" i="1"/>
  <c r="EI218" i="1"/>
  <c r="FK148" i="1"/>
  <c r="EA218" i="1"/>
  <c r="FC148" i="1"/>
  <c r="DS218" i="1"/>
  <c r="FQ88" i="1"/>
  <c r="EG212" i="1"/>
  <c r="FI88" i="1"/>
  <c r="DY212" i="1"/>
  <c r="ES88" i="1"/>
  <c r="DI212" i="1"/>
  <c r="FM128" i="1"/>
  <c r="EC216" i="1"/>
  <c r="FE128" i="1"/>
  <c r="DU216" i="1"/>
  <c r="EW128" i="1"/>
  <c r="DM216" i="1"/>
  <c r="FP98" i="1"/>
  <c r="EF213" i="1"/>
  <c r="FH98" i="1"/>
  <c r="DX213" i="1"/>
  <c r="ER98" i="1"/>
  <c r="DH213" i="1"/>
  <c r="DF215" i="1"/>
  <c r="DU221" i="1"/>
  <c r="EF221" i="1"/>
  <c r="DU219" i="1"/>
  <c r="EE219" i="1"/>
  <c r="DY213" i="1"/>
  <c r="DU213" i="1"/>
  <c r="EJ221" i="1"/>
  <c r="DO215" i="1"/>
  <c r="DT212" i="1"/>
  <c r="DX214" i="1"/>
  <c r="FU102" i="1"/>
  <c r="DG214" i="1"/>
  <c r="DL217" i="1"/>
  <c r="DN219" i="1"/>
  <c r="DP214" i="1"/>
  <c r="DN218" i="1"/>
  <c r="DW219" i="1"/>
  <c r="DS215" i="1"/>
  <c r="DJ219" i="1"/>
  <c r="EB214" i="1"/>
  <c r="DS217" i="1"/>
  <c r="EA217" i="1"/>
  <c r="DI215" i="1"/>
  <c r="DY221" i="1"/>
  <c r="DR218" i="1"/>
  <c r="EE215" i="1"/>
  <c r="DO221" i="1"/>
  <c r="EI221" i="1"/>
  <c r="DO219" i="1"/>
  <c r="EC217" i="1"/>
  <c r="DZ214" i="1"/>
  <c r="FU162" i="1"/>
  <c r="DM219" i="1"/>
  <c r="DN221" i="1"/>
  <c r="EF220" i="1"/>
  <c r="EF217" i="1"/>
  <c r="EG219" i="1"/>
  <c r="EG217" i="1"/>
  <c r="DJ221" i="1"/>
  <c r="EF219" i="1"/>
  <c r="DI221" i="1"/>
  <c r="EE221" i="1"/>
  <c r="DR219" i="1"/>
  <c r="DX219" i="1"/>
  <c r="DZ218" i="1"/>
  <c r="DU217" i="1"/>
  <c r="DI213" i="1"/>
  <c r="DJ212" i="1"/>
  <c r="DZ212" i="1"/>
  <c r="ED214" i="1"/>
  <c r="EF212" i="1"/>
  <c r="EC221" i="1"/>
  <c r="EH218" i="1"/>
  <c r="EF216" i="1"/>
  <c r="DV214" i="1"/>
  <c r="DY219" i="1"/>
  <c r="DY217" i="1"/>
  <c r="EC213" i="1"/>
  <c r="EJ212" i="1"/>
  <c r="ED221" i="1"/>
  <c r="DP221" i="1"/>
  <c r="ED219" i="1"/>
  <c r="EJ217" i="1"/>
  <c r="DL220" i="1"/>
  <c r="FE108" i="1"/>
  <c r="DU214" i="1"/>
  <c r="FM108" i="1"/>
  <c r="EC214" i="1"/>
  <c r="FN168" i="1"/>
  <c r="ED220" i="1"/>
  <c r="FK168" i="1"/>
  <c r="EA220" i="1"/>
  <c r="FP118" i="1"/>
  <c r="EF215" i="1"/>
  <c r="EZ118" i="1"/>
  <c r="DP215" i="1"/>
  <c r="FF128" i="1"/>
  <c r="DV216" i="1"/>
  <c r="FI118" i="1"/>
  <c r="DY215" i="1"/>
  <c r="FL148" i="1"/>
  <c r="EB218" i="1"/>
  <c r="FO148" i="1"/>
  <c r="EE218" i="1"/>
  <c r="FI128" i="1"/>
  <c r="DY216" i="1"/>
  <c r="FA128" i="1"/>
  <c r="DQ216" i="1"/>
  <c r="FL98" i="1"/>
  <c r="EB213" i="1"/>
  <c r="EW178" i="1"/>
  <c r="FU178" i="1" s="1"/>
  <c r="DM221" i="1"/>
  <c r="FC108" i="1"/>
  <c r="DS214" i="1"/>
  <c r="FS108" i="1"/>
  <c r="EI214" i="1"/>
  <c r="FM168" i="1"/>
  <c r="EC220" i="1"/>
  <c r="FE168" i="1"/>
  <c r="DU220" i="1"/>
  <c r="FJ118" i="1"/>
  <c r="DZ215" i="1"/>
  <c r="FR128" i="1"/>
  <c r="EH216" i="1"/>
  <c r="FE118" i="1"/>
  <c r="DU215" i="1"/>
  <c r="FP148" i="1"/>
  <c r="EF218" i="1"/>
  <c r="FQ148" i="1"/>
  <c r="EG218" i="1"/>
  <c r="FA148" i="1"/>
  <c r="DQ218" i="1"/>
  <c r="FO88" i="1"/>
  <c r="EE212" i="1"/>
  <c r="FG88" i="1"/>
  <c r="DW212" i="1"/>
  <c r="EQ88" i="1"/>
  <c r="DG212" i="1"/>
  <c r="FS128" i="1"/>
  <c r="EI216" i="1"/>
  <c r="FC128" i="1"/>
  <c r="DS216" i="1"/>
  <c r="FN98" i="1"/>
  <c r="ED213" i="1"/>
  <c r="EY108" i="1"/>
  <c r="DO214" i="1"/>
  <c r="FG108" i="1"/>
  <c r="DW214" i="1"/>
  <c r="FO108" i="1"/>
  <c r="EE214" i="1"/>
  <c r="FB168" i="1"/>
  <c r="DR220" i="1"/>
  <c r="FF168" i="1"/>
  <c r="DV220" i="1"/>
  <c r="FL168" i="1"/>
  <c r="EB220" i="1"/>
  <c r="FQ168" i="1"/>
  <c r="EG220" i="1"/>
  <c r="FI168" i="1"/>
  <c r="DY220" i="1"/>
  <c r="FA168" i="1"/>
  <c r="DQ220" i="1"/>
  <c r="FN118" i="1"/>
  <c r="ED215" i="1"/>
  <c r="FF118" i="1"/>
  <c r="DV215" i="1"/>
  <c r="EX118" i="1"/>
  <c r="DN215" i="1"/>
  <c r="ET128" i="1"/>
  <c r="DJ216" i="1"/>
  <c r="FJ128" i="1"/>
  <c r="DZ216" i="1"/>
  <c r="FM118" i="1"/>
  <c r="EC215" i="1"/>
  <c r="FC98" i="1"/>
  <c r="DS213" i="1"/>
  <c r="FS98" i="1"/>
  <c r="EI213" i="1"/>
  <c r="FH148" i="1"/>
  <c r="DX218" i="1"/>
  <c r="FM148" i="1"/>
  <c r="EC218" i="1"/>
  <c r="FE148" i="1"/>
  <c r="DU218" i="1"/>
  <c r="FS88" i="1"/>
  <c r="EI212" i="1"/>
  <c r="FK88" i="1"/>
  <c r="EA212" i="1"/>
  <c r="FC88" i="1"/>
  <c r="DS212" i="1"/>
  <c r="FO128" i="1"/>
  <c r="EE216" i="1"/>
  <c r="FG128" i="1"/>
  <c r="DW216" i="1"/>
  <c r="EY128" i="1"/>
  <c r="DO216" i="1"/>
  <c r="FR98" i="1"/>
  <c r="EH213" i="1"/>
  <c r="FJ98" i="1"/>
  <c r="DZ213" i="1"/>
  <c r="FB98" i="1"/>
  <c r="DR213" i="1"/>
  <c r="ET98" i="1"/>
  <c r="DJ213" i="1"/>
  <c r="FU170" i="1"/>
  <c r="FU173" i="1"/>
  <c r="DH219" i="1"/>
  <c r="DW215" i="1"/>
  <c r="DP217" i="1"/>
  <c r="DX216" i="1"/>
  <c r="DI217" i="1"/>
  <c r="DP220" i="1"/>
  <c r="DX217" i="1"/>
  <c r="EB212" i="1"/>
  <c r="FU125" i="1"/>
  <c r="FU106" i="1"/>
  <c r="DF220" i="1"/>
  <c r="DF213" i="1"/>
  <c r="FU129" i="1"/>
  <c r="FU158" i="1"/>
  <c r="DL219" i="1"/>
  <c r="DQ221" i="1"/>
  <c r="EF214" i="1"/>
  <c r="DQ217" i="1"/>
  <c r="DV221" i="1"/>
  <c r="EG221" i="1"/>
  <c r="DR217" i="1"/>
  <c r="EJ219" i="1"/>
  <c r="DV219" i="1"/>
  <c r="DL221" i="1"/>
  <c r="DZ221" i="1"/>
  <c r="DV218" i="1"/>
  <c r="DT216" i="1"/>
  <c r="DR214" i="1"/>
  <c r="DL216" i="1"/>
  <c r="EK171" i="1"/>
  <c r="EK156" i="1"/>
  <c r="DJ217" i="1"/>
  <c r="DH221" i="1"/>
  <c r="DX221" i="1"/>
  <c r="EB219" i="1"/>
  <c r="EB217" i="1"/>
  <c r="DT214" i="1"/>
  <c r="DZ219" i="1"/>
  <c r="DZ217" i="1"/>
  <c r="ED212" i="1"/>
  <c r="DS219" i="1"/>
  <c r="EB216" i="1"/>
  <c r="DW221" i="1"/>
  <c r="DQ219" i="1"/>
  <c r="EH219" i="1"/>
  <c r="EH217" i="1"/>
  <c r="EJ214" i="1"/>
  <c r="DT219" i="1"/>
  <c r="ED217" i="1"/>
  <c r="EB221" i="1"/>
  <c r="ED218" i="1"/>
  <c r="DG221" i="1"/>
  <c r="DT221" i="1"/>
  <c r="DG219" i="1"/>
  <c r="EA219" i="1"/>
  <c r="DN217" i="1"/>
  <c r="EE217" i="1"/>
  <c r="EJ216" i="1"/>
  <c r="EI215" i="1"/>
  <c r="DH212" i="1"/>
  <c r="DK221" i="1"/>
  <c r="DJ220" i="1"/>
  <c r="DP216" i="1"/>
  <c r="DV212" i="1"/>
  <c r="DR221" i="1"/>
  <c r="DZ220" i="1"/>
  <c r="EC219" i="1"/>
  <c r="EI217" i="1"/>
  <c r="DN214" i="1"/>
  <c r="EW147" i="1"/>
  <c r="DM217" i="1"/>
  <c r="EU147" i="1"/>
  <c r="DK217" i="1"/>
  <c r="DH214" i="1"/>
  <c r="DL214" i="1"/>
  <c r="DJ214" i="1"/>
  <c r="EW118" i="1"/>
  <c r="DM215" i="1"/>
  <c r="ET118" i="1"/>
  <c r="DJ215" i="1"/>
  <c r="FA91" i="1"/>
  <c r="EU91" i="1"/>
  <c r="EV123" i="1"/>
  <c r="DL215" i="1"/>
  <c r="EU123" i="1"/>
  <c r="DK215" i="1"/>
  <c r="ET155" i="1"/>
  <c r="DJ218" i="1"/>
  <c r="ES155" i="1"/>
  <c r="DI218" i="1"/>
  <c r="ER148" i="1"/>
  <c r="EW116" i="1"/>
  <c r="DM214" i="1"/>
  <c r="EU116" i="1"/>
  <c r="DK214" i="1"/>
  <c r="ES116" i="1"/>
  <c r="DI214" i="1"/>
  <c r="C375" i="1"/>
  <c r="D407" i="1" s="1"/>
  <c r="C377" i="1"/>
  <c r="D409" i="1" s="1"/>
  <c r="C376" i="1"/>
  <c r="D408" i="1" s="1"/>
  <c r="C382" i="1"/>
  <c r="D414" i="1" s="1"/>
  <c r="D29" i="1"/>
  <c r="C381" i="1"/>
  <c r="D413" i="1" s="1"/>
  <c r="D27" i="1"/>
  <c r="D545" i="1"/>
  <c r="I544" i="1" s="1"/>
  <c r="J43" i="1"/>
  <c r="J429" i="1" s="1"/>
  <c r="J447" i="1" s="1"/>
  <c r="C447" i="1" s="1"/>
  <c r="C379" i="1"/>
  <c r="D411" i="1" s="1"/>
  <c r="AK432" i="1"/>
  <c r="AK450" i="1" s="1"/>
  <c r="C378" i="1"/>
  <c r="D410" i="1" s="1"/>
  <c r="U432" i="1"/>
  <c r="U450" i="1" s="1"/>
  <c r="H61" i="1"/>
  <c r="AI432" i="1"/>
  <c r="AI450" i="1" s="1"/>
  <c r="Y61" i="1"/>
  <c r="AC61" i="1"/>
  <c r="I432" i="1"/>
  <c r="I450" i="1" s="1"/>
  <c r="S432" i="1"/>
  <c r="S450" i="1" s="1"/>
  <c r="AG61" i="1"/>
  <c r="M432" i="1"/>
  <c r="M450" i="1" s="1"/>
  <c r="W432" i="1"/>
  <c r="W450" i="1" s="1"/>
  <c r="O61" i="1"/>
  <c r="AA61" i="1"/>
  <c r="K61" i="1"/>
  <c r="J45" i="1"/>
  <c r="J431" i="1" s="1"/>
  <c r="J449" i="1" s="1"/>
  <c r="C449" i="1" s="1"/>
  <c r="D25" i="1"/>
  <c r="G61" i="1"/>
  <c r="EX175" i="1"/>
  <c r="DN220" i="1"/>
  <c r="EW175" i="1"/>
  <c r="DM220" i="1"/>
  <c r="EU175" i="1"/>
  <c r="FU165" i="1"/>
  <c r="EV153" i="1"/>
  <c r="DL218" i="1"/>
  <c r="EW154" i="1"/>
  <c r="DM218" i="1"/>
  <c r="EU154" i="1"/>
  <c r="DK218" i="1"/>
  <c r="K381" i="1"/>
  <c r="K379" i="1"/>
  <c r="K373" i="1"/>
  <c r="K380" i="1"/>
  <c r="K376" i="1"/>
  <c r="AE432" i="1"/>
  <c r="AE450" i="1" s="1"/>
  <c r="AE61" i="1"/>
  <c r="G376" i="1"/>
  <c r="G373" i="1"/>
  <c r="G375" i="1"/>
  <c r="G381" i="1"/>
  <c r="G380" i="1"/>
  <c r="G377" i="1"/>
  <c r="G379" i="1"/>
  <c r="T379" i="1"/>
  <c r="T375" i="1"/>
  <c r="T374" i="1"/>
  <c r="T376" i="1"/>
  <c r="AC379" i="1"/>
  <c r="AC375" i="1"/>
  <c r="AC377" i="1"/>
  <c r="AC373" i="1"/>
  <c r="AJ375" i="1"/>
  <c r="AJ376" i="1"/>
  <c r="AE379" i="1"/>
  <c r="AE377" i="1"/>
  <c r="AE373" i="1"/>
  <c r="AE380" i="1"/>
  <c r="AE376" i="1"/>
  <c r="AE381" i="1"/>
  <c r="AE375" i="1"/>
  <c r="K374" i="1"/>
  <c r="FU152" i="1"/>
  <c r="FU150" i="1"/>
  <c r="FU146" i="1"/>
  <c r="FU143" i="1"/>
  <c r="H486" i="1"/>
  <c r="G378" i="1"/>
  <c r="H504" i="1"/>
  <c r="K377" i="1"/>
  <c r="Q377" i="1"/>
  <c r="T373" i="1"/>
  <c r="X378" i="1"/>
  <c r="V380" i="1"/>
  <c r="V375" i="1"/>
  <c r="AA373" i="1"/>
  <c r="AA381" i="1"/>
  <c r="AA378" i="1"/>
  <c r="AG381" i="1"/>
  <c r="AG376" i="1"/>
  <c r="FU166" i="1"/>
  <c r="FU96" i="1"/>
  <c r="FU132" i="1"/>
  <c r="FU122" i="1"/>
  <c r="FU163" i="1"/>
  <c r="T61" i="1"/>
  <c r="X61" i="1"/>
  <c r="G427" i="1"/>
  <c r="D41" i="1"/>
  <c r="X382" i="1"/>
  <c r="X380" i="1"/>
  <c r="AH380" i="1"/>
  <c r="AH381" i="1"/>
  <c r="AH378" i="1"/>
  <c r="AH377" i="1"/>
  <c r="AH376" i="1"/>
  <c r="AH382" i="1"/>
  <c r="AH374" i="1"/>
  <c r="AH373" i="1"/>
  <c r="R381" i="1"/>
  <c r="R380" i="1"/>
  <c r="R374" i="1"/>
  <c r="R382" i="1"/>
  <c r="R378" i="1"/>
  <c r="R377" i="1"/>
  <c r="R376" i="1"/>
  <c r="R373" i="1"/>
  <c r="Q375" i="1"/>
  <c r="Q378" i="1"/>
  <c r="Q381" i="1"/>
  <c r="Q373" i="1"/>
  <c r="X379" i="1"/>
  <c r="X377" i="1"/>
  <c r="V373" i="1"/>
  <c r="V382" i="1"/>
  <c r="V379" i="1"/>
  <c r="FU136" i="1"/>
  <c r="FU94" i="1"/>
  <c r="FU126" i="1"/>
  <c r="FU120" i="1"/>
  <c r="G374" i="1"/>
  <c r="R375" i="1"/>
  <c r="K375" i="1"/>
  <c r="K382" i="1"/>
  <c r="Q380" i="1"/>
  <c r="T382" i="1"/>
  <c r="X375" i="1"/>
  <c r="X376" i="1"/>
  <c r="V378" i="1"/>
  <c r="V377" i="1"/>
  <c r="AA380" i="1"/>
  <c r="AG374" i="1"/>
  <c r="AG379" i="1"/>
  <c r="FU182" i="1"/>
  <c r="FU177" i="1"/>
  <c r="FU171" i="1"/>
  <c r="FU157" i="1"/>
  <c r="FU114" i="1"/>
  <c r="FU110" i="1"/>
  <c r="FU138" i="1"/>
  <c r="FU90" i="1"/>
  <c r="L61" i="1"/>
  <c r="Q61" i="1"/>
  <c r="F515" i="1"/>
  <c r="I516" i="1" s="1"/>
  <c r="J516" i="1" s="1"/>
  <c r="G515" i="1"/>
  <c r="F499" i="1"/>
  <c r="G499" i="1"/>
  <c r="F483" i="1"/>
  <c r="I484" i="1" s="1"/>
  <c r="J484" i="1" s="1"/>
  <c r="G483" i="1"/>
  <c r="F467" i="1"/>
  <c r="I468" i="1" s="1"/>
  <c r="J468" i="1" s="1"/>
  <c r="G467" i="1"/>
  <c r="J42" i="1"/>
  <c r="D26" i="1"/>
  <c r="C374" i="1"/>
  <c r="D533" i="1"/>
  <c r="G446" i="1"/>
  <c r="I540" i="1"/>
  <c r="P432" i="1"/>
  <c r="P450" i="1" s="1"/>
  <c r="P61" i="1"/>
  <c r="EK174" i="1"/>
  <c r="EP174" i="1"/>
  <c r="FU174" i="1" s="1"/>
  <c r="EP179" i="1"/>
  <c r="FU179" i="1" s="1"/>
  <c r="EK179" i="1"/>
  <c r="EK186" i="1"/>
  <c r="EP186" i="1"/>
  <c r="FU186" i="1" s="1"/>
  <c r="EP168" i="1"/>
  <c r="EK168" i="1"/>
  <c r="EP133" i="1"/>
  <c r="FU133" i="1" s="1"/>
  <c r="EK133" i="1"/>
  <c r="EK124" i="1"/>
  <c r="EP124" i="1"/>
  <c r="FU124" i="1" s="1"/>
  <c r="EP97" i="1"/>
  <c r="FU97" i="1" s="1"/>
  <c r="EK97" i="1"/>
  <c r="EP91" i="1"/>
  <c r="EK91" i="1"/>
  <c r="EK145" i="1"/>
  <c r="EP145" i="1"/>
  <c r="FU145" i="1" s="1"/>
  <c r="EP172" i="1"/>
  <c r="FU172" i="1" s="1"/>
  <c r="EK172" i="1"/>
  <c r="F509" i="1"/>
  <c r="I510" i="1" s="1"/>
  <c r="J510" i="1" s="1"/>
  <c r="G509" i="1"/>
  <c r="F493" i="1"/>
  <c r="I494" i="1" s="1"/>
  <c r="J494" i="1" s="1"/>
  <c r="G493" i="1"/>
  <c r="F477" i="1"/>
  <c r="I478" i="1" s="1"/>
  <c r="J478" i="1" s="1"/>
  <c r="G477" i="1"/>
  <c r="F461" i="1"/>
  <c r="I462" i="1" s="1"/>
  <c r="J462" i="1" s="1"/>
  <c r="G461" i="1"/>
  <c r="D412" i="1"/>
  <c r="D30" i="1"/>
  <c r="J46" i="1"/>
  <c r="Z432" i="1"/>
  <c r="Z450" i="1" s="1"/>
  <c r="Z61" i="1"/>
  <c r="AB432" i="1"/>
  <c r="AB450" i="1" s="1"/>
  <c r="AB61" i="1"/>
  <c r="EP151" i="1"/>
  <c r="FU151" i="1" s="1"/>
  <c r="EK151" i="1"/>
  <c r="EP121" i="1"/>
  <c r="FU121" i="1" s="1"/>
  <c r="EK121" i="1"/>
  <c r="EK119" i="1"/>
  <c r="EP119" i="1"/>
  <c r="FU119" i="1" s="1"/>
  <c r="EP118" i="1"/>
  <c r="EK118" i="1"/>
  <c r="EP100" i="1"/>
  <c r="FU100" i="1" s="1"/>
  <c r="EK100" i="1"/>
  <c r="EK160" i="1"/>
  <c r="EP160" i="1"/>
  <c r="FU160" i="1" s="1"/>
  <c r="EP95" i="1"/>
  <c r="FU95" i="1" s="1"/>
  <c r="EK95" i="1"/>
  <c r="EP93" i="1"/>
  <c r="FU93" i="1" s="1"/>
  <c r="EK93" i="1"/>
  <c r="G40" i="1"/>
  <c r="D24" i="1"/>
  <c r="F511" i="1"/>
  <c r="I512" i="1" s="1"/>
  <c r="J512" i="1" s="1"/>
  <c r="G511" i="1"/>
  <c r="F503" i="1"/>
  <c r="G503" i="1"/>
  <c r="F495" i="1"/>
  <c r="I496" i="1" s="1"/>
  <c r="J496" i="1" s="1"/>
  <c r="G495" i="1"/>
  <c r="F487" i="1"/>
  <c r="I488" i="1" s="1"/>
  <c r="J488" i="1" s="1"/>
  <c r="G487" i="1"/>
  <c r="F479" i="1"/>
  <c r="I480" i="1" s="1"/>
  <c r="J480" i="1" s="1"/>
  <c r="G479" i="1"/>
  <c r="F471" i="1"/>
  <c r="I472" i="1" s="1"/>
  <c r="J472" i="1" s="1"/>
  <c r="G471" i="1"/>
  <c r="F463" i="1"/>
  <c r="I464" i="1" s="1"/>
  <c r="J464" i="1" s="1"/>
  <c r="G463" i="1"/>
  <c r="I538" i="1"/>
  <c r="I548" i="1"/>
  <c r="EK175" i="1"/>
  <c r="EP175" i="1"/>
  <c r="EP176" i="1"/>
  <c r="FU176" i="1" s="1"/>
  <c r="EK176" i="1"/>
  <c r="EK159" i="1"/>
  <c r="EP159" i="1"/>
  <c r="FU159" i="1" s="1"/>
  <c r="EP144" i="1"/>
  <c r="FU144" i="1" s="1"/>
  <c r="EK144" i="1"/>
  <c r="EK141" i="1"/>
  <c r="EP141" i="1"/>
  <c r="FU141" i="1" s="1"/>
  <c r="EK140" i="1"/>
  <c r="EP140" i="1"/>
  <c r="FU140" i="1" s="1"/>
  <c r="EP185" i="1"/>
  <c r="FU185" i="1" s="1"/>
  <c r="EK185" i="1"/>
  <c r="EK181" i="1"/>
  <c r="EP181" i="1"/>
  <c r="FU181" i="1" s="1"/>
  <c r="EP127" i="1"/>
  <c r="FU127" i="1" s="1"/>
  <c r="EK127" i="1"/>
  <c r="EP117" i="1"/>
  <c r="FU117" i="1" s="1"/>
  <c r="EK117" i="1"/>
  <c r="EP113" i="1"/>
  <c r="FU113" i="1" s="1"/>
  <c r="EK113" i="1"/>
  <c r="EP109" i="1"/>
  <c r="FU109" i="1" s="1"/>
  <c r="EK109" i="1"/>
  <c r="EP105" i="1"/>
  <c r="FU105" i="1" s="1"/>
  <c r="EK105" i="1"/>
  <c r="EK101" i="1"/>
  <c r="EP101" i="1"/>
  <c r="FU101" i="1" s="1"/>
  <c r="EP161" i="1"/>
  <c r="FU161" i="1" s="1"/>
  <c r="EK161" i="1"/>
  <c r="EP128" i="1"/>
  <c r="EK128" i="1"/>
  <c r="EP167" i="1"/>
  <c r="FU167" i="1" s="1"/>
  <c r="EK167" i="1"/>
  <c r="EP115" i="1"/>
  <c r="FU115" i="1" s="1"/>
  <c r="EK115" i="1"/>
  <c r="EP111" i="1"/>
  <c r="FU111" i="1" s="1"/>
  <c r="EK111" i="1"/>
  <c r="EP103" i="1"/>
  <c r="FU103" i="1" s="1"/>
  <c r="EK103" i="1"/>
  <c r="EP98" i="1"/>
  <c r="EK98" i="1"/>
  <c r="FU164" i="1"/>
  <c r="FU180" i="1"/>
  <c r="EK136" i="1"/>
  <c r="FU99" i="1"/>
  <c r="EK116" i="1"/>
  <c r="H458" i="1"/>
  <c r="EK164" i="1"/>
  <c r="EK147" i="1"/>
  <c r="EK180" i="1"/>
  <c r="EK110" i="1"/>
  <c r="EK132" i="1"/>
  <c r="FU104" i="1"/>
  <c r="EK104" i="1"/>
  <c r="EK177" i="1"/>
  <c r="EK150" i="1"/>
  <c r="FU156" i="1"/>
  <c r="EK114" i="1"/>
  <c r="EK102" i="1"/>
  <c r="EK148" i="1"/>
  <c r="EK126" i="1"/>
  <c r="EK88" i="1"/>
  <c r="EK108" i="1"/>
  <c r="EK149" i="1"/>
  <c r="F507" i="1"/>
  <c r="I508" i="1" s="1"/>
  <c r="J508" i="1" s="1"/>
  <c r="G507" i="1"/>
  <c r="F491" i="1"/>
  <c r="I492" i="1" s="1"/>
  <c r="J492" i="1" s="1"/>
  <c r="G491" i="1"/>
  <c r="F475" i="1"/>
  <c r="I476" i="1" s="1"/>
  <c r="J476" i="1" s="1"/>
  <c r="G475" i="1"/>
  <c r="F459" i="1"/>
  <c r="I460" i="1" s="1"/>
  <c r="J460" i="1" s="1"/>
  <c r="I542" i="1"/>
  <c r="I550" i="1"/>
  <c r="J39" i="1"/>
  <c r="D23" i="1"/>
  <c r="G448" i="1"/>
  <c r="AF432" i="1"/>
  <c r="AF450" i="1" s="1"/>
  <c r="AF61" i="1"/>
  <c r="EP107" i="1"/>
  <c r="FU107" i="1" s="1"/>
  <c r="EK107" i="1"/>
  <c r="EP155" i="1"/>
  <c r="EK155" i="1"/>
  <c r="EP123" i="1"/>
  <c r="EK123" i="1"/>
  <c r="EP130" i="1"/>
  <c r="FU130" i="1" s="1"/>
  <c r="EK130" i="1"/>
  <c r="G441" i="1"/>
  <c r="F517" i="1"/>
  <c r="I518" i="1" s="1"/>
  <c r="J518" i="1" s="1"/>
  <c r="G517" i="1"/>
  <c r="F501" i="1"/>
  <c r="I502" i="1" s="1"/>
  <c r="J502" i="1" s="1"/>
  <c r="G501" i="1"/>
  <c r="F485" i="1"/>
  <c r="G485" i="1"/>
  <c r="F469" i="1"/>
  <c r="I470" i="1" s="1"/>
  <c r="J470" i="1" s="1"/>
  <c r="G469" i="1"/>
  <c r="R432" i="1"/>
  <c r="R450" i="1" s="1"/>
  <c r="R61" i="1"/>
  <c r="AH432" i="1"/>
  <c r="AH450" i="1" s="1"/>
  <c r="AH61" i="1"/>
  <c r="AJ432" i="1"/>
  <c r="AJ450" i="1" s="1"/>
  <c r="AJ61" i="1"/>
  <c r="EP153" i="1"/>
  <c r="EK153" i="1"/>
  <c r="EK89" i="1"/>
  <c r="EP89" i="1"/>
  <c r="FU89" i="1" s="1"/>
  <c r="G457" i="1"/>
  <c r="F457" i="1"/>
  <c r="G513" i="1"/>
  <c r="F513" i="1"/>
  <c r="I514" i="1" s="1"/>
  <c r="J514" i="1" s="1"/>
  <c r="G505" i="1"/>
  <c r="F505" i="1"/>
  <c r="I506" i="1" s="1"/>
  <c r="J506" i="1" s="1"/>
  <c r="G497" i="1"/>
  <c r="F497" i="1"/>
  <c r="I498" i="1" s="1"/>
  <c r="J498" i="1" s="1"/>
  <c r="G489" i="1"/>
  <c r="F489" i="1"/>
  <c r="I490" i="1" s="1"/>
  <c r="J490" i="1" s="1"/>
  <c r="G481" i="1"/>
  <c r="F481" i="1"/>
  <c r="G473" i="1"/>
  <c r="F473" i="1"/>
  <c r="I474" i="1" s="1"/>
  <c r="J474" i="1" s="1"/>
  <c r="G465" i="1"/>
  <c r="F465" i="1"/>
  <c r="I466" i="1" s="1"/>
  <c r="J466" i="1" s="1"/>
  <c r="G38" i="1"/>
  <c r="D22" i="1"/>
  <c r="C373" i="1"/>
  <c r="D531" i="1"/>
  <c r="N432" i="1"/>
  <c r="N450" i="1" s="1"/>
  <c r="N61" i="1"/>
  <c r="V432" i="1"/>
  <c r="V450" i="1" s="1"/>
  <c r="V61" i="1"/>
  <c r="AD432" i="1"/>
  <c r="AD450" i="1" s="1"/>
  <c r="AD61" i="1"/>
  <c r="I536" i="1"/>
  <c r="J44" i="1"/>
  <c r="D28" i="1"/>
  <c r="P37" i="1"/>
  <c r="D21" i="1"/>
  <c r="EP183" i="1"/>
  <c r="FU183" i="1" s="1"/>
  <c r="EK183" i="1"/>
  <c r="EP187" i="1"/>
  <c r="FU187" i="1" s="1"/>
  <c r="EK187" i="1"/>
  <c r="EP169" i="1"/>
  <c r="FU169" i="1" s="1"/>
  <c r="EK169" i="1"/>
  <c r="EK142" i="1"/>
  <c r="EP142" i="1"/>
  <c r="FU142" i="1" s="1"/>
  <c r="EK143" i="1"/>
  <c r="FU184" i="1"/>
  <c r="FU134" i="1"/>
  <c r="EK99" i="1"/>
  <c r="EK134" i="1"/>
  <c r="EK139" i="1"/>
  <c r="EK129" i="1"/>
  <c r="EK184" i="1"/>
  <c r="EK146" i="1"/>
  <c r="EK122" i="1"/>
  <c r="EK135" i="1"/>
  <c r="EK178" i="1"/>
  <c r="EK154" i="1"/>
  <c r="EK152" i="1"/>
  <c r="EK106" i="1"/>
  <c r="EK125" i="1"/>
  <c r="EK166" i="1"/>
  <c r="FU135" i="1"/>
  <c r="FU112" i="1"/>
  <c r="EK157" i="1"/>
  <c r="EK112" i="1"/>
  <c r="FU139" i="1"/>
  <c r="FU149" i="1"/>
  <c r="I482" i="1" l="1"/>
  <c r="J482" i="1" s="1"/>
  <c r="K482" i="1" s="1"/>
  <c r="I500" i="1"/>
  <c r="J500" i="1" s="1"/>
  <c r="K502" i="1" s="1"/>
  <c r="FU108" i="1"/>
  <c r="I504" i="1"/>
  <c r="J504" i="1" s="1"/>
  <c r="K504" i="1" s="1"/>
  <c r="FU168" i="1"/>
  <c r="FU153" i="1"/>
  <c r="FU154" i="1"/>
  <c r="FU88" i="1"/>
  <c r="Y11" i="1"/>
  <c r="DG233" i="1"/>
  <c r="FU116" i="1"/>
  <c r="AE6" i="1" s="1"/>
  <c r="DG234" i="1"/>
  <c r="FU128" i="1"/>
  <c r="AC8" i="1" s="1"/>
  <c r="FU148" i="1"/>
  <c r="DG232" i="1"/>
  <c r="DG226" i="1"/>
  <c r="FU98" i="1"/>
  <c r="AE5" i="1" s="1"/>
  <c r="AD13" i="1"/>
  <c r="X11" i="1"/>
  <c r="DG229" i="1"/>
  <c r="FU147" i="1"/>
  <c r="AD9" i="1" s="1"/>
  <c r="DG230" i="1"/>
  <c r="Z9" i="1"/>
  <c r="FU118" i="1"/>
  <c r="DG228" i="1"/>
  <c r="FU91" i="1"/>
  <c r="DG225" i="1"/>
  <c r="FU123" i="1"/>
  <c r="FU155" i="1"/>
  <c r="DG231" i="1"/>
  <c r="DH231" i="1" s="1"/>
  <c r="DG227" i="1"/>
  <c r="I546" i="1"/>
  <c r="D43" i="1"/>
  <c r="E43" i="1" s="1"/>
  <c r="C429" i="1"/>
  <c r="E41" i="1"/>
  <c r="D377" i="1"/>
  <c r="E377" i="1" s="1"/>
  <c r="K470" i="1"/>
  <c r="K492" i="1"/>
  <c r="I458" i="1"/>
  <c r="J458" i="1" s="1"/>
  <c r="K458" i="1" s="1"/>
  <c r="D376" i="1"/>
  <c r="E376" i="1" s="1"/>
  <c r="D380" i="1"/>
  <c r="E380" i="1" s="1"/>
  <c r="D378" i="1"/>
  <c r="E378" i="1" s="1"/>
  <c r="D373" i="1"/>
  <c r="E373" i="1" s="1"/>
  <c r="D381" i="1"/>
  <c r="E381" i="1" s="1"/>
  <c r="D382" i="1"/>
  <c r="E382" i="1" s="1"/>
  <c r="D379" i="1"/>
  <c r="E379" i="1" s="1"/>
  <c r="K514" i="1"/>
  <c r="D375" i="1"/>
  <c r="E375" i="1" s="1"/>
  <c r="C431" i="1"/>
  <c r="D32" i="1"/>
  <c r="AN15" i="1" s="1"/>
  <c r="K510" i="1"/>
  <c r="D45" i="1"/>
  <c r="E45" i="1" s="1"/>
  <c r="FU175" i="1"/>
  <c r="AD11" i="1"/>
  <c r="AC11" i="1"/>
  <c r="K472" i="1"/>
  <c r="C427" i="1"/>
  <c r="G445" i="1"/>
  <c r="C445" i="1" s="1"/>
  <c r="K494" i="1"/>
  <c r="K498" i="1"/>
  <c r="I486" i="1"/>
  <c r="J486" i="1" s="1"/>
  <c r="K486" i="1" s="1"/>
  <c r="K518" i="1"/>
  <c r="AE13" i="1"/>
  <c r="D374" i="1"/>
  <c r="E374" i="1" s="1"/>
  <c r="K462" i="1"/>
  <c r="D37" i="1"/>
  <c r="P423" i="1"/>
  <c r="E414" i="1"/>
  <c r="G414" i="1"/>
  <c r="Z5" i="1"/>
  <c r="Y5" i="1"/>
  <c r="X5" i="1"/>
  <c r="D40" i="1"/>
  <c r="E40" i="1" s="1"/>
  <c r="G426" i="1"/>
  <c r="G411" i="1"/>
  <c r="E411" i="1"/>
  <c r="G413" i="1"/>
  <c r="E413" i="1"/>
  <c r="Z10" i="1"/>
  <c r="X10" i="1"/>
  <c r="Y10" i="1"/>
  <c r="Z12" i="1"/>
  <c r="X12" i="1"/>
  <c r="Y12" i="1"/>
  <c r="J428" i="1"/>
  <c r="D42" i="1"/>
  <c r="E42" i="1" s="1"/>
  <c r="D44" i="1"/>
  <c r="E44" i="1" s="1"/>
  <c r="J430" i="1"/>
  <c r="E409" i="1"/>
  <c r="G409" i="1"/>
  <c r="D38" i="1"/>
  <c r="E38" i="1" s="1"/>
  <c r="G424" i="1"/>
  <c r="D39" i="1"/>
  <c r="E39" i="1" s="1"/>
  <c r="J425" i="1"/>
  <c r="Z8" i="1"/>
  <c r="Y8" i="1"/>
  <c r="X8" i="1"/>
  <c r="E412" i="1"/>
  <c r="G412" i="1"/>
  <c r="G408" i="1"/>
  <c r="E408" i="1"/>
  <c r="AE11" i="1"/>
  <c r="K516" i="1"/>
  <c r="K512" i="1"/>
  <c r="G520" i="1"/>
  <c r="AR15" i="1" s="1"/>
  <c r="X9" i="1"/>
  <c r="Z11" i="1"/>
  <c r="K476" i="1"/>
  <c r="K508" i="1"/>
  <c r="AC13" i="1"/>
  <c r="Y13" i="1"/>
  <c r="X13" i="1"/>
  <c r="Z13" i="1"/>
  <c r="D405" i="1"/>
  <c r="E405" i="1" s="1"/>
  <c r="E531" i="1" s="1"/>
  <c r="G531" i="1" s="1"/>
  <c r="E410" i="1"/>
  <c r="G410" i="1"/>
  <c r="X6" i="1"/>
  <c r="Y6" i="1"/>
  <c r="Z6" i="1"/>
  <c r="G407" i="1"/>
  <c r="E407" i="1"/>
  <c r="I534" i="1"/>
  <c r="I532" i="1"/>
  <c r="Y4" i="1"/>
  <c r="Z4" i="1"/>
  <c r="X4" i="1"/>
  <c r="Z7" i="1"/>
  <c r="X7" i="1"/>
  <c r="Y7" i="1"/>
  <c r="J432" i="1"/>
  <c r="J61" i="1"/>
  <c r="D61" i="1" s="1"/>
  <c r="D46" i="1"/>
  <c r="E46" i="1" s="1"/>
  <c r="D406" i="1"/>
  <c r="K464" i="1"/>
  <c r="K466" i="1"/>
  <c r="Y9" i="1"/>
  <c r="K496" i="1"/>
  <c r="K474" i="1"/>
  <c r="K490" i="1"/>
  <c r="K478" i="1"/>
  <c r="K480" i="1"/>
  <c r="K468" i="1"/>
  <c r="DH230" i="1" l="1"/>
  <c r="F393" i="1"/>
  <c r="F379" i="1" s="1"/>
  <c r="AE7" i="1"/>
  <c r="AC6" i="1"/>
  <c r="K506" i="1"/>
  <c r="K500" i="1"/>
  <c r="K484" i="1"/>
  <c r="DH229" i="1"/>
  <c r="AC4" i="1"/>
  <c r="AD5" i="1"/>
  <c r="AF5" i="1" s="1"/>
  <c r="AD6" i="1"/>
  <c r="AF6" i="1" s="1"/>
  <c r="DH226" i="1"/>
  <c r="AC12" i="1"/>
  <c r="AC5" i="1"/>
  <c r="AA11" i="1"/>
  <c r="DH232" i="1"/>
  <c r="AD8" i="1"/>
  <c r="AE8" i="1"/>
  <c r="AA13" i="1"/>
  <c r="DH234" i="1"/>
  <c r="AF13" i="1"/>
  <c r="AE10" i="1"/>
  <c r="AE9" i="1"/>
  <c r="AF9" i="1" s="1"/>
  <c r="AC9" i="1"/>
  <c r="AA9" i="1"/>
  <c r="F395" i="1"/>
  <c r="F381" i="1" s="1"/>
  <c r="F390" i="1"/>
  <c r="F376" i="1" s="1"/>
  <c r="F394" i="1"/>
  <c r="F380" i="1" s="1"/>
  <c r="U58" i="1" s="1"/>
  <c r="AC7" i="1"/>
  <c r="DH228" i="1"/>
  <c r="AD4" i="1"/>
  <c r="AE4" i="1"/>
  <c r="AD7" i="1"/>
  <c r="DH227" i="1"/>
  <c r="AD10" i="1"/>
  <c r="AC10" i="1"/>
  <c r="AA6" i="1"/>
  <c r="F396" i="1"/>
  <c r="F382" i="1" s="1"/>
  <c r="K60" i="1" s="1"/>
  <c r="F392" i="1"/>
  <c r="F378" i="1" s="1"/>
  <c r="K56" i="1" s="1"/>
  <c r="F389" i="1"/>
  <c r="F375" i="1" s="1"/>
  <c r="J53" i="1" s="1"/>
  <c r="K58" i="1"/>
  <c r="Z58" i="1"/>
  <c r="H58" i="1"/>
  <c r="I58" i="1"/>
  <c r="S58" i="1"/>
  <c r="M58" i="1"/>
  <c r="W58" i="1"/>
  <c r="N58" i="1"/>
  <c r="X58" i="1"/>
  <c r="Y58" i="1"/>
  <c r="K460" i="1"/>
  <c r="AH58" i="1"/>
  <c r="L58" i="1"/>
  <c r="AE58" i="1"/>
  <c r="V58" i="1"/>
  <c r="AB58" i="1"/>
  <c r="AC58" i="1"/>
  <c r="M54" i="1"/>
  <c r="AG54" i="1"/>
  <c r="AF54" i="1"/>
  <c r="N54" i="1"/>
  <c r="Z54" i="1"/>
  <c r="Q54" i="1"/>
  <c r="W54" i="1"/>
  <c r="U54" i="1"/>
  <c r="T54" i="1"/>
  <c r="AE54" i="1"/>
  <c r="AA54" i="1"/>
  <c r="P54" i="1"/>
  <c r="S54" i="1"/>
  <c r="AK54" i="1"/>
  <c r="AJ54" i="1"/>
  <c r="V54" i="1"/>
  <c r="AD58" i="1"/>
  <c r="G58" i="1"/>
  <c r="J58" i="1"/>
  <c r="AA58" i="1"/>
  <c r="AF58" i="1"/>
  <c r="P58" i="1"/>
  <c r="AG58" i="1"/>
  <c r="Q58" i="1"/>
  <c r="F391" i="1"/>
  <c r="F377" i="1" s="1"/>
  <c r="O58" i="1"/>
  <c r="R58" i="1"/>
  <c r="AI58" i="1"/>
  <c r="AJ58" i="1"/>
  <c r="T58" i="1"/>
  <c r="AK58" i="1"/>
  <c r="K488" i="1"/>
  <c r="AD12" i="1"/>
  <c r="AA12" i="1"/>
  <c r="AE12" i="1"/>
  <c r="AF11" i="1"/>
  <c r="AI54" i="1"/>
  <c r="AD54" i="1"/>
  <c r="R54" i="1"/>
  <c r="G54" i="1"/>
  <c r="X54" i="1"/>
  <c r="H54" i="1"/>
  <c r="Y54" i="1"/>
  <c r="I54" i="1"/>
  <c r="J54" i="1"/>
  <c r="K54" i="1"/>
  <c r="AH54" i="1"/>
  <c r="O54" i="1"/>
  <c r="AB54" i="1"/>
  <c r="L54" i="1"/>
  <c r="AC54" i="1"/>
  <c r="E406" i="1"/>
  <c r="F407" i="1" s="1"/>
  <c r="G406" i="1"/>
  <c r="H392" i="1"/>
  <c r="H410" i="1"/>
  <c r="E545" i="1"/>
  <c r="F412" i="1"/>
  <c r="E539" i="1"/>
  <c r="F409" i="1"/>
  <c r="E543" i="1"/>
  <c r="F411" i="1"/>
  <c r="E549" i="1"/>
  <c r="F414" i="1"/>
  <c r="H412" i="1"/>
  <c r="H394" i="1"/>
  <c r="J443" i="1"/>
  <c r="C443" i="1" s="1"/>
  <c r="C425" i="1"/>
  <c r="H409" i="1"/>
  <c r="H391" i="1"/>
  <c r="E547" i="1"/>
  <c r="F413" i="1"/>
  <c r="H396" i="1"/>
  <c r="H414" i="1"/>
  <c r="H408" i="1"/>
  <c r="H390" i="1"/>
  <c r="G444" i="1"/>
  <c r="C444" i="1" s="1"/>
  <c r="C426" i="1"/>
  <c r="D48" i="1"/>
  <c r="AO15" i="1" s="1"/>
  <c r="E37" i="1"/>
  <c r="H59" i="1"/>
  <c r="L59" i="1"/>
  <c r="P59" i="1"/>
  <c r="T59" i="1"/>
  <c r="X59" i="1"/>
  <c r="AB59" i="1"/>
  <c r="AF59" i="1"/>
  <c r="AJ59" i="1"/>
  <c r="G59" i="1"/>
  <c r="K59" i="1"/>
  <c r="O59" i="1"/>
  <c r="S59" i="1"/>
  <c r="W59" i="1"/>
  <c r="AA59" i="1"/>
  <c r="AE59" i="1"/>
  <c r="AI59" i="1"/>
  <c r="J59" i="1"/>
  <c r="R59" i="1"/>
  <c r="Z59" i="1"/>
  <c r="AH59" i="1"/>
  <c r="AC59" i="1"/>
  <c r="I59" i="1"/>
  <c r="Q59" i="1"/>
  <c r="Y59" i="1"/>
  <c r="AG59" i="1"/>
  <c r="N59" i="1"/>
  <c r="V59" i="1"/>
  <c r="AD59" i="1"/>
  <c r="M59" i="1"/>
  <c r="U59" i="1"/>
  <c r="AK59" i="1"/>
  <c r="F388" i="1"/>
  <c r="F374" i="1" s="1"/>
  <c r="AA7" i="1"/>
  <c r="AA8" i="1"/>
  <c r="AA10" i="1"/>
  <c r="AA5" i="1"/>
  <c r="H407" i="1"/>
  <c r="H389" i="1"/>
  <c r="J446" i="1"/>
  <c r="C446" i="1" s="1"/>
  <c r="C428" i="1"/>
  <c r="H413" i="1"/>
  <c r="H395" i="1"/>
  <c r="J450" i="1"/>
  <c r="C450" i="1" s="1"/>
  <c r="C432" i="1"/>
  <c r="E535" i="1"/>
  <c r="E541" i="1"/>
  <c r="F410" i="1"/>
  <c r="E537" i="1"/>
  <c r="F408" i="1"/>
  <c r="C424" i="1"/>
  <c r="G442" i="1"/>
  <c r="C442" i="1" s="1"/>
  <c r="J448" i="1"/>
  <c r="C448" i="1" s="1"/>
  <c r="C430" i="1"/>
  <c r="H411" i="1"/>
  <c r="H393" i="1"/>
  <c r="P441" i="1"/>
  <c r="C441" i="1" s="1"/>
  <c r="C423" i="1"/>
  <c r="J57" i="1"/>
  <c r="N57" i="1"/>
  <c r="R57" i="1"/>
  <c r="V57" i="1"/>
  <c r="Z57" i="1"/>
  <c r="AD57" i="1"/>
  <c r="AH57" i="1"/>
  <c r="I57" i="1"/>
  <c r="M57" i="1"/>
  <c r="Q57" i="1"/>
  <c r="U57" i="1"/>
  <c r="Y57" i="1"/>
  <c r="AC57" i="1"/>
  <c r="AG57" i="1"/>
  <c r="AK57" i="1"/>
  <c r="L57" i="1"/>
  <c r="T57" i="1"/>
  <c r="AB57" i="1"/>
  <c r="AJ57" i="1"/>
  <c r="O57" i="1"/>
  <c r="AE57" i="1"/>
  <c r="K57" i="1"/>
  <c r="S57" i="1"/>
  <c r="AA57" i="1"/>
  <c r="AI57" i="1"/>
  <c r="H57" i="1"/>
  <c r="P57" i="1"/>
  <c r="X57" i="1"/>
  <c r="AF57" i="1"/>
  <c r="G57" i="1"/>
  <c r="W57" i="1"/>
  <c r="AA4" i="1"/>
  <c r="AF7" i="1" l="1"/>
  <c r="AF10" i="1"/>
  <c r="AF8" i="1"/>
  <c r="AF4" i="1"/>
  <c r="P60" i="1"/>
  <c r="AE60" i="1"/>
  <c r="R60" i="1"/>
  <c r="AH60" i="1"/>
  <c r="U60" i="1"/>
  <c r="AJ60" i="1"/>
  <c r="AG60" i="1"/>
  <c r="O60" i="1"/>
  <c r="V56" i="1"/>
  <c r="J56" i="1"/>
  <c r="AF56" i="1"/>
  <c r="L56" i="1"/>
  <c r="AI56" i="1"/>
  <c r="AC56" i="1"/>
  <c r="AA56" i="1"/>
  <c r="W56" i="1"/>
  <c r="AH56" i="1"/>
  <c r="Q56" i="1"/>
  <c r="M56" i="1"/>
  <c r="AJ56" i="1"/>
  <c r="AK56" i="1"/>
  <c r="AE56" i="1"/>
  <c r="O56" i="1"/>
  <c r="AC60" i="1"/>
  <c r="X60" i="1"/>
  <c r="L60" i="1"/>
  <c r="I60" i="1"/>
  <c r="V60" i="1"/>
  <c r="AI60" i="1"/>
  <c r="S60" i="1"/>
  <c r="AK60" i="1"/>
  <c r="AF60" i="1"/>
  <c r="AB60" i="1"/>
  <c r="Q60" i="1"/>
  <c r="Z60" i="1"/>
  <c r="J60" i="1"/>
  <c r="W60" i="1"/>
  <c r="G60" i="1"/>
  <c r="AD56" i="1"/>
  <c r="H56" i="1"/>
  <c r="S56" i="1"/>
  <c r="G56" i="1"/>
  <c r="U56" i="1"/>
  <c r="Y56" i="1"/>
  <c r="T56" i="1"/>
  <c r="R56" i="1"/>
  <c r="T60" i="1"/>
  <c r="M60" i="1"/>
  <c r="H60" i="1"/>
  <c r="Y60" i="1"/>
  <c r="AD60" i="1"/>
  <c r="N60" i="1"/>
  <c r="AA60" i="1"/>
  <c r="N56" i="1"/>
  <c r="I56" i="1"/>
  <c r="P56" i="1"/>
  <c r="Z56" i="1"/>
  <c r="AG56" i="1"/>
  <c r="AB56" i="1"/>
  <c r="X56" i="1"/>
  <c r="G53" i="1"/>
  <c r="AD53" i="1"/>
  <c r="Q53" i="1"/>
  <c r="K53" i="1"/>
  <c r="AG53" i="1"/>
  <c r="L53" i="1"/>
  <c r="X53" i="1"/>
  <c r="N53" i="1"/>
  <c r="T53" i="1"/>
  <c r="AF53" i="1"/>
  <c r="U53" i="1"/>
  <c r="R53" i="1"/>
  <c r="AB53" i="1"/>
  <c r="W53" i="1"/>
  <c r="S53" i="1"/>
  <c r="H53" i="1"/>
  <c r="Y53" i="1"/>
  <c r="I53" i="1"/>
  <c r="V53" i="1"/>
  <c r="AA53" i="1"/>
  <c r="O53" i="1"/>
  <c r="AK53" i="1"/>
  <c r="AH53" i="1"/>
  <c r="AJ53" i="1"/>
  <c r="AE53" i="1"/>
  <c r="AI53" i="1"/>
  <c r="P53" i="1"/>
  <c r="AC53" i="1"/>
  <c r="M53" i="1"/>
  <c r="Z53" i="1"/>
  <c r="D58" i="1"/>
  <c r="I520" i="1"/>
  <c r="F522" i="1" s="1"/>
  <c r="D54" i="1"/>
  <c r="P55" i="1"/>
  <c r="AF55" i="1"/>
  <c r="O55" i="1"/>
  <c r="AE55" i="1"/>
  <c r="AD55" i="1"/>
  <c r="U55" i="1"/>
  <c r="R55" i="1"/>
  <c r="Y55" i="1"/>
  <c r="W55" i="1"/>
  <c r="AK55" i="1"/>
  <c r="T55" i="1"/>
  <c r="S55" i="1"/>
  <c r="Q55" i="1"/>
  <c r="Z55" i="1"/>
  <c r="L55" i="1"/>
  <c r="AB55" i="1"/>
  <c r="K55" i="1"/>
  <c r="AA55" i="1"/>
  <c r="V55" i="1"/>
  <c r="M55" i="1"/>
  <c r="J55" i="1"/>
  <c r="I55" i="1"/>
  <c r="H55" i="1"/>
  <c r="X55" i="1"/>
  <c r="G55" i="1"/>
  <c r="N55" i="1"/>
  <c r="AG55" i="1"/>
  <c r="AH55" i="1"/>
  <c r="AJ55" i="1"/>
  <c r="AI55" i="1"/>
  <c r="AC55" i="1"/>
  <c r="AF12" i="1"/>
  <c r="D57" i="1"/>
  <c r="H542" i="1"/>
  <c r="J542" i="1" s="1"/>
  <c r="K542" i="1" s="1"/>
  <c r="G543" i="1"/>
  <c r="H544" i="1"/>
  <c r="J544" i="1" s="1"/>
  <c r="K544" i="1" s="1"/>
  <c r="G545" i="1"/>
  <c r="G535" i="1"/>
  <c r="H546" i="1"/>
  <c r="J546" i="1" s="1"/>
  <c r="K546" i="1" s="1"/>
  <c r="G547" i="1"/>
  <c r="H406" i="1"/>
  <c r="H388" i="1"/>
  <c r="H548" i="1"/>
  <c r="J548" i="1" s="1"/>
  <c r="K548" i="1" s="1"/>
  <c r="H550" i="1"/>
  <c r="J550" i="1" s="1"/>
  <c r="K550" i="1" s="1"/>
  <c r="G549" i="1"/>
  <c r="H538" i="1"/>
  <c r="J538" i="1" s="1"/>
  <c r="K538" i="1" s="1"/>
  <c r="G539" i="1"/>
  <c r="C435" i="1"/>
  <c r="E533" i="1"/>
  <c r="F406" i="1"/>
  <c r="H536" i="1"/>
  <c r="J536" i="1" s="1"/>
  <c r="K536" i="1" s="1"/>
  <c r="G537" i="1"/>
  <c r="G52" i="1"/>
  <c r="K52" i="1"/>
  <c r="O52" i="1"/>
  <c r="S52" i="1"/>
  <c r="W52" i="1"/>
  <c r="AA52" i="1"/>
  <c r="AE52" i="1"/>
  <c r="AI52" i="1"/>
  <c r="J52" i="1"/>
  <c r="N52" i="1"/>
  <c r="R52" i="1"/>
  <c r="V52" i="1"/>
  <c r="Z52" i="1"/>
  <c r="AD52" i="1"/>
  <c r="AH52" i="1"/>
  <c r="I52" i="1"/>
  <c r="Q52" i="1"/>
  <c r="Y52" i="1"/>
  <c r="AG52" i="1"/>
  <c r="T52" i="1"/>
  <c r="AJ52" i="1"/>
  <c r="H52" i="1"/>
  <c r="P52" i="1"/>
  <c r="X52" i="1"/>
  <c r="AF52" i="1"/>
  <c r="M52" i="1"/>
  <c r="U52" i="1"/>
  <c r="AC52" i="1"/>
  <c r="AK52" i="1"/>
  <c r="L52" i="1"/>
  <c r="AB52" i="1"/>
  <c r="H540" i="1"/>
  <c r="J540" i="1" s="1"/>
  <c r="K540" i="1" s="1"/>
  <c r="G541" i="1"/>
  <c r="C453" i="1"/>
  <c r="AQ15" i="1" s="1"/>
  <c r="D59" i="1"/>
  <c r="D56" i="1" l="1"/>
  <c r="D60" i="1"/>
  <c r="D53" i="1"/>
  <c r="I523" i="1"/>
  <c r="F523" i="1" s="1"/>
  <c r="D55" i="1"/>
  <c r="H532" i="1"/>
  <c r="J532" i="1" s="1"/>
  <c r="G533" i="1"/>
  <c r="G556" i="1" s="1"/>
  <c r="AT15" i="1" s="1"/>
  <c r="D52" i="1"/>
  <c r="H534" i="1"/>
  <c r="J534" i="1" s="1"/>
  <c r="K534" i="1" s="1"/>
  <c r="AS15" i="1" l="1"/>
  <c r="D63" i="1"/>
  <c r="AP15" i="1" s="1"/>
  <c r="K532" i="1"/>
  <c r="I556" i="1"/>
  <c r="F559" i="1" l="1"/>
  <c r="AU15" i="1"/>
</calcChain>
</file>

<file path=xl/sharedStrings.xml><?xml version="1.0" encoding="utf-8"?>
<sst xmlns="http://schemas.openxmlformats.org/spreadsheetml/2006/main" count="1093" uniqueCount="151">
  <si>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</si>
  <si>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</si>
  <si>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</si>
  <si>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</si>
  <si>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</si>
  <si>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</si>
  <si>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</si>
  <si>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</si>
  <si>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</si>
  <si>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</si>
  <si>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</si>
  <si>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</si>
  <si>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</si>
  <si>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</si>
  <si>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</si>
  <si>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</si>
  <si>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</si>
  <si>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</si>
  <si>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</si>
  <si>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</si>
  <si>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</si>
  <si>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</si>
  <si>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</si>
  <si>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</si>
  <si>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</si>
  <si>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</si>
  <si>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</si>
  <si>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</si>
  <si>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</si>
  <si>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</si>
  <si>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</si>
  <si>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</si>
  <si>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</si>
  <si>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</si>
  <si>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</si>
  <si>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</si>
  <si>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</si>
  <si>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</si>
  <si>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</si>
  <si>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</si>
  <si>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</si>
  <si>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</si>
  <si>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</si>
  <si>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</si>
  <si>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</si>
  <si>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</si>
  <si>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</si>
  <si>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</si>
  <si>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</si>
  <si>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</si>
  <si>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</si>
  <si>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</si>
  <si>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</si>
  <si>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</si>
  <si>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</si>
  <si>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</si>
  <si>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</si>
  <si>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</si>
  <si>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</si>
  <si>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</si>
  <si>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</si>
  <si>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</si>
  <si>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</si>
  <si>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</si>
  <si>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</si>
  <si>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</si>
  <si>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</si>
  <si>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</si>
  <si>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</si>
  <si>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</si>
  <si>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</si>
  <si>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</si>
  <si>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</si>
  <si>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</si>
  <si>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</si>
  <si>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</si>
  <si>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</si>
  <si>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</si>
  <si>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</si>
  <si>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</si>
  <si>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</si>
  <si>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</si>
  <si>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</si>
  <si>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</si>
  <si>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</si>
  <si>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</si>
  <si>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</si>
  <si>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</si>
  <si>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</si>
  <si>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</si>
  <si>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</si>
  <si>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</si>
  <si>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</si>
  <si>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</si>
  <si>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</si>
  <si>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</si>
  <si>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</si>
  <si>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</si>
  <si>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</si>
  <si>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</si>
  <si>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</si>
  <si>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</si>
  <si>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</si>
  <si>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</si>
  <si>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</si>
  <si>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</si>
  <si>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</si>
  <si>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</si>
  <si>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</si>
  <si>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</si>
  <si>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</si>
  <si>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</si>
  <si>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</si>
  <si>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</si>
  <si>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</si>
  <si>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</si>
  <si>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</si>
  <si>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</si>
  <si>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</si>
  <si>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</si>
  <si>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</si>
  <si>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</si>
  <si>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</si>
  <si>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</si>
  <si>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</si>
  <si>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</si>
  <si>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</si>
  <si>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</si>
  <si>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</si>
  <si>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</si>
  <si>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</si>
  <si>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</si>
  <si>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</si>
  <si>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</si>
  <si>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</si>
  <si>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</si>
  <si>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</si>
  <si>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</si>
  <si>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</si>
  <si>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</si>
  <si>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</si>
  <si>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</si>
  <si>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</si>
  <si>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</si>
  <si>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</si>
  <si>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</si>
  <si>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</si>
  <si>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</si>
  <si>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</si>
  <si>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Chiron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</si>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</sst>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4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2" borderId="0" xfId="0" applyFill="1"/>
    <xf numFmtId="0" fontId="1" fillId="32" borderId="10" xfId="0" applyFont="1" applyFill="1" applyBorder="1"/>
    <xf numFmtId="2" fontId="3" fillId="29" borderId="0" xfId="0" applyNumberFormat="1" applyFont="1" applyFill="1" applyBorder="1"/>
    <xf numFmtId="0" fontId="0" fillId="30" borderId="0" xfId="0" applyFill="1"/>
    <xf numFmtId="0" fontId="1" fillId="31" borderId="13" xfId="0" applyFont="1" applyFill="1" applyBorder="1" applyAlignment="1"/>
    <xf numFmtId="0" fontId="1" fillId="31" borderId="14" xfId="0" applyFont="1" applyFill="1" applyBorder="1" applyAlignment="1"/>
    <xf numFmtId="0" fontId="1" fillId="33" borderId="0" xfId="0" applyFont="1" applyFill="1"/>
    <xf numFmtId="0" fontId="1" fillId="34" borderId="10" xfId="0" applyFont="1" applyFill="1" applyBorder="1"/>
    <xf numFmtId="0" fontId="1" fillId="31" borderId="14" xfId="0" applyFont="1" applyFill="1" applyBorder="1" applyAlignment="1">
      <alignment horizontal="center"/>
    </xf>
    <xf numFmtId="164" fontId="1" fillId="31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3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 xr:uid="{00000000-0005-0000-0000-000026000000}"/>
    <cellStyle name="Normal_template_12dates" xfId="39" xr:uid="{00000000-0005-0000-0000-000027000000}"/>
    <cellStyle name="Note" xfId="40" builtinId="10" customBuiltin="1"/>
    <cellStyle name="Output" xfId="41" builtinId="21" customBuiltin="1"/>
    <cellStyle name="Sheet Title" xfId="42" xr:uid="{00000000-0005-0000-0000-00002A000000}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N1338"/>
  <sheetViews>
    <sheetView tabSelected="1" topLeftCell="A14" zoomScale="85" zoomScaleNormal="85" workbookViewId="0">
      <selection activeCell="A44" sqref="A44"/>
    </sheetView>
  </sheetViews>
  <sheetFormatPr defaultColWidth="8.88671875" defaultRowHeight="13.2"/>
  <cols>
    <col min="1" max="1" width="41.44140625" style="8" customWidth="1"/>
    <col min="2" max="2" width="9.33203125" style="8" bestFit="1" customWidth="1"/>
    <col min="3" max="3" width="17.6640625" style="8" customWidth="1"/>
    <col min="4" max="4" width="20.33203125" style="8" customWidth="1"/>
    <col min="5" max="5" width="14" style="8" customWidth="1"/>
    <col min="6" max="6" width="14.33203125" style="8" customWidth="1"/>
    <col min="7" max="7" width="26.109375" style="8" customWidth="1"/>
    <col min="8" max="8" width="17.88671875" style="8" customWidth="1"/>
    <col min="9" max="9" width="15.44140625" style="8" customWidth="1"/>
    <col min="10" max="10" width="19.44140625" style="8" customWidth="1"/>
    <col min="11" max="11" width="21.33203125" style="8" customWidth="1"/>
    <col min="12" max="12" width="11" style="8" bestFit="1" customWidth="1"/>
    <col min="13" max="13" width="13.44140625" style="8" customWidth="1"/>
    <col min="14" max="14" width="9.44140625" style="8" bestFit="1" customWidth="1"/>
    <col min="15" max="15" width="9.88671875" style="8" bestFit="1" customWidth="1"/>
    <col min="16" max="16" width="15" style="8" customWidth="1"/>
    <col min="17" max="18" width="11.44140625" style="8" customWidth="1"/>
    <col min="19" max="19" width="9.44140625" style="8" bestFit="1" customWidth="1"/>
    <col min="20" max="20" width="14.109375" style="8" customWidth="1"/>
    <col min="21" max="21" width="14.5546875" style="8" customWidth="1"/>
    <col min="22" max="22" width="17.33203125" style="8" customWidth="1"/>
    <col min="23" max="23" width="20.33203125" style="8" customWidth="1"/>
    <col min="24" max="35" width="9.44140625" style="8" bestFit="1" customWidth="1"/>
    <col min="36" max="39" width="8.88671875" style="8"/>
    <col min="40" max="40" width="12.33203125" style="8" customWidth="1"/>
    <col min="41" max="41" width="9.6640625" style="8" customWidth="1"/>
    <col min="42" max="42" width="10.109375" style="8" customWidth="1"/>
    <col min="43" max="43" width="13.6640625" style="8" customWidth="1"/>
    <col min="44" max="49" width="8.88671875" style="8"/>
    <col min="50" max="50" width="22.88671875" style="8" customWidth="1"/>
    <col min="51" max="52" width="8.88671875" style="8"/>
    <col min="53" max="53" width="12.88671875" style="8" customWidth="1"/>
    <col min="54" max="84" width="8.88671875" style="8"/>
    <col min="85" max="85" width="15.33203125" style="8" customWidth="1"/>
    <col min="86" max="87" width="8.88671875" style="8"/>
    <col min="88" max="88" width="29.6640625" style="8" customWidth="1"/>
    <col min="89" max="91" width="8.88671875" style="8"/>
    <col min="92" max="92" width="7.44140625" style="8" customWidth="1"/>
    <col min="93" max="93" width="5.44140625" style="8" customWidth="1"/>
    <col min="94" max="94" width="6.109375" style="8" customWidth="1"/>
    <col min="95" max="95" width="5.33203125" style="8" customWidth="1"/>
    <col min="96" max="96" width="4" style="8" customWidth="1"/>
    <col min="97" max="97" width="6" style="8" customWidth="1"/>
    <col min="98" max="98" width="6.109375" style="8" customWidth="1"/>
    <col min="99" max="99" width="5.44140625" style="8" customWidth="1"/>
    <col min="100" max="100" width="8.88671875" style="8"/>
    <col min="101" max="101" width="17.109375" style="8" customWidth="1"/>
    <col min="102" max="104" width="18.109375" style="8" customWidth="1"/>
    <col min="105" max="105" width="17.44140625" style="8" customWidth="1"/>
    <col min="106" max="106" width="24.44140625" style="8" customWidth="1"/>
    <col min="107" max="137" width="8.88671875" style="8"/>
    <col min="138" max="138" width="7.109375" style="8" customWidth="1"/>
    <col min="139" max="140" width="8.88671875" style="8"/>
    <col min="141" max="141" width="19" style="8" customWidth="1"/>
    <col min="142" max="144" width="8.88671875" style="8"/>
    <col min="145" max="145" width="20.88671875" style="8" customWidth="1"/>
    <col min="146" max="151" width="8.88671875" style="8"/>
    <col min="152" max="152" width="15.109375" style="8" customWidth="1"/>
    <col min="153" max="153" width="17.33203125" style="8" customWidth="1"/>
    <col min="154" max="154" width="8.88671875" style="8"/>
    <col min="155" max="155" width="11.33203125" style="8" customWidth="1"/>
    <col min="156" max="163" width="8.88671875" style="8"/>
    <col min="164" max="164" width="9.88671875" style="8" bestFit="1" customWidth="1"/>
    <col min="165" max="165" width="9.6640625" style="8" customWidth="1"/>
    <col min="166" max="176" width="8.88671875" style="8"/>
    <col min="177" max="177" width="15.109375" style="8" customWidth="1"/>
    <col min="178" max="182" width="8.88671875" style="8"/>
    <col min="183" max="183" width="9.88671875" style="8" bestFit="1" customWidth="1"/>
    <col min="184" max="184" width="9.6640625" style="8" bestFit="1" customWidth="1"/>
    <col min="185" max="185" width="9.44140625" style="8" bestFit="1" customWidth="1"/>
    <col min="186" max="187" width="9.6640625" style="8" bestFit="1" customWidth="1"/>
    <col min="188" max="189" width="8.88671875" style="8"/>
    <col min="190" max="190" width="9.88671875" style="8" bestFit="1" customWidth="1"/>
    <col min="191" max="191" width="9.44140625" style="8" bestFit="1" customWidth="1"/>
    <col min="192" max="16384" width="8.88671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10"/>
      <c r="FY2" s="210"/>
      <c r="FZ2" s="210"/>
      <c r="GA2" s="210"/>
      <c r="GB2" s="210"/>
      <c r="GC2" s="230" t="s">
        <v>144</v>
      </c>
      <c r="GD2" s="230"/>
      <c r="GE2" s="230"/>
      <c r="GF2" s="230"/>
      <c r="GG2" s="230"/>
      <c r="GH2" s="230"/>
      <c r="GI2" s="230"/>
      <c r="GJ2" s="210"/>
      <c r="GK2" s="210"/>
      <c r="GL2" s="210"/>
      <c r="GM2" s="210"/>
      <c r="GN2" s="210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10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10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1143.4984862428398</v>
      </c>
      <c r="N4" s="130">
        <v>166.82754035352471</v>
      </c>
      <c r="O4" s="130">
        <v>1393.2523336830882</v>
      </c>
      <c r="P4" s="130">
        <v>455.60567577850304</v>
      </c>
      <c r="Q4" s="130">
        <v>162.6457380952767</v>
      </c>
      <c r="R4" s="130">
        <v>1782.9680057045493</v>
      </c>
      <c r="S4" s="131">
        <v>77.785328884234048</v>
      </c>
      <c r="T4" s="131">
        <v>191.75530412176437</v>
      </c>
      <c r="U4" s="5"/>
      <c r="V4" s="4"/>
      <c r="W4" s="127">
        <f t="shared" ref="W4:W13" si="0">C4</f>
        <v>39646</v>
      </c>
      <c r="X4" s="132">
        <f>AVERAGE(EK88:EK97)</f>
        <v>475</v>
      </c>
      <c r="Y4" s="131">
        <f>COUNT(EK88:EK97)</f>
        <v>10</v>
      </c>
      <c r="Z4" s="130">
        <f>STDEV(EK88:EK97)</f>
        <v>408.69692806815385</v>
      </c>
      <c r="AA4" s="130">
        <f>Z4/SQRT(Y4)</f>
        <v>129.24131654093659</v>
      </c>
      <c r="AB4" s="131"/>
      <c r="AC4" s="130" t="e">
        <f>AVERAGE($FU88:$FU97)</f>
        <v>#VALUE!</v>
      </c>
      <c r="AD4" s="132">
        <f>COUNT($FU88:$FU97)</f>
        <v>0</v>
      </c>
      <c r="AE4" s="130" t="e">
        <f>STDEV($FU88:$FU97)</f>
        <v>#VALUE!</v>
      </c>
      <c r="AF4" s="130" t="e">
        <f>AE4/SQRT(AD4)</f>
        <v>#VALUE!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3" t="s">
        <v>148</v>
      </c>
      <c r="FK4" s="233"/>
      <c r="FL4" s="233"/>
      <c r="FM4" s="233"/>
      <c r="FN4" s="5"/>
      <c r="FO4" s="5"/>
      <c r="FX4" s="210"/>
      <c r="FY4" s="212" t="s">
        <v>143</v>
      </c>
      <c r="FZ4" s="213">
        <f>C4</f>
        <v>39646</v>
      </c>
      <c r="GA4" s="213">
        <f>C5</f>
        <v>39673</v>
      </c>
      <c r="GB4" s="213">
        <f>C6</f>
        <v>39714</v>
      </c>
      <c r="GC4" s="213">
        <f>C7</f>
        <v>39747</v>
      </c>
      <c r="GD4" s="213">
        <f>C8</f>
        <v>39775</v>
      </c>
      <c r="GE4" s="213">
        <f>C9</f>
        <v>39799</v>
      </c>
      <c r="GF4" s="213">
        <f>C10</f>
        <v>39847</v>
      </c>
      <c r="GG4" s="213">
        <f>C11</f>
        <v>39910</v>
      </c>
      <c r="GH4" s="213">
        <f>C12</f>
        <v>39949</v>
      </c>
      <c r="GI4" s="213">
        <f>C13</f>
        <v>39987</v>
      </c>
      <c r="GJ4" s="209"/>
      <c r="GK4" s="209"/>
      <c r="GL4" s="209"/>
      <c r="GM4" s="209"/>
      <c r="GN4" s="210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1144.6845340873001</v>
      </c>
      <c r="N5" s="130">
        <f t="shared" si="1"/>
        <v>166.05119388728886</v>
      </c>
      <c r="O5" s="130">
        <f t="shared" si="1"/>
        <v>1387.3378180167649</v>
      </c>
      <c r="P5" s="130">
        <f t="shared" si="1"/>
        <v>454.89428276820269</v>
      </c>
      <c r="Q5" s="130">
        <f t="shared" si="1"/>
        <v>161.90482924311979</v>
      </c>
      <c r="R5" s="130">
        <f t="shared" si="1"/>
        <v>1726.9819385001522</v>
      </c>
      <c r="S5" s="131">
        <f t="shared" si="1"/>
        <v>78.830639912901034</v>
      </c>
      <c r="T5" s="131">
        <f t="shared" si="1"/>
        <v>176.31059593605175</v>
      </c>
      <c r="U5" s="5"/>
      <c r="V5" s="4"/>
      <c r="W5" s="127">
        <f t="shared" si="0"/>
        <v>39673</v>
      </c>
      <c r="X5" s="132">
        <f>AVERAGE(EK98:EK107)</f>
        <v>861.67512838468724</v>
      </c>
      <c r="Y5" s="131">
        <f>COUNT(EK98:EK107)</f>
        <v>10</v>
      </c>
      <c r="Z5" s="130">
        <f>STDEV(EK98:EK107)</f>
        <v>1212.5304914421949</v>
      </c>
      <c r="AA5" s="130">
        <f t="shared" ref="AA5:AA13" si="2">Z5/SQRT(Y5)</f>
        <v>383.43580853606392</v>
      </c>
      <c r="AB5" s="131"/>
      <c r="AC5" s="130" t="e">
        <f>AVERAGE($FU98:$FU107)</f>
        <v>#VALUE!</v>
      </c>
      <c r="AD5" s="132">
        <f>COUNT($FU98:$FU107)</f>
        <v>0</v>
      </c>
      <c r="AE5" s="130" t="e">
        <f>STDEV($FU98:$FU107)</f>
        <v>#VALUE!</v>
      </c>
      <c r="AF5" s="130" t="e">
        <f t="shared" ref="AF5:AF13" si="3">AE5/SQRT(AD5)</f>
        <v>#VALUE!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10"/>
      <c r="FY5" s="210"/>
      <c r="FZ5" s="210"/>
      <c r="GA5" s="210"/>
      <c r="GB5" s="210"/>
      <c r="GC5" s="210"/>
      <c r="GD5" s="210"/>
      <c r="GE5" s="210"/>
      <c r="GF5" s="210"/>
      <c r="GG5" s="210"/>
      <c r="GH5" s="210"/>
      <c r="GI5" s="210"/>
      <c r="GJ5" s="210"/>
      <c r="GK5" s="210"/>
      <c r="GL5" s="210"/>
      <c r="GM5" s="210"/>
      <c r="GN5" s="210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1461.5757333345073</v>
      </c>
      <c r="N6" s="130">
        <f t="shared" si="4"/>
        <v>210.23298367621956</v>
      </c>
      <c r="O6" s="130">
        <f t="shared" si="4"/>
        <v>1795.1265242472793</v>
      </c>
      <c r="P6" s="130">
        <f t="shared" si="4"/>
        <v>627.33561123057018</v>
      </c>
      <c r="Q6" s="130">
        <f t="shared" si="4"/>
        <v>203.51033325899854</v>
      </c>
      <c r="R6" s="130">
        <f t="shared" si="4"/>
        <v>2168.3484697221288</v>
      </c>
      <c r="S6" s="130">
        <f t="shared" si="4"/>
        <v>101.46104009640506</v>
      </c>
      <c r="T6" s="130">
        <f t="shared" si="4"/>
        <v>458.7381418015529</v>
      </c>
      <c r="U6" s="5"/>
      <c r="V6" s="4"/>
      <c r="W6" s="127">
        <f t="shared" si="0"/>
        <v>39714</v>
      </c>
      <c r="X6" s="132">
        <f>AVERAGE(EK108:EK117)</f>
        <v>1357.5976862519203</v>
      </c>
      <c r="Y6" s="131">
        <f>COUNT(EK108:EK117)</f>
        <v>10</v>
      </c>
      <c r="Z6" s="130">
        <f>STDEV(EK108:EK117)</f>
        <v>1837.508291147738</v>
      </c>
      <c r="AA6" s="130">
        <f t="shared" si="2"/>
        <v>581.07114194706651</v>
      </c>
      <c r="AB6" s="131"/>
      <c r="AC6" s="130" t="e">
        <f>AVERAGE($FU108:$FU117)</f>
        <v>#VALUE!</v>
      </c>
      <c r="AD6" s="132">
        <f>COUNT($FU108:$FU117)</f>
        <v>0</v>
      </c>
      <c r="AE6" s="130" t="e">
        <f>STDEV($FU108:$FU117)</f>
        <v>#VALUE!</v>
      </c>
      <c r="AF6" s="130" t="e">
        <f t="shared" si="3"/>
        <v>#VALUE!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1" t="s">
        <v>145</v>
      </c>
      <c r="FJ6" s="231"/>
      <c r="FK6" s="232" t="s">
        <v>146</v>
      </c>
      <c r="FL6" s="232"/>
      <c r="FM6" s="232" t="s">
        <v>147</v>
      </c>
      <c r="FN6" s="232"/>
      <c r="FO6" s="5"/>
      <c r="FY6" s="211">
        <v>1</v>
      </c>
      <c r="FZ6">
        <v>173.08403556471052</v>
      </c>
      <c r="GA6">
        <v>164.7910148324531</v>
      </c>
      <c r="GB6">
        <v>35.477409995803335</v>
      </c>
      <c r="GC6">
        <v>8.4116149708572898</v>
      </c>
      <c r="GD6">
        <v>2.7938318346050637</v>
      </c>
      <c r="GE6">
        <v>5.6326103485370274</v>
      </c>
      <c r="GF6">
        <v>34.47277832280615</v>
      </c>
      <c r="GG6">
        <v>41.54617133063315</v>
      </c>
      <c r="GH6">
        <v>19.178744251192967</v>
      </c>
      <c r="GI6">
        <v>87.492518644184017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868.41242455177473</v>
      </c>
      <c r="N7" s="130">
        <f t="shared" si="5"/>
        <v>126.19759344177299</v>
      </c>
      <c r="O7" s="130">
        <f t="shared" si="5"/>
        <v>998.83387873893525</v>
      </c>
      <c r="P7" s="130">
        <f t="shared" si="5"/>
        <v>311.50312125035504</v>
      </c>
      <c r="Q7" s="130">
        <f t="shared" si="5"/>
        <v>123.20341644809062</v>
      </c>
      <c r="R7" s="130">
        <f t="shared" si="5"/>
        <v>1321.0802606791494</v>
      </c>
      <c r="S7" s="130">
        <f t="shared" si="5"/>
        <v>58.636474625994609</v>
      </c>
      <c r="T7" s="130">
        <f t="shared" si="5"/>
        <v>-42.392231563676219</v>
      </c>
      <c r="U7" s="5"/>
      <c r="V7" s="4"/>
      <c r="W7" s="127">
        <f t="shared" si="0"/>
        <v>39747</v>
      </c>
      <c r="X7" s="132">
        <f>AVERAGE(EK118:EK127)</f>
        <v>1804.5429788648883</v>
      </c>
      <c r="Y7" s="131">
        <f>COUNT(EK118:EK127)</f>
        <v>10</v>
      </c>
      <c r="Z7" s="130">
        <f>STDEV(EK118:EK127)</f>
        <v>1067.5783201713427</v>
      </c>
      <c r="AA7" s="130">
        <f t="shared" si="2"/>
        <v>337.59790723579226</v>
      </c>
      <c r="AB7" s="131"/>
      <c r="AC7" s="130" t="e">
        <f>AVERAGE($FU118:$FU127)</f>
        <v>#VALUE!</v>
      </c>
      <c r="AD7" s="132">
        <f>COUNT($FU118:$FU127)</f>
        <v>0</v>
      </c>
      <c r="AE7" s="130" t="e">
        <f>STDEV($FU118:$FU127)</f>
        <v>#VALUE!</v>
      </c>
      <c r="AF7" s="130" t="e">
        <f t="shared" si="3"/>
        <v>#VALUE!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27">
        <f>AVERAGE(FZ6:FZ1005)</f>
        <v>133.51669880652676</v>
      </c>
      <c r="FJ7" s="227"/>
      <c r="FK7" s="227">
        <f>PERCENTILE($FZ$6:$FZ$1005,0.975)</f>
        <v>220.20711511923872</v>
      </c>
      <c r="FL7" s="227"/>
      <c r="FM7" s="227">
        <f>PERCENTILE($FZ$6:$FZ$1005,0.025)</f>
        <v>68.736990154681251</v>
      </c>
      <c r="FN7" s="227"/>
      <c r="FO7" s="5"/>
      <c r="FY7" s="211">
        <v>2</v>
      </c>
      <c r="FZ7">
        <v>136.61718343087122</v>
      </c>
      <c r="GA7">
        <v>142.02672957523342</v>
      </c>
      <c r="GB7">
        <v>42.205112391388965</v>
      </c>
      <c r="GC7">
        <v>9.0129867979447074</v>
      </c>
      <c r="GD7">
        <v>3.0505737776779025</v>
      </c>
      <c r="GE7">
        <v>5.368898174525726</v>
      </c>
      <c r="GF7">
        <v>14.321876935518601</v>
      </c>
      <c r="GG7">
        <v>18.575878868611532</v>
      </c>
      <c r="GH7">
        <v>25.64410055693434</v>
      </c>
      <c r="GI7">
        <v>80.42151595604598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921.10530673030667</v>
      </c>
      <c r="Y8" s="131">
        <f>COUNT(EK128:EK137)</f>
        <v>10</v>
      </c>
      <c r="Z8" s="130">
        <f>STDEV(EK128:EK137)</f>
        <v>869.10991841870805</v>
      </c>
      <c r="AA8" s="130">
        <f t="shared" si="2"/>
        <v>274.8366879246243</v>
      </c>
      <c r="AB8" s="131"/>
      <c r="AC8" s="130" t="e">
        <f>AVERAGE($FU128:$FU137)</f>
        <v>#VALUE!</v>
      </c>
      <c r="AD8" s="132">
        <f>COUNT($FU128:$FU137)</f>
        <v>0</v>
      </c>
      <c r="AE8" s="130" t="e">
        <f>STDEV($FU128:$FU137)</f>
        <v>#VALUE!</v>
      </c>
      <c r="AF8" s="130" t="e">
        <f t="shared" si="3"/>
        <v>#VALUE!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27">
        <f>AVERAGE(GA6:GA1005)</f>
        <v>106.89606893171853</v>
      </c>
      <c r="FJ8" s="227"/>
      <c r="FK8" s="227">
        <f>PERCENTILE($GA$6:$GA$1005,0.975)</f>
        <v>178.34334320114544</v>
      </c>
      <c r="FL8" s="227"/>
      <c r="FM8" s="227">
        <f>PERCENTILE($GA$6:$GA$1005,0.025)</f>
        <v>49.654336875017087</v>
      </c>
      <c r="FN8" s="227"/>
      <c r="FO8" s="5"/>
      <c r="FY8" s="211">
        <v>3</v>
      </c>
      <c r="FZ8">
        <v>172.57603218069266</v>
      </c>
      <c r="GA8">
        <v>143.63709579665115</v>
      </c>
      <c r="GB8">
        <v>42.454087624182634</v>
      </c>
      <c r="GC8">
        <v>9.6215430290842008</v>
      </c>
      <c r="GD8">
        <v>2.8748913308347088</v>
      </c>
      <c r="GE8">
        <v>5.8378069859073731</v>
      </c>
      <c r="GF8">
        <v>34.241171777564702</v>
      </c>
      <c r="GG8">
        <v>45.22842126073246</v>
      </c>
      <c r="GH8">
        <v>24.402325048483863</v>
      </c>
      <c r="GI8">
        <v>84.250378233573656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1103.2950090170505</v>
      </c>
      <c r="Y9" s="131">
        <f>COUNT(EK138:EK147)</f>
        <v>10</v>
      </c>
      <c r="Z9" s="130">
        <f>STDEV(EK138:EK147)</f>
        <v>1020.8327951948895</v>
      </c>
      <c r="AA9" s="130">
        <f t="shared" si="2"/>
        <v>322.81567430120413</v>
      </c>
      <c r="AB9" s="131"/>
      <c r="AC9" s="130" t="e">
        <f>AVERAGE($FU138:$FU147)</f>
        <v>#VALUE!</v>
      </c>
      <c r="AD9" s="132">
        <f>COUNT($FU138:$FU147)</f>
        <v>0</v>
      </c>
      <c r="AE9" s="130" t="e">
        <f>STDEV($FU138:$FU147)</f>
        <v>#VALUE!</v>
      </c>
      <c r="AF9" s="130" t="e">
        <f t="shared" si="3"/>
        <v>#VALUE!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27">
        <f>AVERAGE(GB6:GB1005)</f>
        <v>31.348346529946042</v>
      </c>
      <c r="FJ9" s="227"/>
      <c r="FK9" s="227">
        <f>PERCENTILE($GB$6:$GB$1005,0.975)</f>
        <v>48.05484438509648</v>
      </c>
      <c r="FL9" s="227"/>
      <c r="FM9" s="227">
        <f>PERCENTILE($GB$6:$GB$1005,0.025)</f>
        <v>18.885823847506675</v>
      </c>
      <c r="FN9" s="227"/>
      <c r="FO9" s="5"/>
      <c r="FY9" s="211">
        <v>4</v>
      </c>
      <c r="FZ9">
        <v>93.733585848565639</v>
      </c>
      <c r="GA9">
        <v>103.83057188641681</v>
      </c>
      <c r="GB9">
        <v>38.122943201109933</v>
      </c>
      <c r="GC9">
        <v>9.5197746057202863</v>
      </c>
      <c r="GD9">
        <v>2.9493331945385837</v>
      </c>
      <c r="GE9">
        <v>4.2546562855188768</v>
      </c>
      <c r="GF9">
        <v>26.233710968790106</v>
      </c>
      <c r="GG9">
        <v>37.931034816027044</v>
      </c>
      <c r="GH9">
        <v>31.762978722538961</v>
      </c>
      <c r="GI9">
        <v>76.866483880909541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401.17730034722217</v>
      </c>
      <c r="Y10" s="131">
        <f>COUNT(EK148:EK157)</f>
        <v>8</v>
      </c>
      <c r="Z10" s="130">
        <f>STDEV(EK148:EK157)</f>
        <v>427.61185065746366</v>
      </c>
      <c r="AA10" s="130">
        <f t="shared" si="2"/>
        <v>151.18361965781088</v>
      </c>
      <c r="AB10" s="131"/>
      <c r="AC10" s="130" t="e">
        <f>AVERAGE($FU148:$FU157)</f>
        <v>#VALUE!</v>
      </c>
      <c r="AD10" s="132">
        <f>COUNT($FU148:$FU157)</f>
        <v>0</v>
      </c>
      <c r="AE10" s="130" t="e">
        <f>STDEV($FU148:$FU157)</f>
        <v>#VALUE!</v>
      </c>
      <c r="AF10" s="130" t="e">
        <f t="shared" si="3"/>
        <v>#VALUE!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27">
        <f>AVERAGE(GC6:GC1005)</f>
        <v>8.330513060862339</v>
      </c>
      <c r="FJ10" s="227"/>
      <c r="FK10" s="227">
        <f>PERCENTILE($GC$6:$GC$1005,0.975)</f>
        <v>11.13915252102281</v>
      </c>
      <c r="FL10" s="227"/>
      <c r="FM10" s="227">
        <f>PERCENTILE($GC$6:$GC$1005,0.025)</f>
        <v>5.7604795681129186</v>
      </c>
      <c r="FN10" s="227"/>
      <c r="FO10" s="5"/>
      <c r="FY10" s="211">
        <v>5</v>
      </c>
      <c r="FZ10">
        <v>87.707527503600318</v>
      </c>
      <c r="GA10">
        <v>144.55192514677296</v>
      </c>
      <c r="GB10">
        <v>49.144096705594215</v>
      </c>
      <c r="GC10">
        <v>7.2207281724259396</v>
      </c>
      <c r="GD10">
        <v>3.1328059911171828</v>
      </c>
      <c r="GE10">
        <v>7.0732860195776084</v>
      </c>
      <c r="GF10">
        <v>11.368476173644986</v>
      </c>
      <c r="GG10">
        <v>11.699654701573015</v>
      </c>
      <c r="GH10">
        <v>26.336232160240279</v>
      </c>
      <c r="GI10">
        <v>66.37141616834289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2818.0049132630652</v>
      </c>
      <c r="Y11" s="131">
        <f>COUNT(EK158:EK167)</f>
        <v>10</v>
      </c>
      <c r="Z11" s="130">
        <f>STDEV(EK158:EK167)</f>
        <v>3896.7681303037725</v>
      </c>
      <c r="AA11" s="130">
        <f t="shared" si="2"/>
        <v>1232.2662805315724</v>
      </c>
      <c r="AB11" s="131"/>
      <c r="AC11" s="130" t="e">
        <f>AVERAGE($FU158:$FU167)</f>
        <v>#VALUE!</v>
      </c>
      <c r="AD11" s="132">
        <f>COUNT($FU158:$FU167)</f>
        <v>0</v>
      </c>
      <c r="AE11" s="130" t="e">
        <f>STDEV($FU158:$FU167)</f>
        <v>#VALUE!</v>
      </c>
      <c r="AF11" s="130" t="e">
        <f t="shared" si="3"/>
        <v>#VALUE!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27">
        <f>AVERAGE(GD5:GD1005)</f>
        <v>3.3505468908591793</v>
      </c>
      <c r="FJ11" s="227"/>
      <c r="FK11" s="227">
        <f>PERCENTILE($GD$6:$GD$1005,0.975)</f>
        <v>4.9261559992153208</v>
      </c>
      <c r="FL11" s="227"/>
      <c r="FM11" s="227">
        <f>PERCENTILE($GD$6:$GD$1005,0.025)</f>
        <v>1.9141709375054554</v>
      </c>
      <c r="FN11" s="227"/>
      <c r="FO11" s="5"/>
      <c r="FY11" s="211">
        <v>6</v>
      </c>
      <c r="FZ11">
        <v>154.17214196671907</v>
      </c>
      <c r="GA11">
        <v>114.11535176662773</v>
      </c>
      <c r="GB11">
        <v>27.402072877185052</v>
      </c>
      <c r="GC11">
        <v>8.0813564737485741</v>
      </c>
      <c r="GD11">
        <v>2.3486379060343014</v>
      </c>
      <c r="GE11">
        <v>4.9757053436932281</v>
      </c>
      <c r="GF11">
        <v>63.863516084484885</v>
      </c>
      <c r="GG11">
        <v>77.534866852101814</v>
      </c>
      <c r="GH11">
        <v>21.942757246286334</v>
      </c>
      <c r="GI11">
        <v>93.511575861016397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709.52952759971799</v>
      </c>
      <c r="Y12" s="131">
        <f>COUNT(EK168:EK177)</f>
        <v>10</v>
      </c>
      <c r="Z12" s="130">
        <f>STDEV(EK168:EK177)</f>
        <v>709.97439877201111</v>
      </c>
      <c r="AA12" s="130">
        <f t="shared" si="2"/>
        <v>224.5136180528207</v>
      </c>
      <c r="AB12" s="131"/>
      <c r="AC12" s="130" t="e">
        <f>AVERAGE($FU168:$FU177)</f>
        <v>#VALUE!</v>
      </c>
      <c r="AD12" s="132">
        <f>COUNT($FU168:$FU177)</f>
        <v>0</v>
      </c>
      <c r="AE12" s="130" t="e">
        <f>STDEV($FU168:$FU177)</f>
        <v>#VALUE!</v>
      </c>
      <c r="AF12" s="130" t="e">
        <f t="shared" si="3"/>
        <v>#VALUE!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27">
        <f>AVERAGE(GE6:GE1005)</f>
        <v>5.689862806363795</v>
      </c>
      <c r="FJ12" s="227"/>
      <c r="FK12" s="227">
        <f>PERCENTILE($GE$6:$GE$1005,0.975)</f>
        <v>8.7305800530945152</v>
      </c>
      <c r="FL12" s="227"/>
      <c r="FM12" s="227">
        <f>PERCENTILE($GE$6:$GE$1005,0.025)</f>
        <v>3.0124781670886547</v>
      </c>
      <c r="FN12" s="227"/>
      <c r="FO12" s="5"/>
      <c r="FY12" s="211">
        <v>7</v>
      </c>
      <c r="FZ12">
        <v>132.83555846812575</v>
      </c>
      <c r="GA12">
        <v>76.84221883340922</v>
      </c>
      <c r="GB12">
        <v>27.395075088804496</v>
      </c>
      <c r="GC12">
        <v>8.5226881459375328</v>
      </c>
      <c r="GD12">
        <v>3.5402237788064186</v>
      </c>
      <c r="GE12">
        <v>6.4094792845275439</v>
      </c>
      <c r="GF12">
        <v>16.33344123789719</v>
      </c>
      <c r="GG12">
        <v>21.367901701937736</v>
      </c>
      <c r="GH12">
        <v>29.259061893364652</v>
      </c>
      <c r="GI12">
        <v>74.56660590241718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292.2737115394234</v>
      </c>
      <c r="Y13" s="131">
        <f>COUNT(EK178:EK187)</f>
        <v>10</v>
      </c>
      <c r="Z13" s="130">
        <f>STDEV(EK178:EK187)</f>
        <v>320.8706873577944</v>
      </c>
      <c r="AA13" s="130">
        <f t="shared" si="2"/>
        <v>101.46822064344256</v>
      </c>
      <c r="AB13" s="131"/>
      <c r="AC13" s="130" t="e">
        <f>AVERAGE($FU178:$FU187)</f>
        <v>#VALUE!</v>
      </c>
      <c r="AD13" s="132">
        <f>COUNT($FU178:$FU187)</f>
        <v>0</v>
      </c>
      <c r="AE13" s="130" t="e">
        <f>STDEV($FU178:$FU187)</f>
        <v>#VALUE!</v>
      </c>
      <c r="AF13" s="130" t="e">
        <f t="shared" si="3"/>
        <v>#VALUE!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27">
        <f>AVERAGE(GF6:GF1005)</f>
        <v>28.69820313018198</v>
      </c>
      <c r="FJ13" s="227"/>
      <c r="FK13" s="227">
        <f>PERCENTILE($GF$6:$GF$1005,0.975)</f>
        <v>54.957308879399974</v>
      </c>
      <c r="FL13" s="227"/>
      <c r="FM13" s="227">
        <f>PERCENTILE($GF$6:$GF$1005,0.025)</f>
        <v>8.7558544985669791</v>
      </c>
      <c r="FN13" s="227"/>
      <c r="FO13" s="5"/>
      <c r="FY13" s="211">
        <v>8</v>
      </c>
      <c r="FZ13">
        <v>106.16987784132688</v>
      </c>
      <c r="GA13">
        <v>108.22336359989757</v>
      </c>
      <c r="GB13">
        <v>36.288817679775761</v>
      </c>
      <c r="GC13">
        <v>7.9267276133934388</v>
      </c>
      <c r="GD13">
        <v>3.4862717578654601</v>
      </c>
      <c r="GE13">
        <v>6.1154449507009572</v>
      </c>
      <c r="GF13">
        <v>16.352923126097064</v>
      </c>
      <c r="GG13">
        <v>21.380863636785566</v>
      </c>
      <c r="GH13">
        <v>32.66526508993325</v>
      </c>
      <c r="GI13">
        <v>69.539646078644324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27">
        <f>AVERAGE(GG6:GG1005)</f>
        <v>35.841667327472116</v>
      </c>
      <c r="FJ14" s="227"/>
      <c r="FK14" s="227">
        <f>PERCENTILE($GG$6:$GG$1005,0.975)</f>
        <v>69.454971896452562</v>
      </c>
      <c r="FL14" s="227"/>
      <c r="FM14" s="227">
        <f>PERCENTILE($GG$6:$GG$1005,0.025)</f>
        <v>10.078434009207687</v>
      </c>
      <c r="FN14" s="227"/>
      <c r="FO14" s="5"/>
      <c r="FY14" s="211">
        <v>9</v>
      </c>
      <c r="FZ14">
        <v>136.41800817121316</v>
      </c>
      <c r="GA14">
        <v>115.83829017847064</v>
      </c>
      <c r="GB14">
        <v>27.534914991452489</v>
      </c>
      <c r="GC14">
        <v>7.9985053758280431</v>
      </c>
      <c r="GD14">
        <v>3.6495993085824767</v>
      </c>
      <c r="GE14">
        <v>4.7779748715662702</v>
      </c>
      <c r="GF14">
        <v>24.009422728108849</v>
      </c>
      <c r="GG14">
        <v>30.837407073508235</v>
      </c>
      <c r="GH14">
        <v>25.465491331541159</v>
      </c>
      <c r="GI14">
        <v>70.32732780602575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1278.2915155579949</v>
      </c>
      <c r="AO15" s="163" t="e">
        <f>D48</f>
        <v>#VALUE!</v>
      </c>
      <c r="AP15" s="163" t="e">
        <f>D63</f>
        <v>#VALUE!</v>
      </c>
      <c r="AQ15" s="163" t="e">
        <f>C453</f>
        <v>#VALUE!</v>
      </c>
      <c r="AR15" s="163" t="e">
        <f>G520</f>
        <v>#VALUE!</v>
      </c>
      <c r="AS15" s="163" t="e">
        <f>I523</f>
        <v>#VALUE!</v>
      </c>
      <c r="AT15" s="122" t="e">
        <f>G556</f>
        <v>#VALUE!</v>
      </c>
      <c r="AU15" s="122" t="e">
        <f>I556</f>
        <v>#VALUE!</v>
      </c>
      <c r="AV15" s="23"/>
      <c r="AW15" s="23"/>
      <c r="FG15" s="5"/>
      <c r="FH15" s="214">
        <f t="shared" si="6"/>
        <v>39949</v>
      </c>
      <c r="FI15" s="227">
        <f>AVERAGE(GH6:GH1005)</f>
        <v>24.711992480384545</v>
      </c>
      <c r="FJ15" s="227"/>
      <c r="FK15" s="227">
        <f>PERCENTILE($GH$6:$GH$1005,0.975)</f>
        <v>35.634862350503042</v>
      </c>
      <c r="FL15" s="227"/>
      <c r="FM15" s="227">
        <f>PERCENTILE($GH$6:$GH$1005,0.025)</f>
        <v>14.732349749400363</v>
      </c>
      <c r="FN15" s="227"/>
      <c r="FO15" s="5"/>
      <c r="FY15" s="211">
        <v>10</v>
      </c>
      <c r="FZ15">
        <v>59.796224199961067</v>
      </c>
      <c r="GA15">
        <v>30.125676916004323</v>
      </c>
      <c r="GB15">
        <v>23.618154551193435</v>
      </c>
      <c r="GC15">
        <v>8.4374355355007165</v>
      </c>
      <c r="GD15">
        <v>3.0491970228982908</v>
      </c>
      <c r="GE15">
        <v>4.9734126750836705</v>
      </c>
      <c r="GF15">
        <v>15.320619755542015</v>
      </c>
      <c r="GG15">
        <v>18.998539883605968</v>
      </c>
      <c r="GH15">
        <v>15.500103727668032</v>
      </c>
      <c r="GI15">
        <v>50.289194803704312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27">
        <f>AVERAGE(GI6:GI1005)</f>
        <v>76.510382803887282</v>
      </c>
      <c r="FJ16" s="227"/>
      <c r="FK16" s="227">
        <f>PERCENTILE($GI$6:$GI$1005,0.975)</f>
        <v>95.249335875122441</v>
      </c>
      <c r="FL16" s="227"/>
      <c r="FM16" s="227">
        <f>PERCENTILE($GI$6:$GI$1005,0.025)</f>
        <v>59.430560465924962</v>
      </c>
      <c r="FN16" s="227"/>
      <c r="FO16" s="5"/>
      <c r="FY16" s="211">
        <v>11</v>
      </c>
      <c r="FZ16">
        <v>93.666384454644017</v>
      </c>
      <c r="GA16">
        <v>89.997851868037031</v>
      </c>
      <c r="GB16">
        <v>29.479004213063913</v>
      </c>
      <c r="GC16">
        <v>5.38336593373608</v>
      </c>
      <c r="GD16">
        <v>2.832882118077614</v>
      </c>
      <c r="GE16">
        <v>6.8279507012353191</v>
      </c>
      <c r="GF16">
        <v>37.202464299174324</v>
      </c>
      <c r="GG16">
        <v>45.567548055477673</v>
      </c>
      <c r="GH16">
        <v>24.27735632405826</v>
      </c>
      <c r="GI16">
        <v>70.029556604941092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1293.6891266784316</v>
      </c>
      <c r="AO17">
        <v>179.85083652214854</v>
      </c>
      <c r="AP17">
        <v>1569.2581814256412</v>
      </c>
      <c r="AQ17">
        <v>572.8807300957825</v>
      </c>
      <c r="AR17">
        <v>173.54470889592406</v>
      </c>
      <c r="AS17">
        <v>1897.0612044591553</v>
      </c>
      <c r="AT17">
        <v>82.226936486534669</v>
      </c>
      <c r="AU17">
        <v>123.52906521754514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Y17" s="211">
        <v>12</v>
      </c>
      <c r="FZ17">
        <v>103.49973719466699</v>
      </c>
      <c r="GA17">
        <v>118.12207804562183</v>
      </c>
      <c r="GB17">
        <v>37.677470337126927</v>
      </c>
      <c r="GC17">
        <v>9.4041769448465757</v>
      </c>
      <c r="GD17">
        <v>3.7121331309922576</v>
      </c>
      <c r="GE17">
        <v>4.9270517713536073</v>
      </c>
      <c r="GF17">
        <v>38.039948411570457</v>
      </c>
      <c r="GG17">
        <v>46.928725252866641</v>
      </c>
      <c r="GH17">
        <v>24.716137566095135</v>
      </c>
      <c r="GI17">
        <v>87.134878746914595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1136.0812992205588</v>
      </c>
      <c r="AO18">
        <v>181.80005923078784</v>
      </c>
      <c r="AP18">
        <v>1495.7060762792903</v>
      </c>
      <c r="AQ18">
        <v>477.2448564647525</v>
      </c>
      <c r="AR18">
        <v>177.57763537666781</v>
      </c>
      <c r="AS18">
        <v>1851.0873439971881</v>
      </c>
      <c r="AT18">
        <v>88.992182806787355</v>
      </c>
      <c r="AU18">
        <v>5.1209946449465633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Y18" s="211">
        <v>13</v>
      </c>
      <c r="FZ18">
        <v>214.5756113968304</v>
      </c>
      <c r="GA18">
        <v>146.63623831092195</v>
      </c>
      <c r="GB18">
        <v>25.448344119239078</v>
      </c>
      <c r="GC18">
        <v>7.4608895082410136</v>
      </c>
      <c r="GD18">
        <v>3.5438579961666012</v>
      </c>
      <c r="GE18">
        <v>6.8015470158594589</v>
      </c>
      <c r="GF18">
        <v>19.441194264863601</v>
      </c>
      <c r="GG18">
        <v>20.215550164730896</v>
      </c>
      <c r="GH18">
        <v>22.139024324008002</v>
      </c>
      <c r="GI18">
        <v>73.627722866285396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1265.7999858078515</v>
      </c>
      <c r="AO19">
        <v>174.50191163106214</v>
      </c>
      <c r="AP19">
        <v>1585.1998999018249</v>
      </c>
      <c r="AQ19">
        <v>565.12375326770734</v>
      </c>
      <c r="AR19">
        <v>167.35369967685889</v>
      </c>
      <c r="AS19">
        <v>1825.489281004031</v>
      </c>
      <c r="AT19">
        <v>88.151111216909712</v>
      </c>
      <c r="AU19">
        <v>313.67257846847758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Y19" s="211">
        <v>14</v>
      </c>
      <c r="FZ19">
        <v>211.80563953708003</v>
      </c>
      <c r="GA19">
        <v>138.74511394938804</v>
      </c>
      <c r="GB19">
        <v>24.834753525005294</v>
      </c>
      <c r="GC19">
        <v>7.9820080441322681</v>
      </c>
      <c r="GD19">
        <v>3.0366955304324046</v>
      </c>
      <c r="GE19">
        <v>4.284320877173343</v>
      </c>
      <c r="GF19">
        <v>50.069000605387899</v>
      </c>
      <c r="GG19">
        <v>65.679415968194903</v>
      </c>
      <c r="GH19">
        <v>16.461532050413521</v>
      </c>
      <c r="GI19">
        <v>86.786262986277833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1132.3264219906248</v>
      </c>
      <c r="AO20">
        <v>160.43131730600982</v>
      </c>
      <c r="AP20">
        <v>1380.7427319110716</v>
      </c>
      <c r="AQ20">
        <v>425.20507341013575</v>
      </c>
      <c r="AR20">
        <v>155.69889222698808</v>
      </c>
      <c r="AS20">
        <v>1677.4398852663289</v>
      </c>
      <c r="AT20">
        <v>75.215123556874275</v>
      </c>
      <c r="AU20">
        <v>116.85551140279561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114.56911619300311</v>
      </c>
      <c r="GA20">
        <v>79.971500757358442</v>
      </c>
      <c r="GB20">
        <v>34.739632945873282</v>
      </c>
      <c r="GC20">
        <v>9.6304157482306181</v>
      </c>
      <c r="GD20">
        <v>2.7072069202968145</v>
      </c>
      <c r="GE20">
        <v>3.8613280185743513</v>
      </c>
      <c r="GF20">
        <v>30.927801106782496</v>
      </c>
      <c r="GG20">
        <v>39.385745001580474</v>
      </c>
      <c r="GH20">
        <v>22.744668445796123</v>
      </c>
      <c r="GI20">
        <v>75.028320201468546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677.19173085901036</v>
      </c>
      <c r="E21" s="18">
        <f t="shared" ref="E21:E26" si="8">C5-C4</f>
        <v>27</v>
      </c>
      <c r="F21" s="50"/>
      <c r="G21" s="18">
        <f t="shared" ref="G21:AK21" si="9">AVERAGE(G70:G71)</f>
        <v>6.25</v>
      </c>
      <c r="H21" s="18">
        <f t="shared" si="9"/>
        <v>35.148809523809526</v>
      </c>
      <c r="I21" s="18">
        <f t="shared" si="9"/>
        <v>119.76774042950512</v>
      </c>
      <c r="J21" s="18">
        <f t="shared" si="9"/>
        <v>210.33321661998133</v>
      </c>
      <c r="K21" s="18">
        <f t="shared" si="9"/>
        <v>203.125</v>
      </c>
      <c r="L21" s="18">
        <f t="shared" si="9"/>
        <v>65.044642857142861</v>
      </c>
      <c r="M21" s="18">
        <f t="shared" si="9"/>
        <v>24.947916666666664</v>
      </c>
      <c r="N21" s="18">
        <f t="shared" si="9"/>
        <v>9.4494047619047628</v>
      </c>
      <c r="O21" s="18">
        <f t="shared" si="9"/>
        <v>2.083333333333333</v>
      </c>
      <c r="P21" s="18">
        <f t="shared" si="9"/>
        <v>1.0416666666666665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1036.0405511632209</v>
      </c>
      <c r="AO21">
        <v>135.752638514501</v>
      </c>
      <c r="AP21">
        <v>1111.1548807792594</v>
      </c>
      <c r="AQ21">
        <v>414.60614874288939</v>
      </c>
      <c r="AR21">
        <v>131.29545923176931</v>
      </c>
      <c r="AS21">
        <v>1473.48552975233</v>
      </c>
      <c r="AT21">
        <v>65.021775458639311</v>
      </c>
      <c r="AU21">
        <v>20.071529226888877</v>
      </c>
      <c r="AV21"/>
      <c r="AW21"/>
      <c r="FY21" s="211">
        <v>16</v>
      </c>
      <c r="FZ21">
        <v>91.805568808978663</v>
      </c>
      <c r="GA21">
        <v>85.940965682594054</v>
      </c>
      <c r="GB21">
        <v>31.411615211063015</v>
      </c>
      <c r="GC21">
        <v>9.6400007456929231</v>
      </c>
      <c r="GD21">
        <v>4.2049549429044468</v>
      </c>
      <c r="GE21">
        <v>5.2037540451475319</v>
      </c>
      <c r="GF21">
        <v>31.089896476604196</v>
      </c>
      <c r="GG21">
        <v>41.532376705308046</v>
      </c>
      <c r="GH21">
        <v>28.119686649988317</v>
      </c>
      <c r="GI21">
        <v>81.937772563552556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1206.0235760971052</v>
      </c>
      <c r="E22" s="18">
        <f t="shared" si="8"/>
        <v>41</v>
      </c>
      <c r="F22" s="50"/>
      <c r="G22" s="18">
        <f t="shared" ref="G22:AK22" si="10">AVERAGE(G71:G72)</f>
        <v>62.853422619047613</v>
      </c>
      <c r="H22" s="18">
        <f t="shared" si="10"/>
        <v>292.90550595238096</v>
      </c>
      <c r="I22" s="18">
        <f t="shared" si="10"/>
        <v>320.81870769140983</v>
      </c>
      <c r="J22" s="18">
        <f t="shared" si="10"/>
        <v>330.00397554855272</v>
      </c>
      <c r="K22" s="18">
        <f t="shared" si="10"/>
        <v>130.6547619047619</v>
      </c>
      <c r="L22" s="18">
        <f t="shared" si="10"/>
        <v>50.610119047619051</v>
      </c>
      <c r="M22" s="18">
        <f t="shared" si="10"/>
        <v>16.614583333333332</v>
      </c>
      <c r="N22" s="18">
        <f t="shared" si="10"/>
        <v>0</v>
      </c>
      <c r="O22" s="18">
        <f t="shared" si="10"/>
        <v>1.0416666666666665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0.52083333333333326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1465.166566272937</v>
      </c>
      <c r="AO22">
        <v>190.19822291564057</v>
      </c>
      <c r="AP22">
        <v>1539.1123914838745</v>
      </c>
      <c r="AQ22">
        <v>567.94798237789735</v>
      </c>
      <c r="AR22">
        <v>183.27396976709241</v>
      </c>
      <c r="AS22">
        <v>2012.7844556725943</v>
      </c>
      <c r="AT22">
        <v>88.628978861745452</v>
      </c>
      <c r="AU22">
        <v>564.6757772351707</v>
      </c>
      <c r="AV22"/>
      <c r="AW22"/>
      <c r="FY22" s="211">
        <v>17</v>
      </c>
      <c r="FZ22">
        <v>111.26757592340074</v>
      </c>
      <c r="GA22">
        <v>85.981638630472688</v>
      </c>
      <c r="GB22">
        <v>21.251657946492905</v>
      </c>
      <c r="GC22">
        <v>6.637283025960425</v>
      </c>
      <c r="GD22">
        <v>3.7978871365093356</v>
      </c>
      <c r="GE22">
        <v>7.1332400289610192</v>
      </c>
      <c r="GF22">
        <v>27.435817858615458</v>
      </c>
      <c r="GG22">
        <v>35.535818634008201</v>
      </c>
      <c r="GH22">
        <v>38.615691177047559</v>
      </c>
      <c r="GI22">
        <v>69.316506682126004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1799.0915244956193</v>
      </c>
      <c r="E23" s="18">
        <f t="shared" si="8"/>
        <v>33</v>
      </c>
      <c r="F23" s="50"/>
      <c r="G23" s="18">
        <f t="shared" ref="G23:AK23" si="11">AVERAGE(G72:G73)</f>
        <v>56.603422619047613</v>
      </c>
      <c r="H23" s="18">
        <f t="shared" si="11"/>
        <v>542.89589122563257</v>
      </c>
      <c r="I23" s="18">
        <f t="shared" si="11"/>
        <v>663.24356991786954</v>
      </c>
      <c r="J23" s="18">
        <f t="shared" si="11"/>
        <v>339.8859962774294</v>
      </c>
      <c r="K23" s="18">
        <f t="shared" si="11"/>
        <v>131.12173536473105</v>
      </c>
      <c r="L23" s="18">
        <f t="shared" si="11"/>
        <v>52.722537878787875</v>
      </c>
      <c r="M23" s="18">
        <f t="shared" si="11"/>
        <v>7.2916666666666661</v>
      </c>
      <c r="N23" s="18">
        <f t="shared" si="11"/>
        <v>3.5037878787878789</v>
      </c>
      <c r="O23" s="18">
        <f t="shared" si="11"/>
        <v>1.3020833333333335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0.52083333333333326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1013.2947689870025</v>
      </c>
      <c r="AO23">
        <v>155.42707843146292</v>
      </c>
      <c r="AP23">
        <v>1171.4203881364213</v>
      </c>
      <c r="AQ23">
        <v>397.07225433522774</v>
      </c>
      <c r="AR23">
        <v>155.00544947759349</v>
      </c>
      <c r="AS23">
        <v>1759.1167281557027</v>
      </c>
      <c r="AT23">
        <v>80.357373676959838</v>
      </c>
      <c r="AU23">
        <v>124.58970888203142</v>
      </c>
      <c r="AV23"/>
      <c r="AW23"/>
      <c r="FY23" s="211">
        <v>18</v>
      </c>
      <c r="FZ23">
        <v>124.80621847796915</v>
      </c>
      <c r="GA23">
        <v>97.581728054317708</v>
      </c>
      <c r="GB23">
        <v>33.306228444761935</v>
      </c>
      <c r="GC23">
        <v>9.417116216590621</v>
      </c>
      <c r="GD23">
        <v>3.2325050802917978</v>
      </c>
      <c r="GE23">
        <v>5.0367339515248837</v>
      </c>
      <c r="GF23">
        <v>33.181616611600234</v>
      </c>
      <c r="GG23">
        <v>42.462743422284838</v>
      </c>
      <c r="GH23">
        <v>23.672104143620619</v>
      </c>
      <c r="GI23">
        <v>84.635503800977688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1485.0923928402376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380.30800385258891</v>
      </c>
      <c r="I24" s="18">
        <f t="shared" si="12"/>
        <v>624.60935763131351</v>
      </c>
      <c r="J24" s="18">
        <f t="shared" si="12"/>
        <v>318.43725043415236</v>
      </c>
      <c r="K24" s="18">
        <f t="shared" si="12"/>
        <v>103.00016437206634</v>
      </c>
      <c r="L24" s="18">
        <f t="shared" si="12"/>
        <v>30.752840909090907</v>
      </c>
      <c r="M24" s="18">
        <f t="shared" si="12"/>
        <v>7.0075757575757578</v>
      </c>
      <c r="N24" s="18">
        <f t="shared" si="12"/>
        <v>12.336101398601398</v>
      </c>
      <c r="O24" s="18">
        <f t="shared" si="12"/>
        <v>3.0539772727272725</v>
      </c>
      <c r="P24" s="18">
        <f t="shared" si="12"/>
        <v>5.5871212121212119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1020.1236783768061</v>
      </c>
      <c r="AO24">
        <v>154.42861082834139</v>
      </c>
      <c r="AP24">
        <v>1290.2340565891459</v>
      </c>
      <c r="AQ24">
        <v>408.14920137442027</v>
      </c>
      <c r="AR24">
        <v>150.55630936335356</v>
      </c>
      <c r="AS24">
        <v>1603.1365130050228</v>
      </c>
      <c r="AT24">
        <v>72.304531200958351</v>
      </c>
      <c r="AU24">
        <v>37.793416993640946</v>
      </c>
      <c r="AV24"/>
      <c r="AW24"/>
      <c r="FY24" s="211">
        <v>19</v>
      </c>
      <c r="FZ24">
        <v>130.01771843290513</v>
      </c>
      <c r="GA24">
        <v>131.07628003344328</v>
      </c>
      <c r="GB24">
        <v>37.567180211913396</v>
      </c>
      <c r="GC24">
        <v>10.575613789552346</v>
      </c>
      <c r="GD24">
        <v>4.3617437644823465</v>
      </c>
      <c r="GE24">
        <v>5.8071226593867147</v>
      </c>
      <c r="GF24">
        <v>27.521967966354786</v>
      </c>
      <c r="GG24">
        <v>37.73025391418161</v>
      </c>
      <c r="GH24">
        <v>27.745870258646733</v>
      </c>
      <c r="GI24">
        <v>86.728920127779418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1305.0857965405673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369.51557883556535</v>
      </c>
      <c r="I25" s="18">
        <f t="shared" si="13"/>
        <v>415.57175696435377</v>
      </c>
      <c r="J25" s="18">
        <f t="shared" si="13"/>
        <v>307.18492517320647</v>
      </c>
      <c r="K25" s="18">
        <f t="shared" si="13"/>
        <v>149.25365794506419</v>
      </c>
      <c r="L25" s="18">
        <f t="shared" si="13"/>
        <v>31.475815850815849</v>
      </c>
      <c r="M25" s="18">
        <f t="shared" si="13"/>
        <v>8.1694347319347322</v>
      </c>
      <c r="N25" s="18">
        <f t="shared" si="13"/>
        <v>11.756993006993007</v>
      </c>
      <c r="O25" s="18">
        <f t="shared" si="13"/>
        <v>3.645833333333333</v>
      </c>
      <c r="P25" s="18">
        <f t="shared" si="13"/>
        <v>6.107954545454545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2.4038461538461537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1041.4679500267516</v>
      </c>
      <c r="AO25">
        <v>149.20549445953156</v>
      </c>
      <c r="AP25">
        <v>1277.0356840052966</v>
      </c>
      <c r="AQ25">
        <v>446.85694183629698</v>
      </c>
      <c r="AR25">
        <v>147.32912019588784</v>
      </c>
      <c r="AS25">
        <v>1618.6480709879052</v>
      </c>
      <c r="AT25">
        <v>70.549196207654816</v>
      </c>
      <c r="AU25">
        <v>172.98157710624014</v>
      </c>
      <c r="AV25"/>
      <c r="AW25"/>
      <c r="FY25" s="211">
        <v>20</v>
      </c>
      <c r="FZ25">
        <v>104.61120492742741</v>
      </c>
      <c r="GA25">
        <v>104.64486515992678</v>
      </c>
      <c r="GB25">
        <v>41.642175145435608</v>
      </c>
      <c r="GC25">
        <v>11.877193421597983</v>
      </c>
      <c r="GD25">
        <v>4.4066337804982574</v>
      </c>
      <c r="GE25">
        <v>5.2627260296246368</v>
      </c>
      <c r="GF25">
        <v>48.849180852945608</v>
      </c>
      <c r="GG25">
        <v>66.197376246529075</v>
      </c>
      <c r="GH25">
        <v>20.080556755685439</v>
      </c>
      <c r="GI25">
        <v>96.805207305425583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1063.2619805272984</v>
      </c>
      <c r="E26" s="18">
        <f t="shared" si="8"/>
        <v>48</v>
      </c>
      <c r="F26" s="50"/>
      <c r="G26" s="18">
        <f t="shared" ref="G26:AK26" si="14">AVERAGE(G75:G76)</f>
        <v>4.069010416666667</v>
      </c>
      <c r="H26" s="18">
        <f t="shared" si="14"/>
        <v>375.46981665503756</v>
      </c>
      <c r="I26" s="18">
        <f t="shared" si="14"/>
        <v>307.57665997511617</v>
      </c>
      <c r="J26" s="18">
        <f t="shared" si="14"/>
        <v>179.89700186965814</v>
      </c>
      <c r="K26" s="18">
        <f t="shared" si="14"/>
        <v>147.70090478098291</v>
      </c>
      <c r="L26" s="18">
        <f t="shared" si="14"/>
        <v>32.091346153846153</v>
      </c>
      <c r="M26" s="18">
        <f t="shared" si="14"/>
        <v>8.0629006410256405</v>
      </c>
      <c r="N26" s="18">
        <f t="shared" si="14"/>
        <v>3.5757211538461533</v>
      </c>
      <c r="O26" s="18">
        <f t="shared" si="14"/>
        <v>1.8939393939393938</v>
      </c>
      <c r="P26" s="18">
        <f t="shared" si="14"/>
        <v>0.52083333333333326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2.4038461538461537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746.24282038703711</v>
      </c>
      <c r="AO26">
        <v>109.09936044340687</v>
      </c>
      <c r="AP26">
        <v>846.77029212073296</v>
      </c>
      <c r="AQ26">
        <v>230.10855907116184</v>
      </c>
      <c r="AR26">
        <v>106.1860566191388</v>
      </c>
      <c r="AS26">
        <v>1125.3830006643354</v>
      </c>
      <c r="AT26">
        <v>49.997855295720221</v>
      </c>
      <c r="AU26">
        <v>119.45605955579558</v>
      </c>
      <c r="AV26"/>
      <c r="AW26"/>
      <c r="FY26" s="211">
        <v>21</v>
      </c>
      <c r="FZ26">
        <v>110.0204863568277</v>
      </c>
      <c r="GA26">
        <v>87.332588506887404</v>
      </c>
      <c r="GB26">
        <v>31.010513372551685</v>
      </c>
      <c r="GC26">
        <v>9.6885410542463646</v>
      </c>
      <c r="GD26">
        <v>2.9159026343700063</v>
      </c>
      <c r="GE26">
        <v>4.0214056521201691</v>
      </c>
      <c r="GF26">
        <v>9.746817114163683</v>
      </c>
      <c r="GG26">
        <v>12.622727969312685</v>
      </c>
      <c r="GH26">
        <v>29.661352807068127</v>
      </c>
      <c r="GI26">
        <v>65.889900843838888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1713.809018342391</v>
      </c>
      <c r="E27" s="18">
        <f>C11-C10</f>
        <v>63</v>
      </c>
      <c r="F27" s="50"/>
      <c r="G27" s="18">
        <f t="shared" ref="G27:AK29" si="15">AVERAGE(G76:G77)</f>
        <v>59.812253659909906</v>
      </c>
      <c r="H27" s="18">
        <f t="shared" si="15"/>
        <v>408.05578471228227</v>
      </c>
      <c r="I27" s="18">
        <f t="shared" si="15"/>
        <v>692.91724770163592</v>
      </c>
      <c r="J27" s="18">
        <f t="shared" si="15"/>
        <v>145.76619152469422</v>
      </c>
      <c r="K27" s="18">
        <f t="shared" si="15"/>
        <v>256.51101296609113</v>
      </c>
      <c r="L27" s="18">
        <f t="shared" si="15"/>
        <v>79.2361111111111</v>
      </c>
      <c r="M27" s="18">
        <f t="shared" si="15"/>
        <v>32.942708333333329</v>
      </c>
      <c r="N27" s="18">
        <f t="shared" si="15"/>
        <v>27.838541666666668</v>
      </c>
      <c r="O27" s="18">
        <f t="shared" si="15"/>
        <v>3.6458333333333335</v>
      </c>
      <c r="P27" s="18">
        <f t="shared" si="15"/>
        <v>1.5625</v>
      </c>
      <c r="Q27" s="18">
        <f t="shared" si="15"/>
        <v>3.4375</v>
      </c>
      <c r="R27" s="18">
        <f t="shared" si="15"/>
        <v>0.52083333333333326</v>
      </c>
      <c r="S27" s="18">
        <f t="shared" si="15"/>
        <v>1.5625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1088.2023317987987</v>
      </c>
      <c r="AO27">
        <v>153.60823676936963</v>
      </c>
      <c r="AP27">
        <v>1241.3510043333065</v>
      </c>
      <c r="AQ27">
        <v>405.26436457244534</v>
      </c>
      <c r="AR27">
        <v>152.19659425307324</v>
      </c>
      <c r="AS27">
        <v>1578.7959831989444</v>
      </c>
      <c r="AT27">
        <v>73.078832527889503</v>
      </c>
      <c r="AU27">
        <v>299.04436180089692</v>
      </c>
      <c r="AV27"/>
      <c r="AW27"/>
      <c r="FY27" s="211">
        <v>22</v>
      </c>
      <c r="FZ27">
        <v>128.45302487578439</v>
      </c>
      <c r="GA27">
        <v>94.267896121715637</v>
      </c>
      <c r="GB27">
        <v>30.283511175780674</v>
      </c>
      <c r="GC27">
        <v>7.6210604908488566</v>
      </c>
      <c r="GD27">
        <v>2.3254117522892161</v>
      </c>
      <c r="GE27">
        <v>4.9658453478215412</v>
      </c>
      <c r="GF27">
        <v>18.303825180870625</v>
      </c>
      <c r="GG27">
        <v>22.846790865681502</v>
      </c>
      <c r="GH27">
        <v>26.479303952541787</v>
      </c>
      <c r="GI27">
        <v>64.487071417544641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1842.8407127450971</v>
      </c>
      <c r="E28" s="18">
        <f>C12-C11</f>
        <v>39</v>
      </c>
      <c r="F28" s="50"/>
      <c r="G28" s="18">
        <f t="shared" si="15"/>
        <v>55.743243243243242</v>
      </c>
      <c r="H28" s="18">
        <f t="shared" si="15"/>
        <v>317.03007161684496</v>
      </c>
      <c r="I28" s="18">
        <f t="shared" si="15"/>
        <v>678.97462643208007</v>
      </c>
      <c r="J28" s="18">
        <f t="shared" si="15"/>
        <v>256.24835847459315</v>
      </c>
      <c r="K28" s="18">
        <f t="shared" si="15"/>
        <v>295.83600082351944</v>
      </c>
      <c r="L28" s="18">
        <f t="shared" si="15"/>
        <v>122.84273755164165</v>
      </c>
      <c r="M28" s="18">
        <f t="shared" si="15"/>
        <v>59.474206349206327</v>
      </c>
      <c r="N28" s="18">
        <f t="shared" si="15"/>
        <v>42.837301587301589</v>
      </c>
      <c r="O28" s="18">
        <f t="shared" si="15"/>
        <v>4.6875</v>
      </c>
      <c r="P28" s="18">
        <f t="shared" si="15"/>
        <v>1.5625</v>
      </c>
      <c r="Q28" s="18">
        <f t="shared" si="15"/>
        <v>3.4375</v>
      </c>
      <c r="R28" s="18">
        <f t="shared" si="15"/>
        <v>0.52083333333333326</v>
      </c>
      <c r="S28" s="18">
        <f t="shared" si="15"/>
        <v>1.5625</v>
      </c>
      <c r="T28" s="18">
        <f t="shared" si="15"/>
        <v>0</v>
      </c>
      <c r="U28" s="18">
        <f t="shared" si="15"/>
        <v>1.0416666666666665</v>
      </c>
      <c r="V28" s="18">
        <f t="shared" si="15"/>
        <v>1.0416666666666665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1380.9392007586225</v>
      </c>
      <c r="AO28">
        <v>202.04471284746813</v>
      </c>
      <c r="AP28">
        <v>1633.1983212580164</v>
      </c>
      <c r="AQ28">
        <v>474.16233740205496</v>
      </c>
      <c r="AR28">
        <v>192.49418538933398</v>
      </c>
      <c r="AS28">
        <v>1905.6847613819216</v>
      </c>
      <c r="AT28">
        <v>90.420554492654688</v>
      </c>
      <c r="AU28">
        <v>433.09208335685821</v>
      </c>
      <c r="AV28"/>
      <c r="AW28"/>
      <c r="FY28" s="211">
        <v>23</v>
      </c>
      <c r="FZ28">
        <v>108.55156627513026</v>
      </c>
      <c r="GA28">
        <v>89.076409563116599</v>
      </c>
      <c r="GB28">
        <v>41.063075910251264</v>
      </c>
      <c r="GC28">
        <v>10.009271257363892</v>
      </c>
      <c r="GD28">
        <v>2.1059038368685954</v>
      </c>
      <c r="GE28">
        <v>4.2905219281593059</v>
      </c>
      <c r="GF28">
        <v>36.031015799152584</v>
      </c>
      <c r="GG28">
        <v>48.420921350709456</v>
      </c>
      <c r="GH28">
        <v>32.239086802366955</v>
      </c>
      <c r="GI28">
        <v>98.740038606750389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492.90234090425525</v>
      </c>
      <c r="E29" s="18">
        <f>C13-C12</f>
        <v>38</v>
      </c>
      <c r="F29" s="50"/>
      <c r="G29" s="18">
        <f t="shared" si="15"/>
        <v>3.8785460992907801</v>
      </c>
      <c r="H29" s="18">
        <f t="shared" si="15"/>
        <v>40.112006919161104</v>
      </c>
      <c r="I29" s="18">
        <f t="shared" si="15"/>
        <v>97.371424570496657</v>
      </c>
      <c r="J29" s="18">
        <f t="shared" si="15"/>
        <v>163.01810282425186</v>
      </c>
      <c r="K29" s="18">
        <f t="shared" si="15"/>
        <v>83.100580014725622</v>
      </c>
      <c r="L29" s="18">
        <f t="shared" si="15"/>
        <v>51.419126440530547</v>
      </c>
      <c r="M29" s="18">
        <f t="shared" si="15"/>
        <v>33.665252448497114</v>
      </c>
      <c r="N29" s="18">
        <f t="shared" si="15"/>
        <v>15.649801587301587</v>
      </c>
      <c r="O29" s="18">
        <f t="shared" si="15"/>
        <v>1.0416666666666665</v>
      </c>
      <c r="P29" s="18">
        <f t="shared" si="15"/>
        <v>1.5625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1.0416666666666665</v>
      </c>
      <c r="V29" s="18">
        <f t="shared" si="15"/>
        <v>1.0416666666666665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1059.9129939980055</v>
      </c>
      <c r="AO29">
        <v>165.75725912605185</v>
      </c>
      <c r="AP29">
        <v>1373.244522209347</v>
      </c>
      <c r="AQ29">
        <v>539.88997996714636</v>
      </c>
      <c r="AR29">
        <v>161.07557980387188</v>
      </c>
      <c r="AS29">
        <v>1702.8090927917588</v>
      </c>
      <c r="AT29">
        <v>83.843190958638061</v>
      </c>
      <c r="AU29">
        <v>93.479660223999431</v>
      </c>
      <c r="AV29"/>
      <c r="AW29"/>
      <c r="FY29" s="211">
        <v>24</v>
      </c>
      <c r="FZ29">
        <v>93.531109815817743</v>
      </c>
      <c r="GA29">
        <v>105.39433949357743</v>
      </c>
      <c r="GB29">
        <v>40.367648273624333</v>
      </c>
      <c r="GC29">
        <v>7.7425649520631419</v>
      </c>
      <c r="GD29">
        <v>2.1207917182049574</v>
      </c>
      <c r="GE29">
        <v>7.3945384234165079</v>
      </c>
      <c r="GF29">
        <v>23.159832774304011</v>
      </c>
      <c r="GG29">
        <v>20.82445449716732</v>
      </c>
      <c r="GH29">
        <v>26.971348318353449</v>
      </c>
      <c r="GI29">
        <v>70.951184464665971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1197.6160822283684</v>
      </c>
      <c r="E30" s="18">
        <v>24</v>
      </c>
      <c r="F30" s="50"/>
      <c r="G30" s="18">
        <f>AVERAGE(G70:G79)</f>
        <v>25.308844475649657</v>
      </c>
      <c r="H30" s="18">
        <f t="shared" ref="H30:AK30" si="16">AVERAGE(H70:H79)</f>
        <v>279.1456142432902</v>
      </c>
      <c r="I30" s="18">
        <f t="shared" si="16"/>
        <v>397.77434791677217</v>
      </c>
      <c r="J30" s="18">
        <f t="shared" si="16"/>
        <v>233.23768648391265</v>
      </c>
      <c r="K30" s="18">
        <f t="shared" si="16"/>
        <v>164.62239725812239</v>
      </c>
      <c r="L30" s="18">
        <f t="shared" si="16"/>
        <v>55.979646827677641</v>
      </c>
      <c r="M30" s="18">
        <f t="shared" si="16"/>
        <v>21.403395769419699</v>
      </c>
      <c r="N30" s="18">
        <f t="shared" si="16"/>
        <v>13.639705780330781</v>
      </c>
      <c r="O30" s="18">
        <f t="shared" si="16"/>
        <v>2.3437499999999996</v>
      </c>
      <c r="P30" s="18">
        <f t="shared" si="16"/>
        <v>2.0549242424242422</v>
      </c>
      <c r="Q30" s="18">
        <f t="shared" si="16"/>
        <v>0.6875</v>
      </c>
      <c r="R30" s="18">
        <f t="shared" si="16"/>
        <v>0.10416666666666666</v>
      </c>
      <c r="S30" s="18">
        <f t="shared" si="16"/>
        <v>0.3125</v>
      </c>
      <c r="T30" s="18">
        <f t="shared" si="16"/>
        <v>0.58493589743589747</v>
      </c>
      <c r="U30" s="18">
        <f t="shared" si="16"/>
        <v>0.20833333333333331</v>
      </c>
      <c r="V30" s="18">
        <f t="shared" si="16"/>
        <v>0.20833333333333331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1289.0259965003552</v>
      </c>
      <c r="AO30">
        <v>168.18465473296254</v>
      </c>
      <c r="AP30">
        <v>1411.0668621411803</v>
      </c>
      <c r="AQ30">
        <v>609.68474307348549</v>
      </c>
      <c r="AR30">
        <v>165.44495642971336</v>
      </c>
      <c r="AS30">
        <v>1883.5849623223287</v>
      </c>
      <c r="AT30">
        <v>82.270514810852575</v>
      </c>
      <c r="AU30">
        <v>183.81329544738313</v>
      </c>
      <c r="AV30"/>
      <c r="AW30"/>
      <c r="FY30" s="211">
        <v>25</v>
      </c>
      <c r="FZ30">
        <v>172.97723841456138</v>
      </c>
      <c r="GA30">
        <v>146.17229832062114</v>
      </c>
      <c r="GB30">
        <v>37.65582791730445</v>
      </c>
      <c r="GC30">
        <v>9.8240982174732849</v>
      </c>
      <c r="GD30">
        <v>3.9086187186975616</v>
      </c>
      <c r="GE30">
        <v>6.4971402059353505</v>
      </c>
      <c r="GF30">
        <v>22.698178217408291</v>
      </c>
      <c r="GG30">
        <v>26.704560206268678</v>
      </c>
      <c r="GH30">
        <v>25.465320914096601</v>
      </c>
      <c r="GI30">
        <v>77.762749252627415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1149.7586795926677</v>
      </c>
      <c r="AO31">
        <v>166.2896911799844</v>
      </c>
      <c r="AP31">
        <v>1408.9248137818631</v>
      </c>
      <c r="AQ31">
        <v>413.56573533896426</v>
      </c>
      <c r="AR31">
        <v>164.57863829859204</v>
      </c>
      <c r="AS31">
        <v>1683.3336425403074</v>
      </c>
      <c r="AT31">
        <v>77.45702440767063</v>
      </c>
      <c r="AU31">
        <v>273.20172929045452</v>
      </c>
      <c r="AV31"/>
      <c r="AW31"/>
      <c r="FY31" s="211">
        <v>26</v>
      </c>
      <c r="FZ31">
        <v>85.657925034489097</v>
      </c>
      <c r="GA31">
        <v>110.53311533598637</v>
      </c>
      <c r="GB31">
        <v>38.303712764651792</v>
      </c>
      <c r="GC31">
        <v>6.9044345397347699</v>
      </c>
      <c r="GD31">
        <v>2.0860190159371044</v>
      </c>
      <c r="GE31">
        <v>4.5107450848420267</v>
      </c>
      <c r="GF31">
        <v>23.499079836193751</v>
      </c>
      <c r="GG31">
        <v>30.38679723203764</v>
      </c>
      <c r="GH31">
        <v>22.390082930583365</v>
      </c>
      <c r="GI31">
        <v>67.233937672673989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1278.2915155579949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1241.8672614966267</v>
      </c>
      <c r="AO32">
        <v>198.25173286284198</v>
      </c>
      <c r="AP32">
        <v>1648.0859177851607</v>
      </c>
      <c r="AQ32">
        <v>410.8865918318337</v>
      </c>
      <c r="AR32">
        <v>192.14871583194642</v>
      </c>
      <c r="AS32">
        <v>2093.5989700408973</v>
      </c>
      <c r="AT32">
        <v>88.789903229446807</v>
      </c>
      <c r="AU32">
        <v>260.90445321001425</v>
      </c>
      <c r="AV32"/>
      <c r="AW32"/>
      <c r="FY32" s="211">
        <v>27</v>
      </c>
      <c r="FZ32">
        <v>93.12247915565429</v>
      </c>
      <c r="GA32">
        <v>49.322997674709306</v>
      </c>
      <c r="GB32">
        <v>27.401057900395358</v>
      </c>
      <c r="GC32">
        <v>9.8592578005961276</v>
      </c>
      <c r="GD32">
        <v>3.3960764204320411</v>
      </c>
      <c r="GE32">
        <v>6.653877828189982</v>
      </c>
      <c r="GF32">
        <v>46.523168799703939</v>
      </c>
      <c r="GG32">
        <v>51.757613305289276</v>
      </c>
      <c r="GH32">
        <v>20.527875032490858</v>
      </c>
      <c r="GI32">
        <v>78.253802524533938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1061.90432943062</v>
      </c>
      <c r="AO33">
        <v>148.27565348736613</v>
      </c>
      <c r="AP33">
        <v>1223.6994801147305</v>
      </c>
      <c r="AQ33">
        <v>406.97311704359436</v>
      </c>
      <c r="AR33">
        <v>141.91902157120461</v>
      </c>
      <c r="AS33">
        <v>1482.5469925994901</v>
      </c>
      <c r="AT33">
        <v>64.407801284697939</v>
      </c>
      <c r="AU33">
        <v>46.511573969211689</v>
      </c>
      <c r="AV33"/>
      <c r="AW33"/>
      <c r="FY33" s="211">
        <v>28</v>
      </c>
      <c r="FZ33">
        <v>82.387400541696735</v>
      </c>
      <c r="GA33">
        <v>95.301365196693524</v>
      </c>
      <c r="GB33">
        <v>33.684419893640623</v>
      </c>
      <c r="GC33">
        <v>8.1151731281677737</v>
      </c>
      <c r="GD33">
        <v>3.5738627187812075</v>
      </c>
      <c r="GE33">
        <v>7.7825976710865623</v>
      </c>
      <c r="GF33">
        <v>35.503632004231754</v>
      </c>
      <c r="GG33">
        <v>41.362930057730409</v>
      </c>
      <c r="GH33">
        <v>27.453661857959581</v>
      </c>
      <c r="GI33">
        <v>75.385493980123456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1241.0131484355409</v>
      </c>
      <c r="AO34">
        <v>184.34179037522776</v>
      </c>
      <c r="AP34">
        <v>1561.233693294791</v>
      </c>
      <c r="AQ34">
        <v>457.33249820393951</v>
      </c>
      <c r="AR34">
        <v>181.64718909927404</v>
      </c>
      <c r="AS34">
        <v>1899.493874619724</v>
      </c>
      <c r="AT34">
        <v>88.847318421714547</v>
      </c>
      <c r="AU34">
        <v>301.0157925296877</v>
      </c>
      <c r="AV34"/>
      <c r="AW34"/>
      <c r="FY34" s="211">
        <v>29</v>
      </c>
      <c r="FZ34">
        <v>119.38930931849764</v>
      </c>
      <c r="GA34">
        <v>129.90397676120742</v>
      </c>
      <c r="GB34">
        <v>37.469511938641006</v>
      </c>
      <c r="GC34">
        <v>8.9330610556157506</v>
      </c>
      <c r="GD34">
        <v>3.7441726437098124</v>
      </c>
      <c r="GE34">
        <v>4.9908094799954537</v>
      </c>
      <c r="GF34">
        <v>61.878526551100229</v>
      </c>
      <c r="GG34">
        <v>79.820192264719282</v>
      </c>
      <c r="GH34">
        <v>16.063966437457978</v>
      </c>
      <c r="GI34">
        <v>86.790304638084322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1283.7392168644324</v>
      </c>
      <c r="AO35">
        <v>185.14191308977303</v>
      </c>
      <c r="AP35">
        <v>1517.5947934222336</v>
      </c>
      <c r="AQ35">
        <v>499.13267115864579</v>
      </c>
      <c r="AR35">
        <v>177.23215548932274</v>
      </c>
      <c r="AS35">
        <v>1946.9429316956282</v>
      </c>
      <c r="AT35">
        <v>83.635259825484511</v>
      </c>
      <c r="AU35">
        <v>68.784068820970617</v>
      </c>
      <c r="AV35"/>
      <c r="AW35"/>
      <c r="FY35" s="211">
        <v>30</v>
      </c>
      <c r="FZ35">
        <v>88.721374052769463</v>
      </c>
      <c r="GA35">
        <v>71.00494883840436</v>
      </c>
      <c r="GB35">
        <v>22.937841262848853</v>
      </c>
      <c r="GC35">
        <v>8.6109941625708775</v>
      </c>
      <c r="GD35">
        <v>4.2510441628769691</v>
      </c>
      <c r="GE35">
        <v>7.6186217636949642</v>
      </c>
      <c r="GF35">
        <v>24.202104047132373</v>
      </c>
      <c r="GG35">
        <v>30.471625241646692</v>
      </c>
      <c r="GH35">
        <v>22.410930526341129</v>
      </c>
      <c r="GI35">
        <v>59.431179311436487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 t="e">
        <f>(1-($A$43/100))*($A$39*(0.5^$A$41))</f>
        <v>#VALUE!</v>
      </c>
      <c r="H36" s="59" t="e">
        <f t="shared" ref="H36:AK36" si="17">(1-($A$43/100))*($A$39*(H35^$A$41))</f>
        <v>#VALUE!</v>
      </c>
      <c r="I36" s="59" t="e">
        <f t="shared" si="17"/>
        <v>#VALUE!</v>
      </c>
      <c r="J36" s="59" t="e">
        <f t="shared" si="17"/>
        <v>#VALUE!</v>
      </c>
      <c r="K36" s="59" t="e">
        <f t="shared" si="17"/>
        <v>#VALUE!</v>
      </c>
      <c r="L36" s="59" t="e">
        <f t="shared" si="17"/>
        <v>#VALUE!</v>
      </c>
      <c r="M36" s="59" t="e">
        <f t="shared" si="17"/>
        <v>#VALUE!</v>
      </c>
      <c r="N36" s="59" t="e">
        <f t="shared" si="17"/>
        <v>#VALUE!</v>
      </c>
      <c r="O36" s="59" t="e">
        <f t="shared" si="17"/>
        <v>#VALUE!</v>
      </c>
      <c r="P36" s="59" t="e">
        <f t="shared" si="17"/>
        <v>#VALUE!</v>
      </c>
      <c r="Q36" s="59" t="e">
        <f t="shared" si="17"/>
        <v>#VALUE!</v>
      </c>
      <c r="R36" s="59" t="e">
        <f t="shared" si="17"/>
        <v>#VALUE!</v>
      </c>
      <c r="S36" s="59" t="e">
        <f t="shared" si="17"/>
        <v>#VALUE!</v>
      </c>
      <c r="T36" s="59" t="e">
        <f t="shared" si="17"/>
        <v>#VALUE!</v>
      </c>
      <c r="U36" s="59" t="e">
        <f t="shared" si="17"/>
        <v>#VALUE!</v>
      </c>
      <c r="V36" s="59" t="e">
        <f t="shared" si="17"/>
        <v>#VALUE!</v>
      </c>
      <c r="W36" s="59" t="e">
        <f t="shared" si="17"/>
        <v>#VALUE!</v>
      </c>
      <c r="X36" s="59" t="e">
        <f t="shared" si="17"/>
        <v>#VALUE!</v>
      </c>
      <c r="Y36" s="59" t="e">
        <f t="shared" si="17"/>
        <v>#VALUE!</v>
      </c>
      <c r="Z36" s="59" t="e">
        <f t="shared" si="17"/>
        <v>#VALUE!</v>
      </c>
      <c r="AA36" s="59" t="e">
        <f t="shared" si="17"/>
        <v>#VALUE!</v>
      </c>
      <c r="AB36" s="59" t="e">
        <f t="shared" si="17"/>
        <v>#VALUE!</v>
      </c>
      <c r="AC36" s="59" t="e">
        <f t="shared" si="17"/>
        <v>#VALUE!</v>
      </c>
      <c r="AD36" s="59" t="e">
        <f t="shared" si="17"/>
        <v>#VALUE!</v>
      </c>
      <c r="AE36" s="59" t="e">
        <f t="shared" si="17"/>
        <v>#VALUE!</v>
      </c>
      <c r="AF36" s="59" t="e">
        <f t="shared" si="17"/>
        <v>#VALUE!</v>
      </c>
      <c r="AG36" s="59" t="e">
        <f t="shared" si="17"/>
        <v>#VALUE!</v>
      </c>
      <c r="AH36" s="59" t="e">
        <f t="shared" si="17"/>
        <v>#VALUE!</v>
      </c>
      <c r="AI36" s="59" t="e">
        <f t="shared" si="17"/>
        <v>#VALUE!</v>
      </c>
      <c r="AJ36" s="59" t="e">
        <f t="shared" si="17"/>
        <v>#VALUE!</v>
      </c>
      <c r="AK36" s="59" t="e">
        <f t="shared" si="17"/>
        <v>#VALUE!</v>
      </c>
      <c r="AL36" s="42"/>
      <c r="AM36" s="43">
        <v>20</v>
      </c>
      <c r="AN36">
        <v>1508.3165113847958</v>
      </c>
      <c r="AO36">
        <v>210.87789309055051</v>
      </c>
      <c r="AP36">
        <v>1753.6883305806891</v>
      </c>
      <c r="AQ36">
        <v>504.37711962509644</v>
      </c>
      <c r="AR36">
        <v>202.77408194200746</v>
      </c>
      <c r="AS36">
        <v>2226.9367122006447</v>
      </c>
      <c r="AT36">
        <v>91.254623124383798</v>
      </c>
      <c r="AU36">
        <v>350.38427764584912</v>
      </c>
      <c r="AV36"/>
      <c r="AW36"/>
      <c r="FY36" s="211">
        <v>31</v>
      </c>
      <c r="FZ36">
        <v>105.64423925248579</v>
      </c>
      <c r="GA36">
        <v>144.29476318486024</v>
      </c>
      <c r="GB36">
        <v>52.228806146662905</v>
      </c>
      <c r="GC36">
        <v>9.1547689965037069</v>
      </c>
      <c r="GD36">
        <v>4.72842554640361</v>
      </c>
      <c r="GE36">
        <v>9.1597626431522006</v>
      </c>
      <c r="GF36">
        <v>32.82846988319762</v>
      </c>
      <c r="GG36">
        <v>40.477604918234569</v>
      </c>
      <c r="GH36">
        <v>19.132831753400279</v>
      </c>
      <c r="GI36">
        <v>80.526934012529949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 t="e">
        <f t="shared" ref="D37:D42" si="18">IF(SUM(G37:AK37)&lt;0.0001, 0, SUM(G37:AK37))</f>
        <v>#VALUE!</v>
      </c>
      <c r="E37" s="107" t="e">
        <f t="shared" ref="E37:E46" si="19">+D37/D21</f>
        <v>#VALUE!</v>
      </c>
      <c r="F37" s="18"/>
      <c r="G37" s="49" t="e">
        <f t="shared" ref="G37:G43" si="20">G21*G$36</f>
        <v>#VALUE!</v>
      </c>
      <c r="H37" s="49" t="e">
        <f t="shared" ref="H37:AK40" si="21">H21*H$36</f>
        <v>#VALUE!</v>
      </c>
      <c r="I37" s="49" t="e">
        <f t="shared" si="21"/>
        <v>#VALUE!</v>
      </c>
      <c r="J37" s="49" t="e">
        <f t="shared" si="21"/>
        <v>#VALUE!</v>
      </c>
      <c r="K37" s="49" t="e">
        <f t="shared" si="21"/>
        <v>#VALUE!</v>
      </c>
      <c r="L37" s="49" t="e">
        <f t="shared" si="21"/>
        <v>#VALUE!</v>
      </c>
      <c r="M37" s="49" t="e">
        <f t="shared" si="21"/>
        <v>#VALUE!</v>
      </c>
      <c r="N37" s="49" t="e">
        <f t="shared" si="21"/>
        <v>#VALUE!</v>
      </c>
      <c r="O37" s="49" t="e">
        <f t="shared" si="21"/>
        <v>#VALUE!</v>
      </c>
      <c r="P37" s="49" t="e">
        <f t="shared" si="21"/>
        <v>#VALUE!</v>
      </c>
      <c r="Q37" s="49" t="e">
        <f t="shared" si="21"/>
        <v>#VALUE!</v>
      </c>
      <c r="R37" s="49" t="e">
        <f t="shared" si="21"/>
        <v>#VALUE!</v>
      </c>
      <c r="S37" s="49" t="e">
        <f t="shared" si="21"/>
        <v>#VALUE!</v>
      </c>
      <c r="T37" s="49" t="e">
        <f t="shared" si="21"/>
        <v>#VALUE!</v>
      </c>
      <c r="U37" s="49" t="e">
        <f t="shared" si="21"/>
        <v>#VALUE!</v>
      </c>
      <c r="V37" s="49" t="e">
        <f t="shared" si="21"/>
        <v>#VALUE!</v>
      </c>
      <c r="W37" s="49" t="e">
        <f t="shared" si="21"/>
        <v>#VALUE!</v>
      </c>
      <c r="X37" s="49" t="e">
        <f t="shared" si="21"/>
        <v>#VALUE!</v>
      </c>
      <c r="Y37" s="49" t="e">
        <f t="shared" si="21"/>
        <v>#VALUE!</v>
      </c>
      <c r="Z37" s="49" t="e">
        <f t="shared" si="21"/>
        <v>#VALUE!</v>
      </c>
      <c r="AA37" s="49" t="e">
        <f t="shared" si="21"/>
        <v>#VALUE!</v>
      </c>
      <c r="AB37" s="49" t="e">
        <f t="shared" si="21"/>
        <v>#VALUE!</v>
      </c>
      <c r="AC37" s="49" t="e">
        <f t="shared" si="21"/>
        <v>#VALUE!</v>
      </c>
      <c r="AD37" s="49" t="e">
        <f t="shared" si="21"/>
        <v>#VALUE!</v>
      </c>
      <c r="AE37" s="49" t="e">
        <f t="shared" si="21"/>
        <v>#VALUE!</v>
      </c>
      <c r="AF37" s="49" t="e">
        <f t="shared" si="21"/>
        <v>#VALUE!</v>
      </c>
      <c r="AG37" s="49" t="e">
        <f t="shared" si="21"/>
        <v>#VALUE!</v>
      </c>
      <c r="AH37" s="49" t="e">
        <f t="shared" si="21"/>
        <v>#VALUE!</v>
      </c>
      <c r="AI37" s="49" t="e">
        <f t="shared" si="21"/>
        <v>#VALUE!</v>
      </c>
      <c r="AJ37" s="49" t="e">
        <f t="shared" si="21"/>
        <v>#VALUE!</v>
      </c>
      <c r="AK37" s="49" t="e">
        <f t="shared" si="21"/>
        <v>#VALUE!</v>
      </c>
      <c r="AL37" s="42"/>
      <c r="AM37" s="43">
        <v>21</v>
      </c>
      <c r="AN37">
        <v>945.08726341076999</v>
      </c>
      <c r="AO37">
        <v>162.81268402530819</v>
      </c>
      <c r="AP37">
        <v>1366.8097576643918</v>
      </c>
      <c r="AQ37">
        <v>362.91023631138671</v>
      </c>
      <c r="AR37">
        <v>157.19640635605691</v>
      </c>
      <c r="AS37">
        <v>1584.665465242156</v>
      </c>
      <c r="AT37">
        <v>81.78380846485426</v>
      </c>
      <c r="AU37">
        <v>80.243692749535867</v>
      </c>
      <c r="AV37"/>
      <c r="AW37"/>
      <c r="FY37" s="211">
        <v>32</v>
      </c>
      <c r="FZ37">
        <v>146.23874863254147</v>
      </c>
      <c r="GA37">
        <v>132.16248604386504</v>
      </c>
      <c r="GB37">
        <v>43.684392635301691</v>
      </c>
      <c r="GC37">
        <v>7.3698207790821693</v>
      </c>
      <c r="GD37">
        <v>3.1619170104232981</v>
      </c>
      <c r="GE37">
        <v>6.8456378241731723</v>
      </c>
      <c r="GF37">
        <v>29.777579627384057</v>
      </c>
      <c r="GG37">
        <v>34.607927224742376</v>
      </c>
      <c r="GH37">
        <v>15.624687168230128</v>
      </c>
      <c r="GI37">
        <v>75.137352844974899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 t="e">
        <f t="shared" si="18"/>
        <v>#VALUE!</v>
      </c>
      <c r="E38" s="107" t="e">
        <f t="shared" si="19"/>
        <v>#VALUE!</v>
      </c>
      <c r="F38" s="18"/>
      <c r="G38" s="49" t="e">
        <f t="shared" si="20"/>
        <v>#VALUE!</v>
      </c>
      <c r="H38" s="49" t="e">
        <f t="shared" si="21"/>
        <v>#VALUE!</v>
      </c>
      <c r="I38" s="49" t="e">
        <f t="shared" si="21"/>
        <v>#VALUE!</v>
      </c>
      <c r="J38" s="49" t="e">
        <f t="shared" si="21"/>
        <v>#VALUE!</v>
      </c>
      <c r="K38" s="49" t="e">
        <f t="shared" si="21"/>
        <v>#VALUE!</v>
      </c>
      <c r="L38" s="49" t="e">
        <f t="shared" si="21"/>
        <v>#VALUE!</v>
      </c>
      <c r="M38" s="49" t="e">
        <f t="shared" si="21"/>
        <v>#VALUE!</v>
      </c>
      <c r="N38" s="49" t="e">
        <f t="shared" si="21"/>
        <v>#VALUE!</v>
      </c>
      <c r="O38" s="49" t="e">
        <f t="shared" si="21"/>
        <v>#VALUE!</v>
      </c>
      <c r="P38" s="49" t="e">
        <f t="shared" si="21"/>
        <v>#VALUE!</v>
      </c>
      <c r="Q38" s="49" t="e">
        <f t="shared" si="21"/>
        <v>#VALUE!</v>
      </c>
      <c r="R38" s="49" t="e">
        <f t="shared" si="21"/>
        <v>#VALUE!</v>
      </c>
      <c r="S38" s="49" t="e">
        <f t="shared" si="21"/>
        <v>#VALUE!</v>
      </c>
      <c r="T38" s="49" t="e">
        <f t="shared" si="21"/>
        <v>#VALUE!</v>
      </c>
      <c r="U38" s="49" t="e">
        <f t="shared" si="21"/>
        <v>#VALUE!</v>
      </c>
      <c r="V38" s="49" t="e">
        <f t="shared" si="21"/>
        <v>#VALUE!</v>
      </c>
      <c r="W38" s="49" t="e">
        <f t="shared" si="21"/>
        <v>#VALUE!</v>
      </c>
      <c r="X38" s="49" t="e">
        <f t="shared" si="21"/>
        <v>#VALUE!</v>
      </c>
      <c r="Y38" s="49" t="e">
        <f t="shared" si="21"/>
        <v>#VALUE!</v>
      </c>
      <c r="Z38" s="49" t="e">
        <f t="shared" si="21"/>
        <v>#VALUE!</v>
      </c>
      <c r="AA38" s="49" t="e">
        <f t="shared" si="21"/>
        <v>#VALUE!</v>
      </c>
      <c r="AB38" s="49" t="e">
        <f t="shared" si="21"/>
        <v>#VALUE!</v>
      </c>
      <c r="AC38" s="49" t="e">
        <f t="shared" si="21"/>
        <v>#VALUE!</v>
      </c>
      <c r="AD38" s="49" t="e">
        <f t="shared" si="21"/>
        <v>#VALUE!</v>
      </c>
      <c r="AE38" s="49" t="e">
        <f t="shared" si="21"/>
        <v>#VALUE!</v>
      </c>
      <c r="AF38" s="49" t="e">
        <f t="shared" si="21"/>
        <v>#VALUE!</v>
      </c>
      <c r="AG38" s="49" t="e">
        <f t="shared" si="21"/>
        <v>#VALUE!</v>
      </c>
      <c r="AH38" s="49" t="e">
        <f t="shared" si="21"/>
        <v>#VALUE!</v>
      </c>
      <c r="AI38" s="49" t="e">
        <f t="shared" si="21"/>
        <v>#VALUE!</v>
      </c>
      <c r="AJ38" s="49" t="e">
        <f t="shared" si="21"/>
        <v>#VALUE!</v>
      </c>
      <c r="AK38" s="49" t="e">
        <f t="shared" si="21"/>
        <v>#VALUE!</v>
      </c>
      <c r="AL38" s="42"/>
      <c r="AM38" s="43">
        <v>22</v>
      </c>
      <c r="AN38">
        <v>949.91704335467216</v>
      </c>
      <c r="AO38">
        <v>155.50451412820001</v>
      </c>
      <c r="AP38">
        <v>1335.0235805824561</v>
      </c>
      <c r="AQ38">
        <v>400.03374118087879</v>
      </c>
      <c r="AR38">
        <v>151.97021266413773</v>
      </c>
      <c r="AS38">
        <v>1563.5087870023106</v>
      </c>
      <c r="AT38">
        <v>72.221048581492312</v>
      </c>
      <c r="AU38">
        <v>141.72465264108931</v>
      </c>
      <c r="AV38"/>
      <c r="AW38"/>
      <c r="FY38" s="211">
        <v>33</v>
      </c>
      <c r="FZ38">
        <v>122.85753124486213</v>
      </c>
      <c r="GA38">
        <v>73.349857506900648</v>
      </c>
      <c r="GB38">
        <v>25.748251013694659</v>
      </c>
      <c r="GC38">
        <v>7.6280954587822931</v>
      </c>
      <c r="GD38">
        <v>2.3450524276720497</v>
      </c>
      <c r="GE38">
        <v>3.2404548183571928</v>
      </c>
      <c r="GF38">
        <v>22.329749816675367</v>
      </c>
      <c r="GG38">
        <v>26.940646416287052</v>
      </c>
      <c r="GH38">
        <v>18.840295892405905</v>
      </c>
      <c r="GI38">
        <v>63.150548812639997</v>
      </c>
      <c r="GJ38"/>
      <c r="GK38"/>
      <c r="GL38"/>
      <c r="GM38"/>
    </row>
    <row r="39" spans="1:195" s="7" customFormat="1">
      <c r="A39" s="114">
        <v>6.0000000000000001E-3</v>
      </c>
      <c r="B39" s="57"/>
      <c r="C39" s="48" t="s">
        <v>40</v>
      </c>
      <c r="D39" s="49" t="e">
        <f t="shared" si="18"/>
        <v>#VALUE!</v>
      </c>
      <c r="E39" s="107" t="e">
        <f t="shared" si="19"/>
        <v>#VALUE!</v>
      </c>
      <c r="F39" s="18"/>
      <c r="G39" s="49" t="e">
        <f t="shared" si="20"/>
        <v>#VALUE!</v>
      </c>
      <c r="H39" s="49" t="e">
        <f t="shared" si="21"/>
        <v>#VALUE!</v>
      </c>
      <c r="I39" s="49" t="e">
        <f t="shared" si="21"/>
        <v>#VALUE!</v>
      </c>
      <c r="J39" s="49" t="e">
        <f t="shared" si="21"/>
        <v>#VALUE!</v>
      </c>
      <c r="K39" s="49" t="e">
        <f t="shared" si="21"/>
        <v>#VALUE!</v>
      </c>
      <c r="L39" s="49" t="e">
        <f t="shared" si="21"/>
        <v>#VALUE!</v>
      </c>
      <c r="M39" s="49" t="e">
        <f t="shared" si="21"/>
        <v>#VALUE!</v>
      </c>
      <c r="N39" s="49" t="e">
        <f t="shared" si="21"/>
        <v>#VALUE!</v>
      </c>
      <c r="O39" s="49" t="e">
        <f t="shared" si="21"/>
        <v>#VALUE!</v>
      </c>
      <c r="P39" s="49" t="e">
        <f t="shared" si="21"/>
        <v>#VALUE!</v>
      </c>
      <c r="Q39" s="49" t="e">
        <f t="shared" si="21"/>
        <v>#VALUE!</v>
      </c>
      <c r="R39" s="49" t="e">
        <f t="shared" si="21"/>
        <v>#VALUE!</v>
      </c>
      <c r="S39" s="49" t="e">
        <f t="shared" si="21"/>
        <v>#VALUE!</v>
      </c>
      <c r="T39" s="49" t="e">
        <f t="shared" si="21"/>
        <v>#VALUE!</v>
      </c>
      <c r="U39" s="49" t="e">
        <f t="shared" si="21"/>
        <v>#VALUE!</v>
      </c>
      <c r="V39" s="49" t="e">
        <f t="shared" si="21"/>
        <v>#VALUE!</v>
      </c>
      <c r="W39" s="49" t="e">
        <f t="shared" si="21"/>
        <v>#VALUE!</v>
      </c>
      <c r="X39" s="49" t="e">
        <f t="shared" si="21"/>
        <v>#VALUE!</v>
      </c>
      <c r="Y39" s="49" t="e">
        <f t="shared" si="21"/>
        <v>#VALUE!</v>
      </c>
      <c r="Z39" s="49" t="e">
        <f t="shared" si="21"/>
        <v>#VALUE!</v>
      </c>
      <c r="AA39" s="49" t="e">
        <f t="shared" si="21"/>
        <v>#VALUE!</v>
      </c>
      <c r="AB39" s="49" t="e">
        <f t="shared" si="21"/>
        <v>#VALUE!</v>
      </c>
      <c r="AC39" s="49" t="e">
        <f t="shared" si="21"/>
        <v>#VALUE!</v>
      </c>
      <c r="AD39" s="49" t="e">
        <f t="shared" si="21"/>
        <v>#VALUE!</v>
      </c>
      <c r="AE39" s="49" t="e">
        <f t="shared" si="21"/>
        <v>#VALUE!</v>
      </c>
      <c r="AF39" s="49" t="e">
        <f t="shared" si="21"/>
        <v>#VALUE!</v>
      </c>
      <c r="AG39" s="49" t="e">
        <f t="shared" si="21"/>
        <v>#VALUE!</v>
      </c>
      <c r="AH39" s="49" t="e">
        <f t="shared" si="21"/>
        <v>#VALUE!</v>
      </c>
      <c r="AI39" s="49" t="e">
        <f t="shared" si="21"/>
        <v>#VALUE!</v>
      </c>
      <c r="AJ39" s="49" t="e">
        <f t="shared" si="21"/>
        <v>#VALUE!</v>
      </c>
      <c r="AK39" s="49" t="e">
        <f t="shared" si="21"/>
        <v>#VALUE!</v>
      </c>
      <c r="AL39" s="42"/>
      <c r="AM39" s="43">
        <v>23</v>
      </c>
      <c r="AN39">
        <v>1390.2239483683079</v>
      </c>
      <c r="AO39">
        <v>220.88616931920933</v>
      </c>
      <c r="AP39">
        <v>1755.9031827286176</v>
      </c>
      <c r="AQ39">
        <v>470.52781132986928</v>
      </c>
      <c r="AR39">
        <v>211.61396196583556</v>
      </c>
      <c r="AS39">
        <v>2160.7559059212363</v>
      </c>
      <c r="AT39">
        <v>106.21956637361205</v>
      </c>
      <c r="AU39">
        <v>343.8502063531144</v>
      </c>
      <c r="AV39"/>
      <c r="AW39"/>
      <c r="FY39" s="211">
        <v>34</v>
      </c>
      <c r="FZ39">
        <v>92.151450313130866</v>
      </c>
      <c r="GA39">
        <v>87.143729398586544</v>
      </c>
      <c r="GB39">
        <v>39.599387548798404</v>
      </c>
      <c r="GC39">
        <v>10.612254755098357</v>
      </c>
      <c r="GD39">
        <v>3.7931434093654195</v>
      </c>
      <c r="GE39">
        <v>5.1669792379579311</v>
      </c>
      <c r="GF39">
        <v>2.8173603528270066</v>
      </c>
      <c r="GG39">
        <v>4.161443467261817</v>
      </c>
      <c r="GH39">
        <v>28.509763751360371</v>
      </c>
      <c r="GI39">
        <v>60.973205786209896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 t="e">
        <f t="shared" si="18"/>
        <v>#VALUE!</v>
      </c>
      <c r="E40" s="107" t="e">
        <f t="shared" si="19"/>
        <v>#VALUE!</v>
      </c>
      <c r="F40" s="18"/>
      <c r="G40" s="49" t="e">
        <f t="shared" si="20"/>
        <v>#VALUE!</v>
      </c>
      <c r="H40" s="49" t="e">
        <f t="shared" si="21"/>
        <v>#VALUE!</v>
      </c>
      <c r="I40" s="49" t="e">
        <f t="shared" si="21"/>
        <v>#VALUE!</v>
      </c>
      <c r="J40" s="49" t="e">
        <f t="shared" si="21"/>
        <v>#VALUE!</v>
      </c>
      <c r="K40" s="49" t="e">
        <f t="shared" si="21"/>
        <v>#VALUE!</v>
      </c>
      <c r="L40" s="49" t="e">
        <f t="shared" si="21"/>
        <v>#VALUE!</v>
      </c>
      <c r="M40" s="49" t="e">
        <f t="shared" si="21"/>
        <v>#VALUE!</v>
      </c>
      <c r="N40" s="49" t="e">
        <f t="shared" si="21"/>
        <v>#VALUE!</v>
      </c>
      <c r="O40" s="49" t="e">
        <f t="shared" si="21"/>
        <v>#VALUE!</v>
      </c>
      <c r="P40" s="49" t="e">
        <f t="shared" si="21"/>
        <v>#VALUE!</v>
      </c>
      <c r="Q40" s="49" t="e">
        <f t="shared" si="21"/>
        <v>#VALUE!</v>
      </c>
      <c r="R40" s="49" t="e">
        <f t="shared" si="21"/>
        <v>#VALUE!</v>
      </c>
      <c r="S40" s="49" t="e">
        <f t="shared" si="21"/>
        <v>#VALUE!</v>
      </c>
      <c r="T40" s="49" t="e">
        <f t="shared" si="21"/>
        <v>#VALUE!</v>
      </c>
      <c r="U40" s="49" t="e">
        <f t="shared" si="21"/>
        <v>#VALUE!</v>
      </c>
      <c r="V40" s="49" t="e">
        <f t="shared" si="21"/>
        <v>#VALUE!</v>
      </c>
      <c r="W40" s="49" t="e">
        <f t="shared" si="21"/>
        <v>#VALUE!</v>
      </c>
      <c r="X40" s="49" t="e">
        <f t="shared" si="21"/>
        <v>#VALUE!</v>
      </c>
      <c r="Y40" s="49" t="e">
        <f t="shared" si="21"/>
        <v>#VALUE!</v>
      </c>
      <c r="Z40" s="49" t="e">
        <f t="shared" si="21"/>
        <v>#VALUE!</v>
      </c>
      <c r="AA40" s="49" t="e">
        <f t="shared" si="21"/>
        <v>#VALUE!</v>
      </c>
      <c r="AB40" s="49" t="e">
        <f t="shared" si="21"/>
        <v>#VALUE!</v>
      </c>
      <c r="AC40" s="49" t="e">
        <f t="shared" si="21"/>
        <v>#VALUE!</v>
      </c>
      <c r="AD40" s="49" t="e">
        <f t="shared" si="21"/>
        <v>#VALUE!</v>
      </c>
      <c r="AE40" s="49" t="e">
        <f t="shared" si="21"/>
        <v>#VALUE!</v>
      </c>
      <c r="AF40" s="49" t="e">
        <f t="shared" si="21"/>
        <v>#VALUE!</v>
      </c>
      <c r="AG40" s="49" t="e">
        <f t="shared" si="21"/>
        <v>#VALUE!</v>
      </c>
      <c r="AH40" s="49" t="e">
        <f t="shared" si="21"/>
        <v>#VALUE!</v>
      </c>
      <c r="AI40" s="49" t="e">
        <f t="shared" si="21"/>
        <v>#VALUE!</v>
      </c>
      <c r="AJ40" s="49" t="e">
        <f t="shared" si="21"/>
        <v>#VALUE!</v>
      </c>
      <c r="AK40" s="49" t="e">
        <f t="shared" si="21"/>
        <v>#VALUE!</v>
      </c>
      <c r="AL40" s="42"/>
      <c r="AM40" s="43">
        <v>24</v>
      </c>
      <c r="AN40">
        <v>1076.429315283402</v>
      </c>
      <c r="AO40">
        <v>155.45262440495219</v>
      </c>
      <c r="AP40">
        <v>1271.7387774591543</v>
      </c>
      <c r="AQ40">
        <v>398.45781273119485</v>
      </c>
      <c r="AR40">
        <v>152.54357206548417</v>
      </c>
      <c r="AS40">
        <v>1666.4783985984261</v>
      </c>
      <c r="AT40">
        <v>72.768486608355104</v>
      </c>
      <c r="AU40">
        <v>149.89879926767119</v>
      </c>
      <c r="AV40"/>
      <c r="AW40"/>
      <c r="FY40" s="211">
        <v>35</v>
      </c>
      <c r="FZ40">
        <v>124.54628244710669</v>
      </c>
      <c r="GA40">
        <v>121.90609628367125</v>
      </c>
      <c r="GB40">
        <v>35.272671528474241</v>
      </c>
      <c r="GC40">
        <v>9.721876971187779</v>
      </c>
      <c r="GD40">
        <v>3.326799240062984</v>
      </c>
      <c r="GE40">
        <v>4.4998883640609586</v>
      </c>
      <c r="GF40">
        <v>27.911693104976479</v>
      </c>
      <c r="GG40">
        <v>34.504020267591841</v>
      </c>
      <c r="GH40">
        <v>24.04791481944331</v>
      </c>
      <c r="GI40">
        <v>82.692372749741835</v>
      </c>
      <c r="GJ40"/>
      <c r="GK40"/>
      <c r="GL40"/>
      <c r="GM40"/>
    </row>
    <row r="41" spans="1:195" s="7" customFormat="1">
      <c r="A41" s="114">
        <v>2.77</v>
      </c>
      <c r="B41" s="57"/>
      <c r="C41" s="48" t="s">
        <v>42</v>
      </c>
      <c r="D41" s="49" t="e">
        <f t="shared" si="18"/>
        <v>#VALUE!</v>
      </c>
      <c r="E41" s="107" t="e">
        <f t="shared" si="19"/>
        <v>#VALUE!</v>
      </c>
      <c r="F41" s="18"/>
      <c r="G41" s="49" t="e">
        <f t="shared" si="20"/>
        <v>#VALUE!</v>
      </c>
      <c r="H41" s="49" t="e">
        <f t="shared" ref="H41:AK43" si="22">H25*H$36</f>
        <v>#VALUE!</v>
      </c>
      <c r="I41" s="49" t="e">
        <f t="shared" si="22"/>
        <v>#VALUE!</v>
      </c>
      <c r="J41" s="49" t="e">
        <f t="shared" si="22"/>
        <v>#VALUE!</v>
      </c>
      <c r="K41" s="49" t="e">
        <f t="shared" si="22"/>
        <v>#VALUE!</v>
      </c>
      <c r="L41" s="49" t="e">
        <f t="shared" si="22"/>
        <v>#VALUE!</v>
      </c>
      <c r="M41" s="49" t="e">
        <f t="shared" si="22"/>
        <v>#VALUE!</v>
      </c>
      <c r="N41" s="49" t="e">
        <f t="shared" si="22"/>
        <v>#VALUE!</v>
      </c>
      <c r="O41" s="49" t="e">
        <f t="shared" si="22"/>
        <v>#VALUE!</v>
      </c>
      <c r="P41" s="49" t="e">
        <f t="shared" si="22"/>
        <v>#VALUE!</v>
      </c>
      <c r="Q41" s="49" t="e">
        <f t="shared" si="22"/>
        <v>#VALUE!</v>
      </c>
      <c r="R41" s="49" t="e">
        <f t="shared" si="22"/>
        <v>#VALUE!</v>
      </c>
      <c r="S41" s="49" t="e">
        <f t="shared" si="22"/>
        <v>#VALUE!</v>
      </c>
      <c r="T41" s="49" t="e">
        <f t="shared" si="22"/>
        <v>#VALUE!</v>
      </c>
      <c r="U41" s="49" t="e">
        <f t="shared" si="22"/>
        <v>#VALUE!</v>
      </c>
      <c r="V41" s="49" t="e">
        <f t="shared" si="22"/>
        <v>#VALUE!</v>
      </c>
      <c r="W41" s="49" t="e">
        <f t="shared" si="22"/>
        <v>#VALUE!</v>
      </c>
      <c r="X41" s="49" t="e">
        <f t="shared" si="22"/>
        <v>#VALUE!</v>
      </c>
      <c r="Y41" s="49" t="e">
        <f t="shared" si="22"/>
        <v>#VALUE!</v>
      </c>
      <c r="Z41" s="49" t="e">
        <f t="shared" si="22"/>
        <v>#VALUE!</v>
      </c>
      <c r="AA41" s="49" t="e">
        <f t="shared" si="22"/>
        <v>#VALUE!</v>
      </c>
      <c r="AB41" s="49" t="e">
        <f t="shared" si="22"/>
        <v>#VALUE!</v>
      </c>
      <c r="AC41" s="49" t="e">
        <f t="shared" si="22"/>
        <v>#VALUE!</v>
      </c>
      <c r="AD41" s="49" t="e">
        <f t="shared" si="22"/>
        <v>#VALUE!</v>
      </c>
      <c r="AE41" s="49" t="e">
        <f t="shared" si="22"/>
        <v>#VALUE!</v>
      </c>
      <c r="AF41" s="49" t="e">
        <f t="shared" si="22"/>
        <v>#VALUE!</v>
      </c>
      <c r="AG41" s="49" t="e">
        <f t="shared" si="22"/>
        <v>#VALUE!</v>
      </c>
      <c r="AH41" s="49" t="e">
        <f t="shared" si="22"/>
        <v>#VALUE!</v>
      </c>
      <c r="AI41" s="49" t="e">
        <f t="shared" si="22"/>
        <v>#VALUE!</v>
      </c>
      <c r="AJ41" s="49" t="e">
        <f t="shared" si="22"/>
        <v>#VALUE!</v>
      </c>
      <c r="AK41" s="49" t="e">
        <f t="shared" si="22"/>
        <v>#VALUE!</v>
      </c>
      <c r="AL41" s="42"/>
      <c r="AM41" s="43">
        <v>25</v>
      </c>
      <c r="AN41">
        <v>1187.4960403325958</v>
      </c>
      <c r="AO41">
        <v>165.59351530043034</v>
      </c>
      <c r="AP41">
        <v>1343.4047223368261</v>
      </c>
      <c r="AQ41">
        <v>529.6660303849942</v>
      </c>
      <c r="AR41">
        <v>160.90095760036803</v>
      </c>
      <c r="AS41">
        <v>1824.2262115706724</v>
      </c>
      <c r="AT41">
        <v>81.363542324889195</v>
      </c>
      <c r="AU41">
        <v>116.00517891647957</v>
      </c>
      <c r="AV41"/>
      <c r="AW41"/>
      <c r="FY41" s="211">
        <v>36</v>
      </c>
      <c r="FZ41">
        <v>99.355233026695174</v>
      </c>
      <c r="GA41">
        <v>103.32052879967497</v>
      </c>
      <c r="GB41">
        <v>29.634156263526943</v>
      </c>
      <c r="GC41">
        <v>7.0048996760570521</v>
      </c>
      <c r="GD41">
        <v>2.8551393998164132</v>
      </c>
      <c r="GE41">
        <v>5.7162364373360335</v>
      </c>
      <c r="GF41">
        <v>36.265980984645346</v>
      </c>
      <c r="GG41">
        <v>41.689244514884848</v>
      </c>
      <c r="GH41">
        <v>24.609071478670696</v>
      </c>
      <c r="GI41">
        <v>70.449497756602369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 t="e">
        <f t="shared" si="18"/>
        <v>#VALUE!</v>
      </c>
      <c r="E42" s="107" t="e">
        <f t="shared" si="19"/>
        <v>#VALUE!</v>
      </c>
      <c r="F42" s="18"/>
      <c r="G42" s="49" t="e">
        <f t="shared" si="20"/>
        <v>#VALUE!</v>
      </c>
      <c r="H42" s="49" t="e">
        <f t="shared" si="22"/>
        <v>#VALUE!</v>
      </c>
      <c r="I42" s="49" t="e">
        <f t="shared" si="22"/>
        <v>#VALUE!</v>
      </c>
      <c r="J42" s="49" t="e">
        <f t="shared" si="22"/>
        <v>#VALUE!</v>
      </c>
      <c r="K42" s="49" t="e">
        <f t="shared" si="22"/>
        <v>#VALUE!</v>
      </c>
      <c r="L42" s="49" t="e">
        <f t="shared" si="22"/>
        <v>#VALUE!</v>
      </c>
      <c r="M42" s="49" t="e">
        <f t="shared" si="22"/>
        <v>#VALUE!</v>
      </c>
      <c r="N42" s="49" t="e">
        <f t="shared" si="22"/>
        <v>#VALUE!</v>
      </c>
      <c r="O42" s="49" t="e">
        <f t="shared" si="22"/>
        <v>#VALUE!</v>
      </c>
      <c r="P42" s="49" t="e">
        <f t="shared" si="22"/>
        <v>#VALUE!</v>
      </c>
      <c r="Q42" s="49" t="e">
        <f t="shared" si="22"/>
        <v>#VALUE!</v>
      </c>
      <c r="R42" s="49" t="e">
        <f t="shared" si="22"/>
        <v>#VALUE!</v>
      </c>
      <c r="S42" s="49" t="e">
        <f t="shared" si="22"/>
        <v>#VALUE!</v>
      </c>
      <c r="T42" s="49" t="e">
        <f t="shared" si="22"/>
        <v>#VALUE!</v>
      </c>
      <c r="U42" s="49" t="e">
        <f t="shared" si="22"/>
        <v>#VALUE!</v>
      </c>
      <c r="V42" s="49" t="e">
        <f t="shared" si="22"/>
        <v>#VALUE!</v>
      </c>
      <c r="W42" s="49" t="e">
        <f t="shared" si="22"/>
        <v>#VALUE!</v>
      </c>
      <c r="X42" s="49" t="e">
        <f t="shared" si="22"/>
        <v>#VALUE!</v>
      </c>
      <c r="Y42" s="49" t="e">
        <f t="shared" si="22"/>
        <v>#VALUE!</v>
      </c>
      <c r="Z42" s="49" t="e">
        <f t="shared" si="22"/>
        <v>#VALUE!</v>
      </c>
      <c r="AA42" s="49" t="e">
        <f t="shared" si="22"/>
        <v>#VALUE!</v>
      </c>
      <c r="AB42" s="49" t="e">
        <f t="shared" si="22"/>
        <v>#VALUE!</v>
      </c>
      <c r="AC42" s="49" t="e">
        <f t="shared" si="22"/>
        <v>#VALUE!</v>
      </c>
      <c r="AD42" s="49" t="e">
        <f t="shared" si="22"/>
        <v>#VALUE!</v>
      </c>
      <c r="AE42" s="49" t="e">
        <f t="shared" si="22"/>
        <v>#VALUE!</v>
      </c>
      <c r="AF42" s="49" t="e">
        <f t="shared" si="22"/>
        <v>#VALUE!</v>
      </c>
      <c r="AG42" s="49" t="e">
        <f t="shared" si="22"/>
        <v>#VALUE!</v>
      </c>
      <c r="AH42" s="49" t="e">
        <f t="shared" si="22"/>
        <v>#VALUE!</v>
      </c>
      <c r="AI42" s="49" t="e">
        <f t="shared" si="22"/>
        <v>#VALUE!</v>
      </c>
      <c r="AJ42" s="49" t="e">
        <f t="shared" si="22"/>
        <v>#VALUE!</v>
      </c>
      <c r="AK42" s="49" t="e">
        <f t="shared" si="22"/>
        <v>#VALUE!</v>
      </c>
      <c r="AL42" s="42"/>
      <c r="AM42" s="43">
        <v>26</v>
      </c>
      <c r="AN42">
        <v>1025.5198157723619</v>
      </c>
      <c r="AO42">
        <v>151.00799487465403</v>
      </c>
      <c r="AP42">
        <v>1293.4906562907809</v>
      </c>
      <c r="AQ42">
        <v>391.50584944712989</v>
      </c>
      <c r="AR42">
        <v>147.906480547504</v>
      </c>
      <c r="AS42">
        <v>1688.916366246583</v>
      </c>
      <c r="AT42">
        <v>77.269393849132811</v>
      </c>
      <c r="AU42">
        <v>276.08654051676672</v>
      </c>
      <c r="AV42"/>
      <c r="AW42"/>
      <c r="FY42" s="211">
        <v>37</v>
      </c>
      <c r="FZ42">
        <v>112.22030883035825</v>
      </c>
      <c r="GA42">
        <v>83.767664961588764</v>
      </c>
      <c r="GB42">
        <v>30.820345993861181</v>
      </c>
      <c r="GC42">
        <v>10.028562239967757</v>
      </c>
      <c r="GD42">
        <v>4.0442506323167269</v>
      </c>
      <c r="GE42">
        <v>6.1268529451496665</v>
      </c>
      <c r="GF42">
        <v>18.953352730794627</v>
      </c>
      <c r="GG42">
        <v>25.352390323293527</v>
      </c>
      <c r="GH42">
        <v>24.108714103738382</v>
      </c>
      <c r="GI42">
        <v>80.308438432785564</v>
      </c>
      <c r="GJ42"/>
      <c r="GK42"/>
      <c r="GL42"/>
      <c r="GM42"/>
    </row>
    <row r="43" spans="1:195" s="7" customFormat="1">
      <c r="A43" s="95" t="s">
        <v>150</v>
      </c>
      <c r="B43" s="1"/>
      <c r="C43" s="48" t="s">
        <v>119</v>
      </c>
      <c r="D43" s="49" t="e">
        <f>IF(SUM(G43:AK43)&lt;0.0001, 0, SUM(G43:AK43))</f>
        <v>#VALUE!</v>
      </c>
      <c r="E43" s="107" t="e">
        <f t="shared" si="19"/>
        <v>#VALUE!</v>
      </c>
      <c r="F43" s="18"/>
      <c r="G43" s="49" t="e">
        <f t="shared" si="20"/>
        <v>#VALUE!</v>
      </c>
      <c r="H43" s="49" t="e">
        <f t="shared" si="22"/>
        <v>#VALUE!</v>
      </c>
      <c r="I43" s="49" t="e">
        <f t="shared" si="22"/>
        <v>#VALUE!</v>
      </c>
      <c r="J43" s="49" t="e">
        <f t="shared" si="22"/>
        <v>#VALUE!</v>
      </c>
      <c r="K43" s="49" t="e">
        <f t="shared" si="22"/>
        <v>#VALUE!</v>
      </c>
      <c r="L43" s="49" t="e">
        <f t="shared" si="22"/>
        <v>#VALUE!</v>
      </c>
      <c r="M43" s="49" t="e">
        <f t="shared" si="22"/>
        <v>#VALUE!</v>
      </c>
      <c r="N43" s="49" t="e">
        <f t="shared" si="22"/>
        <v>#VALUE!</v>
      </c>
      <c r="O43" s="49" t="e">
        <f t="shared" si="22"/>
        <v>#VALUE!</v>
      </c>
      <c r="P43" s="49" t="e">
        <f t="shared" si="22"/>
        <v>#VALUE!</v>
      </c>
      <c r="Q43" s="49" t="e">
        <f t="shared" si="22"/>
        <v>#VALUE!</v>
      </c>
      <c r="R43" s="49" t="e">
        <f t="shared" si="22"/>
        <v>#VALUE!</v>
      </c>
      <c r="S43" s="49" t="e">
        <f t="shared" si="22"/>
        <v>#VALUE!</v>
      </c>
      <c r="T43" s="49" t="e">
        <f t="shared" si="22"/>
        <v>#VALUE!</v>
      </c>
      <c r="U43" s="49" t="e">
        <f t="shared" si="22"/>
        <v>#VALUE!</v>
      </c>
      <c r="V43" s="49" t="e">
        <f t="shared" si="22"/>
        <v>#VALUE!</v>
      </c>
      <c r="W43" s="49" t="e">
        <f t="shared" si="22"/>
        <v>#VALUE!</v>
      </c>
      <c r="X43" s="49" t="e">
        <f t="shared" si="22"/>
        <v>#VALUE!</v>
      </c>
      <c r="Y43" s="49" t="e">
        <f t="shared" si="22"/>
        <v>#VALUE!</v>
      </c>
      <c r="Z43" s="49" t="e">
        <f t="shared" si="22"/>
        <v>#VALUE!</v>
      </c>
      <c r="AA43" s="49" t="e">
        <f t="shared" si="22"/>
        <v>#VALUE!</v>
      </c>
      <c r="AB43" s="49" t="e">
        <f t="shared" si="22"/>
        <v>#VALUE!</v>
      </c>
      <c r="AC43" s="49" t="e">
        <f t="shared" si="22"/>
        <v>#VALUE!</v>
      </c>
      <c r="AD43" s="49" t="e">
        <f t="shared" si="22"/>
        <v>#VALUE!</v>
      </c>
      <c r="AE43" s="49" t="e">
        <f t="shared" si="22"/>
        <v>#VALUE!</v>
      </c>
      <c r="AF43" s="49" t="e">
        <f t="shared" si="22"/>
        <v>#VALUE!</v>
      </c>
      <c r="AG43" s="49" t="e">
        <f t="shared" si="22"/>
        <v>#VALUE!</v>
      </c>
      <c r="AH43" s="49" t="e">
        <f t="shared" si="22"/>
        <v>#VALUE!</v>
      </c>
      <c r="AI43" s="49" t="e">
        <f t="shared" si="22"/>
        <v>#VALUE!</v>
      </c>
      <c r="AJ43" s="49" t="e">
        <f t="shared" si="22"/>
        <v>#VALUE!</v>
      </c>
      <c r="AK43" s="49" t="e">
        <f t="shared" si="22"/>
        <v>#VALUE!</v>
      </c>
      <c r="AL43" s="42"/>
      <c r="AM43" s="43">
        <v>27</v>
      </c>
      <c r="AN43">
        <v>1253.9456046772091</v>
      </c>
      <c r="AO43">
        <v>169.96736736618334</v>
      </c>
      <c r="AP43">
        <v>1422.8380947314761</v>
      </c>
      <c r="AQ43">
        <v>386.81820644199513</v>
      </c>
      <c r="AR43">
        <v>165.90806204820964</v>
      </c>
      <c r="AS43">
        <v>1903.1925968409605</v>
      </c>
      <c r="AT43">
        <v>75.477391313838396</v>
      </c>
      <c r="AU43">
        <v>455.6034164151024</v>
      </c>
      <c r="AV43"/>
      <c r="AW43"/>
      <c r="FY43" s="211">
        <v>38</v>
      </c>
      <c r="FZ43">
        <v>114.05631499280442</v>
      </c>
      <c r="GA43">
        <v>130.56472136618737</v>
      </c>
      <c r="GB43">
        <v>29.598870016414551</v>
      </c>
      <c r="GC43">
        <v>6.3264543654319114</v>
      </c>
      <c r="GD43">
        <v>3.5697829141049464</v>
      </c>
      <c r="GE43">
        <v>7.4634384542586414</v>
      </c>
      <c r="GF43">
        <v>8.8181434024240435</v>
      </c>
      <c r="GG43">
        <v>8.3252268034131642</v>
      </c>
      <c r="GH43">
        <v>18.948509714699398</v>
      </c>
      <c r="GI43">
        <v>64.629869384527296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 t="e">
        <f>IF(SUM(G44:AK44)&lt;0.0001, 0, SUM(G44:AK44))</f>
        <v>#VALUE!</v>
      </c>
      <c r="E44" s="107" t="e">
        <f t="shared" si="19"/>
        <v>#VALUE!</v>
      </c>
      <c r="F44" s="18"/>
      <c r="G44" s="49" t="e">
        <f>G28*G36</f>
        <v>#VALUE!</v>
      </c>
      <c r="H44" s="49" t="e">
        <f t="shared" ref="H44:AK44" si="23">H28*H36</f>
        <v>#VALUE!</v>
      </c>
      <c r="I44" s="49" t="e">
        <f t="shared" si="23"/>
        <v>#VALUE!</v>
      </c>
      <c r="J44" s="49" t="e">
        <f t="shared" si="23"/>
        <v>#VALUE!</v>
      </c>
      <c r="K44" s="49" t="e">
        <f t="shared" si="23"/>
        <v>#VALUE!</v>
      </c>
      <c r="L44" s="49" t="e">
        <f t="shared" si="23"/>
        <v>#VALUE!</v>
      </c>
      <c r="M44" s="49" t="e">
        <f t="shared" si="23"/>
        <v>#VALUE!</v>
      </c>
      <c r="N44" s="49" t="e">
        <f t="shared" si="23"/>
        <v>#VALUE!</v>
      </c>
      <c r="O44" s="49" t="e">
        <f t="shared" si="23"/>
        <v>#VALUE!</v>
      </c>
      <c r="P44" s="49" t="e">
        <f t="shared" si="23"/>
        <v>#VALUE!</v>
      </c>
      <c r="Q44" s="49" t="e">
        <f t="shared" si="23"/>
        <v>#VALUE!</v>
      </c>
      <c r="R44" s="49" t="e">
        <f t="shared" si="23"/>
        <v>#VALUE!</v>
      </c>
      <c r="S44" s="49" t="e">
        <f t="shared" si="23"/>
        <v>#VALUE!</v>
      </c>
      <c r="T44" s="49" t="e">
        <f t="shared" si="23"/>
        <v>#VALUE!</v>
      </c>
      <c r="U44" s="49" t="e">
        <f t="shared" si="23"/>
        <v>#VALUE!</v>
      </c>
      <c r="V44" s="49" t="e">
        <f t="shared" si="23"/>
        <v>#VALUE!</v>
      </c>
      <c r="W44" s="49" t="e">
        <f t="shared" si="23"/>
        <v>#VALUE!</v>
      </c>
      <c r="X44" s="49" t="e">
        <f t="shared" si="23"/>
        <v>#VALUE!</v>
      </c>
      <c r="Y44" s="49" t="e">
        <f t="shared" si="23"/>
        <v>#VALUE!</v>
      </c>
      <c r="Z44" s="49" t="e">
        <f t="shared" si="23"/>
        <v>#VALUE!</v>
      </c>
      <c r="AA44" s="49" t="e">
        <f t="shared" si="23"/>
        <v>#VALUE!</v>
      </c>
      <c r="AB44" s="49" t="e">
        <f t="shared" si="23"/>
        <v>#VALUE!</v>
      </c>
      <c r="AC44" s="49" t="e">
        <f t="shared" si="23"/>
        <v>#VALUE!</v>
      </c>
      <c r="AD44" s="49" t="e">
        <f t="shared" si="23"/>
        <v>#VALUE!</v>
      </c>
      <c r="AE44" s="49" t="e">
        <f t="shared" si="23"/>
        <v>#VALUE!</v>
      </c>
      <c r="AF44" s="49" t="e">
        <f t="shared" si="23"/>
        <v>#VALUE!</v>
      </c>
      <c r="AG44" s="49" t="e">
        <f t="shared" si="23"/>
        <v>#VALUE!</v>
      </c>
      <c r="AH44" s="49" t="e">
        <f t="shared" si="23"/>
        <v>#VALUE!</v>
      </c>
      <c r="AI44" s="49" t="e">
        <f t="shared" si="23"/>
        <v>#VALUE!</v>
      </c>
      <c r="AJ44" s="49" t="e">
        <f t="shared" si="23"/>
        <v>#VALUE!</v>
      </c>
      <c r="AK44" s="49" t="e">
        <f t="shared" si="23"/>
        <v>#VALUE!</v>
      </c>
      <c r="AL44" s="42"/>
      <c r="AM44" s="43">
        <v>28</v>
      </c>
      <c r="AN44">
        <v>1205.9116730911799</v>
      </c>
      <c r="AO44">
        <v>159.21852867026172</v>
      </c>
      <c r="AP44">
        <v>1270.9682763461897</v>
      </c>
      <c r="AQ44">
        <v>410.55053705011159</v>
      </c>
      <c r="AR44">
        <v>154.11425019152659</v>
      </c>
      <c r="AS44">
        <v>1649.0341862402652</v>
      </c>
      <c r="AT44">
        <v>71.252746953144722</v>
      </c>
      <c r="AU44">
        <v>251.53519435505689</v>
      </c>
      <c r="AV44"/>
      <c r="AW44"/>
      <c r="FY44" s="211">
        <v>39</v>
      </c>
      <c r="FZ44">
        <v>122.031674467047</v>
      </c>
      <c r="GA44">
        <v>48.116506462552614</v>
      </c>
      <c r="GB44">
        <v>23.647737050849422</v>
      </c>
      <c r="GC44">
        <v>8.4877470437663458</v>
      </c>
      <c r="GD44">
        <v>4.7741507767980913</v>
      </c>
      <c r="GE44">
        <v>8.4810949631761119</v>
      </c>
      <c r="GF44">
        <v>24.75689239332964</v>
      </c>
      <c r="GG44">
        <v>32.867850592045578</v>
      </c>
      <c r="GH44">
        <v>21.653542316531254</v>
      </c>
      <c r="GI44">
        <v>66.314860338115238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 t="e">
        <f>IF(SUM(G45:AK45)&lt;0.0001, 0, SUM(G45:AK45))</f>
        <v>#VALUE!</v>
      </c>
      <c r="E45" s="107" t="e">
        <f t="shared" si="19"/>
        <v>#VALUE!</v>
      </c>
      <c r="F45" s="18"/>
      <c r="G45" s="49" t="e">
        <f>G29*G36</f>
        <v>#VALUE!</v>
      </c>
      <c r="H45" s="49" t="e">
        <f t="shared" ref="H45:AK45" si="24">H29*H36</f>
        <v>#VALUE!</v>
      </c>
      <c r="I45" s="49" t="e">
        <f t="shared" si="24"/>
        <v>#VALUE!</v>
      </c>
      <c r="J45" s="49" t="e">
        <f t="shared" si="24"/>
        <v>#VALUE!</v>
      </c>
      <c r="K45" s="49" t="e">
        <f t="shared" si="24"/>
        <v>#VALUE!</v>
      </c>
      <c r="L45" s="49" t="e">
        <f t="shared" si="24"/>
        <v>#VALUE!</v>
      </c>
      <c r="M45" s="49" t="e">
        <f t="shared" si="24"/>
        <v>#VALUE!</v>
      </c>
      <c r="N45" s="49" t="e">
        <f t="shared" si="24"/>
        <v>#VALUE!</v>
      </c>
      <c r="O45" s="49" t="e">
        <f t="shared" si="24"/>
        <v>#VALUE!</v>
      </c>
      <c r="P45" s="49" t="e">
        <f t="shared" si="24"/>
        <v>#VALUE!</v>
      </c>
      <c r="Q45" s="49" t="e">
        <f t="shared" si="24"/>
        <v>#VALUE!</v>
      </c>
      <c r="R45" s="49" t="e">
        <f t="shared" si="24"/>
        <v>#VALUE!</v>
      </c>
      <c r="S45" s="49" t="e">
        <f t="shared" si="24"/>
        <v>#VALUE!</v>
      </c>
      <c r="T45" s="49" t="e">
        <f t="shared" si="24"/>
        <v>#VALUE!</v>
      </c>
      <c r="U45" s="49" t="e">
        <f t="shared" si="24"/>
        <v>#VALUE!</v>
      </c>
      <c r="V45" s="49" t="e">
        <f t="shared" si="24"/>
        <v>#VALUE!</v>
      </c>
      <c r="W45" s="49" t="e">
        <f t="shared" si="24"/>
        <v>#VALUE!</v>
      </c>
      <c r="X45" s="49" t="e">
        <f t="shared" si="24"/>
        <v>#VALUE!</v>
      </c>
      <c r="Y45" s="49" t="e">
        <f t="shared" si="24"/>
        <v>#VALUE!</v>
      </c>
      <c r="Z45" s="49" t="e">
        <f t="shared" si="24"/>
        <v>#VALUE!</v>
      </c>
      <c r="AA45" s="49" t="e">
        <f t="shared" si="24"/>
        <v>#VALUE!</v>
      </c>
      <c r="AB45" s="49" t="e">
        <f t="shared" si="24"/>
        <v>#VALUE!</v>
      </c>
      <c r="AC45" s="49" t="e">
        <f t="shared" si="24"/>
        <v>#VALUE!</v>
      </c>
      <c r="AD45" s="49" t="e">
        <f t="shared" si="24"/>
        <v>#VALUE!</v>
      </c>
      <c r="AE45" s="49" t="e">
        <f t="shared" si="24"/>
        <v>#VALUE!</v>
      </c>
      <c r="AF45" s="49" t="e">
        <f t="shared" si="24"/>
        <v>#VALUE!</v>
      </c>
      <c r="AG45" s="49" t="e">
        <f t="shared" si="24"/>
        <v>#VALUE!</v>
      </c>
      <c r="AH45" s="49" t="e">
        <f t="shared" si="24"/>
        <v>#VALUE!</v>
      </c>
      <c r="AI45" s="49" t="e">
        <f t="shared" si="24"/>
        <v>#VALUE!</v>
      </c>
      <c r="AJ45" s="49" t="e">
        <f t="shared" si="24"/>
        <v>#VALUE!</v>
      </c>
      <c r="AK45" s="49" t="e">
        <f t="shared" si="24"/>
        <v>#VALUE!</v>
      </c>
      <c r="AL45" s="42"/>
      <c r="AM45" s="43">
        <v>29</v>
      </c>
      <c r="AN45">
        <v>1427.6738860300841</v>
      </c>
      <c r="AO45">
        <v>152.79126755268999</v>
      </c>
      <c r="AP45">
        <v>1339.2231561424776</v>
      </c>
      <c r="AQ45">
        <v>548.98383108902885</v>
      </c>
      <c r="AR45">
        <v>145.76760822691486</v>
      </c>
      <c r="AS45">
        <v>1637.2830624382752</v>
      </c>
      <c r="AT45">
        <v>66.737324946483781</v>
      </c>
      <c r="AU45">
        <v>225.42796958533532</v>
      </c>
      <c r="AV45"/>
      <c r="AW45"/>
      <c r="FY45" s="211">
        <v>40</v>
      </c>
      <c r="FZ45">
        <v>107.43116133411338</v>
      </c>
      <c r="GA45">
        <v>84.880619829637482</v>
      </c>
      <c r="GB45">
        <v>36.55442441013286</v>
      </c>
      <c r="GC45">
        <v>9.9056564225024299</v>
      </c>
      <c r="GD45">
        <v>4.1040418884969494</v>
      </c>
      <c r="GE45">
        <v>9.1289082474969447</v>
      </c>
      <c r="GF45">
        <v>47.136883756056903</v>
      </c>
      <c r="GG45">
        <v>56.494470945345491</v>
      </c>
      <c r="GH45">
        <v>15.754842250799198</v>
      </c>
      <c r="GI45">
        <v>81.781970254917127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 t="e">
        <f>IF(SUM(G46:AK46)&lt;0.0001, 0, SUM(G46:AK46))</f>
        <v>#VALUE!</v>
      </c>
      <c r="E46" s="107" t="e">
        <f t="shared" si="19"/>
        <v>#VALUE!</v>
      </c>
      <c r="F46" s="18"/>
      <c r="G46" s="49" t="e">
        <f>G30*G36</f>
        <v>#VALUE!</v>
      </c>
      <c r="H46" s="49" t="e">
        <f t="shared" ref="H46:AK46" si="25">H30*H36</f>
        <v>#VALUE!</v>
      </c>
      <c r="I46" s="49" t="e">
        <f t="shared" si="25"/>
        <v>#VALUE!</v>
      </c>
      <c r="J46" s="49" t="e">
        <f t="shared" si="25"/>
        <v>#VALUE!</v>
      </c>
      <c r="K46" s="49" t="e">
        <f t="shared" si="25"/>
        <v>#VALUE!</v>
      </c>
      <c r="L46" s="49" t="e">
        <f t="shared" si="25"/>
        <v>#VALUE!</v>
      </c>
      <c r="M46" s="49" t="e">
        <f t="shared" si="25"/>
        <v>#VALUE!</v>
      </c>
      <c r="N46" s="49" t="e">
        <f t="shared" si="25"/>
        <v>#VALUE!</v>
      </c>
      <c r="O46" s="49" t="e">
        <f t="shared" si="25"/>
        <v>#VALUE!</v>
      </c>
      <c r="P46" s="49" t="e">
        <f t="shared" si="25"/>
        <v>#VALUE!</v>
      </c>
      <c r="Q46" s="49" t="e">
        <f t="shared" si="25"/>
        <v>#VALUE!</v>
      </c>
      <c r="R46" s="49" t="e">
        <f t="shared" si="25"/>
        <v>#VALUE!</v>
      </c>
      <c r="S46" s="49" t="e">
        <f t="shared" si="25"/>
        <v>#VALUE!</v>
      </c>
      <c r="T46" s="49" t="e">
        <f t="shared" si="25"/>
        <v>#VALUE!</v>
      </c>
      <c r="U46" s="49" t="e">
        <f t="shared" si="25"/>
        <v>#VALUE!</v>
      </c>
      <c r="V46" s="49" t="e">
        <f t="shared" si="25"/>
        <v>#VALUE!</v>
      </c>
      <c r="W46" s="49" t="e">
        <f t="shared" si="25"/>
        <v>#VALUE!</v>
      </c>
      <c r="X46" s="49" t="e">
        <f t="shared" si="25"/>
        <v>#VALUE!</v>
      </c>
      <c r="Y46" s="49" t="e">
        <f t="shared" si="25"/>
        <v>#VALUE!</v>
      </c>
      <c r="Z46" s="49" t="e">
        <f t="shared" si="25"/>
        <v>#VALUE!</v>
      </c>
      <c r="AA46" s="49" t="e">
        <f t="shared" si="25"/>
        <v>#VALUE!</v>
      </c>
      <c r="AB46" s="49" t="e">
        <f t="shared" si="25"/>
        <v>#VALUE!</v>
      </c>
      <c r="AC46" s="49" t="e">
        <f t="shared" si="25"/>
        <v>#VALUE!</v>
      </c>
      <c r="AD46" s="49" t="e">
        <f t="shared" si="25"/>
        <v>#VALUE!</v>
      </c>
      <c r="AE46" s="49" t="e">
        <f t="shared" si="25"/>
        <v>#VALUE!</v>
      </c>
      <c r="AF46" s="49" t="e">
        <f t="shared" si="25"/>
        <v>#VALUE!</v>
      </c>
      <c r="AG46" s="49" t="e">
        <f t="shared" si="25"/>
        <v>#VALUE!</v>
      </c>
      <c r="AH46" s="49" t="e">
        <f t="shared" si="25"/>
        <v>#VALUE!</v>
      </c>
      <c r="AI46" s="49" t="e">
        <f t="shared" si="25"/>
        <v>#VALUE!</v>
      </c>
      <c r="AJ46" s="49" t="e">
        <f t="shared" si="25"/>
        <v>#VALUE!</v>
      </c>
      <c r="AK46" s="49" t="e">
        <f t="shared" si="25"/>
        <v>#VALUE!</v>
      </c>
      <c r="AL46" s="42"/>
      <c r="AM46" s="43">
        <v>30</v>
      </c>
      <c r="AN46">
        <v>945.13661822476627</v>
      </c>
      <c r="AO46">
        <v>120.66890104612676</v>
      </c>
      <c r="AP46">
        <v>967.49632983877643</v>
      </c>
      <c r="AQ46">
        <v>339.66066336972216</v>
      </c>
      <c r="AR46">
        <v>115.5175552270192</v>
      </c>
      <c r="AS46">
        <v>1268.0876667611451</v>
      </c>
      <c r="AT46">
        <v>54.138748947814911</v>
      </c>
      <c r="AU46">
        <v>108.58470504019745</v>
      </c>
      <c r="AV46"/>
      <c r="AW46"/>
      <c r="FY46" s="211">
        <v>41</v>
      </c>
      <c r="FZ46">
        <v>144.93607024313516</v>
      </c>
      <c r="GA46">
        <v>92.434963133578151</v>
      </c>
      <c r="GB46">
        <v>25.092451088280182</v>
      </c>
      <c r="GC46">
        <v>6.7571899686250578</v>
      </c>
      <c r="GD46">
        <v>2.8030313106478921</v>
      </c>
      <c r="GE46">
        <v>4.5400204128600183</v>
      </c>
      <c r="GF46">
        <v>38.223557830294681</v>
      </c>
      <c r="GG46">
        <v>46.162894420944788</v>
      </c>
      <c r="GH46">
        <v>32.15577910075632</v>
      </c>
      <c r="GI46">
        <v>79.659163151851715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1327.957625556704</v>
      </c>
      <c r="AO47">
        <v>161.53106900618553</v>
      </c>
      <c r="AP47">
        <v>1312.0466012601705</v>
      </c>
      <c r="AQ47">
        <v>498.17660633743094</v>
      </c>
      <c r="AR47">
        <v>158.17742220999531</v>
      </c>
      <c r="AS47">
        <v>1837.6755911501791</v>
      </c>
      <c r="AT47">
        <v>74.189936621791773</v>
      </c>
      <c r="AU47">
        <v>186.52632162434247</v>
      </c>
      <c r="AV47"/>
      <c r="AW47"/>
      <c r="FY47" s="211">
        <v>42</v>
      </c>
      <c r="FZ47">
        <v>110.83926123557279</v>
      </c>
      <c r="GA47">
        <v>79.759842774634762</v>
      </c>
      <c r="GB47">
        <v>17.342064929471327</v>
      </c>
      <c r="GC47">
        <v>6.755758949812642</v>
      </c>
      <c r="GD47">
        <v>3.6744885965514569</v>
      </c>
      <c r="GE47">
        <v>5.8953852694525093</v>
      </c>
      <c r="GF47">
        <v>46.215593812368454</v>
      </c>
      <c r="GG47">
        <v>59.444643439826152</v>
      </c>
      <c r="GH47">
        <v>24.74088385658975</v>
      </c>
      <c r="GI47">
        <v>76.8258605271281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 t="e">
        <f>AVERAGE(D37:D47)</f>
        <v>#VALUE!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1190.024947133325</v>
      </c>
      <c r="AO48">
        <v>152.37344471888588</v>
      </c>
      <c r="AP48">
        <v>1276.2688142603618</v>
      </c>
      <c r="AQ48">
        <v>494.61054979071827</v>
      </c>
      <c r="AR48">
        <v>150.89304954637669</v>
      </c>
      <c r="AS48">
        <v>1614.0918209360927</v>
      </c>
      <c r="AT48">
        <v>70.681948222220882</v>
      </c>
      <c r="AU48">
        <v>125.67157137390959</v>
      </c>
      <c r="AV48"/>
      <c r="AW48"/>
      <c r="FY48" s="211">
        <v>43</v>
      </c>
      <c r="FZ48">
        <v>141.69075531605398</v>
      </c>
      <c r="GA48">
        <v>83.722775543780813</v>
      </c>
      <c r="GB48">
        <v>21.062527726636429</v>
      </c>
      <c r="GC48">
        <v>7.3260455614538049</v>
      </c>
      <c r="GD48">
        <v>3.3347966917427545</v>
      </c>
      <c r="GE48">
        <v>7.1777173467769497</v>
      </c>
      <c r="GF48">
        <v>50.053359314124549</v>
      </c>
      <c r="GG48">
        <v>57.860986291896708</v>
      </c>
      <c r="GH48">
        <v>22.762866706226436</v>
      </c>
      <c r="GI48">
        <v>82.76262603498563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917.101700623336</v>
      </c>
      <c r="AO49">
        <v>128.98354428471777</v>
      </c>
      <c r="AP49">
        <v>1057.0770267891535</v>
      </c>
      <c r="AQ49">
        <v>366.43048340827733</v>
      </c>
      <c r="AR49">
        <v>128.32068157807043</v>
      </c>
      <c r="AS49">
        <v>1316.6566212439539</v>
      </c>
      <c r="AT49">
        <v>62.311291521003632</v>
      </c>
      <c r="AU49">
        <v>114.95734920615429</v>
      </c>
      <c r="AV49"/>
      <c r="AW49"/>
      <c r="FY49" s="211">
        <v>44</v>
      </c>
      <c r="FZ49">
        <v>158.31718091641704</v>
      </c>
      <c r="GA49">
        <v>117.03367289317391</v>
      </c>
      <c r="GB49">
        <v>39.034454946133586</v>
      </c>
      <c r="GC49">
        <v>9.8967353372960165</v>
      </c>
      <c r="GD49">
        <v>3.2682293954274844</v>
      </c>
      <c r="GE49">
        <v>4.2626039654518753</v>
      </c>
      <c r="GF49">
        <v>18.27935912014663</v>
      </c>
      <c r="GG49">
        <v>21.598152722204158</v>
      </c>
      <c r="GH49">
        <v>28.596542630197632</v>
      </c>
      <c r="GI49">
        <v>78.933746797672569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901.4231296335995</v>
      </c>
      <c r="AO50">
        <v>140.44639855131041</v>
      </c>
      <c r="AP50">
        <v>1088.1936621460973</v>
      </c>
      <c r="AQ50">
        <v>334.92871802059665</v>
      </c>
      <c r="AR50">
        <v>137.91004010605783</v>
      </c>
      <c r="AS50">
        <v>1380.3023696685759</v>
      </c>
      <c r="AT50">
        <v>68.641866036690558</v>
      </c>
      <c r="AU50">
        <v>-42.333251256779178</v>
      </c>
      <c r="AV50"/>
      <c r="AW50"/>
      <c r="FY50" s="211">
        <v>45</v>
      </c>
      <c r="FZ50">
        <v>101.53370195418404</v>
      </c>
      <c r="GA50">
        <v>89.409417078837208</v>
      </c>
      <c r="GB50">
        <v>32.395646805355028</v>
      </c>
      <c r="GC50">
        <v>8.5061132925776253</v>
      </c>
      <c r="GD50">
        <v>4.5109868997587013</v>
      </c>
      <c r="GE50">
        <v>9.4804394187277907</v>
      </c>
      <c r="GF50">
        <v>36.609583866194846</v>
      </c>
      <c r="GG50">
        <v>43.717706774732214</v>
      </c>
      <c r="GH50">
        <v>21.735108557605415</v>
      </c>
      <c r="GI50">
        <v>85.657619087451366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1222.2620642376103</v>
      </c>
      <c r="AO51">
        <v>192.51821482199239</v>
      </c>
      <c r="AP51">
        <v>1704.7771448237045</v>
      </c>
      <c r="AQ51">
        <v>468.42961577631735</v>
      </c>
      <c r="AR51">
        <v>185.97601235865918</v>
      </c>
      <c r="AS51">
        <v>1919.7734892110948</v>
      </c>
      <c r="AT51">
        <v>87.090526819380941</v>
      </c>
      <c r="AU51">
        <v>209.36024743412256</v>
      </c>
      <c r="AV51"/>
      <c r="AW51"/>
      <c r="FY51" s="211">
        <v>46</v>
      </c>
      <c r="FZ51">
        <v>167.98975232769575</v>
      </c>
      <c r="GA51">
        <v>99.730705131739171</v>
      </c>
      <c r="GB51">
        <v>20.105152732319254</v>
      </c>
      <c r="GC51">
        <v>5.758509622243583</v>
      </c>
      <c r="GD51">
        <v>2.4189024941038078</v>
      </c>
      <c r="GE51">
        <v>6.4599898063669396</v>
      </c>
      <c r="GF51">
        <v>23.207093262961308</v>
      </c>
      <c r="GG51">
        <v>26.537806393260229</v>
      </c>
      <c r="GH51">
        <v>33.233211015550097</v>
      </c>
      <c r="GI51">
        <v>73.068863630712414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 t="e">
        <f>SUM(G52:AK52)</f>
        <v>#VALUE!</v>
      </c>
      <c r="E52" s="19">
        <v>3.8777122696400615E-2</v>
      </c>
      <c r="F52" s="8"/>
      <c r="G52" s="49" t="e">
        <f>$E$52*$E$21*G37</f>
        <v>#VALUE!</v>
      </c>
      <c r="H52" s="49" t="e">
        <f t="shared" ref="H52:AK52" si="26">$E$52*$E$21*H37</f>
        <v>#VALUE!</v>
      </c>
      <c r="I52" s="49" t="e">
        <f t="shared" si="26"/>
        <v>#VALUE!</v>
      </c>
      <c r="J52" s="49" t="e">
        <f t="shared" si="26"/>
        <v>#VALUE!</v>
      </c>
      <c r="K52" s="49" t="e">
        <f t="shared" si="26"/>
        <v>#VALUE!</v>
      </c>
      <c r="L52" s="49" t="e">
        <f t="shared" si="26"/>
        <v>#VALUE!</v>
      </c>
      <c r="M52" s="49" t="e">
        <f t="shared" si="26"/>
        <v>#VALUE!</v>
      </c>
      <c r="N52" s="49" t="e">
        <f t="shared" si="26"/>
        <v>#VALUE!</v>
      </c>
      <c r="O52" s="49" t="e">
        <f t="shared" si="26"/>
        <v>#VALUE!</v>
      </c>
      <c r="P52" s="49" t="e">
        <f t="shared" si="26"/>
        <v>#VALUE!</v>
      </c>
      <c r="Q52" s="49" t="e">
        <f t="shared" si="26"/>
        <v>#VALUE!</v>
      </c>
      <c r="R52" s="49" t="e">
        <f t="shared" si="26"/>
        <v>#VALUE!</v>
      </c>
      <c r="S52" s="49" t="e">
        <f t="shared" si="26"/>
        <v>#VALUE!</v>
      </c>
      <c r="T52" s="49" t="e">
        <f t="shared" si="26"/>
        <v>#VALUE!</v>
      </c>
      <c r="U52" s="49" t="e">
        <f t="shared" si="26"/>
        <v>#VALUE!</v>
      </c>
      <c r="V52" s="49" t="e">
        <f t="shared" si="26"/>
        <v>#VALUE!</v>
      </c>
      <c r="W52" s="49" t="e">
        <f t="shared" si="26"/>
        <v>#VALUE!</v>
      </c>
      <c r="X52" s="49" t="e">
        <f t="shared" si="26"/>
        <v>#VALUE!</v>
      </c>
      <c r="Y52" s="49" t="e">
        <f t="shared" si="26"/>
        <v>#VALUE!</v>
      </c>
      <c r="Z52" s="49" t="e">
        <f t="shared" si="26"/>
        <v>#VALUE!</v>
      </c>
      <c r="AA52" s="49" t="e">
        <f t="shared" si="26"/>
        <v>#VALUE!</v>
      </c>
      <c r="AB52" s="49" t="e">
        <f t="shared" si="26"/>
        <v>#VALUE!</v>
      </c>
      <c r="AC52" s="49" t="e">
        <f t="shared" si="26"/>
        <v>#VALUE!</v>
      </c>
      <c r="AD52" s="49" t="e">
        <f t="shared" si="26"/>
        <v>#VALUE!</v>
      </c>
      <c r="AE52" s="49" t="e">
        <f t="shared" si="26"/>
        <v>#VALUE!</v>
      </c>
      <c r="AF52" s="49" t="e">
        <f t="shared" si="26"/>
        <v>#VALUE!</v>
      </c>
      <c r="AG52" s="49" t="e">
        <f t="shared" si="26"/>
        <v>#VALUE!</v>
      </c>
      <c r="AH52" s="49" t="e">
        <f t="shared" si="26"/>
        <v>#VALUE!</v>
      </c>
      <c r="AI52" s="49" t="e">
        <f t="shared" si="26"/>
        <v>#VALUE!</v>
      </c>
      <c r="AJ52" s="49" t="e">
        <f t="shared" si="26"/>
        <v>#VALUE!</v>
      </c>
      <c r="AK52" s="49" t="e">
        <f t="shared" si="26"/>
        <v>#VALUE!</v>
      </c>
      <c r="AL52" s="42"/>
      <c r="AM52" s="43">
        <v>36</v>
      </c>
      <c r="AN52">
        <v>1134.6032268119445</v>
      </c>
      <c r="AO52">
        <v>156.99994245421595</v>
      </c>
      <c r="AP52">
        <v>1333.7769008859864</v>
      </c>
      <c r="AQ52">
        <v>420.8999883379098</v>
      </c>
      <c r="AR52">
        <v>152.23869820987142</v>
      </c>
      <c r="AS52">
        <v>1630.4589960393189</v>
      </c>
      <c r="AT52">
        <v>72.194075509220269</v>
      </c>
      <c r="AU52">
        <v>297.59189693962134</v>
      </c>
      <c r="AV52"/>
      <c r="AW52"/>
      <c r="FY52" s="211">
        <v>47</v>
      </c>
      <c r="FZ52">
        <v>125.77643055772661</v>
      </c>
      <c r="GA52">
        <v>72.572021025000481</v>
      </c>
      <c r="GB52">
        <v>24.0705823389325</v>
      </c>
      <c r="GC52">
        <v>7.7575324010331652</v>
      </c>
      <c r="GD52">
        <v>4.1064466089556637</v>
      </c>
      <c r="GE52">
        <v>5.7387439622503038</v>
      </c>
      <c r="GF52">
        <v>16.474376424760731</v>
      </c>
      <c r="GG52">
        <v>24.653891026846999</v>
      </c>
      <c r="GH52">
        <v>28.520384822792675</v>
      </c>
      <c r="GI52">
        <v>64.395938738344299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 t="e">
        <f t="shared" ref="D53:D61" si="27">SUM(G53:AK53)</f>
        <v>#VALUE!</v>
      </c>
      <c r="E53" s="19">
        <v>3.3565979632026934E-2</v>
      </c>
      <c r="F53" s="8"/>
      <c r="G53" s="49" t="e">
        <f>$E$53*$E$22*G38</f>
        <v>#VALUE!</v>
      </c>
      <c r="H53" s="49" t="e">
        <f t="shared" ref="H53:AK53" si="28">$E$53*$E$22*H38</f>
        <v>#VALUE!</v>
      </c>
      <c r="I53" s="49" t="e">
        <f t="shared" si="28"/>
        <v>#VALUE!</v>
      </c>
      <c r="J53" s="49" t="e">
        <f t="shared" si="28"/>
        <v>#VALUE!</v>
      </c>
      <c r="K53" s="49" t="e">
        <f t="shared" si="28"/>
        <v>#VALUE!</v>
      </c>
      <c r="L53" s="49" t="e">
        <f t="shared" si="28"/>
        <v>#VALUE!</v>
      </c>
      <c r="M53" s="49" t="e">
        <f t="shared" si="28"/>
        <v>#VALUE!</v>
      </c>
      <c r="N53" s="49" t="e">
        <f t="shared" si="28"/>
        <v>#VALUE!</v>
      </c>
      <c r="O53" s="49" t="e">
        <f t="shared" si="28"/>
        <v>#VALUE!</v>
      </c>
      <c r="P53" s="49" t="e">
        <f t="shared" si="28"/>
        <v>#VALUE!</v>
      </c>
      <c r="Q53" s="49" t="e">
        <f t="shared" si="28"/>
        <v>#VALUE!</v>
      </c>
      <c r="R53" s="49" t="e">
        <f t="shared" si="28"/>
        <v>#VALUE!</v>
      </c>
      <c r="S53" s="49" t="e">
        <f t="shared" si="28"/>
        <v>#VALUE!</v>
      </c>
      <c r="T53" s="49" t="e">
        <f t="shared" si="28"/>
        <v>#VALUE!</v>
      </c>
      <c r="U53" s="49" t="e">
        <f t="shared" si="28"/>
        <v>#VALUE!</v>
      </c>
      <c r="V53" s="49" t="e">
        <f t="shared" si="28"/>
        <v>#VALUE!</v>
      </c>
      <c r="W53" s="49" t="e">
        <f t="shared" si="28"/>
        <v>#VALUE!</v>
      </c>
      <c r="X53" s="49" t="e">
        <f t="shared" si="28"/>
        <v>#VALUE!</v>
      </c>
      <c r="Y53" s="49" t="e">
        <f t="shared" si="28"/>
        <v>#VALUE!</v>
      </c>
      <c r="Z53" s="49" t="e">
        <f t="shared" si="28"/>
        <v>#VALUE!</v>
      </c>
      <c r="AA53" s="49" t="e">
        <f t="shared" si="28"/>
        <v>#VALUE!</v>
      </c>
      <c r="AB53" s="49" t="e">
        <f t="shared" si="28"/>
        <v>#VALUE!</v>
      </c>
      <c r="AC53" s="49" t="e">
        <f t="shared" si="28"/>
        <v>#VALUE!</v>
      </c>
      <c r="AD53" s="49" t="e">
        <f t="shared" si="28"/>
        <v>#VALUE!</v>
      </c>
      <c r="AE53" s="49" t="e">
        <f t="shared" si="28"/>
        <v>#VALUE!</v>
      </c>
      <c r="AF53" s="49" t="e">
        <f t="shared" si="28"/>
        <v>#VALUE!</v>
      </c>
      <c r="AG53" s="49" t="e">
        <f t="shared" si="28"/>
        <v>#VALUE!</v>
      </c>
      <c r="AH53" s="49" t="e">
        <f t="shared" si="28"/>
        <v>#VALUE!</v>
      </c>
      <c r="AI53" s="49" t="e">
        <f t="shared" si="28"/>
        <v>#VALUE!</v>
      </c>
      <c r="AJ53" s="49" t="e">
        <f t="shared" si="28"/>
        <v>#VALUE!</v>
      </c>
      <c r="AK53" s="49" t="e">
        <f t="shared" si="28"/>
        <v>#VALUE!</v>
      </c>
      <c r="AL53" s="42"/>
      <c r="AM53" s="43">
        <v>37</v>
      </c>
      <c r="AN53">
        <v>1121.0855448407588</v>
      </c>
      <c r="AO53">
        <v>182.99666358390982</v>
      </c>
      <c r="AP53">
        <v>1387.09319098786</v>
      </c>
      <c r="AQ53">
        <v>395.73088119385449</v>
      </c>
      <c r="AR53">
        <v>176.06207138143102</v>
      </c>
      <c r="AS53">
        <v>1859.9996106366011</v>
      </c>
      <c r="AT53">
        <v>85.223348942845078</v>
      </c>
      <c r="AU53">
        <v>136.27702687285972</v>
      </c>
      <c r="AV53"/>
      <c r="AW53"/>
      <c r="FY53" s="211">
        <v>48</v>
      </c>
      <c r="FZ53">
        <v>89.347648704302458</v>
      </c>
      <c r="GA53">
        <v>91.378644953359625</v>
      </c>
      <c r="GB53">
        <v>32.016388854080091</v>
      </c>
      <c r="GC53">
        <v>6.9029422078591498</v>
      </c>
      <c r="GD53">
        <v>4.0013347295379571</v>
      </c>
      <c r="GE53">
        <v>7.9090067645488773</v>
      </c>
      <c r="GF53">
        <v>19.510111386754609</v>
      </c>
      <c r="GG53">
        <v>26.172901243305418</v>
      </c>
      <c r="GH53">
        <v>25.300171985510719</v>
      </c>
      <c r="GI53">
        <v>68.752088542776477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 t="e">
        <f t="shared" si="27"/>
        <v>#VALUE!</v>
      </c>
      <c r="E54" s="19">
        <v>3.5857645106735621E-2</v>
      </c>
      <c r="F54" s="8"/>
      <c r="G54" s="49" t="e">
        <f>$E$54*$E$23*G39</f>
        <v>#VALUE!</v>
      </c>
      <c r="H54" s="49" t="e">
        <f t="shared" ref="H54:AK54" si="29">$E$54*$E$23*H39</f>
        <v>#VALUE!</v>
      </c>
      <c r="I54" s="49" t="e">
        <f t="shared" si="29"/>
        <v>#VALUE!</v>
      </c>
      <c r="J54" s="49" t="e">
        <f t="shared" si="29"/>
        <v>#VALUE!</v>
      </c>
      <c r="K54" s="49" t="e">
        <f t="shared" si="29"/>
        <v>#VALUE!</v>
      </c>
      <c r="L54" s="49" t="e">
        <f t="shared" si="29"/>
        <v>#VALUE!</v>
      </c>
      <c r="M54" s="49" t="e">
        <f t="shared" si="29"/>
        <v>#VALUE!</v>
      </c>
      <c r="N54" s="49" t="e">
        <f t="shared" si="29"/>
        <v>#VALUE!</v>
      </c>
      <c r="O54" s="49" t="e">
        <f t="shared" si="29"/>
        <v>#VALUE!</v>
      </c>
      <c r="P54" s="49" t="e">
        <f t="shared" si="29"/>
        <v>#VALUE!</v>
      </c>
      <c r="Q54" s="49" t="e">
        <f t="shared" si="29"/>
        <v>#VALUE!</v>
      </c>
      <c r="R54" s="49" t="e">
        <f t="shared" si="29"/>
        <v>#VALUE!</v>
      </c>
      <c r="S54" s="49" t="e">
        <f t="shared" si="29"/>
        <v>#VALUE!</v>
      </c>
      <c r="T54" s="49" t="e">
        <f t="shared" si="29"/>
        <v>#VALUE!</v>
      </c>
      <c r="U54" s="49" t="e">
        <f t="shared" si="29"/>
        <v>#VALUE!</v>
      </c>
      <c r="V54" s="49" t="e">
        <f t="shared" si="29"/>
        <v>#VALUE!</v>
      </c>
      <c r="W54" s="49" t="e">
        <f t="shared" si="29"/>
        <v>#VALUE!</v>
      </c>
      <c r="X54" s="49" t="e">
        <f t="shared" si="29"/>
        <v>#VALUE!</v>
      </c>
      <c r="Y54" s="49" t="e">
        <f t="shared" si="29"/>
        <v>#VALUE!</v>
      </c>
      <c r="Z54" s="49" t="e">
        <f t="shared" si="29"/>
        <v>#VALUE!</v>
      </c>
      <c r="AA54" s="49" t="e">
        <f t="shared" si="29"/>
        <v>#VALUE!</v>
      </c>
      <c r="AB54" s="49" t="e">
        <f t="shared" si="29"/>
        <v>#VALUE!</v>
      </c>
      <c r="AC54" s="49" t="e">
        <f t="shared" si="29"/>
        <v>#VALUE!</v>
      </c>
      <c r="AD54" s="49" t="e">
        <f t="shared" si="29"/>
        <v>#VALUE!</v>
      </c>
      <c r="AE54" s="49" t="e">
        <f t="shared" si="29"/>
        <v>#VALUE!</v>
      </c>
      <c r="AF54" s="49" t="e">
        <f t="shared" si="29"/>
        <v>#VALUE!</v>
      </c>
      <c r="AG54" s="49" t="e">
        <f t="shared" si="29"/>
        <v>#VALUE!</v>
      </c>
      <c r="AH54" s="49" t="e">
        <f t="shared" si="29"/>
        <v>#VALUE!</v>
      </c>
      <c r="AI54" s="49" t="e">
        <f t="shared" si="29"/>
        <v>#VALUE!</v>
      </c>
      <c r="AJ54" s="49" t="e">
        <f t="shared" si="29"/>
        <v>#VALUE!</v>
      </c>
      <c r="AK54" s="49" t="e">
        <f t="shared" si="29"/>
        <v>#VALUE!</v>
      </c>
      <c r="AL54" s="42"/>
      <c r="AM54" s="43">
        <v>38</v>
      </c>
      <c r="AN54">
        <v>921.18267912297995</v>
      </c>
      <c r="AO54">
        <v>146.57182016702922</v>
      </c>
      <c r="AP54">
        <v>1196.0932617724968</v>
      </c>
      <c r="AQ54">
        <v>392.30133141426575</v>
      </c>
      <c r="AR54">
        <v>139.91831738935073</v>
      </c>
      <c r="AS54">
        <v>1499.3247191060289</v>
      </c>
      <c r="AT54">
        <v>68.694981366341565</v>
      </c>
      <c r="AU54">
        <v>1.7012834079343691</v>
      </c>
      <c r="AV54"/>
      <c r="AW54"/>
      <c r="FY54" s="211">
        <v>49</v>
      </c>
      <c r="FZ54">
        <v>255.02935809953576</v>
      </c>
      <c r="GA54">
        <v>197.02795974837034</v>
      </c>
      <c r="GB54">
        <v>45.088263660001623</v>
      </c>
      <c r="GC54">
        <v>8.8977379360475233</v>
      </c>
      <c r="GD54">
        <v>2.5250505807716435</v>
      </c>
      <c r="GE54">
        <v>3.8898761584320658</v>
      </c>
      <c r="GF54">
        <v>44.683146947220436</v>
      </c>
      <c r="GG54">
        <v>53.72544973681233</v>
      </c>
      <c r="GH54">
        <v>19.463703708455498</v>
      </c>
      <c r="GI54">
        <v>94.712895017173523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 t="e">
        <f t="shared" si="27"/>
        <v>#VALUE!</v>
      </c>
      <c r="E55" s="19">
        <v>5.0000000000000001E-3</v>
      </c>
      <c r="F55" s="8"/>
      <c r="G55" s="49" t="e">
        <f>$E$55*$E$24*G40</f>
        <v>#VALUE!</v>
      </c>
      <c r="H55" s="49" t="e">
        <f t="shared" ref="H55:AK55" si="30">$E$55*$E$24*H40</f>
        <v>#VALUE!</v>
      </c>
      <c r="I55" s="49" t="e">
        <f t="shared" si="30"/>
        <v>#VALUE!</v>
      </c>
      <c r="J55" s="49" t="e">
        <f t="shared" si="30"/>
        <v>#VALUE!</v>
      </c>
      <c r="K55" s="49" t="e">
        <f t="shared" si="30"/>
        <v>#VALUE!</v>
      </c>
      <c r="L55" s="49" t="e">
        <f t="shared" si="30"/>
        <v>#VALUE!</v>
      </c>
      <c r="M55" s="49" t="e">
        <f t="shared" si="30"/>
        <v>#VALUE!</v>
      </c>
      <c r="N55" s="49" t="e">
        <f t="shared" si="30"/>
        <v>#VALUE!</v>
      </c>
      <c r="O55" s="49" t="e">
        <f t="shared" si="30"/>
        <v>#VALUE!</v>
      </c>
      <c r="P55" s="49" t="e">
        <f t="shared" si="30"/>
        <v>#VALUE!</v>
      </c>
      <c r="Q55" s="49" t="e">
        <f t="shared" si="30"/>
        <v>#VALUE!</v>
      </c>
      <c r="R55" s="49" t="e">
        <f t="shared" si="30"/>
        <v>#VALUE!</v>
      </c>
      <c r="S55" s="49" t="e">
        <f t="shared" si="30"/>
        <v>#VALUE!</v>
      </c>
      <c r="T55" s="49" t="e">
        <f t="shared" si="30"/>
        <v>#VALUE!</v>
      </c>
      <c r="U55" s="49" t="e">
        <f t="shared" si="30"/>
        <v>#VALUE!</v>
      </c>
      <c r="V55" s="49" t="e">
        <f t="shared" si="30"/>
        <v>#VALUE!</v>
      </c>
      <c r="W55" s="49" t="e">
        <f t="shared" si="30"/>
        <v>#VALUE!</v>
      </c>
      <c r="X55" s="49" t="e">
        <f t="shared" si="30"/>
        <v>#VALUE!</v>
      </c>
      <c r="Y55" s="49" t="e">
        <f t="shared" si="30"/>
        <v>#VALUE!</v>
      </c>
      <c r="Z55" s="49" t="e">
        <f t="shared" si="30"/>
        <v>#VALUE!</v>
      </c>
      <c r="AA55" s="49" t="e">
        <f t="shared" si="30"/>
        <v>#VALUE!</v>
      </c>
      <c r="AB55" s="49" t="e">
        <f t="shared" si="30"/>
        <v>#VALUE!</v>
      </c>
      <c r="AC55" s="49" t="e">
        <f t="shared" si="30"/>
        <v>#VALUE!</v>
      </c>
      <c r="AD55" s="49" t="e">
        <f t="shared" si="30"/>
        <v>#VALUE!</v>
      </c>
      <c r="AE55" s="49" t="e">
        <f t="shared" si="30"/>
        <v>#VALUE!</v>
      </c>
      <c r="AF55" s="49" t="e">
        <f t="shared" si="30"/>
        <v>#VALUE!</v>
      </c>
      <c r="AG55" s="49" t="e">
        <f t="shared" si="30"/>
        <v>#VALUE!</v>
      </c>
      <c r="AH55" s="49" t="e">
        <f t="shared" si="30"/>
        <v>#VALUE!</v>
      </c>
      <c r="AI55" s="49" t="e">
        <f t="shared" si="30"/>
        <v>#VALUE!</v>
      </c>
      <c r="AJ55" s="49" t="e">
        <f t="shared" si="30"/>
        <v>#VALUE!</v>
      </c>
      <c r="AK55" s="49" t="e">
        <f t="shared" si="30"/>
        <v>#VALUE!</v>
      </c>
      <c r="AL55" s="42"/>
      <c r="AM55" s="43">
        <v>39</v>
      </c>
      <c r="AN55">
        <v>983.43947330567403</v>
      </c>
      <c r="AO55">
        <v>143.98564736099217</v>
      </c>
      <c r="AP55">
        <v>1126.7242914526719</v>
      </c>
      <c r="AQ55">
        <v>361.13205640421126</v>
      </c>
      <c r="AR55">
        <v>142.81098552849318</v>
      </c>
      <c r="AS55">
        <v>1512.4876185997709</v>
      </c>
      <c r="AT55">
        <v>68.246710342878899</v>
      </c>
      <c r="AU55">
        <v>190.19985651508756</v>
      </c>
      <c r="AV55"/>
      <c r="AW55"/>
      <c r="FY55" s="211">
        <v>50</v>
      </c>
      <c r="FZ55">
        <v>112.54656640967868</v>
      </c>
      <c r="GA55">
        <v>69.718125293699586</v>
      </c>
      <c r="GB55">
        <v>19.911624548059752</v>
      </c>
      <c r="GC55">
        <v>7.2117931526761341</v>
      </c>
      <c r="GD55">
        <v>2.6602376496050382</v>
      </c>
      <c r="GE55">
        <v>5.424378868588474</v>
      </c>
      <c r="GF55">
        <v>15.572029083735334</v>
      </c>
      <c r="GG55">
        <v>19.073882113540098</v>
      </c>
      <c r="GH55">
        <v>28.226220645455761</v>
      </c>
      <c r="GI55">
        <v>57.118287748483944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 t="e">
        <f t="shared" si="27"/>
        <v>#VALUE!</v>
      </c>
      <c r="E56" s="19">
        <v>5.0000000000000001E-3</v>
      </c>
      <c r="F56" s="8"/>
      <c r="G56" s="49" t="e">
        <f>$E$56*$E$25*G41</f>
        <v>#VALUE!</v>
      </c>
      <c r="H56" s="49" t="e">
        <f t="shared" ref="H56:AK56" si="31">$E$56*$E$25*H41</f>
        <v>#VALUE!</v>
      </c>
      <c r="I56" s="49" t="e">
        <f t="shared" si="31"/>
        <v>#VALUE!</v>
      </c>
      <c r="J56" s="49" t="e">
        <f t="shared" si="31"/>
        <v>#VALUE!</v>
      </c>
      <c r="K56" s="49" t="e">
        <f t="shared" si="31"/>
        <v>#VALUE!</v>
      </c>
      <c r="L56" s="49" t="e">
        <f t="shared" si="31"/>
        <v>#VALUE!</v>
      </c>
      <c r="M56" s="49" t="e">
        <f t="shared" si="31"/>
        <v>#VALUE!</v>
      </c>
      <c r="N56" s="49" t="e">
        <f t="shared" si="31"/>
        <v>#VALUE!</v>
      </c>
      <c r="O56" s="49" t="e">
        <f t="shared" si="31"/>
        <v>#VALUE!</v>
      </c>
      <c r="P56" s="49" t="e">
        <f t="shared" si="31"/>
        <v>#VALUE!</v>
      </c>
      <c r="Q56" s="49" t="e">
        <f t="shared" si="31"/>
        <v>#VALUE!</v>
      </c>
      <c r="R56" s="49" t="e">
        <f t="shared" si="31"/>
        <v>#VALUE!</v>
      </c>
      <c r="S56" s="49" t="e">
        <f t="shared" si="31"/>
        <v>#VALUE!</v>
      </c>
      <c r="T56" s="49" t="e">
        <f t="shared" si="31"/>
        <v>#VALUE!</v>
      </c>
      <c r="U56" s="49" t="e">
        <f t="shared" si="31"/>
        <v>#VALUE!</v>
      </c>
      <c r="V56" s="49" t="e">
        <f t="shared" si="31"/>
        <v>#VALUE!</v>
      </c>
      <c r="W56" s="49" t="e">
        <f t="shared" si="31"/>
        <v>#VALUE!</v>
      </c>
      <c r="X56" s="49" t="e">
        <f t="shared" si="31"/>
        <v>#VALUE!</v>
      </c>
      <c r="Y56" s="49" t="e">
        <f t="shared" si="31"/>
        <v>#VALUE!</v>
      </c>
      <c r="Z56" s="49" t="e">
        <f t="shared" si="31"/>
        <v>#VALUE!</v>
      </c>
      <c r="AA56" s="49" t="e">
        <f t="shared" si="31"/>
        <v>#VALUE!</v>
      </c>
      <c r="AB56" s="49" t="e">
        <f t="shared" si="31"/>
        <v>#VALUE!</v>
      </c>
      <c r="AC56" s="49" t="e">
        <f t="shared" si="31"/>
        <v>#VALUE!</v>
      </c>
      <c r="AD56" s="49" t="e">
        <f t="shared" si="31"/>
        <v>#VALUE!</v>
      </c>
      <c r="AE56" s="49" t="e">
        <f t="shared" si="31"/>
        <v>#VALUE!</v>
      </c>
      <c r="AF56" s="49" t="e">
        <f t="shared" si="31"/>
        <v>#VALUE!</v>
      </c>
      <c r="AG56" s="49" t="e">
        <f t="shared" si="31"/>
        <v>#VALUE!</v>
      </c>
      <c r="AH56" s="49" t="e">
        <f t="shared" si="31"/>
        <v>#VALUE!</v>
      </c>
      <c r="AI56" s="49" t="e">
        <f t="shared" si="31"/>
        <v>#VALUE!</v>
      </c>
      <c r="AJ56" s="49" t="e">
        <f t="shared" si="31"/>
        <v>#VALUE!</v>
      </c>
      <c r="AK56" s="49" t="e">
        <f t="shared" si="31"/>
        <v>#VALUE!</v>
      </c>
      <c r="AL56" s="42"/>
      <c r="AM56" s="43">
        <v>40</v>
      </c>
      <c r="AN56">
        <v>1314.5302038132882</v>
      </c>
      <c r="AO56">
        <v>162.21459945277579</v>
      </c>
      <c r="AP56">
        <v>1342.3449824658542</v>
      </c>
      <c r="AQ56">
        <v>453.17297933949874</v>
      </c>
      <c r="AR56">
        <v>158.00782313111085</v>
      </c>
      <c r="AS56">
        <v>1823.983776150118</v>
      </c>
      <c r="AT56">
        <v>71.231131210349773</v>
      </c>
      <c r="AU56">
        <v>285.6473893262667</v>
      </c>
      <c r="AV56"/>
      <c r="AW56"/>
      <c r="FY56" s="211">
        <v>51</v>
      </c>
      <c r="FZ56">
        <v>165.1646730891332</v>
      </c>
      <c r="GA56">
        <v>107.2661786116183</v>
      </c>
      <c r="GB56">
        <v>24.418911748833114</v>
      </c>
      <c r="GC56">
        <v>8.9564661758619586</v>
      </c>
      <c r="GD56">
        <v>3.1499200678406138</v>
      </c>
      <c r="GE56">
        <v>5.2162143355590462</v>
      </c>
      <c r="GF56">
        <v>30.153024005278454</v>
      </c>
      <c r="GG56">
        <v>36.315292954749467</v>
      </c>
      <c r="GH56">
        <v>22.803711952522235</v>
      </c>
      <c r="GI56">
        <v>74.526854469922725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 t="e">
        <f t="shared" si="27"/>
        <v>#VALUE!</v>
      </c>
      <c r="E57" s="19">
        <v>5.0000000000000001E-3</v>
      </c>
      <c r="F57" s="8"/>
      <c r="G57" s="49" t="e">
        <f>$E$57*$E$26*G42</f>
        <v>#VALUE!</v>
      </c>
      <c r="H57" s="49" t="e">
        <f t="shared" ref="H57:AK57" si="32">$E$57*$E$26*H42</f>
        <v>#VALUE!</v>
      </c>
      <c r="I57" s="49" t="e">
        <f t="shared" si="32"/>
        <v>#VALUE!</v>
      </c>
      <c r="J57" s="49" t="e">
        <f t="shared" si="32"/>
        <v>#VALUE!</v>
      </c>
      <c r="K57" s="49" t="e">
        <f t="shared" si="32"/>
        <v>#VALUE!</v>
      </c>
      <c r="L57" s="49" t="e">
        <f t="shared" si="32"/>
        <v>#VALUE!</v>
      </c>
      <c r="M57" s="49" t="e">
        <f t="shared" si="32"/>
        <v>#VALUE!</v>
      </c>
      <c r="N57" s="49" t="e">
        <f t="shared" si="32"/>
        <v>#VALUE!</v>
      </c>
      <c r="O57" s="49" t="e">
        <f t="shared" si="32"/>
        <v>#VALUE!</v>
      </c>
      <c r="P57" s="49" t="e">
        <f t="shared" si="32"/>
        <v>#VALUE!</v>
      </c>
      <c r="Q57" s="49" t="e">
        <f t="shared" si="32"/>
        <v>#VALUE!</v>
      </c>
      <c r="R57" s="49" t="e">
        <f t="shared" si="32"/>
        <v>#VALUE!</v>
      </c>
      <c r="S57" s="49" t="e">
        <f t="shared" si="32"/>
        <v>#VALUE!</v>
      </c>
      <c r="T57" s="49" t="e">
        <f t="shared" si="32"/>
        <v>#VALUE!</v>
      </c>
      <c r="U57" s="49" t="e">
        <f t="shared" si="32"/>
        <v>#VALUE!</v>
      </c>
      <c r="V57" s="49" t="e">
        <f t="shared" si="32"/>
        <v>#VALUE!</v>
      </c>
      <c r="W57" s="49" t="e">
        <f t="shared" si="32"/>
        <v>#VALUE!</v>
      </c>
      <c r="X57" s="49" t="e">
        <f t="shared" si="32"/>
        <v>#VALUE!</v>
      </c>
      <c r="Y57" s="49" t="e">
        <f t="shared" si="32"/>
        <v>#VALUE!</v>
      </c>
      <c r="Z57" s="49" t="e">
        <f t="shared" si="32"/>
        <v>#VALUE!</v>
      </c>
      <c r="AA57" s="49" t="e">
        <f t="shared" si="32"/>
        <v>#VALUE!</v>
      </c>
      <c r="AB57" s="49" t="e">
        <f t="shared" si="32"/>
        <v>#VALUE!</v>
      </c>
      <c r="AC57" s="49" t="e">
        <f t="shared" si="32"/>
        <v>#VALUE!</v>
      </c>
      <c r="AD57" s="49" t="e">
        <f t="shared" si="32"/>
        <v>#VALUE!</v>
      </c>
      <c r="AE57" s="49" t="e">
        <f t="shared" si="32"/>
        <v>#VALUE!</v>
      </c>
      <c r="AF57" s="49" t="e">
        <f t="shared" si="32"/>
        <v>#VALUE!</v>
      </c>
      <c r="AG57" s="49" t="e">
        <f t="shared" si="32"/>
        <v>#VALUE!</v>
      </c>
      <c r="AH57" s="49" t="e">
        <f t="shared" si="32"/>
        <v>#VALUE!</v>
      </c>
      <c r="AI57" s="49" t="e">
        <f t="shared" si="32"/>
        <v>#VALUE!</v>
      </c>
      <c r="AJ57" s="49" t="e">
        <f t="shared" si="32"/>
        <v>#VALUE!</v>
      </c>
      <c r="AK57" s="49" t="e">
        <f t="shared" si="32"/>
        <v>#VALUE!</v>
      </c>
      <c r="AL57" s="42"/>
      <c r="AM57" s="43">
        <v>41</v>
      </c>
      <c r="AN57">
        <v>1161.2216268341899</v>
      </c>
      <c r="AO57">
        <v>163.30652516340564</v>
      </c>
      <c r="AP57">
        <v>1396.3481017718477</v>
      </c>
      <c r="AQ57">
        <v>472.76512066097399</v>
      </c>
      <c r="AR57">
        <v>163.37717458486938</v>
      </c>
      <c r="AS57">
        <v>1738.4747931304842</v>
      </c>
      <c r="AT57">
        <v>85.258945658067404</v>
      </c>
      <c r="AU57">
        <v>367.11188369306848</v>
      </c>
      <c r="AV57"/>
      <c r="AW57"/>
      <c r="FY57" s="211">
        <v>52</v>
      </c>
      <c r="FZ57">
        <v>139.03187994680391</v>
      </c>
      <c r="GA57">
        <v>99.036568547295289</v>
      </c>
      <c r="GB57">
        <v>27.125283829503335</v>
      </c>
      <c r="GC57">
        <v>9.7805913085850058</v>
      </c>
      <c r="GD57">
        <v>4.2843686226838091</v>
      </c>
      <c r="GE57">
        <v>5.211674140456994</v>
      </c>
      <c r="GF57">
        <v>48.819379512901037</v>
      </c>
      <c r="GG57">
        <v>61.336170976815481</v>
      </c>
      <c r="GH57">
        <v>29.47440318288065</v>
      </c>
      <c r="GI57">
        <v>88.406235129390424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 t="e">
        <f t="shared" si="27"/>
        <v>#VALUE!</v>
      </c>
      <c r="E58" s="19">
        <v>1.9826368600276503E-2</v>
      </c>
      <c r="F58" s="8"/>
      <c r="G58" s="49" t="e">
        <f>$E$58*$E$27*G43</f>
        <v>#VALUE!</v>
      </c>
      <c r="H58" s="49" t="e">
        <f t="shared" ref="H58:AK58" si="33">$E$58*$E$27*H43</f>
        <v>#VALUE!</v>
      </c>
      <c r="I58" s="49" t="e">
        <f t="shared" si="33"/>
        <v>#VALUE!</v>
      </c>
      <c r="J58" s="49" t="e">
        <f t="shared" si="33"/>
        <v>#VALUE!</v>
      </c>
      <c r="K58" s="49" t="e">
        <f t="shared" si="33"/>
        <v>#VALUE!</v>
      </c>
      <c r="L58" s="49" t="e">
        <f t="shared" si="33"/>
        <v>#VALUE!</v>
      </c>
      <c r="M58" s="49" t="e">
        <f t="shared" si="33"/>
        <v>#VALUE!</v>
      </c>
      <c r="N58" s="49" t="e">
        <f t="shared" si="33"/>
        <v>#VALUE!</v>
      </c>
      <c r="O58" s="49" t="e">
        <f t="shared" si="33"/>
        <v>#VALUE!</v>
      </c>
      <c r="P58" s="49" t="e">
        <f t="shared" si="33"/>
        <v>#VALUE!</v>
      </c>
      <c r="Q58" s="49" t="e">
        <f t="shared" si="33"/>
        <v>#VALUE!</v>
      </c>
      <c r="R58" s="49" t="e">
        <f t="shared" si="33"/>
        <v>#VALUE!</v>
      </c>
      <c r="S58" s="49" t="e">
        <f t="shared" si="33"/>
        <v>#VALUE!</v>
      </c>
      <c r="T58" s="49" t="e">
        <f t="shared" si="33"/>
        <v>#VALUE!</v>
      </c>
      <c r="U58" s="49" t="e">
        <f t="shared" si="33"/>
        <v>#VALUE!</v>
      </c>
      <c r="V58" s="49" t="e">
        <f t="shared" si="33"/>
        <v>#VALUE!</v>
      </c>
      <c r="W58" s="49" t="e">
        <f t="shared" si="33"/>
        <v>#VALUE!</v>
      </c>
      <c r="X58" s="49" t="e">
        <f t="shared" si="33"/>
        <v>#VALUE!</v>
      </c>
      <c r="Y58" s="49" t="e">
        <f t="shared" si="33"/>
        <v>#VALUE!</v>
      </c>
      <c r="Z58" s="49" t="e">
        <f t="shared" si="33"/>
        <v>#VALUE!</v>
      </c>
      <c r="AA58" s="49" t="e">
        <f t="shared" si="33"/>
        <v>#VALUE!</v>
      </c>
      <c r="AB58" s="49" t="e">
        <f t="shared" si="33"/>
        <v>#VALUE!</v>
      </c>
      <c r="AC58" s="49" t="e">
        <f t="shared" si="33"/>
        <v>#VALUE!</v>
      </c>
      <c r="AD58" s="49" t="e">
        <f t="shared" si="33"/>
        <v>#VALUE!</v>
      </c>
      <c r="AE58" s="49" t="e">
        <f t="shared" si="33"/>
        <v>#VALUE!</v>
      </c>
      <c r="AF58" s="49" t="e">
        <f t="shared" si="33"/>
        <v>#VALUE!</v>
      </c>
      <c r="AG58" s="49" t="e">
        <f t="shared" si="33"/>
        <v>#VALUE!</v>
      </c>
      <c r="AH58" s="49" t="e">
        <f t="shared" si="33"/>
        <v>#VALUE!</v>
      </c>
      <c r="AI58" s="49" t="e">
        <f t="shared" si="33"/>
        <v>#VALUE!</v>
      </c>
      <c r="AJ58" s="49" t="e">
        <f t="shared" si="33"/>
        <v>#VALUE!</v>
      </c>
      <c r="AK58" s="49" t="e">
        <f t="shared" si="33"/>
        <v>#VALUE!</v>
      </c>
      <c r="AL58" s="42"/>
      <c r="AM58" s="43">
        <v>42</v>
      </c>
      <c r="AN58">
        <v>1201.4693610746854</v>
      </c>
      <c r="AO58">
        <v>178.1931876278218</v>
      </c>
      <c r="AP58">
        <v>1532.2451747345278</v>
      </c>
      <c r="AQ58">
        <v>431.49378339140793</v>
      </c>
      <c r="AR58">
        <v>172.40329293288823</v>
      </c>
      <c r="AS58">
        <v>1841.8760375607319</v>
      </c>
      <c r="AT58">
        <v>81.848495335366465</v>
      </c>
      <c r="AU58">
        <v>294.26511059014763</v>
      </c>
      <c r="AV58"/>
      <c r="AW58"/>
      <c r="FY58" s="211">
        <v>53</v>
      </c>
      <c r="FZ58">
        <v>111.94872279211708</v>
      </c>
      <c r="GA58">
        <v>108.45211239164263</v>
      </c>
      <c r="GB58">
        <v>33.760787892121499</v>
      </c>
      <c r="GC58">
        <v>8.1423411177741638</v>
      </c>
      <c r="GD58">
        <v>3.6490870367710166</v>
      </c>
      <c r="GE58">
        <v>5.4035950833669606</v>
      </c>
      <c r="GF58">
        <v>47.246003661815131</v>
      </c>
      <c r="GG58">
        <v>62.440195277459615</v>
      </c>
      <c r="GH58">
        <v>29.218950794060742</v>
      </c>
      <c r="GI58">
        <v>84.700867405039133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 t="e">
        <f t="shared" si="27"/>
        <v>#VALUE!</v>
      </c>
      <c r="E59" s="19">
        <v>1.9826E-2</v>
      </c>
      <c r="F59" s="8"/>
      <c r="G59" s="49" t="e">
        <f>$E$59*$E$28*G44</f>
        <v>#VALUE!</v>
      </c>
      <c r="H59" s="49" t="e">
        <f t="shared" ref="H59:AK59" si="34">$E$59*$E$28*H44</f>
        <v>#VALUE!</v>
      </c>
      <c r="I59" s="49" t="e">
        <f t="shared" si="34"/>
        <v>#VALUE!</v>
      </c>
      <c r="J59" s="49" t="e">
        <f t="shared" si="34"/>
        <v>#VALUE!</v>
      </c>
      <c r="K59" s="49" t="e">
        <f t="shared" si="34"/>
        <v>#VALUE!</v>
      </c>
      <c r="L59" s="49" t="e">
        <f t="shared" si="34"/>
        <v>#VALUE!</v>
      </c>
      <c r="M59" s="49" t="e">
        <f t="shared" si="34"/>
        <v>#VALUE!</v>
      </c>
      <c r="N59" s="49" t="e">
        <f t="shared" si="34"/>
        <v>#VALUE!</v>
      </c>
      <c r="O59" s="49" t="e">
        <f t="shared" si="34"/>
        <v>#VALUE!</v>
      </c>
      <c r="P59" s="49" t="e">
        <f t="shared" si="34"/>
        <v>#VALUE!</v>
      </c>
      <c r="Q59" s="49" t="e">
        <f t="shared" si="34"/>
        <v>#VALUE!</v>
      </c>
      <c r="R59" s="49" t="e">
        <f t="shared" si="34"/>
        <v>#VALUE!</v>
      </c>
      <c r="S59" s="49" t="e">
        <f t="shared" si="34"/>
        <v>#VALUE!</v>
      </c>
      <c r="T59" s="49" t="e">
        <f t="shared" si="34"/>
        <v>#VALUE!</v>
      </c>
      <c r="U59" s="49" t="e">
        <f t="shared" si="34"/>
        <v>#VALUE!</v>
      </c>
      <c r="V59" s="49" t="e">
        <f t="shared" si="34"/>
        <v>#VALUE!</v>
      </c>
      <c r="W59" s="49" t="e">
        <f t="shared" si="34"/>
        <v>#VALUE!</v>
      </c>
      <c r="X59" s="49" t="e">
        <f t="shared" si="34"/>
        <v>#VALUE!</v>
      </c>
      <c r="Y59" s="49" t="e">
        <f t="shared" si="34"/>
        <v>#VALUE!</v>
      </c>
      <c r="Z59" s="49" t="e">
        <f t="shared" si="34"/>
        <v>#VALUE!</v>
      </c>
      <c r="AA59" s="49" t="e">
        <f t="shared" si="34"/>
        <v>#VALUE!</v>
      </c>
      <c r="AB59" s="49" t="e">
        <f t="shared" si="34"/>
        <v>#VALUE!</v>
      </c>
      <c r="AC59" s="49" t="e">
        <f t="shared" si="34"/>
        <v>#VALUE!</v>
      </c>
      <c r="AD59" s="49" t="e">
        <f t="shared" si="34"/>
        <v>#VALUE!</v>
      </c>
      <c r="AE59" s="49" t="e">
        <f t="shared" si="34"/>
        <v>#VALUE!</v>
      </c>
      <c r="AF59" s="49" t="e">
        <f t="shared" si="34"/>
        <v>#VALUE!</v>
      </c>
      <c r="AG59" s="49" t="e">
        <f t="shared" si="34"/>
        <v>#VALUE!</v>
      </c>
      <c r="AH59" s="49" t="e">
        <f t="shared" si="34"/>
        <v>#VALUE!</v>
      </c>
      <c r="AI59" s="49" t="e">
        <f t="shared" si="34"/>
        <v>#VALUE!</v>
      </c>
      <c r="AJ59" s="49" t="e">
        <f t="shared" si="34"/>
        <v>#VALUE!</v>
      </c>
      <c r="AK59" s="49" t="e">
        <f t="shared" si="34"/>
        <v>#VALUE!</v>
      </c>
      <c r="AL59" s="42"/>
      <c r="AM59" s="43">
        <v>43</v>
      </c>
      <c r="AN59">
        <v>1286.4948619981908</v>
      </c>
      <c r="AO59">
        <v>170.13861170804165</v>
      </c>
      <c r="AP59">
        <v>1347.8661970104793</v>
      </c>
      <c r="AQ59">
        <v>477.75445653367808</v>
      </c>
      <c r="AR59">
        <v>164.45720517669679</v>
      </c>
      <c r="AS59">
        <v>1749.2215309552118</v>
      </c>
      <c r="AT59">
        <v>75.754098798343747</v>
      </c>
      <c r="AU59">
        <v>275.5588053645962</v>
      </c>
      <c r="AV59"/>
      <c r="AW59"/>
      <c r="FY59" s="211">
        <v>54</v>
      </c>
      <c r="FZ59">
        <v>175.78637178687794</v>
      </c>
      <c r="GA59">
        <v>94.761191270087352</v>
      </c>
      <c r="GB59">
        <v>20.939653697075578</v>
      </c>
      <c r="GC59">
        <v>7.7173667463209785</v>
      </c>
      <c r="GD59">
        <v>3.5248654255916403</v>
      </c>
      <c r="GE59">
        <v>5.7617304620557057</v>
      </c>
      <c r="GF59">
        <v>18.026017736348116</v>
      </c>
      <c r="GG59">
        <v>21.689042467298712</v>
      </c>
      <c r="GH59">
        <v>28.047237533133504</v>
      </c>
      <c r="GI59">
        <v>67.594886530520469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 t="e">
        <f t="shared" si="27"/>
        <v>#VALUE!</v>
      </c>
      <c r="E60" s="19">
        <v>3.3105828673915851E-2</v>
      </c>
      <c r="F60" s="8"/>
      <c r="G60" s="49" t="e">
        <f>$E$60*$E$29*G45</f>
        <v>#VALUE!</v>
      </c>
      <c r="H60" s="49" t="e">
        <f t="shared" ref="H60:AK60" si="35">$E$60*$E$29*H45</f>
        <v>#VALUE!</v>
      </c>
      <c r="I60" s="49" t="e">
        <f t="shared" si="35"/>
        <v>#VALUE!</v>
      </c>
      <c r="J60" s="49" t="e">
        <f t="shared" si="35"/>
        <v>#VALUE!</v>
      </c>
      <c r="K60" s="49" t="e">
        <f t="shared" si="35"/>
        <v>#VALUE!</v>
      </c>
      <c r="L60" s="49" t="e">
        <f t="shared" si="35"/>
        <v>#VALUE!</v>
      </c>
      <c r="M60" s="49" t="e">
        <f t="shared" si="35"/>
        <v>#VALUE!</v>
      </c>
      <c r="N60" s="49" t="e">
        <f t="shared" si="35"/>
        <v>#VALUE!</v>
      </c>
      <c r="O60" s="49" t="e">
        <f t="shared" si="35"/>
        <v>#VALUE!</v>
      </c>
      <c r="P60" s="49" t="e">
        <f t="shared" si="35"/>
        <v>#VALUE!</v>
      </c>
      <c r="Q60" s="49" t="e">
        <f t="shared" si="35"/>
        <v>#VALUE!</v>
      </c>
      <c r="R60" s="49" t="e">
        <f t="shared" si="35"/>
        <v>#VALUE!</v>
      </c>
      <c r="S60" s="49" t="e">
        <f t="shared" si="35"/>
        <v>#VALUE!</v>
      </c>
      <c r="T60" s="49" t="e">
        <f t="shared" si="35"/>
        <v>#VALUE!</v>
      </c>
      <c r="U60" s="49" t="e">
        <f t="shared" si="35"/>
        <v>#VALUE!</v>
      </c>
      <c r="V60" s="49" t="e">
        <f t="shared" si="35"/>
        <v>#VALUE!</v>
      </c>
      <c r="W60" s="49" t="e">
        <f t="shared" si="35"/>
        <v>#VALUE!</v>
      </c>
      <c r="X60" s="49" t="e">
        <f t="shared" si="35"/>
        <v>#VALUE!</v>
      </c>
      <c r="Y60" s="49" t="e">
        <f t="shared" si="35"/>
        <v>#VALUE!</v>
      </c>
      <c r="Z60" s="49" t="e">
        <f t="shared" si="35"/>
        <v>#VALUE!</v>
      </c>
      <c r="AA60" s="49" t="e">
        <f t="shared" si="35"/>
        <v>#VALUE!</v>
      </c>
      <c r="AB60" s="49" t="e">
        <f t="shared" si="35"/>
        <v>#VALUE!</v>
      </c>
      <c r="AC60" s="49" t="e">
        <f t="shared" si="35"/>
        <v>#VALUE!</v>
      </c>
      <c r="AD60" s="49" t="e">
        <f t="shared" si="35"/>
        <v>#VALUE!</v>
      </c>
      <c r="AE60" s="49" t="e">
        <f t="shared" si="35"/>
        <v>#VALUE!</v>
      </c>
      <c r="AF60" s="49" t="e">
        <f t="shared" si="35"/>
        <v>#VALUE!</v>
      </c>
      <c r="AG60" s="49" t="e">
        <f t="shared" si="35"/>
        <v>#VALUE!</v>
      </c>
      <c r="AH60" s="49" t="e">
        <f t="shared" si="35"/>
        <v>#VALUE!</v>
      </c>
      <c r="AI60" s="49" t="e">
        <f t="shared" si="35"/>
        <v>#VALUE!</v>
      </c>
      <c r="AJ60" s="49" t="e">
        <f t="shared" si="35"/>
        <v>#VALUE!</v>
      </c>
      <c r="AK60" s="49" t="e">
        <f t="shared" si="35"/>
        <v>#VALUE!</v>
      </c>
      <c r="AL60" s="42"/>
      <c r="AM60" s="43">
        <v>44</v>
      </c>
      <c r="AN60">
        <v>1149.7083063784139</v>
      </c>
      <c r="AO60">
        <v>190.9360345571838</v>
      </c>
      <c r="AP60">
        <v>1601.8711960236949</v>
      </c>
      <c r="AQ60">
        <v>479.22067872412094</v>
      </c>
      <c r="AR60">
        <v>186.26993358213954</v>
      </c>
      <c r="AS60">
        <v>1853.4234208025362</v>
      </c>
      <c r="AT60">
        <v>97.823636531685267</v>
      </c>
      <c r="AU60">
        <v>253.89941976016485</v>
      </c>
      <c r="AV60"/>
      <c r="AW60"/>
      <c r="FY60" s="211">
        <v>55</v>
      </c>
      <c r="FZ60">
        <v>171.52814019720287</v>
      </c>
      <c r="GA60">
        <v>119.32810174316042</v>
      </c>
      <c r="GB60">
        <v>24.326516203329074</v>
      </c>
      <c r="GC60">
        <v>11.097936171919745</v>
      </c>
      <c r="GD60">
        <v>3.8252520215024211</v>
      </c>
      <c r="GE60">
        <v>3.8978266764090721</v>
      </c>
      <c r="GF60">
        <v>17.372436821682975</v>
      </c>
      <c r="GG60">
        <v>23.027554303739752</v>
      </c>
      <c r="GH60">
        <v>29.288280975814562</v>
      </c>
      <c r="GI60">
        <v>87.88780276607902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 t="e">
        <f t="shared" si="27"/>
        <v>#VALUE!</v>
      </c>
      <c r="E61" s="19">
        <v>3.5000000000000003E-2</v>
      </c>
      <c r="F61" s="8"/>
      <c r="G61" s="49" t="e">
        <f>$E$61*$E$30*G46</f>
        <v>#VALUE!</v>
      </c>
      <c r="H61" s="49" t="e">
        <f t="shared" ref="H61:AK61" si="36">$E$61*$E$30*H46</f>
        <v>#VALUE!</v>
      </c>
      <c r="I61" s="49" t="e">
        <f t="shared" si="36"/>
        <v>#VALUE!</v>
      </c>
      <c r="J61" s="49" t="e">
        <f t="shared" si="36"/>
        <v>#VALUE!</v>
      </c>
      <c r="K61" s="49" t="e">
        <f t="shared" si="36"/>
        <v>#VALUE!</v>
      </c>
      <c r="L61" s="49" t="e">
        <f t="shared" si="36"/>
        <v>#VALUE!</v>
      </c>
      <c r="M61" s="49" t="e">
        <f t="shared" si="36"/>
        <v>#VALUE!</v>
      </c>
      <c r="N61" s="49" t="e">
        <f t="shared" si="36"/>
        <v>#VALUE!</v>
      </c>
      <c r="O61" s="49" t="e">
        <f t="shared" si="36"/>
        <v>#VALUE!</v>
      </c>
      <c r="P61" s="49" t="e">
        <f t="shared" si="36"/>
        <v>#VALUE!</v>
      </c>
      <c r="Q61" s="49" t="e">
        <f t="shared" si="36"/>
        <v>#VALUE!</v>
      </c>
      <c r="R61" s="49" t="e">
        <f t="shared" si="36"/>
        <v>#VALUE!</v>
      </c>
      <c r="S61" s="49" t="e">
        <f t="shared" si="36"/>
        <v>#VALUE!</v>
      </c>
      <c r="T61" s="49" t="e">
        <f t="shared" si="36"/>
        <v>#VALUE!</v>
      </c>
      <c r="U61" s="49" t="e">
        <f t="shared" si="36"/>
        <v>#VALUE!</v>
      </c>
      <c r="V61" s="49" t="e">
        <f t="shared" si="36"/>
        <v>#VALUE!</v>
      </c>
      <c r="W61" s="49" t="e">
        <f t="shared" si="36"/>
        <v>#VALUE!</v>
      </c>
      <c r="X61" s="49" t="e">
        <f t="shared" si="36"/>
        <v>#VALUE!</v>
      </c>
      <c r="Y61" s="49" t="e">
        <f t="shared" si="36"/>
        <v>#VALUE!</v>
      </c>
      <c r="Z61" s="49" t="e">
        <f t="shared" si="36"/>
        <v>#VALUE!</v>
      </c>
      <c r="AA61" s="49" t="e">
        <f t="shared" si="36"/>
        <v>#VALUE!</v>
      </c>
      <c r="AB61" s="49" t="e">
        <f t="shared" si="36"/>
        <v>#VALUE!</v>
      </c>
      <c r="AC61" s="49" t="e">
        <f t="shared" si="36"/>
        <v>#VALUE!</v>
      </c>
      <c r="AD61" s="49" t="e">
        <f t="shared" si="36"/>
        <v>#VALUE!</v>
      </c>
      <c r="AE61" s="49" t="e">
        <f t="shared" si="36"/>
        <v>#VALUE!</v>
      </c>
      <c r="AF61" s="49" t="e">
        <f t="shared" si="36"/>
        <v>#VALUE!</v>
      </c>
      <c r="AG61" s="49" t="e">
        <f t="shared" si="36"/>
        <v>#VALUE!</v>
      </c>
      <c r="AH61" s="49" t="e">
        <f t="shared" si="36"/>
        <v>#VALUE!</v>
      </c>
      <c r="AI61" s="49" t="e">
        <f t="shared" si="36"/>
        <v>#VALUE!</v>
      </c>
      <c r="AJ61" s="49" t="e">
        <f t="shared" si="36"/>
        <v>#VALUE!</v>
      </c>
      <c r="AK61" s="49" t="e">
        <f t="shared" si="36"/>
        <v>#VALUE!</v>
      </c>
      <c r="AL61" s="42"/>
      <c r="AM61" s="43">
        <v>45</v>
      </c>
      <c r="AN61">
        <v>1297.7276881934904</v>
      </c>
      <c r="AO61">
        <v>203.35060151733498</v>
      </c>
      <c r="AP61">
        <v>1723.7806042282439</v>
      </c>
      <c r="AQ61">
        <v>433.55632373542426</v>
      </c>
      <c r="AR61">
        <v>196.45468648067163</v>
      </c>
      <c r="AS61">
        <v>2123.9724555724652</v>
      </c>
      <c r="AT61">
        <v>91.588883068891278</v>
      </c>
      <c r="AU61">
        <v>413.54243009283061</v>
      </c>
      <c r="AV61"/>
      <c r="AW61"/>
      <c r="FY61" s="211">
        <v>56</v>
      </c>
      <c r="FZ61">
        <v>116.08931650652991</v>
      </c>
      <c r="GA61">
        <v>107.55131701505907</v>
      </c>
      <c r="GB61">
        <v>27.24041803391475</v>
      </c>
      <c r="GC61">
        <v>9.4402915296177188</v>
      </c>
      <c r="GD61">
        <v>4.9631522234749799</v>
      </c>
      <c r="GE61">
        <v>7.5097184781437525</v>
      </c>
      <c r="GF61">
        <v>32.180487920093519</v>
      </c>
      <c r="GG61">
        <v>41.854621076543779</v>
      </c>
      <c r="GH61">
        <v>30.1006408620629</v>
      </c>
      <c r="GI61">
        <v>87.110758714469938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1020.6361916556674</v>
      </c>
      <c r="AO62">
        <v>168.04656006196359</v>
      </c>
      <c r="AP62">
        <v>1401.2994000375008</v>
      </c>
      <c r="AQ62">
        <v>458.50998641695247</v>
      </c>
      <c r="AR62">
        <v>164.81570162779116</v>
      </c>
      <c r="AS62">
        <v>1792.3205527553268</v>
      </c>
      <c r="AT62">
        <v>79.837371611728386</v>
      </c>
      <c r="AU62">
        <v>114.51254302818992</v>
      </c>
      <c r="AV62"/>
      <c r="AW62"/>
      <c r="FY62" s="211">
        <v>57</v>
      </c>
      <c r="FZ62">
        <v>127.41100241333359</v>
      </c>
      <c r="GA62">
        <v>118.93743041064064</v>
      </c>
      <c r="GB62">
        <v>39.735326758500143</v>
      </c>
      <c r="GC62">
        <v>9.0158022254336849</v>
      </c>
      <c r="GD62">
        <v>4.7913424241014777</v>
      </c>
      <c r="GE62">
        <v>8.8969234432215014</v>
      </c>
      <c r="GF62">
        <v>16.255122519573316</v>
      </c>
      <c r="GG62">
        <v>18.655931270441801</v>
      </c>
      <c r="GH62">
        <v>21.940023460429444</v>
      </c>
      <c r="GI62">
        <v>72.037336268830046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 t="e">
        <f>SUM(D52:D62)</f>
        <v>#VALUE!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935.19195281341376</v>
      </c>
      <c r="AO63">
        <v>151.56255195218992</v>
      </c>
      <c r="AP63">
        <v>1243.5524665343005</v>
      </c>
      <c r="AQ63">
        <v>374.06634790664339</v>
      </c>
      <c r="AR63">
        <v>148.25372681401203</v>
      </c>
      <c r="AS63">
        <v>1505.8425701999279</v>
      </c>
      <c r="AT63">
        <v>70.467129435189221</v>
      </c>
      <c r="AU63">
        <v>6.0139272987911596</v>
      </c>
      <c r="AV63"/>
      <c r="AW63"/>
      <c r="FY63" s="211">
        <v>58</v>
      </c>
      <c r="FZ63">
        <v>138.19830129650327</v>
      </c>
      <c r="GA63">
        <v>122.50021707829369</v>
      </c>
      <c r="GB63">
        <v>42.338949120727733</v>
      </c>
      <c r="GC63">
        <v>8.6219855947030624</v>
      </c>
      <c r="GD63">
        <v>2.7267840205398981</v>
      </c>
      <c r="GE63">
        <v>5.9276879480315383</v>
      </c>
      <c r="GF63">
        <v>22.931513315859139</v>
      </c>
      <c r="GG63">
        <v>28.512851232321715</v>
      </c>
      <c r="GH63">
        <v>23.449498212185997</v>
      </c>
      <c r="GI63">
        <v>77.807221732016728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1030.1559721281167</v>
      </c>
      <c r="AO64">
        <v>159.90568668021552</v>
      </c>
      <c r="AP64">
        <v>1339.9090453528402</v>
      </c>
      <c r="AQ64">
        <v>371.29123937203542</v>
      </c>
      <c r="AR64">
        <v>158.15912572704647</v>
      </c>
      <c r="AS64">
        <v>1644.9884316141056</v>
      </c>
      <c r="AT64">
        <v>76.708175719990578</v>
      </c>
      <c r="AU64">
        <v>179.38533252209487</v>
      </c>
      <c r="AV64"/>
      <c r="AW64"/>
      <c r="FY64" s="211">
        <v>59</v>
      </c>
      <c r="FZ64">
        <v>130.77404281962626</v>
      </c>
      <c r="GA64">
        <v>106.46480442959022</v>
      </c>
      <c r="GB64">
        <v>27.885909547636246</v>
      </c>
      <c r="GC64">
        <v>10.295077082985785</v>
      </c>
      <c r="GD64">
        <v>5.9578948601043766</v>
      </c>
      <c r="GE64">
        <v>6.790875330198368</v>
      </c>
      <c r="GF64">
        <v>31.505034880206328</v>
      </c>
      <c r="GG64">
        <v>40.764502756661592</v>
      </c>
      <c r="GH64">
        <v>19.609817514021724</v>
      </c>
      <c r="GI64">
        <v>84.003246520819829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1464.607025712095</v>
      </c>
      <c r="AO65">
        <v>183.43042217543433</v>
      </c>
      <c r="AP65">
        <v>1673.0223357407551</v>
      </c>
      <c r="AQ65">
        <v>725.04344159282073</v>
      </c>
      <c r="AR65">
        <v>185.38958999982697</v>
      </c>
      <c r="AS65">
        <v>1994.9596636101573</v>
      </c>
      <c r="AT65">
        <v>95.516854499670629</v>
      </c>
      <c r="AU65">
        <v>254.75365324993564</v>
      </c>
      <c r="AV65"/>
      <c r="AW65"/>
      <c r="FY65" s="211">
        <v>60</v>
      </c>
      <c r="FZ65">
        <v>120.53740288923176</v>
      </c>
      <c r="GA65">
        <v>112.65045648116377</v>
      </c>
      <c r="GB65">
        <v>33.996211553384619</v>
      </c>
      <c r="GC65">
        <v>7.5568510147702099</v>
      </c>
      <c r="GD65">
        <v>1.8638419424004891</v>
      </c>
      <c r="GE65">
        <v>3.7777142665208023</v>
      </c>
      <c r="GF65">
        <v>28.423855379629522</v>
      </c>
      <c r="GG65">
        <v>34.385702603749607</v>
      </c>
      <c r="GH65">
        <v>22.942785867267389</v>
      </c>
      <c r="GI65">
        <v>73.259238064475198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820.21266948489995</v>
      </c>
      <c r="AO66">
        <v>146.5525152628984</v>
      </c>
      <c r="AP66">
        <v>1296.4500536077473</v>
      </c>
      <c r="AQ66">
        <v>337.46314551352287</v>
      </c>
      <c r="AR66">
        <v>143.34335279064263</v>
      </c>
      <c r="AS66">
        <v>1363.9360129360196</v>
      </c>
      <c r="AT66">
        <v>70.766357106590263</v>
      </c>
      <c r="AU66">
        <v>85.723190294829351</v>
      </c>
      <c r="AV66"/>
      <c r="AW66"/>
      <c r="FY66" s="211">
        <v>61</v>
      </c>
      <c r="FZ66">
        <v>164.17159205928903</v>
      </c>
      <c r="GA66">
        <v>109.22135023644429</v>
      </c>
      <c r="GB66">
        <v>26.130202903043521</v>
      </c>
      <c r="GC66">
        <v>10.646770935025501</v>
      </c>
      <c r="GD66">
        <v>4.4804034768248702</v>
      </c>
      <c r="GE66">
        <v>3.9838517350407652</v>
      </c>
      <c r="GF66">
        <v>18.17592982305715</v>
      </c>
      <c r="GG66">
        <v>28.010751274506301</v>
      </c>
      <c r="GH66">
        <v>19.560204524972136</v>
      </c>
      <c r="GI66">
        <v>72.329782085852742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1123.0017867894096</v>
      </c>
      <c r="AO67">
        <v>175.653999811527</v>
      </c>
      <c r="AP67">
        <v>1508.7307563133832</v>
      </c>
      <c r="AQ67">
        <v>477.97124741131921</v>
      </c>
      <c r="AR67">
        <v>168.25749572777551</v>
      </c>
      <c r="AS67">
        <v>1701.1325709940058</v>
      </c>
      <c r="AT67">
        <v>79.081930625313575</v>
      </c>
      <c r="AU67">
        <v>186.11099226286871</v>
      </c>
      <c r="AV67"/>
      <c r="AW67"/>
      <c r="FY67" s="211">
        <v>62</v>
      </c>
      <c r="FZ67">
        <v>125.93616619037066</v>
      </c>
      <c r="GA67">
        <v>101.50747550932971</v>
      </c>
      <c r="GB67">
        <v>29.902511170911193</v>
      </c>
      <c r="GC67">
        <v>7.6630708631685609</v>
      </c>
      <c r="GD67">
        <v>3.2260164515870171</v>
      </c>
      <c r="GE67">
        <v>6.0326918666589471</v>
      </c>
      <c r="GF67">
        <v>48.788819904883312</v>
      </c>
      <c r="GG67">
        <v>61.668269150058329</v>
      </c>
      <c r="GH67">
        <v>26.770886993542298</v>
      </c>
      <c r="GI67">
        <v>86.994726252478316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1366.8499374481401</v>
      </c>
      <c r="AO68">
        <v>182.31639979549885</v>
      </c>
      <c r="AP68">
        <v>1547.7286638362355</v>
      </c>
      <c r="AQ68">
        <v>512.50655519731595</v>
      </c>
      <c r="AR68">
        <v>174.50822969866454</v>
      </c>
      <c r="AS68">
        <v>1924.197807674205</v>
      </c>
      <c r="AT68">
        <v>82.597266233233469</v>
      </c>
      <c r="AU68">
        <v>262.23845610121191</v>
      </c>
      <c r="AV68"/>
      <c r="AW68"/>
      <c r="FY68" s="211">
        <v>63</v>
      </c>
      <c r="FZ68">
        <v>156.98464317975817</v>
      </c>
      <c r="GA68">
        <v>104.51395021132495</v>
      </c>
      <c r="GB68">
        <v>29.4650702269088</v>
      </c>
      <c r="GC68">
        <v>8.8056894098267975</v>
      </c>
      <c r="GD68">
        <v>3.1268637577544602</v>
      </c>
      <c r="GE68">
        <v>6.1267964438644276</v>
      </c>
      <c r="GF68">
        <v>69.323325539954737</v>
      </c>
      <c r="GG68">
        <v>79.700732469685221</v>
      </c>
      <c r="GH68">
        <v>22.150277410682676</v>
      </c>
      <c r="GI68">
        <v>92.142986771724196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1340.3553421315676</v>
      </c>
      <c r="AO69">
        <v>183.93669987691544</v>
      </c>
      <c r="AP69">
        <v>1604.7731072617973</v>
      </c>
      <c r="AQ69">
        <v>494.96266345216793</v>
      </c>
      <c r="AR69">
        <v>176.96588410024037</v>
      </c>
      <c r="AS69">
        <v>1931.7524859008261</v>
      </c>
      <c r="AT69">
        <v>81.949164170990684</v>
      </c>
      <c r="AU69">
        <v>335.79310413191934</v>
      </c>
      <c r="AV69"/>
      <c r="AW69"/>
      <c r="FY69" s="211">
        <v>64</v>
      </c>
      <c r="FZ69">
        <v>103.16442733590584</v>
      </c>
      <c r="GA69">
        <v>120.85045243767134</v>
      </c>
      <c r="GB69">
        <v>34.911274209361792</v>
      </c>
      <c r="GC69">
        <v>8.6976854307828724</v>
      </c>
      <c r="GD69">
        <v>3.297359915089257</v>
      </c>
      <c r="GE69">
        <v>5.823856975617014</v>
      </c>
      <c r="GF69">
        <v>21.559716558112321</v>
      </c>
      <c r="GG69">
        <v>25.642569587946852</v>
      </c>
      <c r="GH69">
        <v>23.812872256740196</v>
      </c>
      <c r="GI69">
        <v>75.964688091430148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531.25000000000011</v>
      </c>
      <c r="E70" s="64"/>
      <c r="F70" s="64"/>
      <c r="G70" s="18">
        <f>AVERAGE(E228:E237)</f>
        <v>0</v>
      </c>
      <c r="H70" s="18">
        <f t="shared" ref="H70:AK70" si="39">AVERAGE(F228:F237)</f>
        <v>6.25</v>
      </c>
      <c r="I70" s="18">
        <f t="shared" si="39"/>
        <v>25.000000000000004</v>
      </c>
      <c r="J70" s="18">
        <f t="shared" si="39"/>
        <v>94.047619047619051</v>
      </c>
      <c r="K70" s="18">
        <f t="shared" si="39"/>
        <v>271.72619047619048</v>
      </c>
      <c r="L70" s="18">
        <f t="shared" si="39"/>
        <v>87.202380952380949</v>
      </c>
      <c r="M70" s="18">
        <f t="shared" si="39"/>
        <v>23.958333333333332</v>
      </c>
      <c r="N70" s="18">
        <f t="shared" si="39"/>
        <v>18.898809523809526</v>
      </c>
      <c r="O70" s="18">
        <f t="shared" si="39"/>
        <v>2.083333333333333</v>
      </c>
      <c r="P70" s="18">
        <f t="shared" si="39"/>
        <v>2.083333333333333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931.30605155393846</v>
      </c>
      <c r="AO70">
        <v>142.59967311449526</v>
      </c>
      <c r="AP70">
        <v>1203.6873518602513</v>
      </c>
      <c r="AQ70">
        <v>443.84836365530998</v>
      </c>
      <c r="AR70">
        <v>143.47374245985301</v>
      </c>
      <c r="AS70">
        <v>1513.3626906093778</v>
      </c>
      <c r="AT70">
        <v>74.630304565062957</v>
      </c>
      <c r="AU70">
        <v>83.84894876055337</v>
      </c>
      <c r="AV70"/>
      <c r="AW70"/>
      <c r="FY70" s="211">
        <v>65</v>
      </c>
      <c r="FZ70">
        <v>172.17880356462646</v>
      </c>
      <c r="GA70">
        <v>82.64748275331371</v>
      </c>
      <c r="GB70">
        <v>18.048531031971173</v>
      </c>
      <c r="GC70">
        <v>7.9508453734154267</v>
      </c>
      <c r="GD70">
        <v>4.0939632937026609</v>
      </c>
      <c r="GE70">
        <v>5.2878339136855672</v>
      </c>
      <c r="GF70">
        <v>32.746658676224882</v>
      </c>
      <c r="GG70">
        <v>46.106910797588505</v>
      </c>
      <c r="GH70">
        <v>26.130889505399153</v>
      </c>
      <c r="GI70">
        <v>81.829536829580704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823.13346171802061</v>
      </c>
      <c r="E71" s="64"/>
      <c r="F71" s="64"/>
      <c r="G71" s="18">
        <f>AVERAGE(E238:E247)</f>
        <v>12.5</v>
      </c>
      <c r="H71" s="18">
        <f t="shared" ref="H71:AK71" si="40">AVERAGE(F238:F247)</f>
        <v>64.047619047619051</v>
      </c>
      <c r="I71" s="18">
        <f t="shared" si="40"/>
        <v>214.53548085901025</v>
      </c>
      <c r="J71" s="18">
        <f t="shared" si="40"/>
        <v>326.61881419234362</v>
      </c>
      <c r="K71" s="18">
        <f t="shared" si="40"/>
        <v>134.52380952380955</v>
      </c>
      <c r="L71" s="18">
        <f t="shared" si="40"/>
        <v>42.886904761904759</v>
      </c>
      <c r="M71" s="18">
        <f t="shared" si="40"/>
        <v>25.9375</v>
      </c>
      <c r="N71" s="18">
        <f t="shared" si="40"/>
        <v>0</v>
      </c>
      <c r="O71" s="18">
        <f t="shared" si="40"/>
        <v>2.083333333333333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1187.6681199097955</v>
      </c>
      <c r="AO71">
        <v>219.02464913018116</v>
      </c>
      <c r="AP71">
        <v>1858.3183073119171</v>
      </c>
      <c r="AQ71">
        <v>491.57984788083991</v>
      </c>
      <c r="AR71">
        <v>207.66660939282824</v>
      </c>
      <c r="AS71">
        <v>2097.0765550404285</v>
      </c>
      <c r="AT71">
        <v>109.20210587756362</v>
      </c>
      <c r="AU71">
        <v>146.2524206961244</v>
      </c>
      <c r="AV71"/>
      <c r="AW71"/>
      <c r="FY71" s="211">
        <v>66</v>
      </c>
      <c r="FZ71">
        <v>84.069911734474005</v>
      </c>
      <c r="GA71">
        <v>75.595071300317571</v>
      </c>
      <c r="GB71">
        <v>29.751960477315539</v>
      </c>
      <c r="GC71">
        <v>7.7406192031543712</v>
      </c>
      <c r="GD71">
        <v>3.720502550297804</v>
      </c>
      <c r="GE71">
        <v>8.0245638284554293</v>
      </c>
      <c r="GF71">
        <v>26.542359100363988</v>
      </c>
      <c r="GG71">
        <v>30.154781235539495</v>
      </c>
      <c r="GH71">
        <v>8.9160008818058571</v>
      </c>
      <c r="GI71">
        <v>56.11255536654199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1588.9136904761901</v>
      </c>
      <c r="E72" s="64"/>
      <c r="F72" s="64"/>
      <c r="G72" s="18">
        <f>AVERAGE(E248:E257)</f>
        <v>113.20684523809523</v>
      </c>
      <c r="H72" s="18">
        <f t="shared" ref="H72:AK72" si="41">AVERAGE(F248:F257)</f>
        <v>521.76339285714289</v>
      </c>
      <c r="I72" s="18">
        <f t="shared" si="41"/>
        <v>427.10193452380946</v>
      </c>
      <c r="J72" s="18">
        <f t="shared" si="41"/>
        <v>333.38913690476181</v>
      </c>
      <c r="K72" s="18">
        <f t="shared" si="41"/>
        <v>126.78571428571426</v>
      </c>
      <c r="L72" s="18">
        <f t="shared" si="41"/>
        <v>58.333333333333336</v>
      </c>
      <c r="M72" s="18">
        <f t="shared" si="41"/>
        <v>7.2916666666666661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1.0416666666666665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1295.2352084127276</v>
      </c>
      <c r="AO72">
        <v>201.94022769273971</v>
      </c>
      <c r="AP72">
        <v>1687.2241988135634</v>
      </c>
      <c r="AQ72">
        <v>464.04072235991032</v>
      </c>
      <c r="AR72">
        <v>193.02277023613985</v>
      </c>
      <c r="AS72">
        <v>2090.0683023701345</v>
      </c>
      <c r="AT72">
        <v>92.992310096723529</v>
      </c>
      <c r="AU72">
        <v>255.01255539651848</v>
      </c>
      <c r="AV72"/>
      <c r="AW72"/>
      <c r="FY72" s="211">
        <v>67</v>
      </c>
      <c r="FZ72">
        <v>151.58800816616431</v>
      </c>
      <c r="GA72">
        <v>104.43011110066405</v>
      </c>
      <c r="GB72">
        <v>26.310913333494479</v>
      </c>
      <c r="GC72">
        <v>7.0967525753985177</v>
      </c>
      <c r="GD72">
        <v>2.8974567412285079</v>
      </c>
      <c r="GE72">
        <v>4.5922950483253979</v>
      </c>
      <c r="GF72">
        <v>30.103145254941275</v>
      </c>
      <c r="GG72">
        <v>37.546798491613579</v>
      </c>
      <c r="GH72">
        <v>21.133260048361006</v>
      </c>
      <c r="GI72">
        <v>79.436499908567313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2009.2693585150487</v>
      </c>
      <c r="E73" s="64"/>
      <c r="F73" s="64"/>
      <c r="G73" s="18">
        <f>AVERAGE(E258:E267)</f>
        <v>0</v>
      </c>
      <c r="H73" s="18">
        <f t="shared" ref="H73:AK73" si="42">AVERAGE(F258:F267)</f>
        <v>564.02838959412225</v>
      </c>
      <c r="I73" s="18">
        <f t="shared" si="42"/>
        <v>899.38520531192955</v>
      </c>
      <c r="J73" s="18">
        <f t="shared" si="42"/>
        <v>346.38285565009699</v>
      </c>
      <c r="K73" s="18">
        <f t="shared" si="42"/>
        <v>135.45775644374785</v>
      </c>
      <c r="L73" s="18">
        <f t="shared" si="42"/>
        <v>47.111742424242422</v>
      </c>
      <c r="M73" s="18">
        <f t="shared" si="42"/>
        <v>7.291666666666667</v>
      </c>
      <c r="N73" s="18">
        <f t="shared" si="42"/>
        <v>7.0075757575757578</v>
      </c>
      <c r="O73" s="18">
        <f t="shared" si="42"/>
        <v>2.604166666666667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1101.7024299593988</v>
      </c>
      <c r="AO73">
        <v>155.11339752858456</v>
      </c>
      <c r="AP73">
        <v>1227.8897965068854</v>
      </c>
      <c r="AQ73">
        <v>437.67624119450556</v>
      </c>
      <c r="AR73">
        <v>152.13607129488983</v>
      </c>
      <c r="AS73">
        <v>1709.9970257448886</v>
      </c>
      <c r="AT73">
        <v>70.874494199694439</v>
      </c>
      <c r="AU73">
        <v>79.223943771448091</v>
      </c>
      <c r="AV73"/>
      <c r="AW73"/>
      <c r="FY73" s="211">
        <v>68</v>
      </c>
      <c r="FZ73">
        <v>114.41004541042098</v>
      </c>
      <c r="GA73">
        <v>109.27612982092387</v>
      </c>
      <c r="GB73">
        <v>29.603222924430771</v>
      </c>
      <c r="GC73">
        <v>7.5712952416606427</v>
      </c>
      <c r="GD73">
        <v>3.9287366211993984</v>
      </c>
      <c r="GE73">
        <v>6.7173603246640941</v>
      </c>
      <c r="GF73">
        <v>30.793666405092104</v>
      </c>
      <c r="GG73">
        <v>34.635397233258196</v>
      </c>
      <c r="GH73">
        <v>24.471340990656451</v>
      </c>
      <c r="GI73">
        <v>73.462505088258013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960.9154271654271</v>
      </c>
      <c r="E74" s="64"/>
      <c r="F74" s="64"/>
      <c r="G74" s="18">
        <f>AVERAGE(E268:E277)</f>
        <v>0</v>
      </c>
      <c r="H74" s="18">
        <f t="shared" ref="H74:AK74" si="43">AVERAGE(F268:F277)</f>
        <v>196.5876181110556</v>
      </c>
      <c r="I74" s="18">
        <f t="shared" si="43"/>
        <v>349.83350995069742</v>
      </c>
      <c r="J74" s="18">
        <f t="shared" si="43"/>
        <v>290.49164521820774</v>
      </c>
      <c r="K74" s="18">
        <f t="shared" si="43"/>
        <v>70.542572300384805</v>
      </c>
      <c r="L74" s="18">
        <f t="shared" si="43"/>
        <v>14.393939393939391</v>
      </c>
      <c r="M74" s="18">
        <f t="shared" si="43"/>
        <v>6.7234848484848486</v>
      </c>
      <c r="N74" s="18">
        <f t="shared" si="43"/>
        <v>17.664627039627039</v>
      </c>
      <c r="O74" s="18">
        <f t="shared" si="43"/>
        <v>3.503787878787878</v>
      </c>
      <c r="P74" s="18">
        <f t="shared" si="43"/>
        <v>11.174242424242424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1187.108633694445</v>
      </c>
      <c r="AO74">
        <v>194.30899950675865</v>
      </c>
      <c r="AP74">
        <v>1741.3150181325591</v>
      </c>
      <c r="AQ74">
        <v>473.01500955118274</v>
      </c>
      <c r="AR74">
        <v>190.34685333914578</v>
      </c>
      <c r="AS74">
        <v>1836.518334289523</v>
      </c>
      <c r="AT74">
        <v>91.522257252258655</v>
      </c>
      <c r="AU74">
        <v>259.82391427658104</v>
      </c>
      <c r="AV74"/>
      <c r="AW74"/>
      <c r="FY74" s="211">
        <v>69</v>
      </c>
      <c r="FZ74">
        <v>154.30061388529364</v>
      </c>
      <c r="GA74">
        <v>135.81732042066747</v>
      </c>
      <c r="GB74">
        <v>42.869342302642266</v>
      </c>
      <c r="GC74">
        <v>9.1261604096255695</v>
      </c>
      <c r="GD74">
        <v>3.4776568822190832</v>
      </c>
      <c r="GE74">
        <v>5.560733768347955</v>
      </c>
      <c r="GF74">
        <v>6.0866376921820464</v>
      </c>
      <c r="GG74">
        <v>7.1351797563006913</v>
      </c>
      <c r="GH74">
        <v>28.358014046397404</v>
      </c>
      <c r="GI74">
        <v>69.548233269212218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1649.2561659157079</v>
      </c>
      <c r="E75" s="64"/>
      <c r="F75" s="64"/>
      <c r="G75" s="18">
        <f>AVERAGE(E278:E287)</f>
        <v>0</v>
      </c>
      <c r="H75" s="18">
        <f t="shared" ref="H75:AK75" si="44">AVERAGE(F278:F287)</f>
        <v>542.44353956007512</v>
      </c>
      <c r="I75" s="18">
        <f t="shared" si="44"/>
        <v>481.31000397801017</v>
      </c>
      <c r="J75" s="18">
        <f t="shared" si="44"/>
        <v>323.8782051282052</v>
      </c>
      <c r="K75" s="18">
        <f t="shared" si="44"/>
        <v>227.96474358974359</v>
      </c>
      <c r="L75" s="18">
        <f t="shared" si="44"/>
        <v>48.557692307692307</v>
      </c>
      <c r="M75" s="18">
        <f t="shared" si="44"/>
        <v>9.615384615384615</v>
      </c>
      <c r="N75" s="18">
        <f t="shared" si="44"/>
        <v>5.8493589743589736</v>
      </c>
      <c r="O75" s="18">
        <f t="shared" si="44"/>
        <v>3.7878787878787876</v>
      </c>
      <c r="P75" s="18">
        <f t="shared" si="44"/>
        <v>1.0416666666666665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4.8076923076923075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1311.0691158085478</v>
      </c>
      <c r="AO75">
        <v>202.76357320535212</v>
      </c>
      <c r="AP75">
        <v>1694.9461122471105</v>
      </c>
      <c r="AQ75">
        <v>464.05120574185071</v>
      </c>
      <c r="AR75">
        <v>194.66490351052903</v>
      </c>
      <c r="AS75">
        <v>1909.9712100970592</v>
      </c>
      <c r="AT75">
        <v>86.538168777610835</v>
      </c>
      <c r="AU75">
        <v>158.42010094765385</v>
      </c>
      <c r="AV75"/>
      <c r="AW75"/>
      <c r="FY75" s="211">
        <v>70</v>
      </c>
      <c r="FZ75">
        <v>91.411390325035711</v>
      </c>
      <c r="GA75">
        <v>89.18907859515565</v>
      </c>
      <c r="GB75">
        <v>29.064431408295253</v>
      </c>
      <c r="GC75">
        <v>6.2913993644902408</v>
      </c>
      <c r="GD75">
        <v>2.5647522375051448</v>
      </c>
      <c r="GE75">
        <v>5.318664524333288</v>
      </c>
      <c r="GF75">
        <v>32.628507822663501</v>
      </c>
      <c r="GG75">
        <v>44.812988503878508</v>
      </c>
      <c r="GH75">
        <v>20.272979188950174</v>
      </c>
      <c r="GI75">
        <v>71.846562749890509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477.26779513888891</v>
      </c>
      <c r="E76" s="64"/>
      <c r="F76" s="64"/>
      <c r="G76" s="18">
        <f>AVERAGE(E288:E297)</f>
        <v>8.1380208333333339</v>
      </c>
      <c r="H76" s="18">
        <f t="shared" ref="H76:AK76" si="45">AVERAGE(F288:F297)</f>
        <v>208.49609375000003</v>
      </c>
      <c r="I76" s="18">
        <f t="shared" si="45"/>
        <v>133.84331597222223</v>
      </c>
      <c r="J76" s="18">
        <f t="shared" si="45"/>
        <v>35.915798611111107</v>
      </c>
      <c r="K76" s="18">
        <f t="shared" si="45"/>
        <v>67.437065972222229</v>
      </c>
      <c r="L76" s="18">
        <f t="shared" si="45"/>
        <v>15.625</v>
      </c>
      <c r="M76" s="18">
        <f t="shared" si="45"/>
        <v>6.5104166666666661</v>
      </c>
      <c r="N76" s="18">
        <f t="shared" si="45"/>
        <v>1.3020833333333333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1101.1258168699271</v>
      </c>
      <c r="AO76">
        <v>152.63051265318592</v>
      </c>
      <c r="AP76">
        <v>1321.776511294016</v>
      </c>
      <c r="AQ76">
        <v>439.39406006259333</v>
      </c>
      <c r="AR76">
        <v>149.39957504279181</v>
      </c>
      <c r="AS76">
        <v>1707.0894787103218</v>
      </c>
      <c r="AT76">
        <v>72.543598437327944</v>
      </c>
      <c r="AU76">
        <v>242.11593934126182</v>
      </c>
      <c r="AV76"/>
      <c r="AW76"/>
      <c r="FY76" s="211">
        <v>71</v>
      </c>
      <c r="FZ76">
        <v>219.53377655185477</v>
      </c>
      <c r="GA76">
        <v>186.21027627231166</v>
      </c>
      <c r="GB76">
        <v>38.353324210741278</v>
      </c>
      <c r="GC76">
        <v>10.177171335523017</v>
      </c>
      <c r="GD76">
        <v>3.0339199946116508</v>
      </c>
      <c r="GE76">
        <v>5.7308592964149021</v>
      </c>
      <c r="GF76">
        <v>37.498470166103615</v>
      </c>
      <c r="GG76">
        <v>46.862677997136736</v>
      </c>
      <c r="GH76">
        <v>21.899389121191813</v>
      </c>
      <c r="GI76">
        <v>93.122620834606934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2950.3502415458934</v>
      </c>
      <c r="E77" s="64"/>
      <c r="F77" s="64"/>
      <c r="G77" s="18">
        <f>AVERAGE(E298:E307)</f>
        <v>111.48648648648648</v>
      </c>
      <c r="H77" s="18">
        <f t="shared" ref="H77:AK77" si="46">AVERAGE(F298:F307)</f>
        <v>607.61547567456455</v>
      </c>
      <c r="I77" s="18">
        <f t="shared" si="46"/>
        <v>1251.9911794310497</v>
      </c>
      <c r="J77" s="18">
        <f t="shared" si="46"/>
        <v>255.61658443827733</v>
      </c>
      <c r="K77" s="18">
        <f t="shared" si="46"/>
        <v>445.58495995996009</v>
      </c>
      <c r="L77" s="18">
        <f t="shared" si="46"/>
        <v>142.8472222222222</v>
      </c>
      <c r="M77" s="18">
        <f t="shared" si="46"/>
        <v>59.374999999999986</v>
      </c>
      <c r="N77" s="18">
        <f t="shared" si="46"/>
        <v>54.375</v>
      </c>
      <c r="O77" s="18">
        <f t="shared" si="46"/>
        <v>7.291666666666667</v>
      </c>
      <c r="P77" s="18">
        <f t="shared" si="46"/>
        <v>3.125</v>
      </c>
      <c r="Q77" s="18">
        <f t="shared" si="46"/>
        <v>6.875</v>
      </c>
      <c r="R77" s="18">
        <f t="shared" si="46"/>
        <v>1.0416666666666665</v>
      </c>
      <c r="S77" s="18">
        <f t="shared" si="46"/>
        <v>3.125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1042.5970513921493</v>
      </c>
      <c r="AO77">
        <v>152.87675853636915</v>
      </c>
      <c r="AP77">
        <v>1294.7413637552031</v>
      </c>
      <c r="AQ77">
        <v>456.71083905405629</v>
      </c>
      <c r="AR77">
        <v>148.2910829737867</v>
      </c>
      <c r="AS77">
        <v>1554.0614771239318</v>
      </c>
      <c r="AT77">
        <v>71.702476519044083</v>
      </c>
      <c r="AU77">
        <v>-39.861220499271624</v>
      </c>
      <c r="AV77"/>
      <c r="AW77"/>
      <c r="FY77" s="211">
        <v>72</v>
      </c>
      <c r="FZ77">
        <v>125.69875908526259</v>
      </c>
      <c r="GA77">
        <v>66.347820674363206</v>
      </c>
      <c r="GB77">
        <v>22.617212976479873</v>
      </c>
      <c r="GC77">
        <v>8.7686810017656143</v>
      </c>
      <c r="GD77">
        <v>3.2895605431924606</v>
      </c>
      <c r="GE77">
        <v>5.6416911420398996</v>
      </c>
      <c r="GF77">
        <v>48.004252159706326</v>
      </c>
      <c r="GG77">
        <v>55.397084367903531</v>
      </c>
      <c r="GH77">
        <v>17.097013412207037</v>
      </c>
      <c r="GI77">
        <v>72.498763702156708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735.33118394430073</v>
      </c>
      <c r="E78" s="64"/>
      <c r="F78" s="64"/>
      <c r="G78" s="18">
        <f>AVERAGE(E308:E317)</f>
        <v>0</v>
      </c>
      <c r="H78" s="18">
        <f t="shared" ref="H78:AK78" si="47">AVERAGE(F308:F317)</f>
        <v>26.444667559125389</v>
      </c>
      <c r="I78" s="18">
        <f t="shared" si="47"/>
        <v>105.95807343311057</v>
      </c>
      <c r="J78" s="18">
        <f t="shared" si="47"/>
        <v>256.88013251090899</v>
      </c>
      <c r="K78" s="18">
        <f t="shared" si="47"/>
        <v>146.08704168707882</v>
      </c>
      <c r="L78" s="18">
        <f t="shared" si="47"/>
        <v>102.83825288106109</v>
      </c>
      <c r="M78" s="18">
        <f t="shared" si="47"/>
        <v>59.573412698412675</v>
      </c>
      <c r="N78" s="18">
        <f t="shared" si="47"/>
        <v>31.299603174603174</v>
      </c>
      <c r="O78" s="18">
        <f t="shared" si="47"/>
        <v>2.083333333333333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2.083333333333333</v>
      </c>
      <c r="V78" s="18">
        <f t="shared" si="47"/>
        <v>2.083333333333333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1304.6978332597728</v>
      </c>
      <c r="AO78">
        <v>169.22445700141304</v>
      </c>
      <c r="AP78">
        <v>1494.3843914803833</v>
      </c>
      <c r="AQ78">
        <v>498.49063435298837</v>
      </c>
      <c r="AR78">
        <v>165.3204679738418</v>
      </c>
      <c r="AS78">
        <v>1864.0384853819394</v>
      </c>
      <c r="AT78">
        <v>78.386263086884256</v>
      </c>
      <c r="AU78">
        <v>179.68722962667525</v>
      </c>
      <c r="AV78"/>
      <c r="AW78"/>
      <c r="FY78" s="211">
        <v>73</v>
      </c>
      <c r="FZ78">
        <v>123.22964397693953</v>
      </c>
      <c r="GA78">
        <v>130.28786273309879</v>
      </c>
      <c r="GB78">
        <v>34.545439755709211</v>
      </c>
      <c r="GC78">
        <v>7.0317604596228573</v>
      </c>
      <c r="GD78">
        <v>3.8560619951529045</v>
      </c>
      <c r="GE78">
        <v>6.6885470688572273</v>
      </c>
      <c r="GF78">
        <v>16.771286857981167</v>
      </c>
      <c r="GG78">
        <v>20.431375531073055</v>
      </c>
      <c r="GH78">
        <v>21.875985173479489</v>
      </c>
      <c r="GI78">
        <v>78.574830294704199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250.47349786420983</v>
      </c>
      <c r="E79" s="64"/>
      <c r="F79" s="64"/>
      <c r="G79" s="18">
        <f>AVERAGE(E318:E327)</f>
        <v>7.7570921985815602</v>
      </c>
      <c r="H79" s="18">
        <f t="shared" ref="H79:AK79" si="48">AVERAGE(F318:F327)</f>
        <v>53.779346279196815</v>
      </c>
      <c r="I79" s="18">
        <f t="shared" si="48"/>
        <v>88.78477570788273</v>
      </c>
      <c r="J79" s="18">
        <f t="shared" si="48"/>
        <v>69.156073137594703</v>
      </c>
      <c r="K79" s="18">
        <f t="shared" si="48"/>
        <v>20.114118342372411</v>
      </c>
      <c r="L79" s="18">
        <f t="shared" si="48"/>
        <v>0</v>
      </c>
      <c r="M79" s="18">
        <f t="shared" si="48"/>
        <v>7.7570921985815602</v>
      </c>
      <c r="N79" s="18">
        <f t="shared" si="48"/>
        <v>0</v>
      </c>
      <c r="O79" s="18">
        <f t="shared" si="48"/>
        <v>0</v>
      </c>
      <c r="P79" s="18">
        <f t="shared" si="48"/>
        <v>3.125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1573.3099663602859</v>
      </c>
      <c r="AO79">
        <v>191.88299637695198</v>
      </c>
      <c r="AP79">
        <v>1671.3706689409398</v>
      </c>
      <c r="AQ79">
        <v>572.34033542148438</v>
      </c>
      <c r="AR79">
        <v>187.14268454001316</v>
      </c>
      <c r="AS79">
        <v>2050.5016829752508</v>
      </c>
      <c r="AT79">
        <v>83.849708406078378</v>
      </c>
      <c r="AU79">
        <v>519.73972403397761</v>
      </c>
      <c r="AV79"/>
      <c r="AW79"/>
      <c r="FY79" s="211">
        <v>74</v>
      </c>
      <c r="FZ79">
        <v>63.376301471414884</v>
      </c>
      <c r="GA79">
        <v>87.423297212090191</v>
      </c>
      <c r="GB79">
        <v>38.600845197983709</v>
      </c>
      <c r="GC79">
        <v>8.4004582916298016</v>
      </c>
      <c r="GD79">
        <v>3.6552157247402719</v>
      </c>
      <c r="GE79">
        <v>6.2191723069762661</v>
      </c>
      <c r="GF79">
        <v>26.356906227247993</v>
      </c>
      <c r="GG79">
        <v>33.566745966623834</v>
      </c>
      <c r="GH79">
        <v>32.030416311405155</v>
      </c>
      <c r="GI79">
        <v>71.549924197472109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1159.9825087881075</v>
      </c>
      <c r="AO80">
        <v>187.5485460973527</v>
      </c>
      <c r="AP80">
        <v>1607.4208272945004</v>
      </c>
      <c r="AQ80">
        <v>423.72490279865764</v>
      </c>
      <c r="AR80">
        <v>179.08498469864455</v>
      </c>
      <c r="AS80">
        <v>1800.3419559062111</v>
      </c>
      <c r="AT80">
        <v>87.435702797417036</v>
      </c>
      <c r="AU80">
        <v>265.65093828490035</v>
      </c>
      <c r="AV80"/>
      <c r="AW80"/>
      <c r="FY80" s="211">
        <v>75</v>
      </c>
      <c r="FZ80">
        <v>186.72131051750088</v>
      </c>
      <c r="GA80">
        <v>171.42289431777689</v>
      </c>
      <c r="GB80">
        <v>44.950296214618021</v>
      </c>
      <c r="GC80">
        <v>8.4784688515319573</v>
      </c>
      <c r="GD80">
        <v>2.462389737440855</v>
      </c>
      <c r="GE80">
        <v>5.3179636825769769</v>
      </c>
      <c r="GF80">
        <v>26.71610648401618</v>
      </c>
      <c r="GG80">
        <v>34.12617595668663</v>
      </c>
      <c r="GH80">
        <v>21.367919125056019</v>
      </c>
      <c r="GI80">
        <v>80.104611421478268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1155.7939043115921</v>
      </c>
      <c r="AO81">
        <v>175.08318880889971</v>
      </c>
      <c r="AP81">
        <v>1342.6170293943003</v>
      </c>
      <c r="AQ81">
        <v>477.02145573950821</v>
      </c>
      <c r="AR81">
        <v>174.92560569702135</v>
      </c>
      <c r="AS81">
        <v>1787.1576564344145</v>
      </c>
      <c r="AT81">
        <v>84.850202067867897</v>
      </c>
      <c r="AU81">
        <v>113.23651629587145</v>
      </c>
      <c r="AV81"/>
      <c r="AW81"/>
      <c r="FY81" s="211">
        <v>76</v>
      </c>
      <c r="FZ81">
        <v>99.228278700362125</v>
      </c>
      <c r="GA81">
        <v>127.27912547901903</v>
      </c>
      <c r="GB81">
        <v>35.503067698073814</v>
      </c>
      <c r="GC81">
        <v>8.6290779447809491</v>
      </c>
      <c r="GD81">
        <v>4.647245607151687</v>
      </c>
      <c r="GE81">
        <v>5.8605182393734019</v>
      </c>
      <c r="GF81">
        <v>42.507009668718432</v>
      </c>
      <c r="GG81">
        <v>51.631339034386556</v>
      </c>
      <c r="GH81">
        <v>14.51145781756229</v>
      </c>
      <c r="GI81">
        <v>80.743298012402889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943.69220744126471</v>
      </c>
      <c r="AO82">
        <v>109.36504280601825</v>
      </c>
      <c r="AP82">
        <v>905.81346714339736</v>
      </c>
      <c r="AQ82">
        <v>330.62832567826609</v>
      </c>
      <c r="AR82">
        <v>104.44918806726201</v>
      </c>
      <c r="AS82">
        <v>1183.1062626034518</v>
      </c>
      <c r="AT82">
        <v>47.426489505449467</v>
      </c>
      <c r="AU82">
        <v>170.58920410647977</v>
      </c>
      <c r="AV82"/>
      <c r="AW82"/>
      <c r="FY82" s="211">
        <v>77</v>
      </c>
      <c r="FZ82">
        <v>191.1933453843977</v>
      </c>
      <c r="GA82">
        <v>152.80540522462502</v>
      </c>
      <c r="GB82">
        <v>32.125662586477979</v>
      </c>
      <c r="GC82">
        <v>8.3862188932784782</v>
      </c>
      <c r="GD82">
        <v>4.2399670110647536</v>
      </c>
      <c r="GE82">
        <v>6.3520855485733163</v>
      </c>
      <c r="GF82">
        <v>24.564247895889562</v>
      </c>
      <c r="GG82">
        <v>32.16796908971407</v>
      </c>
      <c r="GH82">
        <v>21.034523254761492</v>
      </c>
      <c r="GI82">
        <v>73.277689034695456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1127.2927896023537</v>
      </c>
      <c r="AO83">
        <v>170.16272455845214</v>
      </c>
      <c r="AP83">
        <v>1371.0209472639638</v>
      </c>
      <c r="AQ83">
        <v>465.13524066875846</v>
      </c>
      <c r="AR83">
        <v>166.61819444423273</v>
      </c>
      <c r="AS83">
        <v>1796.0214457402747</v>
      </c>
      <c r="AT83">
        <v>83.860678483311816</v>
      </c>
      <c r="AU83">
        <v>288.14080186965759</v>
      </c>
      <c r="AV83"/>
      <c r="AW83"/>
      <c r="FY83" s="211">
        <v>78</v>
      </c>
      <c r="FZ83">
        <v>101.54163618064111</v>
      </c>
      <c r="GA83">
        <v>57.386679534544776</v>
      </c>
      <c r="GB83">
        <v>22.010695437392567</v>
      </c>
      <c r="GC83">
        <v>6.6760385729310538</v>
      </c>
      <c r="GD83">
        <v>3.2463428984179625</v>
      </c>
      <c r="GE83">
        <v>6.6953800473168794</v>
      </c>
      <c r="GF83">
        <v>49.614242563189713</v>
      </c>
      <c r="GG83">
        <v>61.093505053251278</v>
      </c>
      <c r="GH83">
        <v>22.298326890707504</v>
      </c>
      <c r="GI83">
        <v>80.207664906806798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1149.465231126949</v>
      </c>
      <c r="AO84">
        <v>162.14701442156712</v>
      </c>
      <c r="AP84">
        <v>1311.2636708316934</v>
      </c>
      <c r="AQ84">
        <v>434.86970006056453</v>
      </c>
      <c r="AR84">
        <v>157.68518715638223</v>
      </c>
      <c r="AS84">
        <v>1747.8140738650263</v>
      </c>
      <c r="AT84">
        <v>72.058681320922958</v>
      </c>
      <c r="AU84">
        <v>199.01488401475262</v>
      </c>
      <c r="AV84"/>
      <c r="AW84"/>
      <c r="AX84" s="157" t="s">
        <v>111</v>
      </c>
      <c r="CJ84" s="157" t="s">
        <v>112</v>
      </c>
      <c r="FY84" s="211">
        <v>79</v>
      </c>
      <c r="FZ84">
        <v>117.82744150398005</v>
      </c>
      <c r="GA84">
        <v>143.70020162084197</v>
      </c>
      <c r="GB84">
        <v>48.409191040628706</v>
      </c>
      <c r="GC84">
        <v>11.570981288628044</v>
      </c>
      <c r="GD84">
        <v>4.2799340653519824</v>
      </c>
      <c r="GE84">
        <v>5.4946672723390044</v>
      </c>
      <c r="GF84">
        <v>22.318698962291574</v>
      </c>
      <c r="GG84">
        <v>28.509495190259081</v>
      </c>
      <c r="GH84">
        <v>25.957076835413773</v>
      </c>
      <c r="GI84">
        <v>87.187484840840995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1013.9730706616413</v>
      </c>
      <c r="AO85">
        <v>163.48445555735859</v>
      </c>
      <c r="AP85">
        <v>1406.1187923219304</v>
      </c>
      <c r="AQ85">
        <v>462.2798924328884</v>
      </c>
      <c r="AR85">
        <v>160.16211477149659</v>
      </c>
      <c r="AS85">
        <v>1663.8323123993446</v>
      </c>
      <c r="AT85">
        <v>82.297230494812652</v>
      </c>
      <c r="AU85">
        <v>-24.049001209317282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105.45338401795142</v>
      </c>
      <c r="GA85">
        <v>85.270966992315095</v>
      </c>
      <c r="GB85">
        <v>26.279074212372038</v>
      </c>
      <c r="GC85">
        <v>9.6978305002491485</v>
      </c>
      <c r="GD85">
        <v>3.3893554442845861</v>
      </c>
      <c r="GE85">
        <v>4.1073825211038972</v>
      </c>
      <c r="GF85">
        <v>43.547427886515401</v>
      </c>
      <c r="GG85">
        <v>55.139847185103456</v>
      </c>
      <c r="GH85">
        <v>29.067159474688921</v>
      </c>
      <c r="GI85">
        <v>86.776343821848698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1073.4643839325281</v>
      </c>
      <c r="AO86">
        <v>146.41973098089318</v>
      </c>
      <c r="AP86">
        <v>1266.7311184811697</v>
      </c>
      <c r="AQ86">
        <v>393.40075472019794</v>
      </c>
      <c r="AR86">
        <v>141.72502447707333</v>
      </c>
      <c r="AS86">
        <v>1549.1167838872273</v>
      </c>
      <c r="AT86">
        <v>67.858721648284288</v>
      </c>
      <c r="AU86">
        <v>149.61981186606806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8" t="s">
        <v>123</v>
      </c>
      <c r="CX86" s="22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114.06657301877276</v>
      </c>
      <c r="GA86">
        <v>109.38538564750762</v>
      </c>
      <c r="GB86">
        <v>24.753606980127024</v>
      </c>
      <c r="GC86">
        <v>7.532844647013003</v>
      </c>
      <c r="GD86">
        <v>4.4126410830305671</v>
      </c>
      <c r="GE86">
        <v>7.204547472122167</v>
      </c>
      <c r="GF86">
        <v>43.554448425299739</v>
      </c>
      <c r="GG86">
        <v>55.688486869330674</v>
      </c>
      <c r="GH86">
        <v>29.661338384836817</v>
      </c>
      <c r="GI86">
        <v>82.891734654097434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1382.3295227449948</v>
      </c>
      <c r="AO87">
        <v>182.58251989791538</v>
      </c>
      <c r="AP87">
        <v>1583.3322501749071</v>
      </c>
      <c r="AQ87">
        <v>662.42248578049634</v>
      </c>
      <c r="AR87">
        <v>175.124621848359</v>
      </c>
      <c r="AS87">
        <v>2089.5042177221244</v>
      </c>
      <c r="AT87">
        <v>85.610954311264706</v>
      </c>
      <c r="AU87">
        <v>52.678832020207778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145.09456333761452</v>
      </c>
      <c r="GA87">
        <v>87.84765575833498</v>
      </c>
      <c r="GB87">
        <v>22.348508232876828</v>
      </c>
      <c r="GC87">
        <v>9.7563509684132779</v>
      </c>
      <c r="GD87">
        <v>4.5092741988901199</v>
      </c>
      <c r="GE87">
        <v>7.0374115063449132</v>
      </c>
      <c r="GF87">
        <v>24.780022419954392</v>
      </c>
      <c r="GG87">
        <v>30.873767455419411</v>
      </c>
      <c r="GH87">
        <v>30.588140601914727</v>
      </c>
      <c r="GI87">
        <v>81.246577396990673</v>
      </c>
      <c r="GJ87"/>
      <c r="GK87"/>
      <c r="GL87"/>
      <c r="GM87"/>
    </row>
    <row r="88" spans="1:195" s="7" customFormat="1">
      <c r="A88" s="128"/>
      <c r="B88" s="76">
        <f t="shared" ref="B88:B119" ca="1" si="49">IF(C88="", "", RAND())</f>
        <v>0.19794151973955765</v>
      </c>
      <c r="C88">
        <v>6</v>
      </c>
      <c r="D88">
        <v>39646</v>
      </c>
      <c r="E88">
        <v>0</v>
      </c>
      <c r="F88">
        <v>0</v>
      </c>
      <c r="G88">
        <v>24.038461538461537</v>
      </c>
      <c r="H88">
        <v>443.91025641025635</v>
      </c>
      <c r="I88">
        <v>407.0512820512821</v>
      </c>
      <c r="J88">
        <v>10.416666666666666</v>
      </c>
      <c r="K88">
        <v>10.416666666666666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1196.6499962786061</v>
      </c>
      <c r="AO88">
        <v>149.93491052626555</v>
      </c>
      <c r="AP88">
        <v>1301.1527759159662</v>
      </c>
      <c r="AQ88">
        <v>425.36083906507724</v>
      </c>
      <c r="AR88">
        <v>147.91454492914514</v>
      </c>
      <c r="AS88">
        <v>1642.0451903096407</v>
      </c>
      <c r="AT88">
        <v>64.959144168955689</v>
      </c>
      <c r="AU88">
        <v>266.15763638956093</v>
      </c>
      <c r="AV88"/>
      <c r="AW88"/>
      <c r="AX88" s="128"/>
      <c r="AY88" s="76">
        <f ca="1">IF(AZ88="", "", RAND())</f>
        <v>0.54338199839036916</v>
      </c>
      <c r="AZ88">
        <v>1</v>
      </c>
      <c r="BA88" s="129">
        <f>IF(AZ88="", "",$C$4)</f>
        <v>39646</v>
      </c>
      <c r="BB88">
        <v>0</v>
      </c>
      <c r="BC88"/>
      <c r="BD88"/>
      <c r="BE88">
        <v>3</v>
      </c>
      <c r="BF88">
        <v>7</v>
      </c>
      <c r="BG88">
        <v>13</v>
      </c>
      <c r="BH88">
        <v>19</v>
      </c>
      <c r="BI88">
        <v>7</v>
      </c>
      <c r="BJ88">
        <v>2</v>
      </c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0.53023982706360095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1</v>
      </c>
      <c r="CP88">
        <v>4</v>
      </c>
      <c r="CQ88">
        <v>7</v>
      </c>
      <c r="CR88">
        <v>3</v>
      </c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0.57809082054728389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20.833333333333332</v>
      </c>
      <c r="DH88" s="161">
        <f t="shared" si="52"/>
        <v>83.333333333333329</v>
      </c>
      <c r="DI88" s="161">
        <f t="shared" si="52"/>
        <v>177.08333333333334</v>
      </c>
      <c r="DJ88" s="161">
        <f t="shared" si="52"/>
        <v>135.41666666666666</v>
      </c>
      <c r="DK88" s="161">
        <f t="shared" si="52"/>
        <v>135.41666666666666</v>
      </c>
      <c r="DL88" s="161">
        <f t="shared" si="52"/>
        <v>197.91666666666666</v>
      </c>
      <c r="DM88" s="161">
        <f t="shared" si="52"/>
        <v>72.916666666666671</v>
      </c>
      <c r="DN88" s="161">
        <f t="shared" ref="DN88:EJ88" si="53">IF($AZ88="", "", (BJ88*$CW88)/$CZ88)</f>
        <v>20.833333333333332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843.74999999999989</v>
      </c>
      <c r="EL88" s="149"/>
      <c r="EN88" s="146"/>
      <c r="EO88" s="146"/>
      <c r="EP88" s="139" t="e">
        <f t="shared" ref="EP88:EP119" si="55">IF(DF88="", "", DF88*G$36)</f>
        <v>#VALUE!</v>
      </c>
      <c r="EQ88" s="139" t="e">
        <f t="shared" ref="EQ88:EQ119" si="56">IF(DG88="", "", DG88*H$36)</f>
        <v>#VALUE!</v>
      </c>
      <c r="ER88" s="139" t="e">
        <f t="shared" ref="ER88:ER119" si="57">IF(DH88="", "", DH88*I$36)</f>
        <v>#VALUE!</v>
      </c>
      <c r="ES88" s="139" t="e">
        <f t="shared" ref="ES88:ES119" si="58">IF(DI88="", "", DI88*J$36)</f>
        <v>#VALUE!</v>
      </c>
      <c r="ET88" s="139" t="e">
        <f t="shared" ref="ET88:ET119" si="59">IF(DJ88="", "", DJ88*K$36)</f>
        <v>#VALUE!</v>
      </c>
      <c r="EU88" s="139" t="e">
        <f t="shared" ref="EU88:EU119" si="60">IF(DK88="", "", DK88*L$36)</f>
        <v>#VALUE!</v>
      </c>
      <c r="EV88" s="139" t="e">
        <f t="shared" ref="EV88:EV119" si="61">IF(DL88="", "", DL88*M$36)</f>
        <v>#VALUE!</v>
      </c>
      <c r="EW88" s="139" t="e">
        <f t="shared" ref="EW88:EW119" si="62">IF(DM88="", "", DM88*N$36)</f>
        <v>#VALUE!</v>
      </c>
      <c r="EX88" s="139" t="e">
        <f t="shared" ref="EX88:EX119" si="63">IF(DN88="", "", DN88*O$36)</f>
        <v>#VALUE!</v>
      </c>
      <c r="EY88" s="139" t="e">
        <f t="shared" ref="EY88:EY119" si="64">IF(DO88="", "", DO88*P$36)</f>
        <v>#VALUE!</v>
      </c>
      <c r="EZ88" s="139" t="e">
        <f t="shared" ref="EZ88:EZ119" si="65">IF(DP88="", "", DP88*Q$36)</f>
        <v>#VALUE!</v>
      </c>
      <c r="FA88" s="139" t="e">
        <f t="shared" ref="FA88:FA119" si="66">IF(DQ88="", "", DQ88*R$36)</f>
        <v>#VALUE!</v>
      </c>
      <c r="FB88" s="139" t="e">
        <f t="shared" ref="FB88:FB119" si="67">IF(DR88="", "", DR88*S$36)</f>
        <v>#VALUE!</v>
      </c>
      <c r="FC88" s="139" t="e">
        <f t="shared" ref="FC88:FC119" si="68">IF(DS88="", "", DS88*T$36)</f>
        <v>#VALUE!</v>
      </c>
      <c r="FD88" s="139" t="e">
        <f t="shared" ref="FD88:FD119" si="69">IF(DT88="", "", DT88*U$36)</f>
        <v>#VALUE!</v>
      </c>
      <c r="FE88" s="139" t="e">
        <f t="shared" ref="FE88:FE119" si="70">IF(DU88="", "", DU88*V$36)</f>
        <v>#VALUE!</v>
      </c>
      <c r="FF88" s="139" t="e">
        <f t="shared" ref="FF88:FF119" si="71">IF(DV88="", "", DV88*W$36)</f>
        <v>#VALUE!</v>
      </c>
      <c r="FG88" s="139" t="e">
        <f t="shared" ref="FG88:FG119" si="72">IF(DW88="", "", DW88*X$36)</f>
        <v>#VALUE!</v>
      </c>
      <c r="FH88" s="139" t="e">
        <f t="shared" ref="FH88:FH119" si="73">IF(DX88="", "", DX88*Y$36)</f>
        <v>#VALUE!</v>
      </c>
      <c r="FI88" s="139" t="e">
        <f t="shared" ref="FI88:FI119" si="74">IF(DY88="", "", DY88*Z$36)</f>
        <v>#VALUE!</v>
      </c>
      <c r="FJ88" s="139" t="e">
        <f t="shared" ref="FJ88:FJ119" si="75">IF(DZ88="", "", DZ88*AA$36)</f>
        <v>#VALUE!</v>
      </c>
      <c r="FK88" s="139" t="e">
        <f t="shared" ref="FK88:FK119" si="76">IF(EA88="", "", EA88*AB$36)</f>
        <v>#VALUE!</v>
      </c>
      <c r="FL88" s="139" t="e">
        <f t="shared" ref="FL88:FL119" si="77">IF(EB88="", "", EB88*AC$36)</f>
        <v>#VALUE!</v>
      </c>
      <c r="FM88" s="139" t="e">
        <f t="shared" ref="FM88:FM119" si="78">IF(EC88="", "", EC88*AD$36)</f>
        <v>#VALUE!</v>
      </c>
      <c r="FN88" s="139" t="e">
        <f t="shared" ref="FN88:FN119" si="79">IF(ED88="", "", ED88*AE$36)</f>
        <v>#VALUE!</v>
      </c>
      <c r="FO88" s="139" t="e">
        <f t="shared" ref="FO88:FO119" si="80">IF(EE88="", "", EE88*AF$36)</f>
        <v>#VALUE!</v>
      </c>
      <c r="FP88" s="139" t="e">
        <f t="shared" ref="FP88:FP119" si="81">IF(EF88="", "", EF88*AG$36)</f>
        <v>#VALUE!</v>
      </c>
      <c r="FQ88" s="139" t="e">
        <f t="shared" ref="FQ88:FQ119" si="82">IF(EG88="", "", EG88*AH$36)</f>
        <v>#VALUE!</v>
      </c>
      <c r="FR88" s="139" t="e">
        <f t="shared" ref="FR88:FR119" si="83">IF(EH88="", "", EH88*AI$36)</f>
        <v>#VALUE!</v>
      </c>
      <c r="FS88" s="139" t="e">
        <f t="shared" ref="FS88:FS119" si="84">IF(EI88="", "", EI88*AJ$36)</f>
        <v>#VALUE!</v>
      </c>
      <c r="FT88" s="139" t="e">
        <f t="shared" ref="FT88:FT119" si="85">IF(EJ88="", "", EJ88*AK$36)</f>
        <v>#VALUE!</v>
      </c>
      <c r="FU88" s="148" t="e">
        <f t="shared" ref="FU88:FU119" si="86">IF(EP88="","",SUM(EP88:FT88))</f>
        <v>#VALUE!</v>
      </c>
      <c r="FV88" s="149"/>
      <c r="FY88" s="211">
        <v>83</v>
      </c>
      <c r="FZ88">
        <v>166.67697758962228</v>
      </c>
      <c r="GA88">
        <v>86.957453590462521</v>
      </c>
      <c r="GB88">
        <v>20.569259075471951</v>
      </c>
      <c r="GC88">
        <v>8.6207126001683871</v>
      </c>
      <c r="GD88">
        <v>4.687446396346731</v>
      </c>
      <c r="GE88">
        <v>7.9506941962142594</v>
      </c>
      <c r="GF88">
        <v>21.210134067672868</v>
      </c>
      <c r="GG88">
        <v>27.62678347843093</v>
      </c>
      <c r="GH88">
        <v>23.121284723884639</v>
      </c>
      <c r="GI88">
        <v>68.310825889872916</v>
      </c>
      <c r="GJ88"/>
      <c r="GK88"/>
      <c r="GL88"/>
      <c r="GM88"/>
    </row>
    <row r="89" spans="1:195" s="7" customFormat="1">
      <c r="A89" s="115"/>
      <c r="B89" s="76">
        <f t="shared" ca="1" si="49"/>
        <v>0.37170337733875769</v>
      </c>
      <c r="C89">
        <v>3</v>
      </c>
      <c r="D89">
        <v>39646</v>
      </c>
      <c r="E89">
        <v>0</v>
      </c>
      <c r="F89">
        <v>0</v>
      </c>
      <c r="G89">
        <v>10.416666666666666</v>
      </c>
      <c r="H89">
        <v>41.666666666666664</v>
      </c>
      <c r="I89">
        <v>72.916666666666671</v>
      </c>
      <c r="J89">
        <v>20.833333333333332</v>
      </c>
      <c r="K89">
        <v>10.416666666666666</v>
      </c>
      <c r="L89">
        <v>10.416666666666666</v>
      </c>
      <c r="M89">
        <v>0</v>
      </c>
      <c r="N89">
        <v>10.416666666666666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1126.4631831463644</v>
      </c>
      <c r="AO89">
        <v>181.55657617258265</v>
      </c>
      <c r="AP89">
        <v>1381.7813731739532</v>
      </c>
      <c r="AQ89">
        <v>443.29279384661845</v>
      </c>
      <c r="AR89">
        <v>175.88110053680569</v>
      </c>
      <c r="AS89">
        <v>1785.2614001818915</v>
      </c>
      <c r="AT89">
        <v>88.728979103874977</v>
      </c>
      <c r="AU89">
        <v>142.7511056582365</v>
      </c>
      <c r="AV89"/>
      <c r="AW89"/>
      <c r="AX89" s="150"/>
      <c r="AY89" s="76">
        <f t="shared" ref="AY89:AY149" ca="1" si="87">IF(AZ89="", "", RAND())</f>
        <v>4.3729018150436172E-2</v>
      </c>
      <c r="AZ89">
        <v>2</v>
      </c>
      <c r="BA89" s="129">
        <f t="shared" ref="BA89:BA97" si="88">IF(AZ89="", "",$C$4)</f>
        <v>39646</v>
      </c>
      <c r="BB89">
        <v>0</v>
      </c>
      <c r="BC89"/>
      <c r="BD89">
        <v>1</v>
      </c>
      <c r="BE89">
        <v>2</v>
      </c>
      <c r="BF89">
        <v>3</v>
      </c>
      <c r="BG89">
        <v>6</v>
      </c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9">IF(AZ89="", "", RAND())</f>
        <v>0.46348209633074744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/>
      <c r="CP89">
        <v>2</v>
      </c>
      <c r="CQ89">
        <v>6</v>
      </c>
      <c r="CR89">
        <v>2</v>
      </c>
      <c r="CS89"/>
      <c r="CT89"/>
      <c r="CU89"/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0.8187891911949976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52.083333333333336</v>
      </c>
      <c r="DI89" s="161">
        <f t="shared" ref="DI89:DI152" si="97">IF($AZ89="", "", ((BE89*$CW89)+(CQ89*$CX89))/$CZ89)</f>
        <v>145.83333333333334</v>
      </c>
      <c r="DJ89" s="161">
        <f t="shared" ref="DJ89:DJ152" si="98">IF($AZ89="", "", ((BF89*$CW89)+(CR89*$CX89))/$CZ89)</f>
        <v>72.916666666666671</v>
      </c>
      <c r="DK89" s="161">
        <f t="shared" ref="DK89:DK152" si="99">IF($AZ89="", "", ((BG89*$CW89)+(CS89*$CX89))/$CZ89)</f>
        <v>62.5</v>
      </c>
      <c r="DL89" s="161">
        <f t="shared" ref="DL89:DL152" si="100">IF($AZ89="", "", ((BH89*$CW89)+(CT89*$CX89))/$CZ89)</f>
        <v>0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333.33333333333337</v>
      </c>
      <c r="EL89" s="149"/>
      <c r="EN89" s="150"/>
      <c r="EO89" s="150"/>
      <c r="EP89" s="139" t="e">
        <f t="shared" si="55"/>
        <v>#VALUE!</v>
      </c>
      <c r="EQ89" s="139" t="e">
        <f t="shared" si="56"/>
        <v>#VALUE!</v>
      </c>
      <c r="ER89" s="139" t="e">
        <f t="shared" si="57"/>
        <v>#VALUE!</v>
      </c>
      <c r="ES89" s="139" t="e">
        <f t="shared" si="58"/>
        <v>#VALUE!</v>
      </c>
      <c r="ET89" s="139" t="e">
        <f t="shared" si="59"/>
        <v>#VALUE!</v>
      </c>
      <c r="EU89" s="139" t="e">
        <f t="shared" si="60"/>
        <v>#VALUE!</v>
      </c>
      <c r="EV89" s="139" t="e">
        <f t="shared" si="61"/>
        <v>#VALUE!</v>
      </c>
      <c r="EW89" s="139" t="e">
        <f t="shared" si="62"/>
        <v>#VALUE!</v>
      </c>
      <c r="EX89" s="139" t="e">
        <f t="shared" si="63"/>
        <v>#VALUE!</v>
      </c>
      <c r="EY89" s="139" t="e">
        <f t="shared" si="64"/>
        <v>#VALUE!</v>
      </c>
      <c r="EZ89" s="139" t="e">
        <f t="shared" si="65"/>
        <v>#VALUE!</v>
      </c>
      <c r="FA89" s="139" t="e">
        <f t="shared" si="66"/>
        <v>#VALUE!</v>
      </c>
      <c r="FB89" s="139" t="e">
        <f t="shared" si="67"/>
        <v>#VALUE!</v>
      </c>
      <c r="FC89" s="139" t="e">
        <f t="shared" si="68"/>
        <v>#VALUE!</v>
      </c>
      <c r="FD89" s="139" t="e">
        <f t="shared" si="69"/>
        <v>#VALUE!</v>
      </c>
      <c r="FE89" s="139" t="e">
        <f t="shared" si="70"/>
        <v>#VALUE!</v>
      </c>
      <c r="FF89" s="139" t="e">
        <f t="shared" si="71"/>
        <v>#VALUE!</v>
      </c>
      <c r="FG89" s="139" t="e">
        <f t="shared" si="72"/>
        <v>#VALUE!</v>
      </c>
      <c r="FH89" s="139" t="e">
        <f t="shared" si="73"/>
        <v>#VALUE!</v>
      </c>
      <c r="FI89" s="139" t="e">
        <f t="shared" si="74"/>
        <v>#VALUE!</v>
      </c>
      <c r="FJ89" s="139" t="e">
        <f t="shared" si="75"/>
        <v>#VALUE!</v>
      </c>
      <c r="FK89" s="139" t="e">
        <f t="shared" si="76"/>
        <v>#VALUE!</v>
      </c>
      <c r="FL89" s="139" t="e">
        <f t="shared" si="77"/>
        <v>#VALUE!</v>
      </c>
      <c r="FM89" s="139" t="e">
        <f t="shared" si="78"/>
        <v>#VALUE!</v>
      </c>
      <c r="FN89" s="139" t="e">
        <f t="shared" si="79"/>
        <v>#VALUE!</v>
      </c>
      <c r="FO89" s="139" t="e">
        <f t="shared" si="80"/>
        <v>#VALUE!</v>
      </c>
      <c r="FP89" s="139" t="e">
        <f t="shared" si="81"/>
        <v>#VALUE!</v>
      </c>
      <c r="FQ89" s="139" t="e">
        <f t="shared" si="82"/>
        <v>#VALUE!</v>
      </c>
      <c r="FR89" s="139" t="e">
        <f t="shared" si="83"/>
        <v>#VALUE!</v>
      </c>
      <c r="FS89" s="139" t="e">
        <f t="shared" si="84"/>
        <v>#VALUE!</v>
      </c>
      <c r="FT89" s="139" t="e">
        <f t="shared" si="85"/>
        <v>#VALUE!</v>
      </c>
      <c r="FU89" s="148" t="e">
        <f t="shared" si="86"/>
        <v>#VALUE!</v>
      </c>
      <c r="FV89" s="149"/>
      <c r="FY89" s="211">
        <v>84</v>
      </c>
      <c r="FZ89">
        <v>127.3667531209086</v>
      </c>
      <c r="GA89">
        <v>142.42966632558401</v>
      </c>
      <c r="GB89">
        <v>32.894426885847253</v>
      </c>
      <c r="GC89">
        <v>8.6464463384946626</v>
      </c>
      <c r="GD89">
        <v>3.3253699028632395</v>
      </c>
      <c r="GE89">
        <v>5.1959839151884131</v>
      </c>
      <c r="GF89">
        <v>24.986229538451109</v>
      </c>
      <c r="GG89">
        <v>31.730061268726683</v>
      </c>
      <c r="GH89">
        <v>33.093975519942767</v>
      </c>
      <c r="GI89">
        <v>78.049352629546036</v>
      </c>
      <c r="GJ89"/>
      <c r="GK89"/>
      <c r="GL89"/>
      <c r="GM89"/>
    </row>
    <row r="90" spans="1:195" s="7" customFormat="1">
      <c r="A90" s="115"/>
      <c r="B90" s="76">
        <f t="shared" ca="1" si="49"/>
        <v>0.73482628171591169</v>
      </c>
      <c r="C90">
        <v>4</v>
      </c>
      <c r="D90">
        <v>39646</v>
      </c>
      <c r="E90">
        <v>0</v>
      </c>
      <c r="F90">
        <v>10.416666666666666</v>
      </c>
      <c r="G90">
        <v>10.416666666666666</v>
      </c>
      <c r="H90">
        <v>52.083333333333336</v>
      </c>
      <c r="I90">
        <v>93.75</v>
      </c>
      <c r="J90">
        <v>31.25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1102.1404657097596</v>
      </c>
      <c r="AO90">
        <v>135.28750602551071</v>
      </c>
      <c r="AP90">
        <v>977.33908608816193</v>
      </c>
      <c r="AQ90">
        <v>371.17928290758425</v>
      </c>
      <c r="AR90">
        <v>131.70904850714709</v>
      </c>
      <c r="AS90">
        <v>1523.4837813542254</v>
      </c>
      <c r="AT90">
        <v>64.929553561898743</v>
      </c>
      <c r="AU90">
        <v>116.38188380414246</v>
      </c>
      <c r="AV90"/>
      <c r="AW90"/>
      <c r="AX90" s="150"/>
      <c r="AY90" s="76">
        <f t="shared" ca="1" si="87"/>
        <v>0.85110197714048585</v>
      </c>
      <c r="AZ90">
        <v>3</v>
      </c>
      <c r="BA90" s="129">
        <f t="shared" si="88"/>
        <v>39646</v>
      </c>
      <c r="BB90">
        <v>0</v>
      </c>
      <c r="BC90"/>
      <c r="BD90"/>
      <c r="BE90"/>
      <c r="BF90">
        <v>4</v>
      </c>
      <c r="BG90">
        <v>2</v>
      </c>
      <c r="BH90">
        <v>1</v>
      </c>
      <c r="BI90">
        <v>1</v>
      </c>
      <c r="BJ90"/>
      <c r="BK90">
        <v>1</v>
      </c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9"/>
        <v>0.55623920953694395</v>
      </c>
      <c r="CL90" s="179">
        <f t="shared" si="90"/>
        <v>3</v>
      </c>
      <c r="CM90" s="180">
        <f t="shared" si="91"/>
        <v>39646</v>
      </c>
      <c r="CN90">
        <v>0</v>
      </c>
      <c r="CO90"/>
      <c r="CP90">
        <v>1</v>
      </c>
      <c r="CQ90">
        <v>4</v>
      </c>
      <c r="CR90">
        <v>3</v>
      </c>
      <c r="CS90"/>
      <c r="CT90"/>
      <c r="CU90"/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0.71676343537298615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10.416666666666666</v>
      </c>
      <c r="DI90" s="161">
        <f t="shared" si="97"/>
        <v>41.666666666666664</v>
      </c>
      <c r="DJ90" s="161">
        <f t="shared" si="98"/>
        <v>72.916666666666671</v>
      </c>
      <c r="DK90" s="161">
        <f t="shared" si="99"/>
        <v>20.833333333333332</v>
      </c>
      <c r="DL90" s="161">
        <f t="shared" si="100"/>
        <v>10.416666666666666</v>
      </c>
      <c r="DM90" s="161">
        <f t="shared" si="101"/>
        <v>10.416666666666666</v>
      </c>
      <c r="DN90" s="161">
        <f t="shared" si="102"/>
        <v>0</v>
      </c>
      <c r="DO90" s="161">
        <f t="shared" si="103"/>
        <v>10.416666666666666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177.08333333333331</v>
      </c>
      <c r="EL90" s="149"/>
      <c r="EN90" s="150"/>
      <c r="EO90" s="150"/>
      <c r="EP90" s="139" t="e">
        <f t="shared" si="55"/>
        <v>#VALUE!</v>
      </c>
      <c r="EQ90" s="139" t="e">
        <f t="shared" si="56"/>
        <v>#VALUE!</v>
      </c>
      <c r="ER90" s="139" t="e">
        <f t="shared" si="57"/>
        <v>#VALUE!</v>
      </c>
      <c r="ES90" s="139" t="e">
        <f t="shared" si="58"/>
        <v>#VALUE!</v>
      </c>
      <c r="ET90" s="139" t="e">
        <f t="shared" si="59"/>
        <v>#VALUE!</v>
      </c>
      <c r="EU90" s="139" t="e">
        <f t="shared" si="60"/>
        <v>#VALUE!</v>
      </c>
      <c r="EV90" s="139" t="e">
        <f t="shared" si="61"/>
        <v>#VALUE!</v>
      </c>
      <c r="EW90" s="139" t="e">
        <f t="shared" si="62"/>
        <v>#VALUE!</v>
      </c>
      <c r="EX90" s="139" t="e">
        <f t="shared" si="63"/>
        <v>#VALUE!</v>
      </c>
      <c r="EY90" s="139" t="e">
        <f t="shared" si="64"/>
        <v>#VALUE!</v>
      </c>
      <c r="EZ90" s="139" t="e">
        <f t="shared" si="65"/>
        <v>#VALUE!</v>
      </c>
      <c r="FA90" s="139" t="e">
        <f t="shared" si="66"/>
        <v>#VALUE!</v>
      </c>
      <c r="FB90" s="139" t="e">
        <f t="shared" si="67"/>
        <v>#VALUE!</v>
      </c>
      <c r="FC90" s="139" t="e">
        <f t="shared" si="68"/>
        <v>#VALUE!</v>
      </c>
      <c r="FD90" s="139" t="e">
        <f t="shared" si="69"/>
        <v>#VALUE!</v>
      </c>
      <c r="FE90" s="139" t="e">
        <f t="shared" si="70"/>
        <v>#VALUE!</v>
      </c>
      <c r="FF90" s="139" t="e">
        <f t="shared" si="71"/>
        <v>#VALUE!</v>
      </c>
      <c r="FG90" s="139" t="e">
        <f t="shared" si="72"/>
        <v>#VALUE!</v>
      </c>
      <c r="FH90" s="139" t="e">
        <f t="shared" si="73"/>
        <v>#VALUE!</v>
      </c>
      <c r="FI90" s="139" t="e">
        <f t="shared" si="74"/>
        <v>#VALUE!</v>
      </c>
      <c r="FJ90" s="139" t="e">
        <f t="shared" si="75"/>
        <v>#VALUE!</v>
      </c>
      <c r="FK90" s="139" t="e">
        <f t="shared" si="76"/>
        <v>#VALUE!</v>
      </c>
      <c r="FL90" s="139" t="e">
        <f t="shared" si="77"/>
        <v>#VALUE!</v>
      </c>
      <c r="FM90" s="139" t="e">
        <f t="shared" si="78"/>
        <v>#VALUE!</v>
      </c>
      <c r="FN90" s="139" t="e">
        <f t="shared" si="79"/>
        <v>#VALUE!</v>
      </c>
      <c r="FO90" s="139" t="e">
        <f t="shared" si="80"/>
        <v>#VALUE!</v>
      </c>
      <c r="FP90" s="139" t="e">
        <f t="shared" si="81"/>
        <v>#VALUE!</v>
      </c>
      <c r="FQ90" s="139" t="e">
        <f t="shared" si="82"/>
        <v>#VALUE!</v>
      </c>
      <c r="FR90" s="139" t="e">
        <f t="shared" si="83"/>
        <v>#VALUE!</v>
      </c>
      <c r="FS90" s="139" t="e">
        <f t="shared" si="84"/>
        <v>#VALUE!</v>
      </c>
      <c r="FT90" s="139" t="e">
        <f t="shared" si="85"/>
        <v>#VALUE!</v>
      </c>
      <c r="FU90" s="148" t="e">
        <f t="shared" si="86"/>
        <v>#VALUE!</v>
      </c>
      <c r="FV90" s="149"/>
      <c r="FY90" s="211">
        <v>85</v>
      </c>
      <c r="FZ90">
        <v>160.00178023991646</v>
      </c>
      <c r="GA90">
        <v>119.43232195692752</v>
      </c>
      <c r="GB90">
        <v>33.670435660410028</v>
      </c>
      <c r="GC90">
        <v>9.0649527096895888</v>
      </c>
      <c r="GD90">
        <v>2.5817812316356918</v>
      </c>
      <c r="GE90">
        <v>4.6113510062622636</v>
      </c>
      <c r="GF90">
        <v>21.153567228721094</v>
      </c>
      <c r="GG90">
        <v>28.667760730460586</v>
      </c>
      <c r="GH90">
        <v>33.008179730270768</v>
      </c>
      <c r="GI90">
        <v>85.2681435628446</v>
      </c>
      <c r="GJ90"/>
      <c r="GK90"/>
      <c r="GL90"/>
      <c r="GM90"/>
    </row>
    <row r="91" spans="1:195" s="7" customFormat="1">
      <c r="A91" s="77"/>
      <c r="B91" s="76">
        <f t="shared" ca="1" si="49"/>
        <v>0.27123419331052423</v>
      </c>
      <c r="C91">
        <v>10</v>
      </c>
      <c r="D91">
        <v>39646</v>
      </c>
      <c r="E91">
        <v>0</v>
      </c>
      <c r="F91">
        <v>20.833333333333332</v>
      </c>
      <c r="G91">
        <v>20.833333333333332</v>
      </c>
      <c r="H91">
        <v>83.333333333333329</v>
      </c>
      <c r="I91">
        <v>187.5</v>
      </c>
      <c r="J91">
        <v>31.25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1235.9622870978824</v>
      </c>
      <c r="AO91">
        <v>173.98052309869499</v>
      </c>
      <c r="AP91">
        <v>1537.5501258719758</v>
      </c>
      <c r="AQ91">
        <v>581.66813630868262</v>
      </c>
      <c r="AR91">
        <v>168.21528103833637</v>
      </c>
      <c r="AS91">
        <v>1818.967293761277</v>
      </c>
      <c r="AT91">
        <v>82.873756655174162</v>
      </c>
      <c r="AU91">
        <v>140.16899289227968</v>
      </c>
      <c r="AV91"/>
      <c r="AW91"/>
      <c r="AX91" s="151"/>
      <c r="AY91" s="76">
        <f t="shared" ca="1" si="87"/>
        <v>0.81857891208467148</v>
      </c>
      <c r="AZ91">
        <v>4</v>
      </c>
      <c r="BA91" s="129">
        <f t="shared" si="88"/>
        <v>39646</v>
      </c>
      <c r="BB91">
        <v>0</v>
      </c>
      <c r="BC91"/>
      <c r="BD91"/>
      <c r="BE91">
        <v>3</v>
      </c>
      <c r="BF91">
        <v>3</v>
      </c>
      <c r="BG91">
        <v>3</v>
      </c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9"/>
        <v>0.85205860574337544</v>
      </c>
      <c r="CL91" s="179">
        <f t="shared" si="90"/>
        <v>4</v>
      </c>
      <c r="CM91" s="180">
        <f t="shared" si="91"/>
        <v>39646</v>
      </c>
      <c r="CN91">
        <v>0</v>
      </c>
      <c r="CO91">
        <v>1</v>
      </c>
      <c r="CP91">
        <v>1</v>
      </c>
      <c r="CQ91">
        <v>2</v>
      </c>
      <c r="CR91">
        <v>6</v>
      </c>
      <c r="CS91"/>
      <c r="CT91"/>
      <c r="CU91"/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0.44675474968330053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10.416666666666666</v>
      </c>
      <c r="DH91" s="161">
        <f t="shared" si="96"/>
        <v>10.416666666666666</v>
      </c>
      <c r="DI91" s="161">
        <f t="shared" si="97"/>
        <v>52.083333333333336</v>
      </c>
      <c r="DJ91" s="161">
        <f t="shared" si="98"/>
        <v>93.75</v>
      </c>
      <c r="DK91" s="161">
        <f t="shared" si="99"/>
        <v>31.25</v>
      </c>
      <c r="DL91" s="161">
        <f t="shared" si="100"/>
        <v>0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197.91666666666669</v>
      </c>
      <c r="EL91" s="149"/>
      <c r="EN91" s="151"/>
      <c r="EO91" s="151"/>
      <c r="EP91" s="139" t="e">
        <f t="shared" si="55"/>
        <v>#VALUE!</v>
      </c>
      <c r="EQ91" s="139" t="e">
        <f t="shared" si="56"/>
        <v>#VALUE!</v>
      </c>
      <c r="ER91" s="139" t="e">
        <f t="shared" si="57"/>
        <v>#VALUE!</v>
      </c>
      <c r="ES91" s="139" t="e">
        <f t="shared" si="58"/>
        <v>#VALUE!</v>
      </c>
      <c r="ET91" s="139" t="e">
        <f t="shared" si="59"/>
        <v>#VALUE!</v>
      </c>
      <c r="EU91" s="139" t="e">
        <f t="shared" si="60"/>
        <v>#VALUE!</v>
      </c>
      <c r="EV91" s="139" t="e">
        <f t="shared" si="61"/>
        <v>#VALUE!</v>
      </c>
      <c r="EW91" s="139" t="e">
        <f t="shared" si="62"/>
        <v>#VALUE!</v>
      </c>
      <c r="EX91" s="139" t="e">
        <f t="shared" si="63"/>
        <v>#VALUE!</v>
      </c>
      <c r="EY91" s="139" t="e">
        <f t="shared" si="64"/>
        <v>#VALUE!</v>
      </c>
      <c r="EZ91" s="139" t="e">
        <f t="shared" si="65"/>
        <v>#VALUE!</v>
      </c>
      <c r="FA91" s="139" t="e">
        <f t="shared" si="66"/>
        <v>#VALUE!</v>
      </c>
      <c r="FB91" s="139" t="e">
        <f t="shared" si="67"/>
        <v>#VALUE!</v>
      </c>
      <c r="FC91" s="139" t="e">
        <f t="shared" si="68"/>
        <v>#VALUE!</v>
      </c>
      <c r="FD91" s="139" t="e">
        <f t="shared" si="69"/>
        <v>#VALUE!</v>
      </c>
      <c r="FE91" s="139" t="e">
        <f t="shared" si="70"/>
        <v>#VALUE!</v>
      </c>
      <c r="FF91" s="139" t="e">
        <f t="shared" si="71"/>
        <v>#VALUE!</v>
      </c>
      <c r="FG91" s="139" t="e">
        <f t="shared" si="72"/>
        <v>#VALUE!</v>
      </c>
      <c r="FH91" s="139" t="e">
        <f t="shared" si="73"/>
        <v>#VALUE!</v>
      </c>
      <c r="FI91" s="139" t="e">
        <f t="shared" si="74"/>
        <v>#VALUE!</v>
      </c>
      <c r="FJ91" s="139" t="e">
        <f t="shared" si="75"/>
        <v>#VALUE!</v>
      </c>
      <c r="FK91" s="139" t="e">
        <f t="shared" si="76"/>
        <v>#VALUE!</v>
      </c>
      <c r="FL91" s="139" t="e">
        <f t="shared" si="77"/>
        <v>#VALUE!</v>
      </c>
      <c r="FM91" s="139" t="e">
        <f t="shared" si="78"/>
        <v>#VALUE!</v>
      </c>
      <c r="FN91" s="139" t="e">
        <f t="shared" si="79"/>
        <v>#VALUE!</v>
      </c>
      <c r="FO91" s="139" t="e">
        <f t="shared" si="80"/>
        <v>#VALUE!</v>
      </c>
      <c r="FP91" s="139" t="e">
        <f t="shared" si="81"/>
        <v>#VALUE!</v>
      </c>
      <c r="FQ91" s="139" t="e">
        <f t="shared" si="82"/>
        <v>#VALUE!</v>
      </c>
      <c r="FR91" s="139" t="e">
        <f t="shared" si="83"/>
        <v>#VALUE!</v>
      </c>
      <c r="FS91" s="139" t="e">
        <f t="shared" si="84"/>
        <v>#VALUE!</v>
      </c>
      <c r="FT91" s="139" t="e">
        <f t="shared" si="85"/>
        <v>#VALUE!</v>
      </c>
      <c r="FU91" s="148" t="e">
        <f t="shared" si="86"/>
        <v>#VALUE!</v>
      </c>
      <c r="FV91" s="149"/>
      <c r="FY91" s="211">
        <v>86</v>
      </c>
      <c r="FZ91">
        <v>206.73351188951241</v>
      </c>
      <c r="GA91">
        <v>178.65138442392166</v>
      </c>
      <c r="GB91">
        <v>31.483312013560649</v>
      </c>
      <c r="GC91">
        <v>6.8558262263148251</v>
      </c>
      <c r="GD91">
        <v>3.7096121334344319</v>
      </c>
      <c r="GE91">
        <v>8.0449358673710023</v>
      </c>
      <c r="GF91">
        <v>31.788845141197903</v>
      </c>
      <c r="GG91">
        <v>41.090871197381198</v>
      </c>
      <c r="GH91">
        <v>23.673029956529067</v>
      </c>
      <c r="GI91">
        <v>81.215373677940335</v>
      </c>
      <c r="GJ91"/>
      <c r="GK91"/>
      <c r="GL91"/>
      <c r="GM91"/>
    </row>
    <row r="92" spans="1:195" s="7" customFormat="1">
      <c r="A92" s="77"/>
      <c r="B92" s="76">
        <f t="shared" ca="1" si="49"/>
        <v>0.84754907986320716</v>
      </c>
      <c r="C92">
        <v>1</v>
      </c>
      <c r="D92">
        <v>39646</v>
      </c>
      <c r="E92">
        <v>0</v>
      </c>
      <c r="F92">
        <v>20.833333333333332</v>
      </c>
      <c r="G92">
        <v>83.333333333333329</v>
      </c>
      <c r="H92">
        <v>177.08333333333334</v>
      </c>
      <c r="I92">
        <v>135.41666666666666</v>
      </c>
      <c r="J92">
        <v>135.41666666666666</v>
      </c>
      <c r="K92">
        <v>197.91666666666666</v>
      </c>
      <c r="L92">
        <v>72.916666666666671</v>
      </c>
      <c r="M92">
        <v>20.833333333333332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1340.9590788965816</v>
      </c>
      <c r="AO92">
        <v>164.98684420426764</v>
      </c>
      <c r="AP92">
        <v>1399.9946173605081</v>
      </c>
      <c r="AQ92">
        <v>470.54041820183107</v>
      </c>
      <c r="AR92">
        <v>159.12283673257051</v>
      </c>
      <c r="AS92">
        <v>1778.6976427366626</v>
      </c>
      <c r="AT92">
        <v>70.619671802403332</v>
      </c>
      <c r="AU92">
        <v>207.07840983632221</v>
      </c>
      <c r="AV92"/>
      <c r="AW92"/>
      <c r="AX92" s="151"/>
      <c r="AY92" s="76">
        <f t="shared" ca="1" si="87"/>
        <v>0.2360990758484931</v>
      </c>
      <c r="AZ92">
        <v>5</v>
      </c>
      <c r="BA92" s="129">
        <f t="shared" si="88"/>
        <v>39646</v>
      </c>
      <c r="BB92" s="217">
        <v>0</v>
      </c>
      <c r="BC92" s="217">
        <v>0</v>
      </c>
      <c r="BD92" s="217">
        <v>0</v>
      </c>
      <c r="BE92" s="217">
        <v>9.1428571428571423</v>
      </c>
      <c r="BF92" s="217">
        <v>91.428571428571431</v>
      </c>
      <c r="BG92" s="217">
        <v>22.857142857142858</v>
      </c>
      <c r="BH92" s="217">
        <v>0</v>
      </c>
      <c r="BI92" s="217">
        <v>4.5714285714285712</v>
      </c>
      <c r="BJ92" s="217">
        <v>0</v>
      </c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9"/>
        <v>0.48949705426390211</v>
      </c>
      <c r="CL92" s="179">
        <f t="shared" si="90"/>
        <v>5</v>
      </c>
      <c r="CM92" s="180">
        <f t="shared" si="91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3.9864272142885571E-2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95.238095238095227</v>
      </c>
      <c r="DJ92" s="161">
        <f t="shared" si="98"/>
        <v>952.38095238095241</v>
      </c>
      <c r="DK92" s="161">
        <f t="shared" si="99"/>
        <v>238.0952380952381</v>
      </c>
      <c r="DL92" s="161">
        <f t="shared" si="100"/>
        <v>0</v>
      </c>
      <c r="DM92" s="161">
        <f t="shared" si="101"/>
        <v>47.619047619047613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1333.3333333333335</v>
      </c>
      <c r="EL92" s="149"/>
      <c r="EN92" s="151"/>
      <c r="EO92" s="151"/>
      <c r="EP92" s="139" t="e">
        <f t="shared" si="55"/>
        <v>#VALUE!</v>
      </c>
      <c r="EQ92" s="139" t="e">
        <f t="shared" si="56"/>
        <v>#VALUE!</v>
      </c>
      <c r="ER92" s="139" t="e">
        <f t="shared" si="57"/>
        <v>#VALUE!</v>
      </c>
      <c r="ES92" s="139" t="e">
        <f t="shared" si="58"/>
        <v>#VALUE!</v>
      </c>
      <c r="ET92" s="139" t="e">
        <f t="shared" si="59"/>
        <v>#VALUE!</v>
      </c>
      <c r="EU92" s="139" t="e">
        <f t="shared" si="60"/>
        <v>#VALUE!</v>
      </c>
      <c r="EV92" s="139" t="e">
        <f t="shared" si="61"/>
        <v>#VALUE!</v>
      </c>
      <c r="EW92" s="139" t="e">
        <f t="shared" si="62"/>
        <v>#VALUE!</v>
      </c>
      <c r="EX92" s="139" t="e">
        <f t="shared" si="63"/>
        <v>#VALUE!</v>
      </c>
      <c r="EY92" s="139" t="e">
        <f t="shared" si="64"/>
        <v>#VALUE!</v>
      </c>
      <c r="EZ92" s="139" t="e">
        <f t="shared" si="65"/>
        <v>#VALUE!</v>
      </c>
      <c r="FA92" s="139" t="e">
        <f t="shared" si="66"/>
        <v>#VALUE!</v>
      </c>
      <c r="FB92" s="139" t="e">
        <f t="shared" si="67"/>
        <v>#VALUE!</v>
      </c>
      <c r="FC92" s="139" t="e">
        <f t="shared" si="68"/>
        <v>#VALUE!</v>
      </c>
      <c r="FD92" s="139" t="e">
        <f t="shared" si="69"/>
        <v>#VALUE!</v>
      </c>
      <c r="FE92" s="139" t="e">
        <f t="shared" si="70"/>
        <v>#VALUE!</v>
      </c>
      <c r="FF92" s="139" t="e">
        <f t="shared" si="71"/>
        <v>#VALUE!</v>
      </c>
      <c r="FG92" s="139" t="e">
        <f t="shared" si="72"/>
        <v>#VALUE!</v>
      </c>
      <c r="FH92" s="139" t="e">
        <f t="shared" si="73"/>
        <v>#VALUE!</v>
      </c>
      <c r="FI92" s="139" t="e">
        <f t="shared" si="74"/>
        <v>#VALUE!</v>
      </c>
      <c r="FJ92" s="139" t="e">
        <f t="shared" si="75"/>
        <v>#VALUE!</v>
      </c>
      <c r="FK92" s="139" t="e">
        <f t="shared" si="76"/>
        <v>#VALUE!</v>
      </c>
      <c r="FL92" s="139" t="e">
        <f t="shared" si="77"/>
        <v>#VALUE!</v>
      </c>
      <c r="FM92" s="139" t="e">
        <f t="shared" si="78"/>
        <v>#VALUE!</v>
      </c>
      <c r="FN92" s="139" t="e">
        <f t="shared" si="79"/>
        <v>#VALUE!</v>
      </c>
      <c r="FO92" s="139" t="e">
        <f t="shared" si="80"/>
        <v>#VALUE!</v>
      </c>
      <c r="FP92" s="139" t="e">
        <f t="shared" si="81"/>
        <v>#VALUE!</v>
      </c>
      <c r="FQ92" s="139" t="e">
        <f t="shared" si="82"/>
        <v>#VALUE!</v>
      </c>
      <c r="FR92" s="139" t="e">
        <f t="shared" si="83"/>
        <v>#VALUE!</v>
      </c>
      <c r="FS92" s="139" t="e">
        <f t="shared" si="84"/>
        <v>#VALUE!</v>
      </c>
      <c r="FT92" s="139" t="e">
        <f t="shared" si="85"/>
        <v>#VALUE!</v>
      </c>
      <c r="FU92" s="148" t="e">
        <f t="shared" si="86"/>
        <v>#VALUE!</v>
      </c>
      <c r="FV92" s="149"/>
      <c r="FY92" s="211">
        <v>87</v>
      </c>
      <c r="FZ92">
        <v>164.77129441842345</v>
      </c>
      <c r="GA92">
        <v>122.97774184810899</v>
      </c>
      <c r="GB92">
        <v>37.936081406191462</v>
      </c>
      <c r="GC92">
        <v>11.358025139102793</v>
      </c>
      <c r="GD92">
        <v>4.032738265479102</v>
      </c>
      <c r="GE92">
        <v>3.6577991453278722</v>
      </c>
      <c r="GF92">
        <v>39.368587230045797</v>
      </c>
      <c r="GG92">
        <v>50.92923503852662</v>
      </c>
      <c r="GH92">
        <v>19.312986235085756</v>
      </c>
      <c r="GI92">
        <v>85.497742032281991</v>
      </c>
      <c r="GJ92"/>
      <c r="GK92"/>
      <c r="GL92"/>
      <c r="GM92"/>
    </row>
    <row r="93" spans="1:195" s="7" customFormat="1">
      <c r="A93" s="77"/>
      <c r="B93" s="76">
        <f t="shared" ca="1" si="49"/>
        <v>0.808537965908527</v>
      </c>
      <c r="C93">
        <v>9</v>
      </c>
      <c r="D93">
        <v>39646</v>
      </c>
      <c r="E93">
        <v>0</v>
      </c>
      <c r="F93">
        <v>20.833333333333332</v>
      </c>
      <c r="G93">
        <v>10.416666666666666</v>
      </c>
      <c r="H93">
        <v>62.5</v>
      </c>
      <c r="I93">
        <v>52.083333333333336</v>
      </c>
      <c r="J93">
        <v>31.25</v>
      </c>
      <c r="K93">
        <v>10.416666666666666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1121.1248974973564</v>
      </c>
      <c r="AO93">
        <v>144.60176368829843</v>
      </c>
      <c r="AP93">
        <v>1250.4293827599461</v>
      </c>
      <c r="AQ93">
        <v>546.14711392347783</v>
      </c>
      <c r="AR93">
        <v>141.83218573449921</v>
      </c>
      <c r="AS93">
        <v>1550.0455083913118</v>
      </c>
      <c r="AT93">
        <v>73.464972242646141</v>
      </c>
      <c r="AU93">
        <v>-6.8650839186657322</v>
      </c>
      <c r="AV93"/>
      <c r="AW93"/>
      <c r="AX93" s="151"/>
      <c r="AY93" s="76">
        <f t="shared" ca="1" si="87"/>
        <v>0.75375123713828052</v>
      </c>
      <c r="AZ93">
        <v>6</v>
      </c>
      <c r="BA93" s="129">
        <f t="shared" si="88"/>
        <v>39646</v>
      </c>
      <c r="BB93">
        <v>0</v>
      </c>
      <c r="BC93"/>
      <c r="BD93"/>
      <c r="BE93">
        <v>8</v>
      </c>
      <c r="BF93">
        <v>16</v>
      </c>
      <c r="BG93">
        <v>1</v>
      </c>
      <c r="BH93">
        <v>1</v>
      </c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9"/>
        <v>0.54727535457697374</v>
      </c>
      <c r="CL93" s="179">
        <f t="shared" si="90"/>
        <v>6</v>
      </c>
      <c r="CM93" s="180">
        <f t="shared" si="91"/>
        <v>39646</v>
      </c>
      <c r="CN93" s="220">
        <v>0</v>
      </c>
      <c r="CO93" s="220">
        <v>0</v>
      </c>
      <c r="CP93" s="220">
        <v>1.1538461538461537</v>
      </c>
      <c r="CQ93" s="220">
        <v>17.307692307692307</v>
      </c>
      <c r="CR93" s="220">
        <v>11.538461538461538</v>
      </c>
      <c r="CS93" s="220">
        <v>0</v>
      </c>
      <c r="CT93"/>
      <c r="CU93"/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0.84277932526400789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24.038461538461537</v>
      </c>
      <c r="DI93" s="161">
        <f t="shared" si="97"/>
        <v>443.91025641025635</v>
      </c>
      <c r="DJ93" s="161">
        <f t="shared" si="98"/>
        <v>407.0512820512821</v>
      </c>
      <c r="DK93" s="161">
        <f t="shared" si="99"/>
        <v>10.416666666666666</v>
      </c>
      <c r="DL93" s="161">
        <f t="shared" si="100"/>
        <v>10.416666666666666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895.83333333333326</v>
      </c>
      <c r="EL93" s="149"/>
      <c r="EN93" s="151"/>
      <c r="EO93" s="151"/>
      <c r="EP93" s="139" t="e">
        <f t="shared" si="55"/>
        <v>#VALUE!</v>
      </c>
      <c r="EQ93" s="139" t="e">
        <f t="shared" si="56"/>
        <v>#VALUE!</v>
      </c>
      <c r="ER93" s="139" t="e">
        <f t="shared" si="57"/>
        <v>#VALUE!</v>
      </c>
      <c r="ES93" s="139" t="e">
        <f t="shared" si="58"/>
        <v>#VALUE!</v>
      </c>
      <c r="ET93" s="139" t="e">
        <f t="shared" si="59"/>
        <v>#VALUE!</v>
      </c>
      <c r="EU93" s="139" t="e">
        <f t="shared" si="60"/>
        <v>#VALUE!</v>
      </c>
      <c r="EV93" s="139" t="e">
        <f t="shared" si="61"/>
        <v>#VALUE!</v>
      </c>
      <c r="EW93" s="139" t="e">
        <f t="shared" si="62"/>
        <v>#VALUE!</v>
      </c>
      <c r="EX93" s="139" t="e">
        <f t="shared" si="63"/>
        <v>#VALUE!</v>
      </c>
      <c r="EY93" s="139" t="e">
        <f t="shared" si="64"/>
        <v>#VALUE!</v>
      </c>
      <c r="EZ93" s="139" t="e">
        <f t="shared" si="65"/>
        <v>#VALUE!</v>
      </c>
      <c r="FA93" s="139" t="e">
        <f t="shared" si="66"/>
        <v>#VALUE!</v>
      </c>
      <c r="FB93" s="139" t="e">
        <f t="shared" si="67"/>
        <v>#VALUE!</v>
      </c>
      <c r="FC93" s="139" t="e">
        <f t="shared" si="68"/>
        <v>#VALUE!</v>
      </c>
      <c r="FD93" s="139" t="e">
        <f t="shared" si="69"/>
        <v>#VALUE!</v>
      </c>
      <c r="FE93" s="139" t="e">
        <f t="shared" si="70"/>
        <v>#VALUE!</v>
      </c>
      <c r="FF93" s="139" t="e">
        <f t="shared" si="71"/>
        <v>#VALUE!</v>
      </c>
      <c r="FG93" s="139" t="e">
        <f t="shared" si="72"/>
        <v>#VALUE!</v>
      </c>
      <c r="FH93" s="139" t="e">
        <f t="shared" si="73"/>
        <v>#VALUE!</v>
      </c>
      <c r="FI93" s="139" t="e">
        <f t="shared" si="74"/>
        <v>#VALUE!</v>
      </c>
      <c r="FJ93" s="139" t="e">
        <f t="shared" si="75"/>
        <v>#VALUE!</v>
      </c>
      <c r="FK93" s="139" t="e">
        <f t="shared" si="76"/>
        <v>#VALUE!</v>
      </c>
      <c r="FL93" s="139" t="e">
        <f t="shared" si="77"/>
        <v>#VALUE!</v>
      </c>
      <c r="FM93" s="139" t="e">
        <f t="shared" si="78"/>
        <v>#VALUE!</v>
      </c>
      <c r="FN93" s="139" t="e">
        <f t="shared" si="79"/>
        <v>#VALUE!</v>
      </c>
      <c r="FO93" s="139" t="e">
        <f t="shared" si="80"/>
        <v>#VALUE!</v>
      </c>
      <c r="FP93" s="139" t="e">
        <f t="shared" si="81"/>
        <v>#VALUE!</v>
      </c>
      <c r="FQ93" s="139" t="e">
        <f t="shared" si="82"/>
        <v>#VALUE!</v>
      </c>
      <c r="FR93" s="139" t="e">
        <f t="shared" si="83"/>
        <v>#VALUE!</v>
      </c>
      <c r="FS93" s="139" t="e">
        <f t="shared" si="84"/>
        <v>#VALUE!</v>
      </c>
      <c r="FT93" s="139" t="e">
        <f t="shared" si="85"/>
        <v>#VALUE!</v>
      </c>
      <c r="FU93" s="148" t="e">
        <f t="shared" si="86"/>
        <v>#VALUE!</v>
      </c>
      <c r="FV93" s="149"/>
      <c r="FY93" s="211">
        <v>88</v>
      </c>
      <c r="FZ93">
        <v>163.1330257666977</v>
      </c>
      <c r="GA93">
        <v>135.29389697511127</v>
      </c>
      <c r="GB93">
        <v>39.73212823664926</v>
      </c>
      <c r="GC93">
        <v>8.9830005049763688</v>
      </c>
      <c r="GD93">
        <v>3.2898021093118355</v>
      </c>
      <c r="GE93">
        <v>5.9536863918854834</v>
      </c>
      <c r="GF93">
        <v>32.10463754114059</v>
      </c>
      <c r="GG93">
        <v>39.193931482399854</v>
      </c>
      <c r="GH93">
        <v>29.67478004785254</v>
      </c>
      <c r="GI93">
        <v>88.161031290654719</v>
      </c>
      <c r="GJ93"/>
      <c r="GK93"/>
      <c r="GL93"/>
      <c r="GM93"/>
    </row>
    <row r="94" spans="1:195" s="7" customFormat="1">
      <c r="A94" s="77"/>
      <c r="B94" s="76">
        <f t="shared" ca="1" si="49"/>
        <v>0.15783264881927594</v>
      </c>
      <c r="C94">
        <v>5</v>
      </c>
      <c r="D94">
        <v>39646</v>
      </c>
      <c r="E94">
        <v>0</v>
      </c>
      <c r="F94">
        <v>0</v>
      </c>
      <c r="G94">
        <v>0</v>
      </c>
      <c r="H94">
        <v>95.238095238095227</v>
      </c>
      <c r="I94">
        <v>952.38095238095241</v>
      </c>
      <c r="J94">
        <v>238.0952380952381</v>
      </c>
      <c r="K94">
        <v>0</v>
      </c>
      <c r="L94">
        <v>47.619047619047613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1225.9144303758071</v>
      </c>
      <c r="AO94">
        <v>166.12298279578769</v>
      </c>
      <c r="AP94">
        <v>1294.8570271359879</v>
      </c>
      <c r="AQ94">
        <v>410.7705120851997</v>
      </c>
      <c r="AR94">
        <v>163.60659716257305</v>
      </c>
      <c r="AS94">
        <v>1742.1560689740547</v>
      </c>
      <c r="AT94">
        <v>76.095462211782831</v>
      </c>
      <c r="AU94">
        <v>226.02554770653987</v>
      </c>
      <c r="AV94"/>
      <c r="AW94"/>
      <c r="AX94" s="151"/>
      <c r="AY94" s="76">
        <f t="shared" ca="1" si="87"/>
        <v>0.46673042773568374</v>
      </c>
      <c r="AZ94">
        <v>7</v>
      </c>
      <c r="BA94" s="129">
        <f t="shared" si="88"/>
        <v>39646</v>
      </c>
      <c r="BB94">
        <v>0</v>
      </c>
      <c r="BC94"/>
      <c r="BD94"/>
      <c r="BE94">
        <v>2</v>
      </c>
      <c r="BF94">
        <v>6</v>
      </c>
      <c r="BG94">
        <v>6</v>
      </c>
      <c r="BH94">
        <v>2</v>
      </c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9"/>
        <v>0.59959229918429213</v>
      </c>
      <c r="CL94" s="179">
        <f t="shared" si="90"/>
        <v>7</v>
      </c>
      <c r="CM94" s="180">
        <f t="shared" si="91"/>
        <v>39646</v>
      </c>
      <c r="CN94">
        <v>0</v>
      </c>
      <c r="CO94"/>
      <c r="CP94">
        <v>1</v>
      </c>
      <c r="CQ94">
        <v>3</v>
      </c>
      <c r="CR94">
        <v>5</v>
      </c>
      <c r="CS94"/>
      <c r="CT94"/>
      <c r="CU94"/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0.60843773529171474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20.833333333333332</v>
      </c>
      <c r="DI94" s="161">
        <f t="shared" si="97"/>
        <v>83.333333333333329</v>
      </c>
      <c r="DJ94" s="161">
        <f t="shared" si="98"/>
        <v>166.66666666666666</v>
      </c>
      <c r="DK94" s="161">
        <f t="shared" si="99"/>
        <v>62.5</v>
      </c>
      <c r="DL94" s="161">
        <f t="shared" si="100"/>
        <v>20.833333333333332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354.16666666666663</v>
      </c>
      <c r="EL94" s="149"/>
      <c r="EN94" s="151"/>
      <c r="EO94" s="151"/>
      <c r="EP94" s="139" t="e">
        <f t="shared" si="55"/>
        <v>#VALUE!</v>
      </c>
      <c r="EQ94" s="139" t="e">
        <f t="shared" si="56"/>
        <v>#VALUE!</v>
      </c>
      <c r="ER94" s="139" t="e">
        <f t="shared" si="57"/>
        <v>#VALUE!</v>
      </c>
      <c r="ES94" s="139" t="e">
        <f t="shared" si="58"/>
        <v>#VALUE!</v>
      </c>
      <c r="ET94" s="139" t="e">
        <f t="shared" si="59"/>
        <v>#VALUE!</v>
      </c>
      <c r="EU94" s="139" t="e">
        <f t="shared" si="60"/>
        <v>#VALUE!</v>
      </c>
      <c r="EV94" s="139" t="e">
        <f t="shared" si="61"/>
        <v>#VALUE!</v>
      </c>
      <c r="EW94" s="139" t="e">
        <f t="shared" si="62"/>
        <v>#VALUE!</v>
      </c>
      <c r="EX94" s="139" t="e">
        <f t="shared" si="63"/>
        <v>#VALUE!</v>
      </c>
      <c r="EY94" s="139" t="e">
        <f t="shared" si="64"/>
        <v>#VALUE!</v>
      </c>
      <c r="EZ94" s="139" t="e">
        <f t="shared" si="65"/>
        <v>#VALUE!</v>
      </c>
      <c r="FA94" s="139" t="e">
        <f t="shared" si="66"/>
        <v>#VALUE!</v>
      </c>
      <c r="FB94" s="139" t="e">
        <f t="shared" si="67"/>
        <v>#VALUE!</v>
      </c>
      <c r="FC94" s="139" t="e">
        <f t="shared" si="68"/>
        <v>#VALUE!</v>
      </c>
      <c r="FD94" s="139" t="e">
        <f t="shared" si="69"/>
        <v>#VALUE!</v>
      </c>
      <c r="FE94" s="139" t="e">
        <f t="shared" si="70"/>
        <v>#VALUE!</v>
      </c>
      <c r="FF94" s="139" t="e">
        <f t="shared" si="71"/>
        <v>#VALUE!</v>
      </c>
      <c r="FG94" s="139" t="e">
        <f t="shared" si="72"/>
        <v>#VALUE!</v>
      </c>
      <c r="FH94" s="139" t="e">
        <f t="shared" si="73"/>
        <v>#VALUE!</v>
      </c>
      <c r="FI94" s="139" t="e">
        <f t="shared" si="74"/>
        <v>#VALUE!</v>
      </c>
      <c r="FJ94" s="139" t="e">
        <f t="shared" si="75"/>
        <v>#VALUE!</v>
      </c>
      <c r="FK94" s="139" t="e">
        <f t="shared" si="76"/>
        <v>#VALUE!</v>
      </c>
      <c r="FL94" s="139" t="e">
        <f t="shared" si="77"/>
        <v>#VALUE!</v>
      </c>
      <c r="FM94" s="139" t="e">
        <f t="shared" si="78"/>
        <v>#VALUE!</v>
      </c>
      <c r="FN94" s="139" t="e">
        <f t="shared" si="79"/>
        <v>#VALUE!</v>
      </c>
      <c r="FO94" s="139" t="e">
        <f t="shared" si="80"/>
        <v>#VALUE!</v>
      </c>
      <c r="FP94" s="139" t="e">
        <f t="shared" si="81"/>
        <v>#VALUE!</v>
      </c>
      <c r="FQ94" s="139" t="e">
        <f t="shared" si="82"/>
        <v>#VALUE!</v>
      </c>
      <c r="FR94" s="139" t="e">
        <f t="shared" si="83"/>
        <v>#VALUE!</v>
      </c>
      <c r="FS94" s="139" t="e">
        <f t="shared" si="84"/>
        <v>#VALUE!</v>
      </c>
      <c r="FT94" s="139" t="e">
        <f t="shared" si="85"/>
        <v>#VALUE!</v>
      </c>
      <c r="FU94" s="148" t="e">
        <f t="shared" si="86"/>
        <v>#VALUE!</v>
      </c>
      <c r="FV94" s="149"/>
      <c r="FY94" s="211">
        <v>89</v>
      </c>
      <c r="FZ94">
        <v>96.012938327607145</v>
      </c>
      <c r="GA94">
        <v>94.770925274760771</v>
      </c>
      <c r="GB94">
        <v>28.991496567323448</v>
      </c>
      <c r="GC94">
        <v>8.220309767416893</v>
      </c>
      <c r="GD94">
        <v>3.9639994049684337</v>
      </c>
      <c r="GE94">
        <v>7.7102645476618328</v>
      </c>
      <c r="GF94">
        <v>33.667609559633249</v>
      </c>
      <c r="GG94">
        <v>40.769968717493995</v>
      </c>
      <c r="GH94">
        <v>28.851128470735244</v>
      </c>
      <c r="GI94">
        <v>84.031066788439489</v>
      </c>
      <c r="GJ94"/>
      <c r="GK94"/>
      <c r="GL94"/>
      <c r="GM94"/>
    </row>
    <row r="95" spans="1:195" s="7" customFormat="1">
      <c r="A95" s="77"/>
      <c r="B95" s="76">
        <f t="shared" ca="1" si="49"/>
        <v>6.8633016614279674E-2</v>
      </c>
      <c r="C95">
        <v>8</v>
      </c>
      <c r="D95">
        <v>39646</v>
      </c>
      <c r="E95">
        <v>0</v>
      </c>
      <c r="F95">
        <v>20.833333333333332</v>
      </c>
      <c r="G95">
        <v>0</v>
      </c>
      <c r="H95">
        <v>31.25</v>
      </c>
      <c r="I95">
        <v>31.25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1327.7895411097211</v>
      </c>
      <c r="AO95">
        <v>182.60502316807839</v>
      </c>
      <c r="AP95">
        <v>1524.2257043932718</v>
      </c>
      <c r="AQ95">
        <v>495.25517262057519</v>
      </c>
      <c r="AR95">
        <v>173.23545413707276</v>
      </c>
      <c r="AS95">
        <v>1910.921076938158</v>
      </c>
      <c r="AT95">
        <v>85.116770457622735</v>
      </c>
      <c r="AU95">
        <v>167.61133591689358</v>
      </c>
      <c r="AV95"/>
      <c r="AW95"/>
      <c r="AX95" s="151"/>
      <c r="AY95" s="76">
        <f t="shared" ca="1" si="87"/>
        <v>0.48642344680338478</v>
      </c>
      <c r="AZ95">
        <v>8</v>
      </c>
      <c r="BA95" s="129">
        <f t="shared" si="88"/>
        <v>39646</v>
      </c>
      <c r="BB95">
        <v>0</v>
      </c>
      <c r="BC95"/>
      <c r="BD95"/>
      <c r="BE95">
        <v>1</v>
      </c>
      <c r="BF95">
        <v>1</v>
      </c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9"/>
        <v>0.61707938564840126</v>
      </c>
      <c r="CL95" s="179">
        <f t="shared" si="90"/>
        <v>8</v>
      </c>
      <c r="CM95" s="180">
        <f t="shared" si="91"/>
        <v>39646</v>
      </c>
      <c r="CN95">
        <v>0</v>
      </c>
      <c r="CO95">
        <v>1</v>
      </c>
      <c r="CP95"/>
      <c r="CQ95">
        <v>1</v>
      </c>
      <c r="CR95">
        <v>1</v>
      </c>
      <c r="CS95"/>
      <c r="CT95"/>
      <c r="CU95"/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0.64796989030228902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20.833333333333332</v>
      </c>
      <c r="DH95" s="161">
        <f t="shared" si="96"/>
        <v>0</v>
      </c>
      <c r="DI95" s="161">
        <f t="shared" si="97"/>
        <v>31.25</v>
      </c>
      <c r="DJ95" s="161">
        <f t="shared" si="98"/>
        <v>31.25</v>
      </c>
      <c r="DK95" s="161">
        <f t="shared" si="99"/>
        <v>0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83.333333333333329</v>
      </c>
      <c r="EL95" s="149"/>
      <c r="EN95" s="151"/>
      <c r="EO95" s="151"/>
      <c r="EP95" s="139" t="e">
        <f t="shared" si="55"/>
        <v>#VALUE!</v>
      </c>
      <c r="EQ95" s="139" t="e">
        <f t="shared" si="56"/>
        <v>#VALUE!</v>
      </c>
      <c r="ER95" s="139" t="e">
        <f t="shared" si="57"/>
        <v>#VALUE!</v>
      </c>
      <c r="ES95" s="139" t="e">
        <f t="shared" si="58"/>
        <v>#VALUE!</v>
      </c>
      <c r="ET95" s="139" t="e">
        <f t="shared" si="59"/>
        <v>#VALUE!</v>
      </c>
      <c r="EU95" s="139" t="e">
        <f t="shared" si="60"/>
        <v>#VALUE!</v>
      </c>
      <c r="EV95" s="139" t="e">
        <f t="shared" si="61"/>
        <v>#VALUE!</v>
      </c>
      <c r="EW95" s="139" t="e">
        <f t="shared" si="62"/>
        <v>#VALUE!</v>
      </c>
      <c r="EX95" s="139" t="e">
        <f t="shared" si="63"/>
        <v>#VALUE!</v>
      </c>
      <c r="EY95" s="139" t="e">
        <f t="shared" si="64"/>
        <v>#VALUE!</v>
      </c>
      <c r="EZ95" s="139" t="e">
        <f t="shared" si="65"/>
        <v>#VALUE!</v>
      </c>
      <c r="FA95" s="139" t="e">
        <f t="shared" si="66"/>
        <v>#VALUE!</v>
      </c>
      <c r="FB95" s="139" t="e">
        <f t="shared" si="67"/>
        <v>#VALUE!</v>
      </c>
      <c r="FC95" s="139" t="e">
        <f t="shared" si="68"/>
        <v>#VALUE!</v>
      </c>
      <c r="FD95" s="139" t="e">
        <f t="shared" si="69"/>
        <v>#VALUE!</v>
      </c>
      <c r="FE95" s="139" t="e">
        <f t="shared" si="70"/>
        <v>#VALUE!</v>
      </c>
      <c r="FF95" s="139" t="e">
        <f t="shared" si="71"/>
        <v>#VALUE!</v>
      </c>
      <c r="FG95" s="139" t="e">
        <f t="shared" si="72"/>
        <v>#VALUE!</v>
      </c>
      <c r="FH95" s="139" t="e">
        <f t="shared" si="73"/>
        <v>#VALUE!</v>
      </c>
      <c r="FI95" s="139" t="e">
        <f t="shared" si="74"/>
        <v>#VALUE!</v>
      </c>
      <c r="FJ95" s="139" t="e">
        <f t="shared" si="75"/>
        <v>#VALUE!</v>
      </c>
      <c r="FK95" s="139" t="e">
        <f t="shared" si="76"/>
        <v>#VALUE!</v>
      </c>
      <c r="FL95" s="139" t="e">
        <f t="shared" si="77"/>
        <v>#VALUE!</v>
      </c>
      <c r="FM95" s="139" t="e">
        <f t="shared" si="78"/>
        <v>#VALUE!</v>
      </c>
      <c r="FN95" s="139" t="e">
        <f t="shared" si="79"/>
        <v>#VALUE!</v>
      </c>
      <c r="FO95" s="139" t="e">
        <f t="shared" si="80"/>
        <v>#VALUE!</v>
      </c>
      <c r="FP95" s="139" t="e">
        <f t="shared" si="81"/>
        <v>#VALUE!</v>
      </c>
      <c r="FQ95" s="139" t="e">
        <f t="shared" si="82"/>
        <v>#VALUE!</v>
      </c>
      <c r="FR95" s="139" t="e">
        <f t="shared" si="83"/>
        <v>#VALUE!</v>
      </c>
      <c r="FS95" s="139" t="e">
        <f t="shared" si="84"/>
        <v>#VALUE!</v>
      </c>
      <c r="FT95" s="139" t="e">
        <f t="shared" si="85"/>
        <v>#VALUE!</v>
      </c>
      <c r="FU95" s="148" t="e">
        <f t="shared" si="86"/>
        <v>#VALUE!</v>
      </c>
      <c r="FV95" s="149"/>
      <c r="FY95" s="211">
        <v>90</v>
      </c>
      <c r="FZ95">
        <v>103.23615461944784</v>
      </c>
      <c r="GA95">
        <v>92.171074861556889</v>
      </c>
      <c r="GB95">
        <v>35.709343020122049</v>
      </c>
      <c r="GC95">
        <v>10.085841091398084</v>
      </c>
      <c r="GD95">
        <v>3.6579057763048777</v>
      </c>
      <c r="GE95">
        <v>5.2865453239175677</v>
      </c>
      <c r="GF95">
        <v>27.155303812002323</v>
      </c>
      <c r="GG95">
        <v>34.976565428116345</v>
      </c>
      <c r="GH95">
        <v>26.382969865228773</v>
      </c>
      <c r="GI95">
        <v>76.662291672260423</v>
      </c>
      <c r="GJ95"/>
      <c r="GK95"/>
      <c r="GL95"/>
      <c r="GM95"/>
    </row>
    <row r="96" spans="1:195" s="7" customFormat="1">
      <c r="A96" s="77"/>
      <c r="B96" s="76">
        <f t="shared" ca="1" si="49"/>
        <v>0.139150284406518</v>
      </c>
      <c r="C96">
        <v>2</v>
      </c>
      <c r="D96">
        <v>39646</v>
      </c>
      <c r="E96">
        <v>0</v>
      </c>
      <c r="F96">
        <v>0</v>
      </c>
      <c r="G96">
        <v>52.083333333333336</v>
      </c>
      <c r="H96">
        <v>145.83333333333334</v>
      </c>
      <c r="I96">
        <v>72.916666666666671</v>
      </c>
      <c r="J96">
        <v>62.5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1326.7085280736867</v>
      </c>
      <c r="AO96">
        <v>205.17400544347439</v>
      </c>
      <c r="AP96">
        <v>1748.1898550985238</v>
      </c>
      <c r="AQ96">
        <v>448.72877205643266</v>
      </c>
      <c r="AR96">
        <v>196.44896295342556</v>
      </c>
      <c r="AS96">
        <v>2045.3945253770555</v>
      </c>
      <c r="AT96">
        <v>88.436594893122432</v>
      </c>
      <c r="AU96">
        <v>216.47261246318823</v>
      </c>
      <c r="AV96"/>
      <c r="AW96"/>
      <c r="AX96" s="151"/>
      <c r="AY96" s="76">
        <f t="shared" ca="1" si="87"/>
        <v>0.36888544733145945</v>
      </c>
      <c r="AZ96">
        <v>9</v>
      </c>
      <c r="BA96" s="129">
        <f t="shared" si="88"/>
        <v>39646</v>
      </c>
      <c r="BB96">
        <v>0</v>
      </c>
      <c r="BC96"/>
      <c r="BD96"/>
      <c r="BE96"/>
      <c r="BF96"/>
      <c r="BG96">
        <v>2</v>
      </c>
      <c r="BH96">
        <v>1</v>
      </c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9"/>
        <v>0.10778957286249602</v>
      </c>
      <c r="CL96" s="179">
        <f t="shared" si="90"/>
        <v>9</v>
      </c>
      <c r="CM96" s="180">
        <f t="shared" si="91"/>
        <v>39646</v>
      </c>
      <c r="CN96">
        <v>0</v>
      </c>
      <c r="CO96">
        <v>2</v>
      </c>
      <c r="CP96">
        <v>1</v>
      </c>
      <c r="CQ96">
        <v>6</v>
      </c>
      <c r="CR96">
        <v>5</v>
      </c>
      <c r="CS96">
        <v>1</v>
      </c>
      <c r="CT96"/>
      <c r="CU96"/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0.63865600816722989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20.833333333333332</v>
      </c>
      <c r="DH96" s="161">
        <f t="shared" si="96"/>
        <v>10.416666666666666</v>
      </c>
      <c r="DI96" s="161">
        <f t="shared" si="97"/>
        <v>62.5</v>
      </c>
      <c r="DJ96" s="161">
        <f t="shared" si="98"/>
        <v>52.083333333333336</v>
      </c>
      <c r="DK96" s="161">
        <f t="shared" si="99"/>
        <v>31.25</v>
      </c>
      <c r="DL96" s="161">
        <f t="shared" si="100"/>
        <v>10.416666666666666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187.5</v>
      </c>
      <c r="EL96" s="149"/>
      <c r="EN96" s="151"/>
      <c r="EO96" s="151"/>
      <c r="EP96" s="139" t="e">
        <f t="shared" si="55"/>
        <v>#VALUE!</v>
      </c>
      <c r="EQ96" s="139" t="e">
        <f t="shared" si="56"/>
        <v>#VALUE!</v>
      </c>
      <c r="ER96" s="139" t="e">
        <f t="shared" si="57"/>
        <v>#VALUE!</v>
      </c>
      <c r="ES96" s="139" t="e">
        <f t="shared" si="58"/>
        <v>#VALUE!</v>
      </c>
      <c r="ET96" s="139" t="e">
        <f t="shared" si="59"/>
        <v>#VALUE!</v>
      </c>
      <c r="EU96" s="139" t="e">
        <f t="shared" si="60"/>
        <v>#VALUE!</v>
      </c>
      <c r="EV96" s="139" t="e">
        <f t="shared" si="61"/>
        <v>#VALUE!</v>
      </c>
      <c r="EW96" s="139" t="e">
        <f t="shared" si="62"/>
        <v>#VALUE!</v>
      </c>
      <c r="EX96" s="139" t="e">
        <f t="shared" si="63"/>
        <v>#VALUE!</v>
      </c>
      <c r="EY96" s="139" t="e">
        <f t="shared" si="64"/>
        <v>#VALUE!</v>
      </c>
      <c r="EZ96" s="139" t="e">
        <f t="shared" si="65"/>
        <v>#VALUE!</v>
      </c>
      <c r="FA96" s="139" t="e">
        <f t="shared" si="66"/>
        <v>#VALUE!</v>
      </c>
      <c r="FB96" s="139" t="e">
        <f t="shared" si="67"/>
        <v>#VALUE!</v>
      </c>
      <c r="FC96" s="139" t="e">
        <f t="shared" si="68"/>
        <v>#VALUE!</v>
      </c>
      <c r="FD96" s="139" t="e">
        <f t="shared" si="69"/>
        <v>#VALUE!</v>
      </c>
      <c r="FE96" s="139" t="e">
        <f t="shared" si="70"/>
        <v>#VALUE!</v>
      </c>
      <c r="FF96" s="139" t="e">
        <f t="shared" si="71"/>
        <v>#VALUE!</v>
      </c>
      <c r="FG96" s="139" t="e">
        <f t="shared" si="72"/>
        <v>#VALUE!</v>
      </c>
      <c r="FH96" s="139" t="e">
        <f t="shared" si="73"/>
        <v>#VALUE!</v>
      </c>
      <c r="FI96" s="139" t="e">
        <f t="shared" si="74"/>
        <v>#VALUE!</v>
      </c>
      <c r="FJ96" s="139" t="e">
        <f t="shared" si="75"/>
        <v>#VALUE!</v>
      </c>
      <c r="FK96" s="139" t="e">
        <f t="shared" si="76"/>
        <v>#VALUE!</v>
      </c>
      <c r="FL96" s="139" t="e">
        <f t="shared" si="77"/>
        <v>#VALUE!</v>
      </c>
      <c r="FM96" s="139" t="e">
        <f t="shared" si="78"/>
        <v>#VALUE!</v>
      </c>
      <c r="FN96" s="139" t="e">
        <f t="shared" si="79"/>
        <v>#VALUE!</v>
      </c>
      <c r="FO96" s="139" t="e">
        <f t="shared" si="80"/>
        <v>#VALUE!</v>
      </c>
      <c r="FP96" s="139" t="e">
        <f t="shared" si="81"/>
        <v>#VALUE!</v>
      </c>
      <c r="FQ96" s="139" t="e">
        <f t="shared" si="82"/>
        <v>#VALUE!</v>
      </c>
      <c r="FR96" s="139" t="e">
        <f t="shared" si="83"/>
        <v>#VALUE!</v>
      </c>
      <c r="FS96" s="139" t="e">
        <f t="shared" si="84"/>
        <v>#VALUE!</v>
      </c>
      <c r="FT96" s="139" t="e">
        <f t="shared" si="85"/>
        <v>#VALUE!</v>
      </c>
      <c r="FU96" s="148" t="e">
        <f t="shared" si="86"/>
        <v>#VALUE!</v>
      </c>
      <c r="FV96" s="149"/>
      <c r="FY96" s="211">
        <v>91</v>
      </c>
      <c r="FZ96">
        <v>237.1125745545325</v>
      </c>
      <c r="GA96">
        <v>163.4929206651116</v>
      </c>
      <c r="GB96">
        <v>28.142793868757444</v>
      </c>
      <c r="GC96">
        <v>7.3809524890217943</v>
      </c>
      <c r="GD96">
        <v>3.8722861980909262</v>
      </c>
      <c r="GE96">
        <v>7.3476526763738228</v>
      </c>
      <c r="GF96">
        <v>28.633005288788326</v>
      </c>
      <c r="GG96">
        <v>37.437321602857438</v>
      </c>
      <c r="GH96">
        <v>24.517278048410066</v>
      </c>
      <c r="GI96">
        <v>89.363720252009486</v>
      </c>
      <c r="GJ96"/>
      <c r="GK96"/>
      <c r="GL96"/>
      <c r="GM96"/>
    </row>
    <row r="97" spans="1:195" s="7" customFormat="1">
      <c r="A97" s="77"/>
      <c r="B97" s="76">
        <f t="shared" ca="1" si="49"/>
        <v>0.84307462782816311</v>
      </c>
      <c r="C97">
        <v>7</v>
      </c>
      <c r="D97">
        <v>39646</v>
      </c>
      <c r="E97">
        <v>0</v>
      </c>
      <c r="F97">
        <v>0</v>
      </c>
      <c r="G97">
        <v>20.833333333333332</v>
      </c>
      <c r="H97">
        <v>83.333333333333329</v>
      </c>
      <c r="I97">
        <v>166.66666666666666</v>
      </c>
      <c r="J97">
        <v>62.5</v>
      </c>
      <c r="K97">
        <v>20.833333333333332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1303.1145281977388</v>
      </c>
      <c r="AO97">
        <v>192.34846872935898</v>
      </c>
      <c r="AP97">
        <v>1732.1309737008187</v>
      </c>
      <c r="AQ97">
        <v>479.15160718213787</v>
      </c>
      <c r="AR97">
        <v>183.07776955701635</v>
      </c>
      <c r="AS97">
        <v>1854.8268843146516</v>
      </c>
      <c r="AT97">
        <v>88.237357740782329</v>
      </c>
      <c r="AU97">
        <v>466.55053375557958</v>
      </c>
      <c r="AV97"/>
      <c r="AW97"/>
      <c r="AX97" s="151"/>
      <c r="AY97" s="76">
        <f t="shared" ca="1" si="87"/>
        <v>0.68084338306949521</v>
      </c>
      <c r="AZ97">
        <v>10</v>
      </c>
      <c r="BA97" s="129">
        <f t="shared" si="88"/>
        <v>39646</v>
      </c>
      <c r="BB97">
        <v>0</v>
      </c>
      <c r="BC97"/>
      <c r="BD97"/>
      <c r="BE97">
        <v>2</v>
      </c>
      <c r="BF97">
        <v>6</v>
      </c>
      <c r="BG97">
        <v>1</v>
      </c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9"/>
        <v>0.2157863095771454</v>
      </c>
      <c r="CL97" s="179">
        <f t="shared" si="90"/>
        <v>10</v>
      </c>
      <c r="CM97" s="180">
        <f t="shared" si="91"/>
        <v>39646</v>
      </c>
      <c r="CN97">
        <v>0</v>
      </c>
      <c r="CO97">
        <v>1</v>
      </c>
      <c r="CP97">
        <v>1</v>
      </c>
      <c r="CQ97">
        <v>3</v>
      </c>
      <c r="CR97">
        <v>6</v>
      </c>
      <c r="CS97">
        <v>1</v>
      </c>
      <c r="CT97"/>
      <c r="CU97"/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0.46907977501148601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20.833333333333332</v>
      </c>
      <c r="DH97" s="161">
        <f t="shared" si="96"/>
        <v>20.833333333333332</v>
      </c>
      <c r="DI97" s="161">
        <f t="shared" si="97"/>
        <v>83.333333333333329</v>
      </c>
      <c r="DJ97" s="161">
        <f t="shared" si="98"/>
        <v>187.5</v>
      </c>
      <c r="DK97" s="161">
        <f t="shared" si="99"/>
        <v>31.25</v>
      </c>
      <c r="DL97" s="161">
        <f t="shared" si="100"/>
        <v>0</v>
      </c>
      <c r="DM97" s="161">
        <f t="shared" si="101"/>
        <v>0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343.75</v>
      </c>
      <c r="EL97" s="149"/>
      <c r="EN97" s="151"/>
      <c r="EO97" s="151"/>
      <c r="EP97" s="139" t="e">
        <f t="shared" si="55"/>
        <v>#VALUE!</v>
      </c>
      <c r="EQ97" s="139" t="e">
        <f t="shared" si="56"/>
        <v>#VALUE!</v>
      </c>
      <c r="ER97" s="139" t="e">
        <f t="shared" si="57"/>
        <v>#VALUE!</v>
      </c>
      <c r="ES97" s="139" t="e">
        <f t="shared" si="58"/>
        <v>#VALUE!</v>
      </c>
      <c r="ET97" s="139" t="e">
        <f t="shared" si="59"/>
        <v>#VALUE!</v>
      </c>
      <c r="EU97" s="139" t="e">
        <f t="shared" si="60"/>
        <v>#VALUE!</v>
      </c>
      <c r="EV97" s="139" t="e">
        <f t="shared" si="61"/>
        <v>#VALUE!</v>
      </c>
      <c r="EW97" s="139" t="e">
        <f t="shared" si="62"/>
        <v>#VALUE!</v>
      </c>
      <c r="EX97" s="139" t="e">
        <f t="shared" si="63"/>
        <v>#VALUE!</v>
      </c>
      <c r="EY97" s="139" t="e">
        <f t="shared" si="64"/>
        <v>#VALUE!</v>
      </c>
      <c r="EZ97" s="139" t="e">
        <f t="shared" si="65"/>
        <v>#VALUE!</v>
      </c>
      <c r="FA97" s="139" t="e">
        <f t="shared" si="66"/>
        <v>#VALUE!</v>
      </c>
      <c r="FB97" s="139" t="e">
        <f t="shared" si="67"/>
        <v>#VALUE!</v>
      </c>
      <c r="FC97" s="139" t="e">
        <f t="shared" si="68"/>
        <v>#VALUE!</v>
      </c>
      <c r="FD97" s="139" t="e">
        <f t="shared" si="69"/>
        <v>#VALUE!</v>
      </c>
      <c r="FE97" s="139" t="e">
        <f t="shared" si="70"/>
        <v>#VALUE!</v>
      </c>
      <c r="FF97" s="139" t="e">
        <f t="shared" si="71"/>
        <v>#VALUE!</v>
      </c>
      <c r="FG97" s="139" t="e">
        <f t="shared" si="72"/>
        <v>#VALUE!</v>
      </c>
      <c r="FH97" s="139" t="e">
        <f t="shared" si="73"/>
        <v>#VALUE!</v>
      </c>
      <c r="FI97" s="139" t="e">
        <f t="shared" si="74"/>
        <v>#VALUE!</v>
      </c>
      <c r="FJ97" s="139" t="e">
        <f t="shared" si="75"/>
        <v>#VALUE!</v>
      </c>
      <c r="FK97" s="139" t="e">
        <f t="shared" si="76"/>
        <v>#VALUE!</v>
      </c>
      <c r="FL97" s="139" t="e">
        <f t="shared" si="77"/>
        <v>#VALUE!</v>
      </c>
      <c r="FM97" s="139" t="e">
        <f t="shared" si="78"/>
        <v>#VALUE!</v>
      </c>
      <c r="FN97" s="139" t="e">
        <f t="shared" si="79"/>
        <v>#VALUE!</v>
      </c>
      <c r="FO97" s="139" t="e">
        <f t="shared" si="80"/>
        <v>#VALUE!</v>
      </c>
      <c r="FP97" s="139" t="e">
        <f t="shared" si="81"/>
        <v>#VALUE!</v>
      </c>
      <c r="FQ97" s="139" t="e">
        <f t="shared" si="82"/>
        <v>#VALUE!</v>
      </c>
      <c r="FR97" s="139" t="e">
        <f t="shared" si="83"/>
        <v>#VALUE!</v>
      </c>
      <c r="FS97" s="139" t="e">
        <f t="shared" si="84"/>
        <v>#VALUE!</v>
      </c>
      <c r="FT97" s="139" t="e">
        <f t="shared" si="85"/>
        <v>#VALUE!</v>
      </c>
      <c r="FU97" s="148" t="e">
        <f t="shared" si="86"/>
        <v>#VALUE!</v>
      </c>
      <c r="FV97" s="149"/>
      <c r="FY97" s="211">
        <v>92</v>
      </c>
      <c r="FZ97">
        <v>81.860505863141128</v>
      </c>
      <c r="GA97">
        <v>72.103021771100757</v>
      </c>
      <c r="GB97">
        <v>26.973465869374255</v>
      </c>
      <c r="GC97">
        <v>6.5004358272594089</v>
      </c>
      <c r="GD97">
        <v>3.735856432514665</v>
      </c>
      <c r="GE97">
        <v>7.0213295966372282</v>
      </c>
      <c r="GF97">
        <v>35.875235486131075</v>
      </c>
      <c r="GG97">
        <v>44.388129441302929</v>
      </c>
      <c r="GH97">
        <v>24.557215782519435</v>
      </c>
      <c r="GI97">
        <v>69.017223194256715</v>
      </c>
      <c r="GJ97"/>
      <c r="GK97"/>
      <c r="GL97"/>
      <c r="GM97"/>
    </row>
    <row r="98" spans="1:195" s="7" customFormat="1">
      <c r="A98" s="128"/>
      <c r="B98" s="76">
        <f t="shared" ca="1" si="49"/>
        <v>0.28097614901540036</v>
      </c>
      <c r="C98">
        <v>6</v>
      </c>
      <c r="D98">
        <v>39673</v>
      </c>
      <c r="E98">
        <v>0</v>
      </c>
      <c r="F98">
        <v>10.416666666666666</v>
      </c>
      <c r="G98">
        <v>52.083333333333336</v>
      </c>
      <c r="H98">
        <v>83.333333333333329</v>
      </c>
      <c r="I98">
        <v>41.666666666666664</v>
      </c>
      <c r="J98">
        <v>10.416666666666666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1183.2930249521255</v>
      </c>
      <c r="AO98">
        <v>190.23770849313206</v>
      </c>
      <c r="AP98">
        <v>1538.81413893479</v>
      </c>
      <c r="AQ98">
        <v>444.08227187675391</v>
      </c>
      <c r="AR98">
        <v>183.37080734473261</v>
      </c>
      <c r="AS98">
        <v>1922.9900048397224</v>
      </c>
      <c r="AT98">
        <v>92.444515843140906</v>
      </c>
      <c r="AU98">
        <v>192.05157871329334</v>
      </c>
      <c r="AV98"/>
      <c r="AW98"/>
      <c r="AX98" s="128"/>
      <c r="AY98" s="76">
        <f t="shared" ca="1" si="87"/>
        <v>0.28879463068026034</v>
      </c>
      <c r="AZ98">
        <v>1</v>
      </c>
      <c r="BA98" s="129">
        <f>IF(AZ98="", "",$C$5)</f>
        <v>39673</v>
      </c>
      <c r="BB98">
        <v>0</v>
      </c>
      <c r="BC98"/>
      <c r="BD98">
        <v>5</v>
      </c>
      <c r="BE98">
        <v>2</v>
      </c>
      <c r="BF98">
        <v>7</v>
      </c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9"/>
        <v>0.50671109754821597</v>
      </c>
      <c r="CL98" s="179">
        <f t="shared" si="90"/>
        <v>1</v>
      </c>
      <c r="CM98" s="180">
        <f t="shared" si="91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3.7518351469851718E-2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52.083333333333336</v>
      </c>
      <c r="DI98" s="161">
        <f t="shared" si="97"/>
        <v>20.833333333333332</v>
      </c>
      <c r="DJ98" s="161">
        <f t="shared" si="98"/>
        <v>72.916666666666671</v>
      </c>
      <c r="DK98" s="161">
        <f t="shared" si="99"/>
        <v>0</v>
      </c>
      <c r="DL98" s="161">
        <f t="shared" si="100"/>
        <v>0</v>
      </c>
      <c r="DM98" s="161">
        <f t="shared" si="101"/>
        <v>0</v>
      </c>
      <c r="DN98" s="161">
        <f t="shared" si="102"/>
        <v>0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145.83333333333334</v>
      </c>
      <c r="EL98" s="149"/>
      <c r="EN98" s="146"/>
      <c r="EO98" s="146"/>
      <c r="EP98" s="139" t="e">
        <f t="shared" si="55"/>
        <v>#VALUE!</v>
      </c>
      <c r="EQ98" s="139" t="e">
        <f t="shared" si="56"/>
        <v>#VALUE!</v>
      </c>
      <c r="ER98" s="139" t="e">
        <f t="shared" si="57"/>
        <v>#VALUE!</v>
      </c>
      <c r="ES98" s="139" t="e">
        <f t="shared" si="58"/>
        <v>#VALUE!</v>
      </c>
      <c r="ET98" s="139" t="e">
        <f t="shared" si="59"/>
        <v>#VALUE!</v>
      </c>
      <c r="EU98" s="139" t="e">
        <f t="shared" si="60"/>
        <v>#VALUE!</v>
      </c>
      <c r="EV98" s="139" t="e">
        <f t="shared" si="61"/>
        <v>#VALUE!</v>
      </c>
      <c r="EW98" s="139" t="e">
        <f t="shared" si="62"/>
        <v>#VALUE!</v>
      </c>
      <c r="EX98" s="139" t="e">
        <f t="shared" si="63"/>
        <v>#VALUE!</v>
      </c>
      <c r="EY98" s="139" t="e">
        <f t="shared" si="64"/>
        <v>#VALUE!</v>
      </c>
      <c r="EZ98" s="139" t="e">
        <f t="shared" si="65"/>
        <v>#VALUE!</v>
      </c>
      <c r="FA98" s="139" t="e">
        <f t="shared" si="66"/>
        <v>#VALUE!</v>
      </c>
      <c r="FB98" s="139" t="e">
        <f t="shared" si="67"/>
        <v>#VALUE!</v>
      </c>
      <c r="FC98" s="139" t="e">
        <f t="shared" si="68"/>
        <v>#VALUE!</v>
      </c>
      <c r="FD98" s="139" t="e">
        <f t="shared" si="69"/>
        <v>#VALUE!</v>
      </c>
      <c r="FE98" s="139" t="e">
        <f t="shared" si="70"/>
        <v>#VALUE!</v>
      </c>
      <c r="FF98" s="139" t="e">
        <f t="shared" si="71"/>
        <v>#VALUE!</v>
      </c>
      <c r="FG98" s="139" t="e">
        <f t="shared" si="72"/>
        <v>#VALUE!</v>
      </c>
      <c r="FH98" s="139" t="e">
        <f t="shared" si="73"/>
        <v>#VALUE!</v>
      </c>
      <c r="FI98" s="139" t="e">
        <f t="shared" si="74"/>
        <v>#VALUE!</v>
      </c>
      <c r="FJ98" s="139" t="e">
        <f t="shared" si="75"/>
        <v>#VALUE!</v>
      </c>
      <c r="FK98" s="139" t="e">
        <f t="shared" si="76"/>
        <v>#VALUE!</v>
      </c>
      <c r="FL98" s="139" t="e">
        <f t="shared" si="77"/>
        <v>#VALUE!</v>
      </c>
      <c r="FM98" s="139" t="e">
        <f t="shared" si="78"/>
        <v>#VALUE!</v>
      </c>
      <c r="FN98" s="139" t="e">
        <f t="shared" si="79"/>
        <v>#VALUE!</v>
      </c>
      <c r="FO98" s="139" t="e">
        <f t="shared" si="80"/>
        <v>#VALUE!</v>
      </c>
      <c r="FP98" s="139" t="e">
        <f t="shared" si="81"/>
        <v>#VALUE!</v>
      </c>
      <c r="FQ98" s="139" t="e">
        <f t="shared" si="82"/>
        <v>#VALUE!</v>
      </c>
      <c r="FR98" s="139" t="e">
        <f t="shared" si="83"/>
        <v>#VALUE!</v>
      </c>
      <c r="FS98" s="139" t="e">
        <f t="shared" si="84"/>
        <v>#VALUE!</v>
      </c>
      <c r="FT98" s="139" t="e">
        <f t="shared" si="85"/>
        <v>#VALUE!</v>
      </c>
      <c r="FU98" s="148" t="e">
        <f t="shared" si="86"/>
        <v>#VALUE!</v>
      </c>
      <c r="FV98" s="149"/>
      <c r="FY98" s="211">
        <v>93</v>
      </c>
      <c r="FZ98">
        <v>133.79130894541586</v>
      </c>
      <c r="GA98">
        <v>119.33333487969628</v>
      </c>
      <c r="GB98">
        <v>28.244620379475858</v>
      </c>
      <c r="GC98">
        <v>6.6548338721282345</v>
      </c>
      <c r="GD98">
        <v>3.4068485482022819</v>
      </c>
      <c r="GE98">
        <v>6.5654766231020725</v>
      </c>
      <c r="GF98">
        <v>28.712600390326507</v>
      </c>
      <c r="GG98">
        <v>35.688554849103404</v>
      </c>
      <c r="GH98">
        <v>23.884845689878038</v>
      </c>
      <c r="GI98">
        <v>77.349559819415006</v>
      </c>
      <c r="GJ98"/>
      <c r="GK98"/>
      <c r="GL98"/>
      <c r="GM98"/>
    </row>
    <row r="99" spans="1:195" s="7" customFormat="1">
      <c r="A99" s="1"/>
      <c r="B99" s="76">
        <f t="shared" ca="1" si="49"/>
        <v>0.62840431347395964</v>
      </c>
      <c r="C99">
        <v>2</v>
      </c>
      <c r="D99">
        <v>39673</v>
      </c>
      <c r="E99">
        <v>62.5</v>
      </c>
      <c r="F99">
        <v>125</v>
      </c>
      <c r="G99">
        <v>187.5</v>
      </c>
      <c r="H99">
        <v>312.5</v>
      </c>
      <c r="I99">
        <v>125</v>
      </c>
      <c r="J99">
        <v>0</v>
      </c>
      <c r="K99">
        <v>83.333333333333329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1028.7579131569339</v>
      </c>
      <c r="AO99">
        <v>164.24599127741595</v>
      </c>
      <c r="AP99">
        <v>1396.718818135962</v>
      </c>
      <c r="AQ99">
        <v>435.73157160814742</v>
      </c>
      <c r="AR99">
        <v>159.50378819888746</v>
      </c>
      <c r="AS99">
        <v>1636.3593407230194</v>
      </c>
      <c r="AT99">
        <v>74.901152157921402</v>
      </c>
      <c r="AU99">
        <v>31.732379045153706</v>
      </c>
      <c r="AV99"/>
      <c r="AW99"/>
      <c r="AX99" s="146"/>
      <c r="AY99" s="76">
        <f t="shared" ca="1" si="87"/>
        <v>7.7680954144874192E-3</v>
      </c>
      <c r="AZ99">
        <v>2</v>
      </c>
      <c r="BA99" s="129">
        <f t="shared" ref="BA99:BA107" si="126">IF(AZ99="", "",$C$5)</f>
        <v>39673</v>
      </c>
      <c r="BB99">
        <v>0</v>
      </c>
      <c r="BC99"/>
      <c r="BD99"/>
      <c r="BE99"/>
      <c r="BF99"/>
      <c r="BG99"/>
      <c r="BH99">
        <v>2</v>
      </c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9"/>
        <v>0.66240303594062111</v>
      </c>
      <c r="CL99" s="179">
        <f t="shared" si="90"/>
        <v>2</v>
      </c>
      <c r="CM99" s="180">
        <f t="shared" si="91"/>
        <v>39673</v>
      </c>
      <c r="CN99">
        <v>1</v>
      </c>
      <c r="CO99">
        <v>2</v>
      </c>
      <c r="CP99">
        <v>3</v>
      </c>
      <c r="CQ99">
        <v>5</v>
      </c>
      <c r="CR99">
        <v>2</v>
      </c>
      <c r="CS99"/>
      <c r="CT99">
        <v>1</v>
      </c>
      <c r="CU99"/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0.59142787539389563</v>
      </c>
      <c r="DD99">
        <f t="shared" si="93"/>
        <v>2</v>
      </c>
      <c r="DE99" s="129">
        <f t="shared" si="125"/>
        <v>39673</v>
      </c>
      <c r="DF99" s="161">
        <f t="shared" si="94"/>
        <v>62.5</v>
      </c>
      <c r="DG99" s="161">
        <f t="shared" si="95"/>
        <v>125</v>
      </c>
      <c r="DH99" s="161">
        <f t="shared" si="96"/>
        <v>187.5</v>
      </c>
      <c r="DI99" s="161">
        <f t="shared" si="97"/>
        <v>312.5</v>
      </c>
      <c r="DJ99" s="161">
        <f t="shared" si="98"/>
        <v>125</v>
      </c>
      <c r="DK99" s="161">
        <f t="shared" si="99"/>
        <v>0</v>
      </c>
      <c r="DL99" s="161">
        <f t="shared" si="100"/>
        <v>83.333333333333329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895.83333333333337</v>
      </c>
      <c r="EL99" s="149"/>
      <c r="EN99" s="146"/>
      <c r="EO99" s="146"/>
      <c r="EP99" s="139" t="e">
        <f t="shared" si="55"/>
        <v>#VALUE!</v>
      </c>
      <c r="EQ99" s="139" t="e">
        <f t="shared" si="56"/>
        <v>#VALUE!</v>
      </c>
      <c r="ER99" s="139" t="e">
        <f t="shared" si="57"/>
        <v>#VALUE!</v>
      </c>
      <c r="ES99" s="139" t="e">
        <f t="shared" si="58"/>
        <v>#VALUE!</v>
      </c>
      <c r="ET99" s="139" t="e">
        <f t="shared" si="59"/>
        <v>#VALUE!</v>
      </c>
      <c r="EU99" s="139" t="e">
        <f t="shared" si="60"/>
        <v>#VALUE!</v>
      </c>
      <c r="EV99" s="139" t="e">
        <f t="shared" si="61"/>
        <v>#VALUE!</v>
      </c>
      <c r="EW99" s="139" t="e">
        <f t="shared" si="62"/>
        <v>#VALUE!</v>
      </c>
      <c r="EX99" s="139" t="e">
        <f t="shared" si="63"/>
        <v>#VALUE!</v>
      </c>
      <c r="EY99" s="139" t="e">
        <f t="shared" si="64"/>
        <v>#VALUE!</v>
      </c>
      <c r="EZ99" s="139" t="e">
        <f t="shared" si="65"/>
        <v>#VALUE!</v>
      </c>
      <c r="FA99" s="139" t="e">
        <f t="shared" si="66"/>
        <v>#VALUE!</v>
      </c>
      <c r="FB99" s="139" t="e">
        <f t="shared" si="67"/>
        <v>#VALUE!</v>
      </c>
      <c r="FC99" s="139" t="e">
        <f t="shared" si="68"/>
        <v>#VALUE!</v>
      </c>
      <c r="FD99" s="139" t="e">
        <f t="shared" si="69"/>
        <v>#VALUE!</v>
      </c>
      <c r="FE99" s="139" t="e">
        <f t="shared" si="70"/>
        <v>#VALUE!</v>
      </c>
      <c r="FF99" s="139" t="e">
        <f t="shared" si="71"/>
        <v>#VALUE!</v>
      </c>
      <c r="FG99" s="139" t="e">
        <f t="shared" si="72"/>
        <v>#VALUE!</v>
      </c>
      <c r="FH99" s="139" t="e">
        <f t="shared" si="73"/>
        <v>#VALUE!</v>
      </c>
      <c r="FI99" s="139" t="e">
        <f t="shared" si="74"/>
        <v>#VALUE!</v>
      </c>
      <c r="FJ99" s="139" t="e">
        <f t="shared" si="75"/>
        <v>#VALUE!</v>
      </c>
      <c r="FK99" s="139" t="e">
        <f t="shared" si="76"/>
        <v>#VALUE!</v>
      </c>
      <c r="FL99" s="139" t="e">
        <f t="shared" si="77"/>
        <v>#VALUE!</v>
      </c>
      <c r="FM99" s="139" t="e">
        <f t="shared" si="78"/>
        <v>#VALUE!</v>
      </c>
      <c r="FN99" s="139" t="e">
        <f t="shared" si="79"/>
        <v>#VALUE!</v>
      </c>
      <c r="FO99" s="139" t="e">
        <f t="shared" si="80"/>
        <v>#VALUE!</v>
      </c>
      <c r="FP99" s="139" t="e">
        <f t="shared" si="81"/>
        <v>#VALUE!</v>
      </c>
      <c r="FQ99" s="139" t="e">
        <f t="shared" si="82"/>
        <v>#VALUE!</v>
      </c>
      <c r="FR99" s="139" t="e">
        <f t="shared" si="83"/>
        <v>#VALUE!</v>
      </c>
      <c r="FS99" s="139" t="e">
        <f t="shared" si="84"/>
        <v>#VALUE!</v>
      </c>
      <c r="FT99" s="139" t="e">
        <f t="shared" si="85"/>
        <v>#VALUE!</v>
      </c>
      <c r="FU99" s="148" t="e">
        <f t="shared" si="86"/>
        <v>#VALUE!</v>
      </c>
      <c r="FV99" s="149"/>
      <c r="FY99" s="211">
        <v>94</v>
      </c>
      <c r="FZ99">
        <v>75.780465013693359</v>
      </c>
      <c r="GA99">
        <v>80.68290894817855</v>
      </c>
      <c r="GB99">
        <v>25.302646873699139</v>
      </c>
      <c r="GC99">
        <v>5.7853958444036673</v>
      </c>
      <c r="GD99">
        <v>3.0424778145953471</v>
      </c>
      <c r="GE99">
        <v>6.3599132406640173</v>
      </c>
      <c r="GF99">
        <v>29.732092887042938</v>
      </c>
      <c r="GG99">
        <v>35.366042351269023</v>
      </c>
      <c r="GH99">
        <v>17.950141823963737</v>
      </c>
      <c r="GI99">
        <v>61.876878969431289</v>
      </c>
      <c r="GJ99"/>
      <c r="GK99"/>
      <c r="GL99"/>
      <c r="GM99"/>
    </row>
    <row r="100" spans="1:195" s="7" customFormat="1">
      <c r="A100" s="1"/>
      <c r="B100" s="76">
        <f t="shared" ca="1" si="49"/>
        <v>0.46544601857264567</v>
      </c>
      <c r="C100">
        <v>7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20.833333333333332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1153.1632945327833</v>
      </c>
      <c r="AO100">
        <v>164.02823832581902</v>
      </c>
      <c r="AP100">
        <v>1422.5552633038762</v>
      </c>
      <c r="AQ100">
        <v>487.71826544555284</v>
      </c>
      <c r="AR100">
        <v>155.98795169367895</v>
      </c>
      <c r="AS100">
        <v>1721.4482928651366</v>
      </c>
      <c r="AT100">
        <v>80.605534727989209</v>
      </c>
      <c r="AU100">
        <v>113.91468446626543</v>
      </c>
      <c r="AV100"/>
      <c r="AW100"/>
      <c r="AX100" s="146"/>
      <c r="AY100" s="76">
        <f t="shared" ca="1" si="87"/>
        <v>1.7842015342162121E-3</v>
      </c>
      <c r="AZ100">
        <v>3</v>
      </c>
      <c r="BA100" s="129">
        <f t="shared" si="126"/>
        <v>39673</v>
      </c>
      <c r="BB100">
        <v>0</v>
      </c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9"/>
        <v>0.94104715247615345</v>
      </c>
      <c r="CL100" s="179">
        <f t="shared" si="90"/>
        <v>3</v>
      </c>
      <c r="CM100" s="180">
        <f t="shared" si="91"/>
        <v>39673</v>
      </c>
      <c r="CN100">
        <v>0</v>
      </c>
      <c r="CO100"/>
      <c r="CP100">
        <v>2</v>
      </c>
      <c r="CQ100">
        <v>2</v>
      </c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0.71325107963601453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0</v>
      </c>
      <c r="DH100" s="161">
        <f t="shared" si="96"/>
        <v>142.97385620915031</v>
      </c>
      <c r="DI100" s="161">
        <f t="shared" si="97"/>
        <v>142.97385620915031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0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285.94771241830063</v>
      </c>
      <c r="EL100" s="149"/>
      <c r="EN100" s="146"/>
      <c r="EO100" s="146"/>
      <c r="EP100" s="139" t="e">
        <f t="shared" si="55"/>
        <v>#VALUE!</v>
      </c>
      <c r="EQ100" s="139" t="e">
        <f t="shared" si="56"/>
        <v>#VALUE!</v>
      </c>
      <c r="ER100" s="139" t="e">
        <f t="shared" si="57"/>
        <v>#VALUE!</v>
      </c>
      <c r="ES100" s="139" t="e">
        <f t="shared" si="58"/>
        <v>#VALUE!</v>
      </c>
      <c r="ET100" s="139" t="e">
        <f t="shared" si="59"/>
        <v>#VALUE!</v>
      </c>
      <c r="EU100" s="139" t="e">
        <f t="shared" si="60"/>
        <v>#VALUE!</v>
      </c>
      <c r="EV100" s="139" t="e">
        <f t="shared" si="61"/>
        <v>#VALUE!</v>
      </c>
      <c r="EW100" s="139" t="e">
        <f t="shared" si="62"/>
        <v>#VALUE!</v>
      </c>
      <c r="EX100" s="139" t="e">
        <f t="shared" si="63"/>
        <v>#VALUE!</v>
      </c>
      <c r="EY100" s="139" t="e">
        <f t="shared" si="64"/>
        <v>#VALUE!</v>
      </c>
      <c r="EZ100" s="139" t="e">
        <f t="shared" si="65"/>
        <v>#VALUE!</v>
      </c>
      <c r="FA100" s="139" t="e">
        <f t="shared" si="66"/>
        <v>#VALUE!</v>
      </c>
      <c r="FB100" s="139" t="e">
        <f t="shared" si="67"/>
        <v>#VALUE!</v>
      </c>
      <c r="FC100" s="139" t="e">
        <f t="shared" si="68"/>
        <v>#VALUE!</v>
      </c>
      <c r="FD100" s="139" t="e">
        <f t="shared" si="69"/>
        <v>#VALUE!</v>
      </c>
      <c r="FE100" s="139" t="e">
        <f t="shared" si="70"/>
        <v>#VALUE!</v>
      </c>
      <c r="FF100" s="139" t="e">
        <f t="shared" si="71"/>
        <v>#VALUE!</v>
      </c>
      <c r="FG100" s="139" t="e">
        <f t="shared" si="72"/>
        <v>#VALUE!</v>
      </c>
      <c r="FH100" s="139" t="e">
        <f t="shared" si="73"/>
        <v>#VALUE!</v>
      </c>
      <c r="FI100" s="139" t="e">
        <f t="shared" si="74"/>
        <v>#VALUE!</v>
      </c>
      <c r="FJ100" s="139" t="e">
        <f t="shared" si="75"/>
        <v>#VALUE!</v>
      </c>
      <c r="FK100" s="139" t="e">
        <f t="shared" si="76"/>
        <v>#VALUE!</v>
      </c>
      <c r="FL100" s="139" t="e">
        <f t="shared" si="77"/>
        <v>#VALUE!</v>
      </c>
      <c r="FM100" s="139" t="e">
        <f t="shared" si="78"/>
        <v>#VALUE!</v>
      </c>
      <c r="FN100" s="139" t="e">
        <f t="shared" si="79"/>
        <v>#VALUE!</v>
      </c>
      <c r="FO100" s="139" t="e">
        <f t="shared" si="80"/>
        <v>#VALUE!</v>
      </c>
      <c r="FP100" s="139" t="e">
        <f t="shared" si="81"/>
        <v>#VALUE!</v>
      </c>
      <c r="FQ100" s="139" t="e">
        <f t="shared" si="82"/>
        <v>#VALUE!</v>
      </c>
      <c r="FR100" s="139" t="e">
        <f t="shared" si="83"/>
        <v>#VALUE!</v>
      </c>
      <c r="FS100" s="139" t="e">
        <f t="shared" si="84"/>
        <v>#VALUE!</v>
      </c>
      <c r="FT100" s="139" t="e">
        <f t="shared" si="85"/>
        <v>#VALUE!</v>
      </c>
      <c r="FU100" s="148" t="e">
        <f t="shared" si="86"/>
        <v>#VALUE!</v>
      </c>
      <c r="FV100" s="149"/>
      <c r="FY100" s="211">
        <v>95</v>
      </c>
      <c r="FZ100">
        <v>118.67173793091746</v>
      </c>
      <c r="GA100">
        <v>83.037473445421426</v>
      </c>
      <c r="GB100">
        <v>30.140884851449979</v>
      </c>
      <c r="GC100">
        <v>9.1854550752997355</v>
      </c>
      <c r="GD100">
        <v>2.7880949055370507</v>
      </c>
      <c r="GE100">
        <v>2.7757691424193558</v>
      </c>
      <c r="GF100">
        <v>15.447367866255846</v>
      </c>
      <c r="GG100">
        <v>20.672506225905011</v>
      </c>
      <c r="GH100">
        <v>42.251688625472852</v>
      </c>
      <c r="GI100">
        <v>70.746978329411277</v>
      </c>
      <c r="GJ100"/>
      <c r="GK100"/>
      <c r="GL100"/>
      <c r="GM100"/>
    </row>
    <row r="101" spans="1:195" s="7" customFormat="1">
      <c r="A101" s="1"/>
      <c r="B101" s="76">
        <f t="shared" ca="1" si="49"/>
        <v>0.69099727282319834</v>
      </c>
      <c r="C101">
        <v>8</v>
      </c>
      <c r="D101">
        <v>39673</v>
      </c>
      <c r="E101">
        <v>0</v>
      </c>
      <c r="F101">
        <v>401.18442381373416</v>
      </c>
      <c r="G101">
        <v>574.80474506336577</v>
      </c>
      <c r="H101">
        <v>772.00302092543473</v>
      </c>
      <c r="I101">
        <v>300.85838491010901</v>
      </c>
      <c r="J101">
        <v>43.821839080459768</v>
      </c>
      <c r="K101">
        <v>21.910919540229884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1167.1441470958971</v>
      </c>
      <c r="AO101">
        <v>210.69570385135495</v>
      </c>
      <c r="AP101">
        <v>1801.2650709971526</v>
      </c>
      <c r="AQ101">
        <v>497.46027405713863</v>
      </c>
      <c r="AR101">
        <v>203.25117271743986</v>
      </c>
      <c r="AS101">
        <v>2041.5442666250767</v>
      </c>
      <c r="AT101">
        <v>102.49757066186471</v>
      </c>
      <c r="AU101">
        <v>138.67099988664282</v>
      </c>
      <c r="AV101"/>
      <c r="AW101"/>
      <c r="AX101" s="146"/>
      <c r="AY101" s="76">
        <f t="shared" ca="1" si="87"/>
        <v>0.47251577974346415</v>
      </c>
      <c r="AZ101">
        <v>4</v>
      </c>
      <c r="BA101" s="129">
        <f t="shared" si="126"/>
        <v>39673</v>
      </c>
      <c r="BB101">
        <v>0</v>
      </c>
      <c r="BC101"/>
      <c r="BD101"/>
      <c r="BE101">
        <v>1</v>
      </c>
      <c r="BF101">
        <v>1</v>
      </c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9"/>
        <v>0.44986539220395716</v>
      </c>
      <c r="CL101" s="179">
        <f t="shared" si="90"/>
        <v>4</v>
      </c>
      <c r="CM101" s="180">
        <f t="shared" si="91"/>
        <v>39673</v>
      </c>
      <c r="CN101">
        <v>0</v>
      </c>
      <c r="CO101">
        <v>2</v>
      </c>
      <c r="CP101">
        <v>2</v>
      </c>
      <c r="CQ101"/>
      <c r="CR101"/>
      <c r="CS101"/>
      <c r="CT101">
        <v>1</v>
      </c>
      <c r="CU101"/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0.53125459563353639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147.91666666666666</v>
      </c>
      <c r="DH101" s="161">
        <f t="shared" si="96"/>
        <v>147.91666666666666</v>
      </c>
      <c r="DI101" s="161">
        <f t="shared" si="97"/>
        <v>10.416666666666666</v>
      </c>
      <c r="DJ101" s="161">
        <f t="shared" si="98"/>
        <v>10.416666666666666</v>
      </c>
      <c r="DK101" s="161">
        <f t="shared" si="99"/>
        <v>0</v>
      </c>
      <c r="DL101" s="161">
        <f t="shared" si="100"/>
        <v>73.958333333333329</v>
      </c>
      <c r="DM101" s="161">
        <f t="shared" si="101"/>
        <v>0</v>
      </c>
      <c r="DN101" s="161">
        <f t="shared" si="102"/>
        <v>0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390.625</v>
      </c>
      <c r="EL101" s="149"/>
      <c r="EN101" s="146"/>
      <c r="EO101" s="146"/>
      <c r="EP101" s="139" t="e">
        <f t="shared" si="55"/>
        <v>#VALUE!</v>
      </c>
      <c r="EQ101" s="139" t="e">
        <f t="shared" si="56"/>
        <v>#VALUE!</v>
      </c>
      <c r="ER101" s="139" t="e">
        <f t="shared" si="57"/>
        <v>#VALUE!</v>
      </c>
      <c r="ES101" s="139" t="e">
        <f t="shared" si="58"/>
        <v>#VALUE!</v>
      </c>
      <c r="ET101" s="139" t="e">
        <f t="shared" si="59"/>
        <v>#VALUE!</v>
      </c>
      <c r="EU101" s="139" t="e">
        <f t="shared" si="60"/>
        <v>#VALUE!</v>
      </c>
      <c r="EV101" s="139" t="e">
        <f t="shared" si="61"/>
        <v>#VALUE!</v>
      </c>
      <c r="EW101" s="139" t="e">
        <f t="shared" si="62"/>
        <v>#VALUE!</v>
      </c>
      <c r="EX101" s="139" t="e">
        <f t="shared" si="63"/>
        <v>#VALUE!</v>
      </c>
      <c r="EY101" s="139" t="e">
        <f t="shared" si="64"/>
        <v>#VALUE!</v>
      </c>
      <c r="EZ101" s="139" t="e">
        <f t="shared" si="65"/>
        <v>#VALUE!</v>
      </c>
      <c r="FA101" s="139" t="e">
        <f t="shared" si="66"/>
        <v>#VALUE!</v>
      </c>
      <c r="FB101" s="139" t="e">
        <f t="shared" si="67"/>
        <v>#VALUE!</v>
      </c>
      <c r="FC101" s="139" t="e">
        <f t="shared" si="68"/>
        <v>#VALUE!</v>
      </c>
      <c r="FD101" s="139" t="e">
        <f t="shared" si="69"/>
        <v>#VALUE!</v>
      </c>
      <c r="FE101" s="139" t="e">
        <f t="shared" si="70"/>
        <v>#VALUE!</v>
      </c>
      <c r="FF101" s="139" t="e">
        <f t="shared" si="71"/>
        <v>#VALUE!</v>
      </c>
      <c r="FG101" s="139" t="e">
        <f t="shared" si="72"/>
        <v>#VALUE!</v>
      </c>
      <c r="FH101" s="139" t="e">
        <f t="shared" si="73"/>
        <v>#VALUE!</v>
      </c>
      <c r="FI101" s="139" t="e">
        <f t="shared" si="74"/>
        <v>#VALUE!</v>
      </c>
      <c r="FJ101" s="139" t="e">
        <f t="shared" si="75"/>
        <v>#VALUE!</v>
      </c>
      <c r="FK101" s="139" t="e">
        <f t="shared" si="76"/>
        <v>#VALUE!</v>
      </c>
      <c r="FL101" s="139" t="e">
        <f t="shared" si="77"/>
        <v>#VALUE!</v>
      </c>
      <c r="FM101" s="139" t="e">
        <f t="shared" si="78"/>
        <v>#VALUE!</v>
      </c>
      <c r="FN101" s="139" t="e">
        <f t="shared" si="79"/>
        <v>#VALUE!</v>
      </c>
      <c r="FO101" s="139" t="e">
        <f t="shared" si="80"/>
        <v>#VALUE!</v>
      </c>
      <c r="FP101" s="139" t="e">
        <f t="shared" si="81"/>
        <v>#VALUE!</v>
      </c>
      <c r="FQ101" s="139" t="e">
        <f t="shared" si="82"/>
        <v>#VALUE!</v>
      </c>
      <c r="FR101" s="139" t="e">
        <f t="shared" si="83"/>
        <v>#VALUE!</v>
      </c>
      <c r="FS101" s="139" t="e">
        <f t="shared" si="84"/>
        <v>#VALUE!</v>
      </c>
      <c r="FT101" s="139" t="e">
        <f t="shared" si="85"/>
        <v>#VALUE!</v>
      </c>
      <c r="FU101" s="148" t="e">
        <f t="shared" si="86"/>
        <v>#VALUE!</v>
      </c>
      <c r="FV101" s="149"/>
      <c r="FY101" s="211">
        <v>96</v>
      </c>
      <c r="FZ101">
        <v>88.797369032988698</v>
      </c>
      <c r="GA101">
        <v>64.373560770502962</v>
      </c>
      <c r="GB101">
        <v>26.041008184185952</v>
      </c>
      <c r="GC101">
        <v>7.4550422106741685</v>
      </c>
      <c r="GD101">
        <v>3.0684672081712376</v>
      </c>
      <c r="GE101">
        <v>4.8734157343781526</v>
      </c>
      <c r="GF101">
        <v>32.84571190980634</v>
      </c>
      <c r="GG101">
        <v>42.685732361651922</v>
      </c>
      <c r="GH101">
        <v>20.867089490380259</v>
      </c>
      <c r="GI101">
        <v>70.094730427292376</v>
      </c>
      <c r="GJ101"/>
      <c r="GK101"/>
      <c r="GL101"/>
      <c r="GM101"/>
    </row>
    <row r="102" spans="1:195" s="7" customFormat="1">
      <c r="A102" s="1"/>
      <c r="B102" s="76">
        <f t="shared" ca="1" si="49"/>
        <v>0.85644436254269607</v>
      </c>
      <c r="C102">
        <v>9</v>
      </c>
      <c r="D102">
        <v>39673</v>
      </c>
      <c r="E102">
        <v>0</v>
      </c>
      <c r="F102">
        <v>41.666666666666664</v>
      </c>
      <c r="G102">
        <v>270.83333333333331</v>
      </c>
      <c r="H102">
        <v>260.41666666666669</v>
      </c>
      <c r="I102">
        <v>104.16666666666667</v>
      </c>
      <c r="J102">
        <v>41.666666666666664</v>
      </c>
      <c r="K102">
        <v>0</v>
      </c>
      <c r="L102">
        <v>0</v>
      </c>
      <c r="M102">
        <v>10.416666666666666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1221.7004265323258</v>
      </c>
      <c r="AO102">
        <v>152.66108505388237</v>
      </c>
      <c r="AP102">
        <v>1370.2558486987373</v>
      </c>
      <c r="AQ102">
        <v>613.24670252716339</v>
      </c>
      <c r="AR102">
        <v>149.4511471399683</v>
      </c>
      <c r="AS102">
        <v>1706.114862780013</v>
      </c>
      <c r="AT102">
        <v>75.281290614232759</v>
      </c>
      <c r="AU102">
        <v>-87.075491576692187</v>
      </c>
      <c r="AV102"/>
      <c r="AW102"/>
      <c r="AX102" s="146"/>
      <c r="AY102" s="76">
        <f t="shared" ca="1" si="87"/>
        <v>0.47775618922433882</v>
      </c>
      <c r="AZ102">
        <v>5</v>
      </c>
      <c r="BA102" s="129">
        <f t="shared" si="126"/>
        <v>39673</v>
      </c>
      <c r="BB102">
        <v>0</v>
      </c>
      <c r="BC102"/>
      <c r="BD102">
        <v>2</v>
      </c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9"/>
        <v>0.59679212860373532</v>
      </c>
      <c r="CL102" s="179">
        <f t="shared" si="90"/>
        <v>5</v>
      </c>
      <c r="CM102" s="180">
        <f t="shared" si="91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0.92053885917844225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20.833333333333332</v>
      </c>
      <c r="DI102" s="161">
        <f t="shared" si="97"/>
        <v>0</v>
      </c>
      <c r="DJ102" s="161">
        <f t="shared" si="98"/>
        <v>0</v>
      </c>
      <c r="DK102" s="161">
        <f t="shared" si="99"/>
        <v>0</v>
      </c>
      <c r="DL102" s="161">
        <f t="shared" si="100"/>
        <v>0</v>
      </c>
      <c r="DM102" s="161">
        <f t="shared" si="101"/>
        <v>0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20.833333333333332</v>
      </c>
      <c r="EL102" s="149"/>
      <c r="EN102" s="146"/>
      <c r="EO102" s="146"/>
      <c r="EP102" s="139" t="e">
        <f t="shared" si="55"/>
        <v>#VALUE!</v>
      </c>
      <c r="EQ102" s="139" t="e">
        <f t="shared" si="56"/>
        <v>#VALUE!</v>
      </c>
      <c r="ER102" s="139" t="e">
        <f t="shared" si="57"/>
        <v>#VALUE!</v>
      </c>
      <c r="ES102" s="139" t="e">
        <f t="shared" si="58"/>
        <v>#VALUE!</v>
      </c>
      <c r="ET102" s="139" t="e">
        <f t="shared" si="59"/>
        <v>#VALUE!</v>
      </c>
      <c r="EU102" s="139" t="e">
        <f t="shared" si="60"/>
        <v>#VALUE!</v>
      </c>
      <c r="EV102" s="139" t="e">
        <f t="shared" si="61"/>
        <v>#VALUE!</v>
      </c>
      <c r="EW102" s="139" t="e">
        <f t="shared" si="62"/>
        <v>#VALUE!</v>
      </c>
      <c r="EX102" s="139" t="e">
        <f t="shared" si="63"/>
        <v>#VALUE!</v>
      </c>
      <c r="EY102" s="139" t="e">
        <f t="shared" si="64"/>
        <v>#VALUE!</v>
      </c>
      <c r="EZ102" s="139" t="e">
        <f t="shared" si="65"/>
        <v>#VALUE!</v>
      </c>
      <c r="FA102" s="139" t="e">
        <f t="shared" si="66"/>
        <v>#VALUE!</v>
      </c>
      <c r="FB102" s="139" t="e">
        <f t="shared" si="67"/>
        <v>#VALUE!</v>
      </c>
      <c r="FC102" s="139" t="e">
        <f t="shared" si="68"/>
        <v>#VALUE!</v>
      </c>
      <c r="FD102" s="139" t="e">
        <f t="shared" si="69"/>
        <v>#VALUE!</v>
      </c>
      <c r="FE102" s="139" t="e">
        <f t="shared" si="70"/>
        <v>#VALUE!</v>
      </c>
      <c r="FF102" s="139" t="e">
        <f t="shared" si="71"/>
        <v>#VALUE!</v>
      </c>
      <c r="FG102" s="139" t="e">
        <f t="shared" si="72"/>
        <v>#VALUE!</v>
      </c>
      <c r="FH102" s="139" t="e">
        <f t="shared" si="73"/>
        <v>#VALUE!</v>
      </c>
      <c r="FI102" s="139" t="e">
        <f t="shared" si="74"/>
        <v>#VALUE!</v>
      </c>
      <c r="FJ102" s="139" t="e">
        <f t="shared" si="75"/>
        <v>#VALUE!</v>
      </c>
      <c r="FK102" s="139" t="e">
        <f t="shared" si="76"/>
        <v>#VALUE!</v>
      </c>
      <c r="FL102" s="139" t="e">
        <f t="shared" si="77"/>
        <v>#VALUE!</v>
      </c>
      <c r="FM102" s="139" t="e">
        <f t="shared" si="78"/>
        <v>#VALUE!</v>
      </c>
      <c r="FN102" s="139" t="e">
        <f t="shared" si="79"/>
        <v>#VALUE!</v>
      </c>
      <c r="FO102" s="139" t="e">
        <f t="shared" si="80"/>
        <v>#VALUE!</v>
      </c>
      <c r="FP102" s="139" t="e">
        <f t="shared" si="81"/>
        <v>#VALUE!</v>
      </c>
      <c r="FQ102" s="139" t="e">
        <f t="shared" si="82"/>
        <v>#VALUE!</v>
      </c>
      <c r="FR102" s="139" t="e">
        <f t="shared" si="83"/>
        <v>#VALUE!</v>
      </c>
      <c r="FS102" s="139" t="e">
        <f t="shared" si="84"/>
        <v>#VALUE!</v>
      </c>
      <c r="FT102" s="139" t="e">
        <f t="shared" si="85"/>
        <v>#VALUE!</v>
      </c>
      <c r="FU102" s="148" t="e">
        <f t="shared" si="86"/>
        <v>#VALUE!</v>
      </c>
      <c r="FV102" s="149"/>
      <c r="FY102" s="211">
        <v>97</v>
      </c>
      <c r="FZ102">
        <v>119.6048758294197</v>
      </c>
      <c r="GA102">
        <v>86.884167339986718</v>
      </c>
      <c r="GB102">
        <v>27.222899673542791</v>
      </c>
      <c r="GC102">
        <v>8.7689370819447134</v>
      </c>
      <c r="GD102">
        <v>3.5485552713367365</v>
      </c>
      <c r="GE102">
        <v>5.6990346915414154</v>
      </c>
      <c r="GF102">
        <v>16.298374938288536</v>
      </c>
      <c r="GG102">
        <v>20.322371542893965</v>
      </c>
      <c r="GH102">
        <v>32.452585189274764</v>
      </c>
      <c r="GI102">
        <v>63.545668227206583</v>
      </c>
      <c r="GJ102"/>
      <c r="GK102"/>
      <c r="GL102"/>
      <c r="GM102"/>
    </row>
    <row r="103" spans="1:195" s="7" customFormat="1">
      <c r="A103" s="1"/>
      <c r="B103" s="76">
        <f t="shared" ca="1" si="49"/>
        <v>0.62567014426932455</v>
      </c>
      <c r="C103">
        <v>4</v>
      </c>
      <c r="D103">
        <v>39673</v>
      </c>
      <c r="E103">
        <v>0</v>
      </c>
      <c r="F103">
        <v>147.91666666666666</v>
      </c>
      <c r="G103">
        <v>147.91666666666666</v>
      </c>
      <c r="H103">
        <v>10.416666666666666</v>
      </c>
      <c r="I103">
        <v>10.416666666666666</v>
      </c>
      <c r="J103">
        <v>0</v>
      </c>
      <c r="K103">
        <v>73.958333333333329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1335.0681635444112</v>
      </c>
      <c r="AO103">
        <v>161.56350536465547</v>
      </c>
      <c r="AP103">
        <v>1359.5382357598507</v>
      </c>
      <c r="AQ103">
        <v>539.84223075857392</v>
      </c>
      <c r="AR103">
        <v>159.80833767063777</v>
      </c>
      <c r="AS103">
        <v>1755.5337383710184</v>
      </c>
      <c r="AT103">
        <v>79.601537664975808</v>
      </c>
      <c r="AU103">
        <v>158.88422397047873</v>
      </c>
      <c r="AV103"/>
      <c r="AW103"/>
      <c r="AX103" s="146"/>
      <c r="AY103" s="76">
        <f ca="1">IF(AZ103="", "", RAND())</f>
        <v>0.3447335771383484</v>
      </c>
      <c r="AZ103">
        <v>6</v>
      </c>
      <c r="BA103" s="129">
        <f t="shared" si="126"/>
        <v>39673</v>
      </c>
      <c r="BB103">
        <v>0</v>
      </c>
      <c r="BC103"/>
      <c r="BD103">
        <v>2</v>
      </c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9"/>
        <v>5.09679886094484E-2</v>
      </c>
      <c r="CL103" s="179">
        <f t="shared" si="90"/>
        <v>6</v>
      </c>
      <c r="CM103" s="180">
        <f t="shared" si="91"/>
        <v>39673</v>
      </c>
      <c r="CN103">
        <v>0</v>
      </c>
      <c r="CO103">
        <v>1</v>
      </c>
      <c r="CP103">
        <v>3</v>
      </c>
      <c r="CQ103">
        <v>8</v>
      </c>
      <c r="CR103">
        <v>4</v>
      </c>
      <c r="CS103">
        <v>1</v>
      </c>
      <c r="CT103"/>
      <c r="CU103"/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0.19158293863928844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10.416666666666666</v>
      </c>
      <c r="DH103" s="161">
        <f t="shared" si="96"/>
        <v>52.083333333333336</v>
      </c>
      <c r="DI103" s="161">
        <f t="shared" si="97"/>
        <v>83.333333333333329</v>
      </c>
      <c r="DJ103" s="161">
        <f t="shared" si="98"/>
        <v>41.666666666666664</v>
      </c>
      <c r="DK103" s="161">
        <f t="shared" si="99"/>
        <v>10.416666666666666</v>
      </c>
      <c r="DL103" s="161">
        <f t="shared" si="100"/>
        <v>0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197.91666666666663</v>
      </c>
      <c r="EL103" s="149"/>
      <c r="EN103" s="146"/>
      <c r="EO103" s="146"/>
      <c r="EP103" s="139" t="e">
        <f t="shared" si="55"/>
        <v>#VALUE!</v>
      </c>
      <c r="EQ103" s="139" t="e">
        <f t="shared" si="56"/>
        <v>#VALUE!</v>
      </c>
      <c r="ER103" s="139" t="e">
        <f t="shared" si="57"/>
        <v>#VALUE!</v>
      </c>
      <c r="ES103" s="139" t="e">
        <f t="shared" si="58"/>
        <v>#VALUE!</v>
      </c>
      <c r="ET103" s="139" t="e">
        <f t="shared" si="59"/>
        <v>#VALUE!</v>
      </c>
      <c r="EU103" s="139" t="e">
        <f t="shared" si="60"/>
        <v>#VALUE!</v>
      </c>
      <c r="EV103" s="139" t="e">
        <f t="shared" si="61"/>
        <v>#VALUE!</v>
      </c>
      <c r="EW103" s="139" t="e">
        <f t="shared" si="62"/>
        <v>#VALUE!</v>
      </c>
      <c r="EX103" s="139" t="e">
        <f t="shared" si="63"/>
        <v>#VALUE!</v>
      </c>
      <c r="EY103" s="139" t="e">
        <f t="shared" si="64"/>
        <v>#VALUE!</v>
      </c>
      <c r="EZ103" s="139" t="e">
        <f t="shared" si="65"/>
        <v>#VALUE!</v>
      </c>
      <c r="FA103" s="139" t="e">
        <f t="shared" si="66"/>
        <v>#VALUE!</v>
      </c>
      <c r="FB103" s="139" t="e">
        <f t="shared" si="67"/>
        <v>#VALUE!</v>
      </c>
      <c r="FC103" s="139" t="e">
        <f t="shared" si="68"/>
        <v>#VALUE!</v>
      </c>
      <c r="FD103" s="139" t="e">
        <f t="shared" si="69"/>
        <v>#VALUE!</v>
      </c>
      <c r="FE103" s="139" t="e">
        <f t="shared" si="70"/>
        <v>#VALUE!</v>
      </c>
      <c r="FF103" s="139" t="e">
        <f t="shared" si="71"/>
        <v>#VALUE!</v>
      </c>
      <c r="FG103" s="139" t="e">
        <f t="shared" si="72"/>
        <v>#VALUE!</v>
      </c>
      <c r="FH103" s="139" t="e">
        <f t="shared" si="73"/>
        <v>#VALUE!</v>
      </c>
      <c r="FI103" s="139" t="e">
        <f t="shared" si="74"/>
        <v>#VALUE!</v>
      </c>
      <c r="FJ103" s="139" t="e">
        <f t="shared" si="75"/>
        <v>#VALUE!</v>
      </c>
      <c r="FK103" s="139" t="e">
        <f t="shared" si="76"/>
        <v>#VALUE!</v>
      </c>
      <c r="FL103" s="139" t="e">
        <f t="shared" si="77"/>
        <v>#VALUE!</v>
      </c>
      <c r="FM103" s="139" t="e">
        <f t="shared" si="78"/>
        <v>#VALUE!</v>
      </c>
      <c r="FN103" s="139" t="e">
        <f t="shared" si="79"/>
        <v>#VALUE!</v>
      </c>
      <c r="FO103" s="139" t="e">
        <f t="shared" si="80"/>
        <v>#VALUE!</v>
      </c>
      <c r="FP103" s="139" t="e">
        <f t="shared" si="81"/>
        <v>#VALUE!</v>
      </c>
      <c r="FQ103" s="139" t="e">
        <f t="shared" si="82"/>
        <v>#VALUE!</v>
      </c>
      <c r="FR103" s="139" t="e">
        <f t="shared" si="83"/>
        <v>#VALUE!</v>
      </c>
      <c r="FS103" s="139" t="e">
        <f t="shared" si="84"/>
        <v>#VALUE!</v>
      </c>
      <c r="FT103" s="139" t="e">
        <f t="shared" si="85"/>
        <v>#VALUE!</v>
      </c>
      <c r="FU103" s="148" t="e">
        <f t="shared" si="86"/>
        <v>#VALUE!</v>
      </c>
      <c r="FV103" s="149"/>
      <c r="FY103" s="211">
        <v>98</v>
      </c>
      <c r="FZ103">
        <v>232.95963507679463</v>
      </c>
      <c r="GA103">
        <v>161.92980595583597</v>
      </c>
      <c r="GB103">
        <v>36.011777285215793</v>
      </c>
      <c r="GC103">
        <v>6.6739092238765494</v>
      </c>
      <c r="GD103">
        <v>2.8475028333480124</v>
      </c>
      <c r="GE103">
        <v>6.5205482779633499</v>
      </c>
      <c r="GF103">
        <v>51.847623441864435</v>
      </c>
      <c r="GG103">
        <v>62.000828943762414</v>
      </c>
      <c r="GH103">
        <v>20.416051884726922</v>
      </c>
      <c r="GI103">
        <v>96.644205586842133</v>
      </c>
      <c r="GJ103"/>
      <c r="GK103"/>
      <c r="GL103"/>
      <c r="GM103"/>
    </row>
    <row r="104" spans="1:195" s="7" customFormat="1">
      <c r="A104" s="1"/>
      <c r="B104" s="76">
        <f t="shared" ca="1" si="49"/>
        <v>0.78887792533194157</v>
      </c>
      <c r="C104">
        <v>5</v>
      </c>
      <c r="D104">
        <v>39673</v>
      </c>
      <c r="E104">
        <v>0</v>
      </c>
      <c r="F104">
        <v>0</v>
      </c>
      <c r="G104">
        <v>20.833333333333332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1335.323679833949</v>
      </c>
      <c r="AO104">
        <v>196.32366254178308</v>
      </c>
      <c r="AP104">
        <v>1719.129852130787</v>
      </c>
      <c r="AQ104">
        <v>545.51992034667967</v>
      </c>
      <c r="AR104">
        <v>190.98993694818748</v>
      </c>
      <c r="AS104">
        <v>2071.1903547048614</v>
      </c>
      <c r="AT104">
        <v>93.464350469882447</v>
      </c>
      <c r="AU104">
        <v>203.94165007405243</v>
      </c>
      <c r="AV104"/>
      <c r="AW104"/>
      <c r="AX104" s="146"/>
      <c r="AY104" s="76">
        <f ca="1">IF(AZ104="", "", RAND())</f>
        <v>0.40015090889616434</v>
      </c>
      <c r="AZ104">
        <v>7</v>
      </c>
      <c r="BA104" s="129">
        <f t="shared" si="126"/>
        <v>39673</v>
      </c>
      <c r="BB104">
        <v>0</v>
      </c>
      <c r="BC104"/>
      <c r="BD104"/>
      <c r="BE104"/>
      <c r="BF104">
        <v>2</v>
      </c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9"/>
        <v>0.69735246338975831</v>
      </c>
      <c r="CL104" s="179">
        <f t="shared" si="90"/>
        <v>7</v>
      </c>
      <c r="CM104" s="180">
        <f t="shared" si="91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6.7423153635627564E-2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20.833333333333332</v>
      </c>
      <c r="DK104" s="161">
        <f t="shared" si="99"/>
        <v>0</v>
      </c>
      <c r="DL104" s="161">
        <f t="shared" si="100"/>
        <v>0</v>
      </c>
      <c r="DM104" s="161">
        <f t="shared" si="101"/>
        <v>0</v>
      </c>
      <c r="DN104" s="161">
        <f t="shared" si="102"/>
        <v>0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20.833333333333332</v>
      </c>
      <c r="EL104" s="149"/>
      <c r="EN104" s="146"/>
      <c r="EO104" s="146"/>
      <c r="EP104" s="139" t="e">
        <f t="shared" si="55"/>
        <v>#VALUE!</v>
      </c>
      <c r="EQ104" s="139" t="e">
        <f t="shared" si="56"/>
        <v>#VALUE!</v>
      </c>
      <c r="ER104" s="139" t="e">
        <f t="shared" si="57"/>
        <v>#VALUE!</v>
      </c>
      <c r="ES104" s="139" t="e">
        <f t="shared" si="58"/>
        <v>#VALUE!</v>
      </c>
      <c r="ET104" s="139" t="e">
        <f t="shared" si="59"/>
        <v>#VALUE!</v>
      </c>
      <c r="EU104" s="139" t="e">
        <f t="shared" si="60"/>
        <v>#VALUE!</v>
      </c>
      <c r="EV104" s="139" t="e">
        <f t="shared" si="61"/>
        <v>#VALUE!</v>
      </c>
      <c r="EW104" s="139" t="e">
        <f t="shared" si="62"/>
        <v>#VALUE!</v>
      </c>
      <c r="EX104" s="139" t="e">
        <f t="shared" si="63"/>
        <v>#VALUE!</v>
      </c>
      <c r="EY104" s="139" t="e">
        <f t="shared" si="64"/>
        <v>#VALUE!</v>
      </c>
      <c r="EZ104" s="139" t="e">
        <f t="shared" si="65"/>
        <v>#VALUE!</v>
      </c>
      <c r="FA104" s="139" t="e">
        <f t="shared" si="66"/>
        <v>#VALUE!</v>
      </c>
      <c r="FB104" s="139" t="e">
        <f t="shared" si="67"/>
        <v>#VALUE!</v>
      </c>
      <c r="FC104" s="139" t="e">
        <f t="shared" si="68"/>
        <v>#VALUE!</v>
      </c>
      <c r="FD104" s="139" t="e">
        <f t="shared" si="69"/>
        <v>#VALUE!</v>
      </c>
      <c r="FE104" s="139" t="e">
        <f t="shared" si="70"/>
        <v>#VALUE!</v>
      </c>
      <c r="FF104" s="139" t="e">
        <f t="shared" si="71"/>
        <v>#VALUE!</v>
      </c>
      <c r="FG104" s="139" t="e">
        <f t="shared" si="72"/>
        <v>#VALUE!</v>
      </c>
      <c r="FH104" s="139" t="e">
        <f t="shared" si="73"/>
        <v>#VALUE!</v>
      </c>
      <c r="FI104" s="139" t="e">
        <f t="shared" si="74"/>
        <v>#VALUE!</v>
      </c>
      <c r="FJ104" s="139" t="e">
        <f t="shared" si="75"/>
        <v>#VALUE!</v>
      </c>
      <c r="FK104" s="139" t="e">
        <f t="shared" si="76"/>
        <v>#VALUE!</v>
      </c>
      <c r="FL104" s="139" t="e">
        <f t="shared" si="77"/>
        <v>#VALUE!</v>
      </c>
      <c r="FM104" s="139" t="e">
        <f t="shared" si="78"/>
        <v>#VALUE!</v>
      </c>
      <c r="FN104" s="139" t="e">
        <f t="shared" si="79"/>
        <v>#VALUE!</v>
      </c>
      <c r="FO104" s="139" t="e">
        <f t="shared" si="80"/>
        <v>#VALUE!</v>
      </c>
      <c r="FP104" s="139" t="e">
        <f t="shared" si="81"/>
        <v>#VALUE!</v>
      </c>
      <c r="FQ104" s="139" t="e">
        <f t="shared" si="82"/>
        <v>#VALUE!</v>
      </c>
      <c r="FR104" s="139" t="e">
        <f t="shared" si="83"/>
        <v>#VALUE!</v>
      </c>
      <c r="FS104" s="139" t="e">
        <f t="shared" si="84"/>
        <v>#VALUE!</v>
      </c>
      <c r="FT104" s="139" t="e">
        <f t="shared" si="85"/>
        <v>#VALUE!</v>
      </c>
      <c r="FU104" s="148" t="e">
        <f t="shared" si="86"/>
        <v>#VALUE!</v>
      </c>
      <c r="FV104" s="149"/>
      <c r="FY104" s="211">
        <v>99</v>
      </c>
      <c r="FZ104">
        <v>199.5857039224251</v>
      </c>
      <c r="GA104">
        <v>138.9051916475907</v>
      </c>
      <c r="GB104">
        <v>29.154637880295837</v>
      </c>
      <c r="GC104">
        <v>9.019674919817442</v>
      </c>
      <c r="GD104">
        <v>2.8971462097794278</v>
      </c>
      <c r="GE104">
        <v>5.1060867288361713</v>
      </c>
      <c r="GF104">
        <v>26.506635205404432</v>
      </c>
      <c r="GG104">
        <v>34.453360303825754</v>
      </c>
      <c r="GH104">
        <v>26.578903679385604</v>
      </c>
      <c r="GI104">
        <v>78.834441993338487</v>
      </c>
      <c r="GJ104"/>
      <c r="GK104"/>
      <c r="GL104"/>
      <c r="GM104"/>
    </row>
    <row r="105" spans="1:195" s="7" customFormat="1">
      <c r="A105" s="1"/>
      <c r="B105" s="76">
        <f t="shared" ca="1" si="49"/>
        <v>0.55366284443350544</v>
      </c>
      <c r="C105">
        <v>10</v>
      </c>
      <c r="D105">
        <v>39673</v>
      </c>
      <c r="E105">
        <v>0</v>
      </c>
      <c r="F105">
        <v>148.80952380952382</v>
      </c>
      <c r="G105">
        <v>781.54761904761904</v>
      </c>
      <c r="H105">
        <v>1841.964285714286</v>
      </c>
      <c r="I105">
        <v>688.98809523809518</v>
      </c>
      <c r="J105">
        <v>335.11904761904759</v>
      </c>
      <c r="K105">
        <v>18.75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1264.4646882484369</v>
      </c>
      <c r="AO105">
        <v>187.71948951921641</v>
      </c>
      <c r="AP105">
        <v>1507.2693806690622</v>
      </c>
      <c r="AQ105">
        <v>426.98970742604052</v>
      </c>
      <c r="AR105">
        <v>179.73407672304464</v>
      </c>
      <c r="AS105">
        <v>1935.4878141072763</v>
      </c>
      <c r="AT105">
        <v>82.984336930804176</v>
      </c>
      <c r="AU105">
        <v>234.15548330718713</v>
      </c>
      <c r="AV105"/>
      <c r="AW105"/>
      <c r="AX105" s="146"/>
      <c r="AY105" s="76">
        <f ca="1">IF(AZ105="", "", RAND())</f>
        <v>0.75383779492137537</v>
      </c>
      <c r="AZ105">
        <v>8</v>
      </c>
      <c r="BA105" s="129">
        <f t="shared" si="126"/>
        <v>39673</v>
      </c>
      <c r="BB105">
        <v>0</v>
      </c>
      <c r="BC105" s="216">
        <v>2.103448275862069</v>
      </c>
      <c r="BD105" s="216">
        <v>4.2068965517241379</v>
      </c>
      <c r="BE105" s="216">
        <v>23.137931034482758</v>
      </c>
      <c r="BF105" s="216">
        <v>25.241379310344826</v>
      </c>
      <c r="BG105" s="216">
        <v>4.2068965517241379</v>
      </c>
      <c r="BH105" s="216">
        <v>2.103448275862069</v>
      </c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9"/>
        <v>0.57003348171500945</v>
      </c>
      <c r="CL105" s="179">
        <f t="shared" si="90"/>
        <v>8</v>
      </c>
      <c r="CM105" s="180">
        <f t="shared" si="91"/>
        <v>39673</v>
      </c>
      <c r="CN105" s="224">
        <v>0</v>
      </c>
      <c r="CO105" s="224">
        <v>18.205128205128204</v>
      </c>
      <c r="CP105" s="224">
        <v>25.487179487179489</v>
      </c>
      <c r="CQ105" s="224">
        <v>25.487179487179489</v>
      </c>
      <c r="CR105" s="224">
        <v>1.8205128205128205</v>
      </c>
      <c r="CS105" s="224"/>
      <c r="CT105"/>
      <c r="CU105"/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0.52565456012559741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401.18442381373416</v>
      </c>
      <c r="DH105" s="161">
        <f t="shared" si="96"/>
        <v>574.80474506336577</v>
      </c>
      <c r="DI105" s="161">
        <f t="shared" si="97"/>
        <v>772.00302092543473</v>
      </c>
      <c r="DJ105" s="161">
        <f t="shared" si="98"/>
        <v>300.85838491010901</v>
      </c>
      <c r="DK105" s="161">
        <f t="shared" si="99"/>
        <v>43.821839080459768</v>
      </c>
      <c r="DL105" s="161">
        <f t="shared" si="100"/>
        <v>21.910919540229884</v>
      </c>
      <c r="DM105" s="161">
        <f t="shared" si="101"/>
        <v>0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2114.583333333333</v>
      </c>
      <c r="EL105" s="149"/>
      <c r="EN105" s="146"/>
      <c r="EO105" s="146"/>
      <c r="EP105" s="139" t="e">
        <f t="shared" si="55"/>
        <v>#VALUE!</v>
      </c>
      <c r="EQ105" s="139" t="e">
        <f t="shared" si="56"/>
        <v>#VALUE!</v>
      </c>
      <c r="ER105" s="139" t="e">
        <f t="shared" si="57"/>
        <v>#VALUE!</v>
      </c>
      <c r="ES105" s="139" t="e">
        <f t="shared" si="58"/>
        <v>#VALUE!</v>
      </c>
      <c r="ET105" s="139" t="e">
        <f t="shared" si="59"/>
        <v>#VALUE!</v>
      </c>
      <c r="EU105" s="139" t="e">
        <f t="shared" si="60"/>
        <v>#VALUE!</v>
      </c>
      <c r="EV105" s="139" t="e">
        <f t="shared" si="61"/>
        <v>#VALUE!</v>
      </c>
      <c r="EW105" s="139" t="e">
        <f t="shared" si="62"/>
        <v>#VALUE!</v>
      </c>
      <c r="EX105" s="139" t="e">
        <f t="shared" si="63"/>
        <v>#VALUE!</v>
      </c>
      <c r="EY105" s="139" t="e">
        <f t="shared" si="64"/>
        <v>#VALUE!</v>
      </c>
      <c r="EZ105" s="139" t="e">
        <f t="shared" si="65"/>
        <v>#VALUE!</v>
      </c>
      <c r="FA105" s="139" t="e">
        <f t="shared" si="66"/>
        <v>#VALUE!</v>
      </c>
      <c r="FB105" s="139" t="e">
        <f t="shared" si="67"/>
        <v>#VALUE!</v>
      </c>
      <c r="FC105" s="139" t="e">
        <f t="shared" si="68"/>
        <v>#VALUE!</v>
      </c>
      <c r="FD105" s="139" t="e">
        <f t="shared" si="69"/>
        <v>#VALUE!</v>
      </c>
      <c r="FE105" s="139" t="e">
        <f t="shared" si="70"/>
        <v>#VALUE!</v>
      </c>
      <c r="FF105" s="139" t="e">
        <f t="shared" si="71"/>
        <v>#VALUE!</v>
      </c>
      <c r="FG105" s="139" t="e">
        <f t="shared" si="72"/>
        <v>#VALUE!</v>
      </c>
      <c r="FH105" s="139" t="e">
        <f t="shared" si="73"/>
        <v>#VALUE!</v>
      </c>
      <c r="FI105" s="139" t="e">
        <f t="shared" si="74"/>
        <v>#VALUE!</v>
      </c>
      <c r="FJ105" s="139" t="e">
        <f t="shared" si="75"/>
        <v>#VALUE!</v>
      </c>
      <c r="FK105" s="139" t="e">
        <f t="shared" si="76"/>
        <v>#VALUE!</v>
      </c>
      <c r="FL105" s="139" t="e">
        <f t="shared" si="77"/>
        <v>#VALUE!</v>
      </c>
      <c r="FM105" s="139" t="e">
        <f t="shared" si="78"/>
        <v>#VALUE!</v>
      </c>
      <c r="FN105" s="139" t="e">
        <f t="shared" si="79"/>
        <v>#VALUE!</v>
      </c>
      <c r="FO105" s="139" t="e">
        <f t="shared" si="80"/>
        <v>#VALUE!</v>
      </c>
      <c r="FP105" s="139" t="e">
        <f t="shared" si="81"/>
        <v>#VALUE!</v>
      </c>
      <c r="FQ105" s="139" t="e">
        <f t="shared" si="82"/>
        <v>#VALUE!</v>
      </c>
      <c r="FR105" s="139" t="e">
        <f t="shared" si="83"/>
        <v>#VALUE!</v>
      </c>
      <c r="FS105" s="139" t="e">
        <f t="shared" si="84"/>
        <v>#VALUE!</v>
      </c>
      <c r="FT105" s="139" t="e">
        <f t="shared" si="85"/>
        <v>#VALUE!</v>
      </c>
      <c r="FU105" s="148" t="e">
        <f t="shared" si="86"/>
        <v>#VALUE!</v>
      </c>
      <c r="FV105" s="149"/>
      <c r="FY105" s="211">
        <v>100</v>
      </c>
      <c r="FZ105">
        <v>136.46474025645824</v>
      </c>
      <c r="GA105">
        <v>146.93244934760463</v>
      </c>
      <c r="GB105">
        <v>44.904709809093085</v>
      </c>
      <c r="GC105">
        <v>7.7579618407473463</v>
      </c>
      <c r="GD105">
        <v>2.0702149884149703</v>
      </c>
      <c r="GE105">
        <v>4.786693517074454</v>
      </c>
      <c r="GF105">
        <v>47.775357290424651</v>
      </c>
      <c r="GG105">
        <v>60.362052122209619</v>
      </c>
      <c r="GH105">
        <v>26.161728423701476</v>
      </c>
      <c r="GI105">
        <v>90.656602539619129</v>
      </c>
      <c r="GJ105"/>
      <c r="GK105"/>
      <c r="GL105"/>
      <c r="GM105"/>
    </row>
    <row r="106" spans="1:195" s="7" customFormat="1">
      <c r="A106" s="1"/>
      <c r="B106" s="76">
        <f t="shared" ca="1" si="49"/>
        <v>0.80750846878743821</v>
      </c>
      <c r="C106">
        <v>3</v>
      </c>
      <c r="D106">
        <v>39673</v>
      </c>
      <c r="E106">
        <v>0</v>
      </c>
      <c r="F106">
        <v>0</v>
      </c>
      <c r="G106">
        <v>142.97385620915031</v>
      </c>
      <c r="H106">
        <v>142.97385620915031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1162.02773280207</v>
      </c>
      <c r="AO106">
        <v>138.34027620239121</v>
      </c>
      <c r="AP106">
        <v>1118.2526023734763</v>
      </c>
      <c r="AQ106">
        <v>415.32399547035521</v>
      </c>
      <c r="AR106">
        <v>134.56259424511765</v>
      </c>
      <c r="AS106">
        <v>1572.8572822050216</v>
      </c>
      <c r="AT106">
        <v>64.94997752713266</v>
      </c>
      <c r="AU106">
        <v>103.86249553432543</v>
      </c>
      <c r="AV106"/>
      <c r="AW106"/>
      <c r="AX106" s="146"/>
      <c r="AY106" s="76">
        <f t="shared" ca="1" si="87"/>
        <v>0.57801623213365971</v>
      </c>
      <c r="AZ106">
        <v>9</v>
      </c>
      <c r="BA106" s="129">
        <f t="shared" si="126"/>
        <v>39673</v>
      </c>
      <c r="BB106">
        <v>0</v>
      </c>
      <c r="BC106"/>
      <c r="BD106">
        <v>4</v>
      </c>
      <c r="BE106">
        <v>2</v>
      </c>
      <c r="BF106">
        <v>7</v>
      </c>
      <c r="BG106">
        <v>4</v>
      </c>
      <c r="BH106"/>
      <c r="BI106"/>
      <c r="BJ106">
        <v>1</v>
      </c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9"/>
        <v>0.90867119030700538</v>
      </c>
      <c r="CL106" s="179">
        <f t="shared" si="90"/>
        <v>9</v>
      </c>
      <c r="CM106" s="180">
        <f t="shared" si="91"/>
        <v>39673</v>
      </c>
      <c r="CN106">
        <v>0</v>
      </c>
      <c r="CO106">
        <v>4</v>
      </c>
      <c r="CP106">
        <v>22</v>
      </c>
      <c r="CQ106">
        <v>23</v>
      </c>
      <c r="CR106">
        <v>3</v>
      </c>
      <c r="CS106"/>
      <c r="CT106"/>
      <c r="CU106"/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0.96956002724454016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41.666666666666664</v>
      </c>
      <c r="DH106" s="161">
        <f t="shared" si="96"/>
        <v>270.83333333333331</v>
      </c>
      <c r="DI106" s="161">
        <f t="shared" si="97"/>
        <v>260.41666666666669</v>
      </c>
      <c r="DJ106" s="161">
        <f t="shared" si="98"/>
        <v>104.16666666666667</v>
      </c>
      <c r="DK106" s="161">
        <f t="shared" si="99"/>
        <v>41.666666666666664</v>
      </c>
      <c r="DL106" s="161">
        <f t="shared" si="100"/>
        <v>0</v>
      </c>
      <c r="DM106" s="161">
        <f t="shared" si="101"/>
        <v>0</v>
      </c>
      <c r="DN106" s="161">
        <f t="shared" si="102"/>
        <v>10.416666666666666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729.16666666666663</v>
      </c>
      <c r="EL106" s="149"/>
      <c r="EN106" s="146"/>
      <c r="EO106" s="146"/>
      <c r="EP106" s="139" t="e">
        <f t="shared" si="55"/>
        <v>#VALUE!</v>
      </c>
      <c r="EQ106" s="139" t="e">
        <f t="shared" si="56"/>
        <v>#VALUE!</v>
      </c>
      <c r="ER106" s="139" t="e">
        <f t="shared" si="57"/>
        <v>#VALUE!</v>
      </c>
      <c r="ES106" s="139" t="e">
        <f t="shared" si="58"/>
        <v>#VALUE!</v>
      </c>
      <c r="ET106" s="139" t="e">
        <f t="shared" si="59"/>
        <v>#VALUE!</v>
      </c>
      <c r="EU106" s="139" t="e">
        <f t="shared" si="60"/>
        <v>#VALUE!</v>
      </c>
      <c r="EV106" s="139" t="e">
        <f t="shared" si="61"/>
        <v>#VALUE!</v>
      </c>
      <c r="EW106" s="139" t="e">
        <f t="shared" si="62"/>
        <v>#VALUE!</v>
      </c>
      <c r="EX106" s="139" t="e">
        <f t="shared" si="63"/>
        <v>#VALUE!</v>
      </c>
      <c r="EY106" s="139" t="e">
        <f t="shared" si="64"/>
        <v>#VALUE!</v>
      </c>
      <c r="EZ106" s="139" t="e">
        <f t="shared" si="65"/>
        <v>#VALUE!</v>
      </c>
      <c r="FA106" s="139" t="e">
        <f t="shared" si="66"/>
        <v>#VALUE!</v>
      </c>
      <c r="FB106" s="139" t="e">
        <f t="shared" si="67"/>
        <v>#VALUE!</v>
      </c>
      <c r="FC106" s="139" t="e">
        <f t="shared" si="68"/>
        <v>#VALUE!</v>
      </c>
      <c r="FD106" s="139" t="e">
        <f t="shared" si="69"/>
        <v>#VALUE!</v>
      </c>
      <c r="FE106" s="139" t="e">
        <f t="shared" si="70"/>
        <v>#VALUE!</v>
      </c>
      <c r="FF106" s="139" t="e">
        <f t="shared" si="71"/>
        <v>#VALUE!</v>
      </c>
      <c r="FG106" s="139" t="e">
        <f t="shared" si="72"/>
        <v>#VALUE!</v>
      </c>
      <c r="FH106" s="139" t="e">
        <f t="shared" si="73"/>
        <v>#VALUE!</v>
      </c>
      <c r="FI106" s="139" t="e">
        <f t="shared" si="74"/>
        <v>#VALUE!</v>
      </c>
      <c r="FJ106" s="139" t="e">
        <f t="shared" si="75"/>
        <v>#VALUE!</v>
      </c>
      <c r="FK106" s="139" t="e">
        <f t="shared" si="76"/>
        <v>#VALUE!</v>
      </c>
      <c r="FL106" s="139" t="e">
        <f t="shared" si="77"/>
        <v>#VALUE!</v>
      </c>
      <c r="FM106" s="139" t="e">
        <f t="shared" si="78"/>
        <v>#VALUE!</v>
      </c>
      <c r="FN106" s="139" t="e">
        <f t="shared" si="79"/>
        <v>#VALUE!</v>
      </c>
      <c r="FO106" s="139" t="e">
        <f t="shared" si="80"/>
        <v>#VALUE!</v>
      </c>
      <c r="FP106" s="139" t="e">
        <f t="shared" si="81"/>
        <v>#VALUE!</v>
      </c>
      <c r="FQ106" s="139" t="e">
        <f t="shared" si="82"/>
        <v>#VALUE!</v>
      </c>
      <c r="FR106" s="139" t="e">
        <f t="shared" si="83"/>
        <v>#VALUE!</v>
      </c>
      <c r="FS106" s="139" t="e">
        <f t="shared" si="84"/>
        <v>#VALUE!</v>
      </c>
      <c r="FT106" s="139" t="e">
        <f t="shared" si="85"/>
        <v>#VALUE!</v>
      </c>
      <c r="FU106" s="148" t="e">
        <f t="shared" si="86"/>
        <v>#VALUE!</v>
      </c>
      <c r="FV106" s="149"/>
      <c r="FY106" s="211">
        <v>101</v>
      </c>
      <c r="FZ106">
        <v>185.3146969681095</v>
      </c>
      <c r="GA106">
        <v>140.1021289974137</v>
      </c>
      <c r="GB106">
        <v>36.065606700967898</v>
      </c>
      <c r="GC106">
        <v>10.334294777633232</v>
      </c>
      <c r="GD106">
        <v>3.6227170162805011</v>
      </c>
      <c r="GE106">
        <v>4.950333725385101</v>
      </c>
      <c r="GF106">
        <v>18.611352461114947</v>
      </c>
      <c r="GG106">
        <v>22.806022625756551</v>
      </c>
      <c r="GH106">
        <v>19.866562141746687</v>
      </c>
      <c r="GI106">
        <v>77.964910904963489</v>
      </c>
      <c r="GJ106"/>
      <c r="GK106"/>
      <c r="GL106"/>
      <c r="GM106"/>
    </row>
    <row r="107" spans="1:195" s="7" customFormat="1">
      <c r="A107" s="1"/>
      <c r="B107" s="76">
        <f t="shared" ca="1" si="49"/>
        <v>0.95230845905536521</v>
      </c>
      <c r="C107">
        <v>1</v>
      </c>
      <c r="D107">
        <v>39673</v>
      </c>
      <c r="E107">
        <v>0</v>
      </c>
      <c r="F107">
        <v>0</v>
      </c>
      <c r="G107">
        <v>52.083333333333336</v>
      </c>
      <c r="H107">
        <v>20.833333333333332</v>
      </c>
      <c r="I107">
        <v>72.916666666666671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1232.1646624518312</v>
      </c>
      <c r="AO107">
        <v>177.2202408977451</v>
      </c>
      <c r="AP107">
        <v>1554.7933708242167</v>
      </c>
      <c r="AQ107">
        <v>627.30050564395333</v>
      </c>
      <c r="AR107">
        <v>174.56025458623057</v>
      </c>
      <c r="AS107">
        <v>2025.1244884454413</v>
      </c>
      <c r="AT107">
        <v>92.176060857003236</v>
      </c>
      <c r="AU107">
        <v>148.04848145358713</v>
      </c>
      <c r="AV107"/>
      <c r="AW107"/>
      <c r="AX107" s="146"/>
      <c r="AY107" s="76">
        <f t="shared" ca="1" si="87"/>
        <v>0.65399468808013095</v>
      </c>
      <c r="AZ107">
        <v>10</v>
      </c>
      <c r="BA107" s="129">
        <f t="shared" si="126"/>
        <v>39673</v>
      </c>
      <c r="BB107">
        <v>0</v>
      </c>
      <c r="BC107"/>
      <c r="BD107">
        <v>2</v>
      </c>
      <c r="BE107">
        <v>3</v>
      </c>
      <c r="BF107">
        <v>5</v>
      </c>
      <c r="BG107">
        <v>2</v>
      </c>
      <c r="BH107">
        <v>1</v>
      </c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9"/>
        <v>0.81676352313138079</v>
      </c>
      <c r="CL107" s="179">
        <f t="shared" si="90"/>
        <v>10</v>
      </c>
      <c r="CM107" s="180">
        <f t="shared" si="91"/>
        <v>39673</v>
      </c>
      <c r="CN107">
        <v>0</v>
      </c>
      <c r="CO107">
        <v>1</v>
      </c>
      <c r="CP107">
        <v>5</v>
      </c>
      <c r="CQ107">
        <v>12</v>
      </c>
      <c r="CR107">
        <v>4</v>
      </c>
      <c r="CS107">
        <v>2</v>
      </c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2.0187101950970288E-2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148.80952380952382</v>
      </c>
      <c r="DH107" s="161">
        <f t="shared" si="96"/>
        <v>781.54761904761904</v>
      </c>
      <c r="DI107" s="161">
        <f t="shared" si="97"/>
        <v>1841.964285714286</v>
      </c>
      <c r="DJ107" s="161">
        <f t="shared" si="98"/>
        <v>688.98809523809518</v>
      </c>
      <c r="DK107" s="161">
        <f t="shared" si="99"/>
        <v>335.11904761904759</v>
      </c>
      <c r="DL107" s="161">
        <f t="shared" si="100"/>
        <v>18.75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3815.1785714285716</v>
      </c>
      <c r="EL107" s="149"/>
      <c r="EN107" s="146"/>
      <c r="EO107" s="146"/>
      <c r="EP107" s="139" t="e">
        <f t="shared" si="55"/>
        <v>#VALUE!</v>
      </c>
      <c r="EQ107" s="139" t="e">
        <f t="shared" si="56"/>
        <v>#VALUE!</v>
      </c>
      <c r="ER107" s="139" t="e">
        <f t="shared" si="57"/>
        <v>#VALUE!</v>
      </c>
      <c r="ES107" s="139" t="e">
        <f t="shared" si="58"/>
        <v>#VALUE!</v>
      </c>
      <c r="ET107" s="139" t="e">
        <f t="shared" si="59"/>
        <v>#VALUE!</v>
      </c>
      <c r="EU107" s="139" t="e">
        <f t="shared" si="60"/>
        <v>#VALUE!</v>
      </c>
      <c r="EV107" s="139" t="e">
        <f t="shared" si="61"/>
        <v>#VALUE!</v>
      </c>
      <c r="EW107" s="139" t="e">
        <f t="shared" si="62"/>
        <v>#VALUE!</v>
      </c>
      <c r="EX107" s="139" t="e">
        <f t="shared" si="63"/>
        <v>#VALUE!</v>
      </c>
      <c r="EY107" s="139" t="e">
        <f t="shared" si="64"/>
        <v>#VALUE!</v>
      </c>
      <c r="EZ107" s="139" t="e">
        <f t="shared" si="65"/>
        <v>#VALUE!</v>
      </c>
      <c r="FA107" s="139" t="e">
        <f t="shared" si="66"/>
        <v>#VALUE!</v>
      </c>
      <c r="FB107" s="139" t="e">
        <f t="shared" si="67"/>
        <v>#VALUE!</v>
      </c>
      <c r="FC107" s="139" t="e">
        <f t="shared" si="68"/>
        <v>#VALUE!</v>
      </c>
      <c r="FD107" s="139" t="e">
        <f t="shared" si="69"/>
        <v>#VALUE!</v>
      </c>
      <c r="FE107" s="139" t="e">
        <f t="shared" si="70"/>
        <v>#VALUE!</v>
      </c>
      <c r="FF107" s="139" t="e">
        <f t="shared" si="71"/>
        <v>#VALUE!</v>
      </c>
      <c r="FG107" s="139" t="e">
        <f t="shared" si="72"/>
        <v>#VALUE!</v>
      </c>
      <c r="FH107" s="139" t="e">
        <f t="shared" si="73"/>
        <v>#VALUE!</v>
      </c>
      <c r="FI107" s="139" t="e">
        <f t="shared" si="74"/>
        <v>#VALUE!</v>
      </c>
      <c r="FJ107" s="139" t="e">
        <f t="shared" si="75"/>
        <v>#VALUE!</v>
      </c>
      <c r="FK107" s="139" t="e">
        <f t="shared" si="76"/>
        <v>#VALUE!</v>
      </c>
      <c r="FL107" s="139" t="e">
        <f t="shared" si="77"/>
        <v>#VALUE!</v>
      </c>
      <c r="FM107" s="139" t="e">
        <f t="shared" si="78"/>
        <v>#VALUE!</v>
      </c>
      <c r="FN107" s="139" t="e">
        <f t="shared" si="79"/>
        <v>#VALUE!</v>
      </c>
      <c r="FO107" s="139" t="e">
        <f t="shared" si="80"/>
        <v>#VALUE!</v>
      </c>
      <c r="FP107" s="139" t="e">
        <f t="shared" si="81"/>
        <v>#VALUE!</v>
      </c>
      <c r="FQ107" s="139" t="e">
        <f t="shared" si="82"/>
        <v>#VALUE!</v>
      </c>
      <c r="FR107" s="139" t="e">
        <f t="shared" si="83"/>
        <v>#VALUE!</v>
      </c>
      <c r="FS107" s="139" t="e">
        <f t="shared" si="84"/>
        <v>#VALUE!</v>
      </c>
      <c r="FT107" s="139" t="e">
        <f t="shared" si="85"/>
        <v>#VALUE!</v>
      </c>
      <c r="FU107" s="148" t="e">
        <f t="shared" si="86"/>
        <v>#VALUE!</v>
      </c>
      <c r="FV107" s="149"/>
      <c r="FY107" s="211">
        <v>102</v>
      </c>
      <c r="FZ107">
        <v>244.69825324118645</v>
      </c>
      <c r="GA107">
        <v>229.74530163672003</v>
      </c>
      <c r="GB107">
        <v>43.204121071021483</v>
      </c>
      <c r="GC107">
        <v>7.8804649422391</v>
      </c>
      <c r="GD107">
        <v>4.2632821856838445</v>
      </c>
      <c r="GE107">
        <v>7.8163336092203526</v>
      </c>
      <c r="GF107">
        <v>12.603680318834783</v>
      </c>
      <c r="GG107">
        <v>11.608188431616979</v>
      </c>
      <c r="GH107">
        <v>23.301512205571413</v>
      </c>
      <c r="GI107">
        <v>79.421501049781213</v>
      </c>
      <c r="GJ107"/>
      <c r="GK107"/>
      <c r="GL107"/>
      <c r="GM107"/>
    </row>
    <row r="108" spans="1:195" s="7" customFormat="1">
      <c r="A108" s="128"/>
      <c r="B108" s="76">
        <f t="shared" ca="1" si="49"/>
        <v>0.34778283224727602</v>
      </c>
      <c r="C108">
        <v>4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10.416666666666666</v>
      </c>
      <c r="J108">
        <v>20.833333333333332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1073.4229825247605</v>
      </c>
      <c r="AO108">
        <v>138.23413806729104</v>
      </c>
      <c r="AP108">
        <v>1113.8368506841446</v>
      </c>
      <c r="AQ108">
        <v>372.03241926423755</v>
      </c>
      <c r="AR108">
        <v>138.10751218278506</v>
      </c>
      <c r="AS108">
        <v>1556.3811560297588</v>
      </c>
      <c r="AT108">
        <v>65.173827108332631</v>
      </c>
      <c r="AU108">
        <v>230.35462053477772</v>
      </c>
      <c r="AV108"/>
      <c r="AW108"/>
      <c r="AX108" s="128"/>
      <c r="AY108" s="76">
        <f t="shared" ca="1" si="87"/>
        <v>0.33231673379785565</v>
      </c>
      <c r="AZ108">
        <v>1</v>
      </c>
      <c r="BA108" s="129">
        <f>IF(AZ108="", "",$C$6)</f>
        <v>39714</v>
      </c>
      <c r="BB108">
        <v>0</v>
      </c>
      <c r="BC108"/>
      <c r="BD108">
        <v>1</v>
      </c>
      <c r="BE108"/>
      <c r="BF108">
        <v>3</v>
      </c>
      <c r="BG108">
        <v>4</v>
      </c>
      <c r="BH108">
        <v>1</v>
      </c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9"/>
        <v>0.92725362627412422</v>
      </c>
      <c r="CL108" s="179">
        <f t="shared" si="90"/>
        <v>1</v>
      </c>
      <c r="CM108" s="180">
        <f t="shared" si="91"/>
        <v>39714</v>
      </c>
      <c r="CN108">
        <v>3</v>
      </c>
      <c r="CO108">
        <v>15</v>
      </c>
      <c r="CP108">
        <v>8</v>
      </c>
      <c r="CQ108">
        <v>1</v>
      </c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0.86966359946660721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195.3125</v>
      </c>
      <c r="DG108" s="161">
        <f t="shared" si="95"/>
        <v>976.5625</v>
      </c>
      <c r="DH108" s="161">
        <f t="shared" si="96"/>
        <v>531.25</v>
      </c>
      <c r="DI108" s="161">
        <f t="shared" si="97"/>
        <v>65.104166666666671</v>
      </c>
      <c r="DJ108" s="161">
        <f t="shared" si="98"/>
        <v>31.25</v>
      </c>
      <c r="DK108" s="161">
        <f t="shared" si="99"/>
        <v>41.666666666666664</v>
      </c>
      <c r="DL108" s="161">
        <f t="shared" si="100"/>
        <v>10.416666666666666</v>
      </c>
      <c r="DM108" s="161">
        <f t="shared" si="101"/>
        <v>0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1851.5625000000002</v>
      </c>
      <c r="EL108" s="149"/>
      <c r="EN108" s="146"/>
      <c r="EO108" s="146"/>
      <c r="EP108" s="139" t="e">
        <f t="shared" si="55"/>
        <v>#VALUE!</v>
      </c>
      <c r="EQ108" s="139" t="e">
        <f t="shared" si="56"/>
        <v>#VALUE!</v>
      </c>
      <c r="ER108" s="139" t="e">
        <f t="shared" si="57"/>
        <v>#VALUE!</v>
      </c>
      <c r="ES108" s="139" t="e">
        <f t="shared" si="58"/>
        <v>#VALUE!</v>
      </c>
      <c r="ET108" s="139" t="e">
        <f t="shared" si="59"/>
        <v>#VALUE!</v>
      </c>
      <c r="EU108" s="139" t="e">
        <f t="shared" si="60"/>
        <v>#VALUE!</v>
      </c>
      <c r="EV108" s="139" t="e">
        <f t="shared" si="61"/>
        <v>#VALUE!</v>
      </c>
      <c r="EW108" s="139" t="e">
        <f t="shared" si="62"/>
        <v>#VALUE!</v>
      </c>
      <c r="EX108" s="139" t="e">
        <f t="shared" si="63"/>
        <v>#VALUE!</v>
      </c>
      <c r="EY108" s="139" t="e">
        <f t="shared" si="64"/>
        <v>#VALUE!</v>
      </c>
      <c r="EZ108" s="139" t="e">
        <f t="shared" si="65"/>
        <v>#VALUE!</v>
      </c>
      <c r="FA108" s="139" t="e">
        <f t="shared" si="66"/>
        <v>#VALUE!</v>
      </c>
      <c r="FB108" s="139" t="e">
        <f t="shared" si="67"/>
        <v>#VALUE!</v>
      </c>
      <c r="FC108" s="139" t="e">
        <f t="shared" si="68"/>
        <v>#VALUE!</v>
      </c>
      <c r="FD108" s="139" t="e">
        <f t="shared" si="69"/>
        <v>#VALUE!</v>
      </c>
      <c r="FE108" s="139" t="e">
        <f t="shared" si="70"/>
        <v>#VALUE!</v>
      </c>
      <c r="FF108" s="139" t="e">
        <f t="shared" si="71"/>
        <v>#VALUE!</v>
      </c>
      <c r="FG108" s="139" t="e">
        <f t="shared" si="72"/>
        <v>#VALUE!</v>
      </c>
      <c r="FH108" s="139" t="e">
        <f t="shared" si="73"/>
        <v>#VALUE!</v>
      </c>
      <c r="FI108" s="139" t="e">
        <f t="shared" si="74"/>
        <v>#VALUE!</v>
      </c>
      <c r="FJ108" s="139" t="e">
        <f t="shared" si="75"/>
        <v>#VALUE!</v>
      </c>
      <c r="FK108" s="139" t="e">
        <f t="shared" si="76"/>
        <v>#VALUE!</v>
      </c>
      <c r="FL108" s="139" t="e">
        <f t="shared" si="77"/>
        <v>#VALUE!</v>
      </c>
      <c r="FM108" s="139" t="e">
        <f t="shared" si="78"/>
        <v>#VALUE!</v>
      </c>
      <c r="FN108" s="139" t="e">
        <f t="shared" si="79"/>
        <v>#VALUE!</v>
      </c>
      <c r="FO108" s="139" t="e">
        <f t="shared" si="80"/>
        <v>#VALUE!</v>
      </c>
      <c r="FP108" s="139" t="e">
        <f t="shared" si="81"/>
        <v>#VALUE!</v>
      </c>
      <c r="FQ108" s="139" t="e">
        <f t="shared" si="82"/>
        <v>#VALUE!</v>
      </c>
      <c r="FR108" s="139" t="e">
        <f t="shared" si="83"/>
        <v>#VALUE!</v>
      </c>
      <c r="FS108" s="139" t="e">
        <f t="shared" si="84"/>
        <v>#VALUE!</v>
      </c>
      <c r="FT108" s="139" t="e">
        <f t="shared" si="85"/>
        <v>#VALUE!</v>
      </c>
      <c r="FU108" s="148" t="e">
        <f t="shared" si="86"/>
        <v>#VALUE!</v>
      </c>
      <c r="FV108" s="149"/>
      <c r="FY108" s="211">
        <v>103</v>
      </c>
      <c r="FZ108">
        <v>107.66173410052374</v>
      </c>
      <c r="GA108">
        <v>51.002417638198054</v>
      </c>
      <c r="GB108">
        <v>22.93160315412273</v>
      </c>
      <c r="GC108">
        <v>6.956807751432649</v>
      </c>
      <c r="GD108">
        <v>1.7201580563188275</v>
      </c>
      <c r="GE108">
        <v>5.333312050314845</v>
      </c>
      <c r="GF108">
        <v>21.989971699055758</v>
      </c>
      <c r="GG108">
        <v>24.035711494661875</v>
      </c>
      <c r="GH108">
        <v>29.170787739591596</v>
      </c>
      <c r="GI108">
        <v>59.4064254909756</v>
      </c>
      <c r="GJ108"/>
      <c r="GK108"/>
      <c r="GL108"/>
      <c r="GM108"/>
    </row>
    <row r="109" spans="1:195" s="7" customFormat="1">
      <c r="A109" s="1"/>
      <c r="B109" s="76">
        <f t="shared" ca="1" si="49"/>
        <v>3.8403053195579462E-2</v>
      </c>
      <c r="C109">
        <v>1</v>
      </c>
      <c r="D109">
        <v>39714</v>
      </c>
      <c r="E109">
        <v>195.3125</v>
      </c>
      <c r="F109">
        <v>976.5625</v>
      </c>
      <c r="G109">
        <v>531.25</v>
      </c>
      <c r="H109">
        <v>65.104166666666671</v>
      </c>
      <c r="I109">
        <v>31.25</v>
      </c>
      <c r="J109">
        <v>41.666666666666664</v>
      </c>
      <c r="K109">
        <v>10.416666666666666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1160.957128721496</v>
      </c>
      <c r="AO109">
        <v>182.33586785733388</v>
      </c>
      <c r="AP109">
        <v>1496.0627306099657</v>
      </c>
      <c r="AQ109">
        <v>463.63198399674349</v>
      </c>
      <c r="AR109">
        <v>175.32201496512923</v>
      </c>
      <c r="AS109">
        <v>1885.9274076717609</v>
      </c>
      <c r="AT109">
        <v>80.332022089211918</v>
      </c>
      <c r="AU109">
        <v>116.51536385443625</v>
      </c>
      <c r="AV109"/>
      <c r="AW109"/>
      <c r="AX109" s="146"/>
      <c r="AY109" s="76">
        <f t="shared" ca="1" si="87"/>
        <v>0.82354799637109266</v>
      </c>
      <c r="AZ109">
        <v>2</v>
      </c>
      <c r="BA109" s="129">
        <f t="shared" ref="BA109:BA117" si="128">IF(AZ109="", "",$C$6)</f>
        <v>39714</v>
      </c>
      <c r="BB109">
        <v>0</v>
      </c>
      <c r="BC109"/>
      <c r="BD109">
        <v>1</v>
      </c>
      <c r="BE109">
        <v>1</v>
      </c>
      <c r="BF109">
        <v>18</v>
      </c>
      <c r="BG109">
        <v>7</v>
      </c>
      <c r="BH109">
        <v>4</v>
      </c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9"/>
        <v>0.85194433611573184</v>
      </c>
      <c r="CL109" s="179">
        <f t="shared" si="90"/>
        <v>2</v>
      </c>
      <c r="CM109" s="180">
        <f t="shared" si="91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0.71809437024250478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10.416666666666666</v>
      </c>
      <c r="DI109" s="161">
        <f t="shared" si="97"/>
        <v>10.416666666666666</v>
      </c>
      <c r="DJ109" s="161">
        <f t="shared" si="98"/>
        <v>187.5</v>
      </c>
      <c r="DK109" s="161">
        <f t="shared" si="99"/>
        <v>72.916666666666671</v>
      </c>
      <c r="DL109" s="161">
        <f t="shared" si="100"/>
        <v>41.666666666666664</v>
      </c>
      <c r="DM109" s="161">
        <f t="shared" si="101"/>
        <v>0</v>
      </c>
      <c r="DN109" s="161">
        <f t="shared" si="102"/>
        <v>0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322.91666666666669</v>
      </c>
      <c r="EL109" s="149"/>
      <c r="EN109" s="146"/>
      <c r="EO109" s="146"/>
      <c r="EP109" s="139" t="e">
        <f t="shared" si="55"/>
        <v>#VALUE!</v>
      </c>
      <c r="EQ109" s="139" t="e">
        <f t="shared" si="56"/>
        <v>#VALUE!</v>
      </c>
      <c r="ER109" s="139" t="e">
        <f t="shared" si="57"/>
        <v>#VALUE!</v>
      </c>
      <c r="ES109" s="139" t="e">
        <f t="shared" si="58"/>
        <v>#VALUE!</v>
      </c>
      <c r="ET109" s="139" t="e">
        <f t="shared" si="59"/>
        <v>#VALUE!</v>
      </c>
      <c r="EU109" s="139" t="e">
        <f t="shared" si="60"/>
        <v>#VALUE!</v>
      </c>
      <c r="EV109" s="139" t="e">
        <f t="shared" si="61"/>
        <v>#VALUE!</v>
      </c>
      <c r="EW109" s="139" t="e">
        <f t="shared" si="62"/>
        <v>#VALUE!</v>
      </c>
      <c r="EX109" s="139" t="e">
        <f t="shared" si="63"/>
        <v>#VALUE!</v>
      </c>
      <c r="EY109" s="139" t="e">
        <f t="shared" si="64"/>
        <v>#VALUE!</v>
      </c>
      <c r="EZ109" s="139" t="e">
        <f t="shared" si="65"/>
        <v>#VALUE!</v>
      </c>
      <c r="FA109" s="139" t="e">
        <f t="shared" si="66"/>
        <v>#VALUE!</v>
      </c>
      <c r="FB109" s="139" t="e">
        <f t="shared" si="67"/>
        <v>#VALUE!</v>
      </c>
      <c r="FC109" s="139" t="e">
        <f t="shared" si="68"/>
        <v>#VALUE!</v>
      </c>
      <c r="FD109" s="139" t="e">
        <f t="shared" si="69"/>
        <v>#VALUE!</v>
      </c>
      <c r="FE109" s="139" t="e">
        <f t="shared" si="70"/>
        <v>#VALUE!</v>
      </c>
      <c r="FF109" s="139" t="e">
        <f t="shared" si="71"/>
        <v>#VALUE!</v>
      </c>
      <c r="FG109" s="139" t="e">
        <f t="shared" si="72"/>
        <v>#VALUE!</v>
      </c>
      <c r="FH109" s="139" t="e">
        <f t="shared" si="73"/>
        <v>#VALUE!</v>
      </c>
      <c r="FI109" s="139" t="e">
        <f t="shared" si="74"/>
        <v>#VALUE!</v>
      </c>
      <c r="FJ109" s="139" t="e">
        <f t="shared" si="75"/>
        <v>#VALUE!</v>
      </c>
      <c r="FK109" s="139" t="e">
        <f t="shared" si="76"/>
        <v>#VALUE!</v>
      </c>
      <c r="FL109" s="139" t="e">
        <f t="shared" si="77"/>
        <v>#VALUE!</v>
      </c>
      <c r="FM109" s="139" t="e">
        <f t="shared" si="78"/>
        <v>#VALUE!</v>
      </c>
      <c r="FN109" s="139" t="e">
        <f t="shared" si="79"/>
        <v>#VALUE!</v>
      </c>
      <c r="FO109" s="139" t="e">
        <f t="shared" si="80"/>
        <v>#VALUE!</v>
      </c>
      <c r="FP109" s="139" t="e">
        <f t="shared" si="81"/>
        <v>#VALUE!</v>
      </c>
      <c r="FQ109" s="139" t="e">
        <f t="shared" si="82"/>
        <v>#VALUE!</v>
      </c>
      <c r="FR109" s="139" t="e">
        <f t="shared" si="83"/>
        <v>#VALUE!</v>
      </c>
      <c r="FS109" s="139" t="e">
        <f t="shared" si="84"/>
        <v>#VALUE!</v>
      </c>
      <c r="FT109" s="139" t="e">
        <f t="shared" si="85"/>
        <v>#VALUE!</v>
      </c>
      <c r="FU109" s="148" t="e">
        <f t="shared" si="86"/>
        <v>#VALUE!</v>
      </c>
      <c r="FV109" s="149"/>
      <c r="FY109" s="211">
        <v>104</v>
      </c>
      <c r="FZ109">
        <v>146.35772401668291</v>
      </c>
      <c r="GA109">
        <v>148.86855600946564</v>
      </c>
      <c r="GB109">
        <v>31.044778234827099</v>
      </c>
      <c r="GC109">
        <v>7.7681027174952879</v>
      </c>
      <c r="GD109">
        <v>4.3436860306974143</v>
      </c>
      <c r="GE109">
        <v>7.035857256799833</v>
      </c>
      <c r="GF109">
        <v>14.370614101770853</v>
      </c>
      <c r="GG109">
        <v>17.370269586414889</v>
      </c>
      <c r="GH109">
        <v>29.227623220627919</v>
      </c>
      <c r="GI109">
        <v>69.446862356541999</v>
      </c>
      <c r="GJ109"/>
      <c r="GK109"/>
      <c r="GL109"/>
      <c r="GM109"/>
    </row>
    <row r="110" spans="1:195" s="7" customFormat="1">
      <c r="A110" s="1"/>
      <c r="B110" s="76">
        <f t="shared" ca="1" si="49"/>
        <v>0.96696395062647056</v>
      </c>
      <c r="C110">
        <v>3</v>
      </c>
      <c r="D110">
        <v>39714</v>
      </c>
      <c r="E110">
        <v>205.72916666666666</v>
      </c>
      <c r="F110">
        <v>585.9375</v>
      </c>
      <c r="G110">
        <v>519.53125</v>
      </c>
      <c r="H110">
        <v>397.13541666666669</v>
      </c>
      <c r="I110">
        <v>135.41666666666666</v>
      </c>
      <c r="J110">
        <v>72.916666666666671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977.3827154931729</v>
      </c>
      <c r="AO110">
        <v>135.67648762042407</v>
      </c>
      <c r="AP110">
        <v>1117.7949612724201</v>
      </c>
      <c r="AQ110">
        <v>341.87896376694107</v>
      </c>
      <c r="AR110">
        <v>130.15031768381047</v>
      </c>
      <c r="AS110">
        <v>1408.1228405741815</v>
      </c>
      <c r="AT110">
        <v>57.905428098715163</v>
      </c>
      <c r="AU110">
        <v>180.79794300367081</v>
      </c>
      <c r="AV110"/>
      <c r="AW110"/>
      <c r="AX110" s="146"/>
      <c r="AY110" s="76">
        <f t="shared" ca="1" si="87"/>
        <v>0.57522181180700538</v>
      </c>
      <c r="AZ110">
        <v>3</v>
      </c>
      <c r="BA110" s="129">
        <f t="shared" si="128"/>
        <v>39714</v>
      </c>
      <c r="BB110">
        <v>1</v>
      </c>
      <c r="BC110"/>
      <c r="BD110">
        <v>3</v>
      </c>
      <c r="BE110">
        <v>10</v>
      </c>
      <c r="BF110">
        <v>13</v>
      </c>
      <c r="BG110">
        <v>7</v>
      </c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9"/>
        <v>0.25569010991924734</v>
      </c>
      <c r="CL110" s="179">
        <f t="shared" si="90"/>
        <v>3</v>
      </c>
      <c r="CM110" s="180">
        <f t="shared" si="91"/>
        <v>39714</v>
      </c>
      <c r="CN110">
        <v>2</v>
      </c>
      <c r="CO110">
        <v>6</v>
      </c>
      <c r="CP110">
        <v>5</v>
      </c>
      <c r="CQ110">
        <v>3</v>
      </c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2.7570094193096195E-2</v>
      </c>
      <c r="DD110">
        <f t="shared" si="93"/>
        <v>3</v>
      </c>
      <c r="DE110" s="129">
        <f t="shared" si="127"/>
        <v>39714</v>
      </c>
      <c r="DF110" s="161">
        <f t="shared" si="94"/>
        <v>205.72916666666666</v>
      </c>
      <c r="DG110" s="161">
        <f t="shared" si="95"/>
        <v>585.9375</v>
      </c>
      <c r="DH110" s="161">
        <f t="shared" si="96"/>
        <v>519.53125</v>
      </c>
      <c r="DI110" s="161">
        <f t="shared" si="97"/>
        <v>397.13541666666669</v>
      </c>
      <c r="DJ110" s="161">
        <f t="shared" si="98"/>
        <v>135.41666666666666</v>
      </c>
      <c r="DK110" s="161">
        <f t="shared" si="99"/>
        <v>72.916666666666671</v>
      </c>
      <c r="DL110" s="161">
        <f t="shared" si="100"/>
        <v>0</v>
      </c>
      <c r="DM110" s="161">
        <f t="shared" si="101"/>
        <v>0</v>
      </c>
      <c r="DN110" s="161">
        <f t="shared" si="102"/>
        <v>0</v>
      </c>
      <c r="DO110" s="161">
        <f t="shared" si="103"/>
        <v>0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1916.6666666666667</v>
      </c>
      <c r="EL110" s="149"/>
      <c r="EN110" s="146"/>
      <c r="EO110" s="146"/>
      <c r="EP110" s="139" t="e">
        <f t="shared" si="55"/>
        <v>#VALUE!</v>
      </c>
      <c r="EQ110" s="139" t="e">
        <f t="shared" si="56"/>
        <v>#VALUE!</v>
      </c>
      <c r="ER110" s="139" t="e">
        <f t="shared" si="57"/>
        <v>#VALUE!</v>
      </c>
      <c r="ES110" s="139" t="e">
        <f t="shared" si="58"/>
        <v>#VALUE!</v>
      </c>
      <c r="ET110" s="139" t="e">
        <f t="shared" si="59"/>
        <v>#VALUE!</v>
      </c>
      <c r="EU110" s="139" t="e">
        <f t="shared" si="60"/>
        <v>#VALUE!</v>
      </c>
      <c r="EV110" s="139" t="e">
        <f t="shared" si="61"/>
        <v>#VALUE!</v>
      </c>
      <c r="EW110" s="139" t="e">
        <f t="shared" si="62"/>
        <v>#VALUE!</v>
      </c>
      <c r="EX110" s="139" t="e">
        <f t="shared" si="63"/>
        <v>#VALUE!</v>
      </c>
      <c r="EY110" s="139" t="e">
        <f t="shared" si="64"/>
        <v>#VALUE!</v>
      </c>
      <c r="EZ110" s="139" t="e">
        <f t="shared" si="65"/>
        <v>#VALUE!</v>
      </c>
      <c r="FA110" s="139" t="e">
        <f t="shared" si="66"/>
        <v>#VALUE!</v>
      </c>
      <c r="FB110" s="139" t="e">
        <f t="shared" si="67"/>
        <v>#VALUE!</v>
      </c>
      <c r="FC110" s="139" t="e">
        <f t="shared" si="68"/>
        <v>#VALUE!</v>
      </c>
      <c r="FD110" s="139" t="e">
        <f t="shared" si="69"/>
        <v>#VALUE!</v>
      </c>
      <c r="FE110" s="139" t="e">
        <f t="shared" si="70"/>
        <v>#VALUE!</v>
      </c>
      <c r="FF110" s="139" t="e">
        <f t="shared" si="71"/>
        <v>#VALUE!</v>
      </c>
      <c r="FG110" s="139" t="e">
        <f t="shared" si="72"/>
        <v>#VALUE!</v>
      </c>
      <c r="FH110" s="139" t="e">
        <f t="shared" si="73"/>
        <v>#VALUE!</v>
      </c>
      <c r="FI110" s="139" t="e">
        <f t="shared" si="74"/>
        <v>#VALUE!</v>
      </c>
      <c r="FJ110" s="139" t="e">
        <f t="shared" si="75"/>
        <v>#VALUE!</v>
      </c>
      <c r="FK110" s="139" t="e">
        <f t="shared" si="76"/>
        <v>#VALUE!</v>
      </c>
      <c r="FL110" s="139" t="e">
        <f t="shared" si="77"/>
        <v>#VALUE!</v>
      </c>
      <c r="FM110" s="139" t="e">
        <f t="shared" si="78"/>
        <v>#VALUE!</v>
      </c>
      <c r="FN110" s="139" t="e">
        <f t="shared" si="79"/>
        <v>#VALUE!</v>
      </c>
      <c r="FO110" s="139" t="e">
        <f t="shared" si="80"/>
        <v>#VALUE!</v>
      </c>
      <c r="FP110" s="139" t="e">
        <f t="shared" si="81"/>
        <v>#VALUE!</v>
      </c>
      <c r="FQ110" s="139" t="e">
        <f t="shared" si="82"/>
        <v>#VALUE!</v>
      </c>
      <c r="FR110" s="139" t="e">
        <f t="shared" si="83"/>
        <v>#VALUE!</v>
      </c>
      <c r="FS110" s="139" t="e">
        <f t="shared" si="84"/>
        <v>#VALUE!</v>
      </c>
      <c r="FT110" s="139" t="e">
        <f t="shared" si="85"/>
        <v>#VALUE!</v>
      </c>
      <c r="FU110" s="148" t="e">
        <f t="shared" si="86"/>
        <v>#VALUE!</v>
      </c>
      <c r="FV110" s="149"/>
      <c r="FY110" s="211">
        <v>105</v>
      </c>
      <c r="FZ110">
        <v>135.6557855103045</v>
      </c>
      <c r="GA110">
        <v>74.212680608087325</v>
      </c>
      <c r="GB110">
        <v>20.498829227593212</v>
      </c>
      <c r="GC110">
        <v>6.5885152278596282</v>
      </c>
      <c r="GD110">
        <v>3.2740994809171133</v>
      </c>
      <c r="GE110">
        <v>6.8264220649330483</v>
      </c>
      <c r="GF110">
        <v>23.092507384950316</v>
      </c>
      <c r="GG110">
        <v>28.196168411129378</v>
      </c>
      <c r="GH110">
        <v>23.755486686781047</v>
      </c>
      <c r="GI110">
        <v>72.416187192413517</v>
      </c>
      <c r="GJ110"/>
      <c r="GK110"/>
      <c r="GL110"/>
      <c r="GM110"/>
    </row>
    <row r="111" spans="1:195" s="7" customFormat="1">
      <c r="A111" s="1"/>
      <c r="B111" s="76">
        <f t="shared" ca="1" si="49"/>
        <v>1.5764223493292095E-2</v>
      </c>
      <c r="C111">
        <v>5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41.666666666666664</v>
      </c>
      <c r="K111">
        <v>0</v>
      </c>
      <c r="L111">
        <v>10.416666666666666</v>
      </c>
      <c r="M111">
        <v>10.416666666666666</v>
      </c>
      <c r="N111">
        <v>0</v>
      </c>
      <c r="O111">
        <v>10.416666666666666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1019.5919530888075</v>
      </c>
      <c r="AO111">
        <v>161.51016008890167</v>
      </c>
      <c r="AP111">
        <v>1319.3415786130117</v>
      </c>
      <c r="AQ111">
        <v>395.71795639809</v>
      </c>
      <c r="AR111">
        <v>160.92139518408652</v>
      </c>
      <c r="AS111">
        <v>1658.6352008039125</v>
      </c>
      <c r="AT111">
        <v>81.026051175263376</v>
      </c>
      <c r="AU111">
        <v>126.77928731061378</v>
      </c>
      <c r="AV111"/>
      <c r="AW111"/>
      <c r="AX111" s="146"/>
      <c r="AY111" s="76">
        <f t="shared" ca="1" si="87"/>
        <v>0.82488591646345433</v>
      </c>
      <c r="AZ111">
        <v>4</v>
      </c>
      <c r="BA111" s="129">
        <f t="shared" si="128"/>
        <v>39714</v>
      </c>
      <c r="BB111">
        <v>0</v>
      </c>
      <c r="BC111"/>
      <c r="BD111"/>
      <c r="BE111"/>
      <c r="BF111">
        <v>1</v>
      </c>
      <c r="BG111">
        <v>2</v>
      </c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9"/>
        <v>0.19498796077541591</v>
      </c>
      <c r="CL111" s="179">
        <f t="shared" si="90"/>
        <v>4</v>
      </c>
      <c r="CM111" s="180">
        <f t="shared" si="91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9.4986659938891549E-2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0</v>
      </c>
      <c r="DI111" s="161">
        <f t="shared" si="97"/>
        <v>0</v>
      </c>
      <c r="DJ111" s="161">
        <f t="shared" si="98"/>
        <v>10.416666666666666</v>
      </c>
      <c r="DK111" s="161">
        <f t="shared" si="99"/>
        <v>20.833333333333332</v>
      </c>
      <c r="DL111" s="161">
        <f t="shared" si="100"/>
        <v>0</v>
      </c>
      <c r="DM111" s="161">
        <f t="shared" si="101"/>
        <v>0</v>
      </c>
      <c r="DN111" s="161">
        <f t="shared" si="102"/>
        <v>0</v>
      </c>
      <c r="DO111" s="161">
        <f t="shared" si="103"/>
        <v>0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31.25</v>
      </c>
      <c r="EL111" s="149"/>
      <c r="EN111" s="146"/>
      <c r="EO111" s="146"/>
      <c r="EP111" s="139" t="e">
        <f t="shared" si="55"/>
        <v>#VALUE!</v>
      </c>
      <c r="EQ111" s="139" t="e">
        <f t="shared" si="56"/>
        <v>#VALUE!</v>
      </c>
      <c r="ER111" s="139" t="e">
        <f t="shared" si="57"/>
        <v>#VALUE!</v>
      </c>
      <c r="ES111" s="139" t="e">
        <f t="shared" si="58"/>
        <v>#VALUE!</v>
      </c>
      <c r="ET111" s="139" t="e">
        <f t="shared" si="59"/>
        <v>#VALUE!</v>
      </c>
      <c r="EU111" s="139" t="e">
        <f t="shared" si="60"/>
        <v>#VALUE!</v>
      </c>
      <c r="EV111" s="139" t="e">
        <f t="shared" si="61"/>
        <v>#VALUE!</v>
      </c>
      <c r="EW111" s="139" t="e">
        <f t="shared" si="62"/>
        <v>#VALUE!</v>
      </c>
      <c r="EX111" s="139" t="e">
        <f t="shared" si="63"/>
        <v>#VALUE!</v>
      </c>
      <c r="EY111" s="139" t="e">
        <f t="shared" si="64"/>
        <v>#VALUE!</v>
      </c>
      <c r="EZ111" s="139" t="e">
        <f t="shared" si="65"/>
        <v>#VALUE!</v>
      </c>
      <c r="FA111" s="139" t="e">
        <f t="shared" si="66"/>
        <v>#VALUE!</v>
      </c>
      <c r="FB111" s="139" t="e">
        <f t="shared" si="67"/>
        <v>#VALUE!</v>
      </c>
      <c r="FC111" s="139" t="e">
        <f t="shared" si="68"/>
        <v>#VALUE!</v>
      </c>
      <c r="FD111" s="139" t="e">
        <f t="shared" si="69"/>
        <v>#VALUE!</v>
      </c>
      <c r="FE111" s="139" t="e">
        <f t="shared" si="70"/>
        <v>#VALUE!</v>
      </c>
      <c r="FF111" s="139" t="e">
        <f t="shared" si="71"/>
        <v>#VALUE!</v>
      </c>
      <c r="FG111" s="139" t="e">
        <f t="shared" si="72"/>
        <v>#VALUE!</v>
      </c>
      <c r="FH111" s="139" t="e">
        <f t="shared" si="73"/>
        <v>#VALUE!</v>
      </c>
      <c r="FI111" s="139" t="e">
        <f t="shared" si="74"/>
        <v>#VALUE!</v>
      </c>
      <c r="FJ111" s="139" t="e">
        <f t="shared" si="75"/>
        <v>#VALUE!</v>
      </c>
      <c r="FK111" s="139" t="e">
        <f t="shared" si="76"/>
        <v>#VALUE!</v>
      </c>
      <c r="FL111" s="139" t="e">
        <f t="shared" si="77"/>
        <v>#VALUE!</v>
      </c>
      <c r="FM111" s="139" t="e">
        <f t="shared" si="78"/>
        <v>#VALUE!</v>
      </c>
      <c r="FN111" s="139" t="e">
        <f t="shared" si="79"/>
        <v>#VALUE!</v>
      </c>
      <c r="FO111" s="139" t="e">
        <f t="shared" si="80"/>
        <v>#VALUE!</v>
      </c>
      <c r="FP111" s="139" t="e">
        <f t="shared" si="81"/>
        <v>#VALUE!</v>
      </c>
      <c r="FQ111" s="139" t="e">
        <f t="shared" si="82"/>
        <v>#VALUE!</v>
      </c>
      <c r="FR111" s="139" t="e">
        <f t="shared" si="83"/>
        <v>#VALUE!</v>
      </c>
      <c r="FS111" s="139" t="e">
        <f t="shared" si="84"/>
        <v>#VALUE!</v>
      </c>
      <c r="FT111" s="139" t="e">
        <f t="shared" si="85"/>
        <v>#VALUE!</v>
      </c>
      <c r="FU111" s="148" t="e">
        <f t="shared" si="86"/>
        <v>#VALUE!</v>
      </c>
      <c r="FV111" s="149"/>
      <c r="FY111" s="211">
        <v>106</v>
      </c>
      <c r="FZ111">
        <v>132.42321286243052</v>
      </c>
      <c r="GA111">
        <v>117.71678573009201</v>
      </c>
      <c r="GB111">
        <v>29.93157249600635</v>
      </c>
      <c r="GC111">
        <v>9.9672904661725337</v>
      </c>
      <c r="GD111">
        <v>3.5742809313386275</v>
      </c>
      <c r="GE111">
        <v>2.3025024190241923</v>
      </c>
      <c r="GF111">
        <v>24.17472202567318</v>
      </c>
      <c r="GG111">
        <v>34.69791771728439</v>
      </c>
      <c r="GH111">
        <v>21.496218367708593</v>
      </c>
      <c r="GI111">
        <v>69.458877408394741</v>
      </c>
      <c r="GJ111"/>
      <c r="GK111"/>
      <c r="GL111"/>
      <c r="GM111"/>
    </row>
    <row r="112" spans="1:195" s="7" customFormat="1">
      <c r="A112" s="1"/>
      <c r="B112" s="76">
        <f t="shared" ca="1" si="49"/>
        <v>0.81492880612575302</v>
      </c>
      <c r="C112">
        <v>6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41.666666666666664</v>
      </c>
      <c r="J112">
        <v>31.25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1052.3206174936811</v>
      </c>
      <c r="AO112">
        <v>151.91281892393187</v>
      </c>
      <c r="AP112">
        <v>1163.8810500344894</v>
      </c>
      <c r="AQ112">
        <v>361.10212733003209</v>
      </c>
      <c r="AR112">
        <v>149.90630450465122</v>
      </c>
      <c r="AS112">
        <v>1635.3637382667857</v>
      </c>
      <c r="AT112">
        <v>70.088078290957</v>
      </c>
      <c r="AU112">
        <v>149.7099576904254</v>
      </c>
      <c r="AV112"/>
      <c r="AW112"/>
      <c r="AX112" s="146"/>
      <c r="AY112" s="76">
        <f t="shared" ca="1" si="87"/>
        <v>0.25412607023579814</v>
      </c>
      <c r="AZ112">
        <v>5</v>
      </c>
      <c r="BA112" s="129">
        <f t="shared" si="128"/>
        <v>39714</v>
      </c>
      <c r="BB112">
        <v>0</v>
      </c>
      <c r="BC112"/>
      <c r="BD112"/>
      <c r="BE112"/>
      <c r="BF112"/>
      <c r="BG112">
        <v>4</v>
      </c>
      <c r="BH112"/>
      <c r="BI112">
        <v>1</v>
      </c>
      <c r="BJ112">
        <v>1</v>
      </c>
      <c r="BK112"/>
      <c r="BL112">
        <v>1</v>
      </c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9"/>
        <v>0.20184218223214667</v>
      </c>
      <c r="CL112" s="179">
        <f t="shared" si="90"/>
        <v>5</v>
      </c>
      <c r="CM112" s="180">
        <f t="shared" si="91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0.96707724828022679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0</v>
      </c>
      <c r="DJ112" s="161">
        <f t="shared" si="98"/>
        <v>0</v>
      </c>
      <c r="DK112" s="161">
        <f t="shared" si="99"/>
        <v>41.666666666666664</v>
      </c>
      <c r="DL112" s="161">
        <f t="shared" si="100"/>
        <v>0</v>
      </c>
      <c r="DM112" s="161">
        <f t="shared" si="101"/>
        <v>10.416666666666666</v>
      </c>
      <c r="DN112" s="161">
        <f t="shared" si="102"/>
        <v>10.416666666666666</v>
      </c>
      <c r="DO112" s="161">
        <f t="shared" si="103"/>
        <v>0</v>
      </c>
      <c r="DP112" s="161">
        <f t="shared" si="104"/>
        <v>10.416666666666666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72.916666666666657</v>
      </c>
      <c r="EL112" s="149"/>
      <c r="EN112" s="146"/>
      <c r="EO112" s="146"/>
      <c r="EP112" s="139" t="e">
        <f t="shared" si="55"/>
        <v>#VALUE!</v>
      </c>
      <c r="EQ112" s="139" t="e">
        <f t="shared" si="56"/>
        <v>#VALUE!</v>
      </c>
      <c r="ER112" s="139" t="e">
        <f t="shared" si="57"/>
        <v>#VALUE!</v>
      </c>
      <c r="ES112" s="139" t="e">
        <f t="shared" si="58"/>
        <v>#VALUE!</v>
      </c>
      <c r="ET112" s="139" t="e">
        <f t="shared" si="59"/>
        <v>#VALUE!</v>
      </c>
      <c r="EU112" s="139" t="e">
        <f t="shared" si="60"/>
        <v>#VALUE!</v>
      </c>
      <c r="EV112" s="139" t="e">
        <f t="shared" si="61"/>
        <v>#VALUE!</v>
      </c>
      <c r="EW112" s="139" t="e">
        <f t="shared" si="62"/>
        <v>#VALUE!</v>
      </c>
      <c r="EX112" s="139" t="e">
        <f t="shared" si="63"/>
        <v>#VALUE!</v>
      </c>
      <c r="EY112" s="139" t="e">
        <f t="shared" si="64"/>
        <v>#VALUE!</v>
      </c>
      <c r="EZ112" s="139" t="e">
        <f t="shared" si="65"/>
        <v>#VALUE!</v>
      </c>
      <c r="FA112" s="139" t="e">
        <f t="shared" si="66"/>
        <v>#VALUE!</v>
      </c>
      <c r="FB112" s="139" t="e">
        <f t="shared" si="67"/>
        <v>#VALUE!</v>
      </c>
      <c r="FC112" s="139" t="e">
        <f t="shared" si="68"/>
        <v>#VALUE!</v>
      </c>
      <c r="FD112" s="139" t="e">
        <f t="shared" si="69"/>
        <v>#VALUE!</v>
      </c>
      <c r="FE112" s="139" t="e">
        <f t="shared" si="70"/>
        <v>#VALUE!</v>
      </c>
      <c r="FF112" s="139" t="e">
        <f t="shared" si="71"/>
        <v>#VALUE!</v>
      </c>
      <c r="FG112" s="139" t="e">
        <f t="shared" si="72"/>
        <v>#VALUE!</v>
      </c>
      <c r="FH112" s="139" t="e">
        <f t="shared" si="73"/>
        <v>#VALUE!</v>
      </c>
      <c r="FI112" s="139" t="e">
        <f t="shared" si="74"/>
        <v>#VALUE!</v>
      </c>
      <c r="FJ112" s="139" t="e">
        <f t="shared" si="75"/>
        <v>#VALUE!</v>
      </c>
      <c r="FK112" s="139" t="e">
        <f t="shared" si="76"/>
        <v>#VALUE!</v>
      </c>
      <c r="FL112" s="139" t="e">
        <f t="shared" si="77"/>
        <v>#VALUE!</v>
      </c>
      <c r="FM112" s="139" t="e">
        <f t="shared" si="78"/>
        <v>#VALUE!</v>
      </c>
      <c r="FN112" s="139" t="e">
        <f t="shared" si="79"/>
        <v>#VALUE!</v>
      </c>
      <c r="FO112" s="139" t="e">
        <f t="shared" si="80"/>
        <v>#VALUE!</v>
      </c>
      <c r="FP112" s="139" t="e">
        <f t="shared" si="81"/>
        <v>#VALUE!</v>
      </c>
      <c r="FQ112" s="139" t="e">
        <f t="shared" si="82"/>
        <v>#VALUE!</v>
      </c>
      <c r="FR112" s="139" t="e">
        <f t="shared" si="83"/>
        <v>#VALUE!</v>
      </c>
      <c r="FS112" s="139" t="e">
        <f t="shared" si="84"/>
        <v>#VALUE!</v>
      </c>
      <c r="FT112" s="139" t="e">
        <f t="shared" si="85"/>
        <v>#VALUE!</v>
      </c>
      <c r="FU112" s="148" t="e">
        <f t="shared" si="86"/>
        <v>#VALUE!</v>
      </c>
      <c r="FV112" s="149"/>
      <c r="FY112" s="211">
        <v>107</v>
      </c>
      <c r="FZ112">
        <v>96.813634326439342</v>
      </c>
      <c r="GA112">
        <v>106.76647101204624</v>
      </c>
      <c r="GB112">
        <v>38.022668831901981</v>
      </c>
      <c r="GC112">
        <v>9.5822311910049383</v>
      </c>
      <c r="GD112">
        <v>4.5763875023909364</v>
      </c>
      <c r="GE112">
        <v>6.6685051673170053</v>
      </c>
      <c r="GF112">
        <v>30.331543558804832</v>
      </c>
      <c r="GG112">
        <v>37.660182143289568</v>
      </c>
      <c r="GH112">
        <v>27.016877249373721</v>
      </c>
      <c r="GI112">
        <v>86.71092518209187</v>
      </c>
      <c r="GJ112"/>
      <c r="GK112"/>
      <c r="GL112"/>
      <c r="GM112"/>
    </row>
    <row r="113" spans="1:195" s="7" customFormat="1">
      <c r="A113" s="1"/>
      <c r="B113" s="76">
        <f t="shared" ca="1" si="49"/>
        <v>0.33432707980008802</v>
      </c>
      <c r="C113">
        <v>8</v>
      </c>
      <c r="D113">
        <v>39714</v>
      </c>
      <c r="E113">
        <v>0</v>
      </c>
      <c r="F113">
        <v>0</v>
      </c>
      <c r="G113">
        <v>0</v>
      </c>
      <c r="H113">
        <v>72.916666666666671</v>
      </c>
      <c r="I113">
        <v>322.91666666666669</v>
      </c>
      <c r="J113">
        <v>166.66666666666666</v>
      </c>
      <c r="K113">
        <v>10.416666666666666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10.416666666666666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934.64103918457386</v>
      </c>
      <c r="AO113">
        <v>149.90288754879893</v>
      </c>
      <c r="AP113">
        <v>1278.7018121144074</v>
      </c>
      <c r="AQ113">
        <v>384.34746978543598</v>
      </c>
      <c r="AR113">
        <v>145.08302253433408</v>
      </c>
      <c r="AS113">
        <v>1427.7866750577446</v>
      </c>
      <c r="AT113">
        <v>72.517832940307372</v>
      </c>
      <c r="AU113">
        <v>43.447457490706995</v>
      </c>
      <c r="AV113"/>
      <c r="AW113"/>
      <c r="AX113" s="146"/>
      <c r="AY113" s="76">
        <f t="shared" ca="1" si="87"/>
        <v>0.71130853300615249</v>
      </c>
      <c r="AZ113">
        <v>6</v>
      </c>
      <c r="BA113" s="129">
        <f t="shared" si="128"/>
        <v>39714</v>
      </c>
      <c r="BB113">
        <v>0</v>
      </c>
      <c r="BC113"/>
      <c r="BD113"/>
      <c r="BE113"/>
      <c r="BF113">
        <v>4</v>
      </c>
      <c r="BG113">
        <v>3</v>
      </c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9"/>
        <v>0.62098541108988392</v>
      </c>
      <c r="CL113" s="179">
        <f t="shared" si="90"/>
        <v>6</v>
      </c>
      <c r="CM113" s="180">
        <f t="shared" si="91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0.5507724328385537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0</v>
      </c>
      <c r="DJ113" s="161">
        <f t="shared" si="98"/>
        <v>41.666666666666664</v>
      </c>
      <c r="DK113" s="161">
        <f t="shared" si="99"/>
        <v>31.25</v>
      </c>
      <c r="DL113" s="161">
        <f t="shared" si="100"/>
        <v>0</v>
      </c>
      <c r="DM113" s="161">
        <f t="shared" si="101"/>
        <v>0</v>
      </c>
      <c r="DN113" s="161">
        <f t="shared" si="102"/>
        <v>0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72.916666666666657</v>
      </c>
      <c r="EL113" s="149"/>
      <c r="EN113" s="146"/>
      <c r="EO113" s="146"/>
      <c r="EP113" s="139" t="e">
        <f t="shared" si="55"/>
        <v>#VALUE!</v>
      </c>
      <c r="EQ113" s="139" t="e">
        <f t="shared" si="56"/>
        <v>#VALUE!</v>
      </c>
      <c r="ER113" s="139" t="e">
        <f t="shared" si="57"/>
        <v>#VALUE!</v>
      </c>
      <c r="ES113" s="139" t="e">
        <f t="shared" si="58"/>
        <v>#VALUE!</v>
      </c>
      <c r="ET113" s="139" t="e">
        <f t="shared" si="59"/>
        <v>#VALUE!</v>
      </c>
      <c r="EU113" s="139" t="e">
        <f t="shared" si="60"/>
        <v>#VALUE!</v>
      </c>
      <c r="EV113" s="139" t="e">
        <f t="shared" si="61"/>
        <v>#VALUE!</v>
      </c>
      <c r="EW113" s="139" t="e">
        <f t="shared" si="62"/>
        <v>#VALUE!</v>
      </c>
      <c r="EX113" s="139" t="e">
        <f t="shared" si="63"/>
        <v>#VALUE!</v>
      </c>
      <c r="EY113" s="139" t="e">
        <f t="shared" si="64"/>
        <v>#VALUE!</v>
      </c>
      <c r="EZ113" s="139" t="e">
        <f t="shared" si="65"/>
        <v>#VALUE!</v>
      </c>
      <c r="FA113" s="139" t="e">
        <f t="shared" si="66"/>
        <v>#VALUE!</v>
      </c>
      <c r="FB113" s="139" t="e">
        <f t="shared" si="67"/>
        <v>#VALUE!</v>
      </c>
      <c r="FC113" s="139" t="e">
        <f t="shared" si="68"/>
        <v>#VALUE!</v>
      </c>
      <c r="FD113" s="139" t="e">
        <f t="shared" si="69"/>
        <v>#VALUE!</v>
      </c>
      <c r="FE113" s="139" t="e">
        <f t="shared" si="70"/>
        <v>#VALUE!</v>
      </c>
      <c r="FF113" s="139" t="e">
        <f t="shared" si="71"/>
        <v>#VALUE!</v>
      </c>
      <c r="FG113" s="139" t="e">
        <f t="shared" si="72"/>
        <v>#VALUE!</v>
      </c>
      <c r="FH113" s="139" t="e">
        <f t="shared" si="73"/>
        <v>#VALUE!</v>
      </c>
      <c r="FI113" s="139" t="e">
        <f t="shared" si="74"/>
        <v>#VALUE!</v>
      </c>
      <c r="FJ113" s="139" t="e">
        <f t="shared" si="75"/>
        <v>#VALUE!</v>
      </c>
      <c r="FK113" s="139" t="e">
        <f t="shared" si="76"/>
        <v>#VALUE!</v>
      </c>
      <c r="FL113" s="139" t="e">
        <f t="shared" si="77"/>
        <v>#VALUE!</v>
      </c>
      <c r="FM113" s="139" t="e">
        <f t="shared" si="78"/>
        <v>#VALUE!</v>
      </c>
      <c r="FN113" s="139" t="e">
        <f t="shared" si="79"/>
        <v>#VALUE!</v>
      </c>
      <c r="FO113" s="139" t="e">
        <f t="shared" si="80"/>
        <v>#VALUE!</v>
      </c>
      <c r="FP113" s="139" t="e">
        <f t="shared" si="81"/>
        <v>#VALUE!</v>
      </c>
      <c r="FQ113" s="139" t="e">
        <f t="shared" si="82"/>
        <v>#VALUE!</v>
      </c>
      <c r="FR113" s="139" t="e">
        <f t="shared" si="83"/>
        <v>#VALUE!</v>
      </c>
      <c r="FS113" s="139" t="e">
        <f t="shared" si="84"/>
        <v>#VALUE!</v>
      </c>
      <c r="FT113" s="139" t="e">
        <f t="shared" si="85"/>
        <v>#VALUE!</v>
      </c>
      <c r="FU113" s="148" t="e">
        <f t="shared" si="86"/>
        <v>#VALUE!</v>
      </c>
      <c r="FV113" s="149"/>
      <c r="FY113" s="211">
        <v>108</v>
      </c>
      <c r="FZ113">
        <v>83.75527692455411</v>
      </c>
      <c r="GA113">
        <v>95.342777101379909</v>
      </c>
      <c r="GB113">
        <v>42.403569375694858</v>
      </c>
      <c r="GC113">
        <v>8.4256941422122118</v>
      </c>
      <c r="GD113">
        <v>3.3598713945620657</v>
      </c>
      <c r="GE113">
        <v>5.7474414786140446</v>
      </c>
      <c r="GF113">
        <v>24.872797907754418</v>
      </c>
      <c r="GG113">
        <v>32.191444355409722</v>
      </c>
      <c r="GH113">
        <v>24.125023885475837</v>
      </c>
      <c r="GI113">
        <v>67.691991160017579</v>
      </c>
      <c r="GJ113"/>
      <c r="GK113"/>
      <c r="GL113"/>
      <c r="GM113"/>
    </row>
    <row r="114" spans="1:195" s="7" customFormat="1">
      <c r="A114" s="1"/>
      <c r="B114" s="76">
        <f t="shared" ca="1" si="49"/>
        <v>0.81101397814107334</v>
      </c>
      <c r="C114">
        <v>2</v>
      </c>
      <c r="D114">
        <v>39714</v>
      </c>
      <c r="E114">
        <v>0</v>
      </c>
      <c r="F114">
        <v>0</v>
      </c>
      <c r="G114">
        <v>10.416666666666666</v>
      </c>
      <c r="H114">
        <v>10.416666666666666</v>
      </c>
      <c r="I114">
        <v>187.5</v>
      </c>
      <c r="J114">
        <v>72.916666666666671</v>
      </c>
      <c r="K114">
        <v>41.666666666666664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1497.9486823044385</v>
      </c>
      <c r="AO114">
        <v>203.37670462328097</v>
      </c>
      <c r="AP114">
        <v>1781.3421962926564</v>
      </c>
      <c r="AQ114">
        <v>677.85188851023008</v>
      </c>
      <c r="AR114">
        <v>204.12303691879751</v>
      </c>
      <c r="AS114">
        <v>2113.7553841564372</v>
      </c>
      <c r="AT114">
        <v>96.531645008498742</v>
      </c>
      <c r="AU114">
        <v>295.19739318395898</v>
      </c>
      <c r="AV114"/>
      <c r="AW114"/>
      <c r="AX114" s="146"/>
      <c r="AY114" s="76">
        <f t="shared" ca="1" si="87"/>
        <v>0.12189191410823363</v>
      </c>
      <c r="AZ114">
        <v>7</v>
      </c>
      <c r="BA114" s="129">
        <f t="shared" si="128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9"/>
        <v>0.88940511192110916</v>
      </c>
      <c r="CL114" s="179">
        <f t="shared" si="90"/>
        <v>7</v>
      </c>
      <c r="CM114" s="180">
        <f t="shared" si="91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0.79821927865022324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 t="e">
        <f t="shared" si="55"/>
        <v>#VALUE!</v>
      </c>
      <c r="EQ114" s="139" t="e">
        <f t="shared" si="56"/>
        <v>#VALUE!</v>
      </c>
      <c r="ER114" s="139" t="e">
        <f t="shared" si="57"/>
        <v>#VALUE!</v>
      </c>
      <c r="ES114" s="139" t="e">
        <f t="shared" si="58"/>
        <v>#VALUE!</v>
      </c>
      <c r="ET114" s="139" t="e">
        <f t="shared" si="59"/>
        <v>#VALUE!</v>
      </c>
      <c r="EU114" s="139" t="e">
        <f t="shared" si="60"/>
        <v>#VALUE!</v>
      </c>
      <c r="EV114" s="139" t="e">
        <f t="shared" si="61"/>
        <v>#VALUE!</v>
      </c>
      <c r="EW114" s="139" t="e">
        <f t="shared" si="62"/>
        <v>#VALUE!</v>
      </c>
      <c r="EX114" s="139" t="e">
        <f t="shared" si="63"/>
        <v>#VALUE!</v>
      </c>
      <c r="EY114" s="139" t="e">
        <f t="shared" si="64"/>
        <v>#VALUE!</v>
      </c>
      <c r="EZ114" s="139" t="e">
        <f t="shared" si="65"/>
        <v>#VALUE!</v>
      </c>
      <c r="FA114" s="139" t="e">
        <f t="shared" si="66"/>
        <v>#VALUE!</v>
      </c>
      <c r="FB114" s="139" t="e">
        <f t="shared" si="67"/>
        <v>#VALUE!</v>
      </c>
      <c r="FC114" s="139" t="e">
        <f t="shared" si="68"/>
        <v>#VALUE!</v>
      </c>
      <c r="FD114" s="139" t="e">
        <f t="shared" si="69"/>
        <v>#VALUE!</v>
      </c>
      <c r="FE114" s="139" t="e">
        <f t="shared" si="70"/>
        <v>#VALUE!</v>
      </c>
      <c r="FF114" s="139" t="e">
        <f t="shared" si="71"/>
        <v>#VALUE!</v>
      </c>
      <c r="FG114" s="139" t="e">
        <f t="shared" si="72"/>
        <v>#VALUE!</v>
      </c>
      <c r="FH114" s="139" t="e">
        <f t="shared" si="73"/>
        <v>#VALUE!</v>
      </c>
      <c r="FI114" s="139" t="e">
        <f t="shared" si="74"/>
        <v>#VALUE!</v>
      </c>
      <c r="FJ114" s="139" t="e">
        <f t="shared" si="75"/>
        <v>#VALUE!</v>
      </c>
      <c r="FK114" s="139" t="e">
        <f t="shared" si="76"/>
        <v>#VALUE!</v>
      </c>
      <c r="FL114" s="139" t="e">
        <f t="shared" si="77"/>
        <v>#VALUE!</v>
      </c>
      <c r="FM114" s="139" t="e">
        <f t="shared" si="78"/>
        <v>#VALUE!</v>
      </c>
      <c r="FN114" s="139" t="e">
        <f t="shared" si="79"/>
        <v>#VALUE!</v>
      </c>
      <c r="FO114" s="139" t="e">
        <f t="shared" si="80"/>
        <v>#VALUE!</v>
      </c>
      <c r="FP114" s="139" t="e">
        <f t="shared" si="81"/>
        <v>#VALUE!</v>
      </c>
      <c r="FQ114" s="139" t="e">
        <f t="shared" si="82"/>
        <v>#VALUE!</v>
      </c>
      <c r="FR114" s="139" t="e">
        <f t="shared" si="83"/>
        <v>#VALUE!</v>
      </c>
      <c r="FS114" s="139" t="e">
        <f t="shared" si="84"/>
        <v>#VALUE!</v>
      </c>
      <c r="FT114" s="139" t="e">
        <f t="shared" si="85"/>
        <v>#VALUE!</v>
      </c>
      <c r="FU114" s="148" t="e">
        <f t="shared" si="86"/>
        <v>#VALUE!</v>
      </c>
      <c r="FV114" s="149"/>
      <c r="FY114" s="211">
        <v>109</v>
      </c>
      <c r="FZ114">
        <v>181.89289399188328</v>
      </c>
      <c r="GA114">
        <v>96.88673250881078</v>
      </c>
      <c r="GB114">
        <v>25.554308629187084</v>
      </c>
      <c r="GC114">
        <v>9.6531446957751541</v>
      </c>
      <c r="GD114">
        <v>4.0000118528531328</v>
      </c>
      <c r="GE114">
        <v>6.6355264333371107</v>
      </c>
      <c r="GF114">
        <v>41.987953903719713</v>
      </c>
      <c r="GG114">
        <v>48.791771388608197</v>
      </c>
      <c r="GH114">
        <v>22.730957566074139</v>
      </c>
      <c r="GI114">
        <v>94.292404150762167</v>
      </c>
      <c r="GJ114"/>
      <c r="GK114"/>
      <c r="GL114"/>
      <c r="GM114"/>
    </row>
    <row r="115" spans="1:195" s="7" customFormat="1">
      <c r="A115" s="1"/>
      <c r="B115" s="76">
        <f t="shared" ca="1" si="49"/>
        <v>0.83575407275206193</v>
      </c>
      <c r="C115">
        <v>7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1133.2196723063712</v>
      </c>
      <c r="AO115">
        <v>170.49686373598425</v>
      </c>
      <c r="AP115">
        <v>1494.5275371095249</v>
      </c>
      <c r="AQ115">
        <v>551.04178249069889</v>
      </c>
      <c r="AR115">
        <v>163.96518102191826</v>
      </c>
      <c r="AS115">
        <v>1700.0206166292255</v>
      </c>
      <c r="AT115">
        <v>81.550203818838426</v>
      </c>
      <c r="AU115">
        <v>164.03527694983643</v>
      </c>
      <c r="AV115"/>
      <c r="AW115"/>
      <c r="AX115" s="146"/>
      <c r="AY115" s="76">
        <f t="shared" ca="1" si="87"/>
        <v>0.97294999351322431</v>
      </c>
      <c r="AZ115">
        <v>8</v>
      </c>
      <c r="BA115" s="129">
        <f t="shared" si="128"/>
        <v>39714</v>
      </c>
      <c r="BB115">
        <v>0</v>
      </c>
      <c r="BC115"/>
      <c r="BD115"/>
      <c r="BE115">
        <v>7</v>
      </c>
      <c r="BF115">
        <v>31</v>
      </c>
      <c r="BG115">
        <v>16</v>
      </c>
      <c r="BH115">
        <v>1</v>
      </c>
      <c r="BI115"/>
      <c r="BJ115"/>
      <c r="BK115"/>
      <c r="BL115"/>
      <c r="BM115"/>
      <c r="BN115"/>
      <c r="BO115">
        <v>1</v>
      </c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9"/>
        <v>0.5197087360582876</v>
      </c>
      <c r="CL115" s="179">
        <f t="shared" si="90"/>
        <v>8</v>
      </c>
      <c r="CM115" s="180">
        <f t="shared" si="91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0.92471233464157121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72.916666666666671</v>
      </c>
      <c r="DJ115" s="161">
        <f t="shared" si="98"/>
        <v>322.91666666666669</v>
      </c>
      <c r="DK115" s="161">
        <f t="shared" si="99"/>
        <v>166.66666666666666</v>
      </c>
      <c r="DL115" s="161">
        <f t="shared" si="100"/>
        <v>10.416666666666666</v>
      </c>
      <c r="DM115" s="161">
        <f t="shared" si="101"/>
        <v>0</v>
      </c>
      <c r="DN115" s="161">
        <f t="shared" si="102"/>
        <v>0</v>
      </c>
      <c r="DO115" s="161">
        <f t="shared" si="103"/>
        <v>0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10.416666666666666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583.33333333333326</v>
      </c>
      <c r="EL115" s="149"/>
      <c r="EN115" s="146"/>
      <c r="EO115" s="146"/>
      <c r="EP115" s="139" t="e">
        <f t="shared" si="55"/>
        <v>#VALUE!</v>
      </c>
      <c r="EQ115" s="139" t="e">
        <f t="shared" si="56"/>
        <v>#VALUE!</v>
      </c>
      <c r="ER115" s="139" t="e">
        <f t="shared" si="57"/>
        <v>#VALUE!</v>
      </c>
      <c r="ES115" s="139" t="e">
        <f t="shared" si="58"/>
        <v>#VALUE!</v>
      </c>
      <c r="ET115" s="139" t="e">
        <f t="shared" si="59"/>
        <v>#VALUE!</v>
      </c>
      <c r="EU115" s="139" t="e">
        <f t="shared" si="60"/>
        <v>#VALUE!</v>
      </c>
      <c r="EV115" s="139" t="e">
        <f t="shared" si="61"/>
        <v>#VALUE!</v>
      </c>
      <c r="EW115" s="139" t="e">
        <f t="shared" si="62"/>
        <v>#VALUE!</v>
      </c>
      <c r="EX115" s="139" t="e">
        <f t="shared" si="63"/>
        <v>#VALUE!</v>
      </c>
      <c r="EY115" s="139" t="e">
        <f t="shared" si="64"/>
        <v>#VALUE!</v>
      </c>
      <c r="EZ115" s="139" t="e">
        <f t="shared" si="65"/>
        <v>#VALUE!</v>
      </c>
      <c r="FA115" s="139" t="e">
        <f t="shared" si="66"/>
        <v>#VALUE!</v>
      </c>
      <c r="FB115" s="139" t="e">
        <f t="shared" si="67"/>
        <v>#VALUE!</v>
      </c>
      <c r="FC115" s="139" t="e">
        <f t="shared" si="68"/>
        <v>#VALUE!</v>
      </c>
      <c r="FD115" s="139" t="e">
        <f t="shared" si="69"/>
        <v>#VALUE!</v>
      </c>
      <c r="FE115" s="139" t="e">
        <f t="shared" si="70"/>
        <v>#VALUE!</v>
      </c>
      <c r="FF115" s="139" t="e">
        <f t="shared" si="71"/>
        <v>#VALUE!</v>
      </c>
      <c r="FG115" s="139" t="e">
        <f t="shared" si="72"/>
        <v>#VALUE!</v>
      </c>
      <c r="FH115" s="139" t="e">
        <f t="shared" si="73"/>
        <v>#VALUE!</v>
      </c>
      <c r="FI115" s="139" t="e">
        <f t="shared" si="74"/>
        <v>#VALUE!</v>
      </c>
      <c r="FJ115" s="139" t="e">
        <f t="shared" si="75"/>
        <v>#VALUE!</v>
      </c>
      <c r="FK115" s="139" t="e">
        <f t="shared" si="76"/>
        <v>#VALUE!</v>
      </c>
      <c r="FL115" s="139" t="e">
        <f t="shared" si="77"/>
        <v>#VALUE!</v>
      </c>
      <c r="FM115" s="139" t="e">
        <f t="shared" si="78"/>
        <v>#VALUE!</v>
      </c>
      <c r="FN115" s="139" t="e">
        <f t="shared" si="79"/>
        <v>#VALUE!</v>
      </c>
      <c r="FO115" s="139" t="e">
        <f t="shared" si="80"/>
        <v>#VALUE!</v>
      </c>
      <c r="FP115" s="139" t="e">
        <f t="shared" si="81"/>
        <v>#VALUE!</v>
      </c>
      <c r="FQ115" s="139" t="e">
        <f t="shared" si="82"/>
        <v>#VALUE!</v>
      </c>
      <c r="FR115" s="139" t="e">
        <f t="shared" si="83"/>
        <v>#VALUE!</v>
      </c>
      <c r="FS115" s="139" t="e">
        <f t="shared" si="84"/>
        <v>#VALUE!</v>
      </c>
      <c r="FT115" s="139" t="e">
        <f t="shared" si="85"/>
        <v>#VALUE!</v>
      </c>
      <c r="FU115" s="148" t="e">
        <f t="shared" si="86"/>
        <v>#VALUE!</v>
      </c>
      <c r="FV115" s="149"/>
      <c r="FY115" s="211">
        <v>110</v>
      </c>
      <c r="FZ115">
        <v>133.79267910447152</v>
      </c>
      <c r="GA115">
        <v>39.151468307605732</v>
      </c>
      <c r="GB115">
        <v>20.817587318801326</v>
      </c>
      <c r="GC115">
        <v>6.8551509706476388</v>
      </c>
      <c r="GD115">
        <v>2.5750155973624675</v>
      </c>
      <c r="GE115">
        <v>6.3777425074896126</v>
      </c>
      <c r="GF115">
        <v>11.118065919081968</v>
      </c>
      <c r="GG115">
        <v>11.175491934927534</v>
      </c>
      <c r="GH115">
        <v>23.819690680156867</v>
      </c>
      <c r="GI115">
        <v>55.841439421674451</v>
      </c>
      <c r="GJ115"/>
      <c r="GK115"/>
      <c r="GL115"/>
      <c r="GM115"/>
    </row>
    <row r="116" spans="1:195" s="7" customFormat="1">
      <c r="A116" s="1"/>
      <c r="B116" s="76">
        <f t="shared" ca="1" si="49"/>
        <v>8.0204557528471554E-3</v>
      </c>
      <c r="C116">
        <v>9</v>
      </c>
      <c r="D116">
        <v>39714</v>
      </c>
      <c r="E116">
        <v>0</v>
      </c>
      <c r="F116">
        <v>2217.7419354838707</v>
      </c>
      <c r="G116">
        <v>2772.1774193548385</v>
      </c>
      <c r="H116">
        <v>436.65994623655916</v>
      </c>
      <c r="I116">
        <v>190.69220430107524</v>
      </c>
      <c r="J116">
        <v>10.416666666666666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1438.5562948943245</v>
      </c>
      <c r="AO116">
        <v>182.41137764460115</v>
      </c>
      <c r="AP116">
        <v>1570.8272023699251</v>
      </c>
      <c r="AQ116">
        <v>567.87251013534762</v>
      </c>
      <c r="AR116">
        <v>177.1062276734088</v>
      </c>
      <c r="AS116">
        <v>1895.0840077037924</v>
      </c>
      <c r="AT116">
        <v>86.257411656741354</v>
      </c>
      <c r="AU116">
        <v>334.25310571160048</v>
      </c>
      <c r="AV116"/>
      <c r="AW116"/>
      <c r="AX116" s="146"/>
      <c r="AY116" s="76">
        <f t="shared" ca="1" si="87"/>
        <v>0.42517787214200753</v>
      </c>
      <c r="AZ116">
        <v>9</v>
      </c>
      <c r="BA116" s="129">
        <f t="shared" si="128"/>
        <v>39714</v>
      </c>
      <c r="BB116">
        <v>0</v>
      </c>
      <c r="BC116"/>
      <c r="BD116"/>
      <c r="BE116">
        <v>2</v>
      </c>
      <c r="BF116">
        <v>5</v>
      </c>
      <c r="BG116">
        <v>1</v>
      </c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9"/>
        <v>0.67905083488035323</v>
      </c>
      <c r="CL116" s="179">
        <f t="shared" si="90"/>
        <v>9</v>
      </c>
      <c r="CM116" s="180">
        <f t="shared" si="91"/>
        <v>39714</v>
      </c>
      <c r="CN116" s="221">
        <v>0</v>
      </c>
      <c r="CO116" s="221">
        <v>22</v>
      </c>
      <c r="CP116" s="221">
        <v>27.5</v>
      </c>
      <c r="CQ116" s="221">
        <v>4.125</v>
      </c>
      <c r="CR116" s="221">
        <v>1.375</v>
      </c>
      <c r="CS116" s="221">
        <v>0</v>
      </c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0.97046220428258023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2217.7419354838707</v>
      </c>
      <c r="DH116" s="161">
        <f t="shared" si="96"/>
        <v>2772.1774193548385</v>
      </c>
      <c r="DI116" s="161">
        <f t="shared" si="97"/>
        <v>436.65994623655916</v>
      </c>
      <c r="DJ116" s="161">
        <f t="shared" si="98"/>
        <v>190.69220430107524</v>
      </c>
      <c r="DK116" s="161">
        <f t="shared" si="99"/>
        <v>10.416666666666666</v>
      </c>
      <c r="DL116" s="161">
        <f t="shared" si="100"/>
        <v>0</v>
      </c>
      <c r="DM116" s="161">
        <f t="shared" si="101"/>
        <v>0</v>
      </c>
      <c r="DN116" s="161">
        <f t="shared" si="102"/>
        <v>0</v>
      </c>
      <c r="DO116" s="161">
        <f t="shared" si="103"/>
        <v>0</v>
      </c>
      <c r="DP116" s="161">
        <f t="shared" si="104"/>
        <v>0</v>
      </c>
      <c r="DQ116" s="161">
        <f t="shared" si="105"/>
        <v>0</v>
      </c>
      <c r="DR116" s="161">
        <f t="shared" si="106"/>
        <v>0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5627.688172043011</v>
      </c>
      <c r="EL116" s="149"/>
      <c r="EN116" s="146"/>
      <c r="EO116" s="146"/>
      <c r="EP116" s="139" t="e">
        <f t="shared" si="55"/>
        <v>#VALUE!</v>
      </c>
      <c r="EQ116" s="139" t="e">
        <f t="shared" si="56"/>
        <v>#VALUE!</v>
      </c>
      <c r="ER116" s="139" t="e">
        <f t="shared" si="57"/>
        <v>#VALUE!</v>
      </c>
      <c r="ES116" s="139" t="e">
        <f t="shared" si="58"/>
        <v>#VALUE!</v>
      </c>
      <c r="ET116" s="139" t="e">
        <f t="shared" si="59"/>
        <v>#VALUE!</v>
      </c>
      <c r="EU116" s="139" t="e">
        <f t="shared" si="60"/>
        <v>#VALUE!</v>
      </c>
      <c r="EV116" s="139" t="e">
        <f t="shared" si="61"/>
        <v>#VALUE!</v>
      </c>
      <c r="EW116" s="139" t="e">
        <f t="shared" si="62"/>
        <v>#VALUE!</v>
      </c>
      <c r="EX116" s="139" t="e">
        <f t="shared" si="63"/>
        <v>#VALUE!</v>
      </c>
      <c r="EY116" s="139" t="e">
        <f t="shared" si="64"/>
        <v>#VALUE!</v>
      </c>
      <c r="EZ116" s="139" t="e">
        <f t="shared" si="65"/>
        <v>#VALUE!</v>
      </c>
      <c r="FA116" s="139" t="e">
        <f t="shared" si="66"/>
        <v>#VALUE!</v>
      </c>
      <c r="FB116" s="139" t="e">
        <f t="shared" si="67"/>
        <v>#VALUE!</v>
      </c>
      <c r="FC116" s="139" t="e">
        <f t="shared" si="68"/>
        <v>#VALUE!</v>
      </c>
      <c r="FD116" s="139" t="e">
        <f t="shared" si="69"/>
        <v>#VALUE!</v>
      </c>
      <c r="FE116" s="139" t="e">
        <f t="shared" si="70"/>
        <v>#VALUE!</v>
      </c>
      <c r="FF116" s="139" t="e">
        <f t="shared" si="71"/>
        <v>#VALUE!</v>
      </c>
      <c r="FG116" s="139" t="e">
        <f t="shared" si="72"/>
        <v>#VALUE!</v>
      </c>
      <c r="FH116" s="139" t="e">
        <f t="shared" si="73"/>
        <v>#VALUE!</v>
      </c>
      <c r="FI116" s="139" t="e">
        <f t="shared" si="74"/>
        <v>#VALUE!</v>
      </c>
      <c r="FJ116" s="139" t="e">
        <f t="shared" si="75"/>
        <v>#VALUE!</v>
      </c>
      <c r="FK116" s="139" t="e">
        <f t="shared" si="76"/>
        <v>#VALUE!</v>
      </c>
      <c r="FL116" s="139" t="e">
        <f t="shared" si="77"/>
        <v>#VALUE!</v>
      </c>
      <c r="FM116" s="139" t="e">
        <f t="shared" si="78"/>
        <v>#VALUE!</v>
      </c>
      <c r="FN116" s="139" t="e">
        <f t="shared" si="79"/>
        <v>#VALUE!</v>
      </c>
      <c r="FO116" s="139" t="e">
        <f t="shared" si="80"/>
        <v>#VALUE!</v>
      </c>
      <c r="FP116" s="139" t="e">
        <f t="shared" si="81"/>
        <v>#VALUE!</v>
      </c>
      <c r="FQ116" s="139" t="e">
        <f t="shared" si="82"/>
        <v>#VALUE!</v>
      </c>
      <c r="FR116" s="139" t="e">
        <f t="shared" si="83"/>
        <v>#VALUE!</v>
      </c>
      <c r="FS116" s="139" t="e">
        <f t="shared" si="84"/>
        <v>#VALUE!</v>
      </c>
      <c r="FT116" s="139" t="e">
        <f t="shared" si="85"/>
        <v>#VALUE!</v>
      </c>
      <c r="FU116" s="148" t="e">
        <f t="shared" si="86"/>
        <v>#VALUE!</v>
      </c>
      <c r="FV116" s="149"/>
      <c r="FY116" s="211">
        <v>111</v>
      </c>
      <c r="FZ116">
        <v>129.19301772171082</v>
      </c>
      <c r="GA116">
        <v>118.30559788593504</v>
      </c>
      <c r="GB116">
        <v>35.45873975172362</v>
      </c>
      <c r="GC116">
        <v>9.8538557219015672</v>
      </c>
      <c r="GD116">
        <v>3.2903145446049225</v>
      </c>
      <c r="GE116">
        <v>6.2064413841970865</v>
      </c>
      <c r="GF116">
        <v>35.178908871614198</v>
      </c>
      <c r="GG116">
        <v>42.052055286986558</v>
      </c>
      <c r="GH116">
        <v>14.448284851532952</v>
      </c>
      <c r="GI116">
        <v>94.486640038114942</v>
      </c>
      <c r="GJ116"/>
      <c r="GK116"/>
      <c r="GL116"/>
      <c r="GM116"/>
    </row>
    <row r="117" spans="1:195" s="7" customFormat="1">
      <c r="A117" s="1"/>
      <c r="B117" s="76">
        <f t="shared" ca="1" si="49"/>
        <v>0.6908315836548985</v>
      </c>
      <c r="C117">
        <v>10</v>
      </c>
      <c r="D117">
        <v>39714</v>
      </c>
      <c r="E117">
        <v>178.57142857142856</v>
      </c>
      <c r="F117">
        <v>892.85714285714278</v>
      </c>
      <c r="G117">
        <v>892.85714285714278</v>
      </c>
      <c r="H117">
        <v>907.73809523809518</v>
      </c>
      <c r="I117">
        <v>172.61904761904759</v>
      </c>
      <c r="J117">
        <v>52.083333333333336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1130.376047794914</v>
      </c>
      <c r="AO117">
        <v>153.28600355525469</v>
      </c>
      <c r="AP117">
        <v>1201.3084886058748</v>
      </c>
      <c r="AQ117">
        <v>519.63862631937161</v>
      </c>
      <c r="AR117">
        <v>151.06256534607667</v>
      </c>
      <c r="AS117">
        <v>1674.9230323014899</v>
      </c>
      <c r="AT117">
        <v>75.072519910591978</v>
      </c>
      <c r="AU117">
        <v>33.978253856812543</v>
      </c>
      <c r="AV117"/>
      <c r="AW117"/>
      <c r="AX117" s="146"/>
      <c r="AY117" s="76">
        <f t="shared" ca="1" si="87"/>
        <v>0.53040954382282057</v>
      </c>
      <c r="AZ117">
        <v>10</v>
      </c>
      <c r="BA117" s="129">
        <f t="shared" si="128"/>
        <v>39714</v>
      </c>
      <c r="BB117">
        <v>0</v>
      </c>
      <c r="BC117"/>
      <c r="BD117"/>
      <c r="BE117">
        <v>10</v>
      </c>
      <c r="BF117">
        <v>8</v>
      </c>
      <c r="BG117">
        <v>5</v>
      </c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9"/>
        <v>0.78643422423421294</v>
      </c>
      <c r="CL117" s="179">
        <f t="shared" si="90"/>
        <v>10</v>
      </c>
      <c r="CM117" s="180">
        <f t="shared" si="91"/>
        <v>39714</v>
      </c>
      <c r="CN117">
        <v>2</v>
      </c>
      <c r="CO117">
        <v>10</v>
      </c>
      <c r="CP117">
        <v>10</v>
      </c>
      <c r="CQ117">
        <v>9</v>
      </c>
      <c r="CR117">
        <v>1</v>
      </c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0.57684577310317042</v>
      </c>
      <c r="DD117">
        <f t="shared" si="93"/>
        <v>10</v>
      </c>
      <c r="DE117" s="129">
        <f t="shared" si="127"/>
        <v>39714</v>
      </c>
      <c r="DF117" s="161">
        <f t="shared" si="94"/>
        <v>178.57142857142856</v>
      </c>
      <c r="DG117" s="161">
        <f t="shared" si="95"/>
        <v>892.85714285714278</v>
      </c>
      <c r="DH117" s="161">
        <f t="shared" si="96"/>
        <v>892.85714285714278</v>
      </c>
      <c r="DI117" s="161">
        <f t="shared" si="97"/>
        <v>907.73809523809518</v>
      </c>
      <c r="DJ117" s="161">
        <f t="shared" si="98"/>
        <v>172.61904761904759</v>
      </c>
      <c r="DK117" s="161">
        <f t="shared" si="99"/>
        <v>52.083333333333336</v>
      </c>
      <c r="DL117" s="161">
        <f t="shared" si="100"/>
        <v>0</v>
      </c>
      <c r="DM117" s="161">
        <f t="shared" si="101"/>
        <v>0</v>
      </c>
      <c r="DN117" s="161">
        <f t="shared" si="102"/>
        <v>0</v>
      </c>
      <c r="DO117" s="161">
        <f t="shared" si="103"/>
        <v>0</v>
      </c>
      <c r="DP117" s="161">
        <f t="shared" si="104"/>
        <v>0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3096.7261904761904</v>
      </c>
      <c r="EL117" s="149"/>
      <c r="EN117" s="146"/>
      <c r="EO117" s="146"/>
      <c r="EP117" s="139" t="e">
        <f t="shared" si="55"/>
        <v>#VALUE!</v>
      </c>
      <c r="EQ117" s="139" t="e">
        <f t="shared" si="56"/>
        <v>#VALUE!</v>
      </c>
      <c r="ER117" s="139" t="e">
        <f t="shared" si="57"/>
        <v>#VALUE!</v>
      </c>
      <c r="ES117" s="139" t="e">
        <f t="shared" si="58"/>
        <v>#VALUE!</v>
      </c>
      <c r="ET117" s="139" t="e">
        <f t="shared" si="59"/>
        <v>#VALUE!</v>
      </c>
      <c r="EU117" s="139" t="e">
        <f t="shared" si="60"/>
        <v>#VALUE!</v>
      </c>
      <c r="EV117" s="139" t="e">
        <f t="shared" si="61"/>
        <v>#VALUE!</v>
      </c>
      <c r="EW117" s="139" t="e">
        <f t="shared" si="62"/>
        <v>#VALUE!</v>
      </c>
      <c r="EX117" s="139" t="e">
        <f t="shared" si="63"/>
        <v>#VALUE!</v>
      </c>
      <c r="EY117" s="139" t="e">
        <f t="shared" si="64"/>
        <v>#VALUE!</v>
      </c>
      <c r="EZ117" s="139" t="e">
        <f t="shared" si="65"/>
        <v>#VALUE!</v>
      </c>
      <c r="FA117" s="139" t="e">
        <f t="shared" si="66"/>
        <v>#VALUE!</v>
      </c>
      <c r="FB117" s="139" t="e">
        <f t="shared" si="67"/>
        <v>#VALUE!</v>
      </c>
      <c r="FC117" s="139" t="e">
        <f t="shared" si="68"/>
        <v>#VALUE!</v>
      </c>
      <c r="FD117" s="139" t="e">
        <f t="shared" si="69"/>
        <v>#VALUE!</v>
      </c>
      <c r="FE117" s="139" t="e">
        <f t="shared" si="70"/>
        <v>#VALUE!</v>
      </c>
      <c r="FF117" s="139" t="e">
        <f t="shared" si="71"/>
        <v>#VALUE!</v>
      </c>
      <c r="FG117" s="139" t="e">
        <f t="shared" si="72"/>
        <v>#VALUE!</v>
      </c>
      <c r="FH117" s="139" t="e">
        <f t="shared" si="73"/>
        <v>#VALUE!</v>
      </c>
      <c r="FI117" s="139" t="e">
        <f t="shared" si="74"/>
        <v>#VALUE!</v>
      </c>
      <c r="FJ117" s="139" t="e">
        <f t="shared" si="75"/>
        <v>#VALUE!</v>
      </c>
      <c r="FK117" s="139" t="e">
        <f t="shared" si="76"/>
        <v>#VALUE!</v>
      </c>
      <c r="FL117" s="139" t="e">
        <f t="shared" si="77"/>
        <v>#VALUE!</v>
      </c>
      <c r="FM117" s="139" t="e">
        <f t="shared" si="78"/>
        <v>#VALUE!</v>
      </c>
      <c r="FN117" s="139" t="e">
        <f t="shared" si="79"/>
        <v>#VALUE!</v>
      </c>
      <c r="FO117" s="139" t="e">
        <f t="shared" si="80"/>
        <v>#VALUE!</v>
      </c>
      <c r="FP117" s="139" t="e">
        <f t="shared" si="81"/>
        <v>#VALUE!</v>
      </c>
      <c r="FQ117" s="139" t="e">
        <f t="shared" si="82"/>
        <v>#VALUE!</v>
      </c>
      <c r="FR117" s="139" t="e">
        <f t="shared" si="83"/>
        <v>#VALUE!</v>
      </c>
      <c r="FS117" s="139" t="e">
        <f t="shared" si="84"/>
        <v>#VALUE!</v>
      </c>
      <c r="FT117" s="139" t="e">
        <f t="shared" si="85"/>
        <v>#VALUE!</v>
      </c>
      <c r="FU117" s="148" t="e">
        <f t="shared" si="86"/>
        <v>#VALUE!</v>
      </c>
      <c r="FV117" s="149"/>
      <c r="FY117" s="211">
        <v>112</v>
      </c>
      <c r="FZ117">
        <v>161.64138312569278</v>
      </c>
      <c r="GA117">
        <v>91.090923606022884</v>
      </c>
      <c r="GB117">
        <v>25.135354396270376</v>
      </c>
      <c r="GC117">
        <v>7.9883662396384638</v>
      </c>
      <c r="GD117">
        <v>3.1319520334395259</v>
      </c>
      <c r="GE117">
        <v>3.4158289572775606</v>
      </c>
      <c r="GF117">
        <v>23.885369193561903</v>
      </c>
      <c r="GG117">
        <v>33.710344433521477</v>
      </c>
      <c r="GH117">
        <v>20.259309261758006</v>
      </c>
      <c r="GI117">
        <v>72.460632664597682</v>
      </c>
      <c r="GJ117"/>
      <c r="GK117"/>
      <c r="GL117"/>
      <c r="GM117"/>
    </row>
    <row r="118" spans="1:195" s="7" customFormat="1">
      <c r="A118" s="128"/>
      <c r="B118" s="76">
        <f t="shared" ca="1" si="49"/>
        <v>0.20093030956396229</v>
      </c>
      <c r="C118">
        <v>5</v>
      </c>
      <c r="D118">
        <v>39747</v>
      </c>
      <c r="E118">
        <v>0</v>
      </c>
      <c r="F118">
        <v>331.43939393939394</v>
      </c>
      <c r="G118">
        <v>994.31818181818176</v>
      </c>
      <c r="H118">
        <v>662.87878787878788</v>
      </c>
      <c r="I118">
        <v>220.95959595959593</v>
      </c>
      <c r="J118">
        <v>20.833333333333332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1186.8216691518596</v>
      </c>
      <c r="AO118">
        <v>155.44323581160563</v>
      </c>
      <c r="AP118">
        <v>1426.3247335846852</v>
      </c>
      <c r="AQ118">
        <v>664.5426386918756</v>
      </c>
      <c r="AR118">
        <v>151.48472890352846</v>
      </c>
      <c r="AS118">
        <v>1633.1231417887841</v>
      </c>
      <c r="AT118">
        <v>83.237974055021752</v>
      </c>
      <c r="AU118">
        <v>-117.54976493261415</v>
      </c>
      <c r="AV118"/>
      <c r="AW118"/>
      <c r="AX118" s="128"/>
      <c r="AY118" s="76">
        <f t="shared" ca="1" si="87"/>
        <v>0.20953477786691443</v>
      </c>
      <c r="AZ118">
        <v>1</v>
      </c>
      <c r="BA118" s="129">
        <f>IF(AZ118="", "",$C$7)</f>
        <v>39747</v>
      </c>
      <c r="BB118">
        <v>0</v>
      </c>
      <c r="BC118"/>
      <c r="BD118">
        <v>2</v>
      </c>
      <c r="BE118">
        <v>5</v>
      </c>
      <c r="BF118">
        <v>2</v>
      </c>
      <c r="BG118">
        <v>17</v>
      </c>
      <c r="BH118">
        <v>5</v>
      </c>
      <c r="BI118">
        <v>1</v>
      </c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9"/>
        <v>4.2431352248847198E-2</v>
      </c>
      <c r="CL118" s="179">
        <f t="shared" si="90"/>
        <v>1</v>
      </c>
      <c r="CM118" s="180">
        <f t="shared" si="91"/>
        <v>39747</v>
      </c>
      <c r="CN118">
        <v>0</v>
      </c>
      <c r="CO118">
        <v>8</v>
      </c>
      <c r="CP118">
        <v>12</v>
      </c>
      <c r="CQ118">
        <v>6</v>
      </c>
      <c r="CR118">
        <v>4</v>
      </c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0.2714708360068262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694.44444444444446</v>
      </c>
      <c r="DH118" s="161">
        <f t="shared" si="96"/>
        <v>1062.5</v>
      </c>
      <c r="DI118" s="161">
        <f t="shared" si="97"/>
        <v>572.91666666666663</v>
      </c>
      <c r="DJ118" s="161">
        <f t="shared" si="98"/>
        <v>368.0555555555556</v>
      </c>
      <c r="DK118" s="161">
        <f t="shared" si="99"/>
        <v>177.08333333333334</v>
      </c>
      <c r="DL118" s="161">
        <f t="shared" si="100"/>
        <v>52.083333333333336</v>
      </c>
      <c r="DM118" s="161">
        <f t="shared" si="101"/>
        <v>10.416666666666666</v>
      </c>
      <c r="DN118" s="161">
        <f t="shared" si="102"/>
        <v>0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2937.5</v>
      </c>
      <c r="EL118" s="149"/>
      <c r="EN118" s="146"/>
      <c r="EO118" s="146"/>
      <c r="EP118" s="139" t="e">
        <f t="shared" si="55"/>
        <v>#VALUE!</v>
      </c>
      <c r="EQ118" s="139" t="e">
        <f t="shared" si="56"/>
        <v>#VALUE!</v>
      </c>
      <c r="ER118" s="139" t="e">
        <f t="shared" si="57"/>
        <v>#VALUE!</v>
      </c>
      <c r="ES118" s="139" t="e">
        <f t="shared" si="58"/>
        <v>#VALUE!</v>
      </c>
      <c r="ET118" s="139" t="e">
        <f t="shared" si="59"/>
        <v>#VALUE!</v>
      </c>
      <c r="EU118" s="139" t="e">
        <f t="shared" si="60"/>
        <v>#VALUE!</v>
      </c>
      <c r="EV118" s="139" t="e">
        <f t="shared" si="61"/>
        <v>#VALUE!</v>
      </c>
      <c r="EW118" s="139" t="e">
        <f t="shared" si="62"/>
        <v>#VALUE!</v>
      </c>
      <c r="EX118" s="139" t="e">
        <f t="shared" si="63"/>
        <v>#VALUE!</v>
      </c>
      <c r="EY118" s="139" t="e">
        <f t="shared" si="64"/>
        <v>#VALUE!</v>
      </c>
      <c r="EZ118" s="139" t="e">
        <f t="shared" si="65"/>
        <v>#VALUE!</v>
      </c>
      <c r="FA118" s="139" t="e">
        <f t="shared" si="66"/>
        <v>#VALUE!</v>
      </c>
      <c r="FB118" s="139" t="e">
        <f t="shared" si="67"/>
        <v>#VALUE!</v>
      </c>
      <c r="FC118" s="139" t="e">
        <f t="shared" si="68"/>
        <v>#VALUE!</v>
      </c>
      <c r="FD118" s="139" t="e">
        <f t="shared" si="69"/>
        <v>#VALUE!</v>
      </c>
      <c r="FE118" s="139" t="e">
        <f t="shared" si="70"/>
        <v>#VALUE!</v>
      </c>
      <c r="FF118" s="139" t="e">
        <f t="shared" si="71"/>
        <v>#VALUE!</v>
      </c>
      <c r="FG118" s="139" t="e">
        <f t="shared" si="72"/>
        <v>#VALUE!</v>
      </c>
      <c r="FH118" s="139" t="e">
        <f t="shared" si="73"/>
        <v>#VALUE!</v>
      </c>
      <c r="FI118" s="139" t="e">
        <f t="shared" si="74"/>
        <v>#VALUE!</v>
      </c>
      <c r="FJ118" s="139" t="e">
        <f t="shared" si="75"/>
        <v>#VALUE!</v>
      </c>
      <c r="FK118" s="139" t="e">
        <f t="shared" si="76"/>
        <v>#VALUE!</v>
      </c>
      <c r="FL118" s="139" t="e">
        <f t="shared" si="77"/>
        <v>#VALUE!</v>
      </c>
      <c r="FM118" s="139" t="e">
        <f t="shared" si="78"/>
        <v>#VALUE!</v>
      </c>
      <c r="FN118" s="139" t="e">
        <f t="shared" si="79"/>
        <v>#VALUE!</v>
      </c>
      <c r="FO118" s="139" t="e">
        <f t="shared" si="80"/>
        <v>#VALUE!</v>
      </c>
      <c r="FP118" s="139" t="e">
        <f t="shared" si="81"/>
        <v>#VALUE!</v>
      </c>
      <c r="FQ118" s="139" t="e">
        <f t="shared" si="82"/>
        <v>#VALUE!</v>
      </c>
      <c r="FR118" s="139" t="e">
        <f t="shared" si="83"/>
        <v>#VALUE!</v>
      </c>
      <c r="FS118" s="139" t="e">
        <f t="shared" si="84"/>
        <v>#VALUE!</v>
      </c>
      <c r="FT118" s="139" t="e">
        <f t="shared" si="85"/>
        <v>#VALUE!</v>
      </c>
      <c r="FU118" s="148" t="e">
        <f t="shared" si="86"/>
        <v>#VALUE!</v>
      </c>
      <c r="FV118" s="149"/>
      <c r="FY118" s="211">
        <v>113</v>
      </c>
      <c r="FZ118">
        <v>125.61060954485026</v>
      </c>
      <c r="GA118">
        <v>76.08652680104943</v>
      </c>
      <c r="GB118">
        <v>25.4824566496616</v>
      </c>
      <c r="GC118">
        <v>8.5368115509402998</v>
      </c>
      <c r="GD118">
        <v>3.2607905578234471</v>
      </c>
      <c r="GE118">
        <v>4.4801781053882195</v>
      </c>
      <c r="GF118">
        <v>29.487123288208707</v>
      </c>
      <c r="GG118">
        <v>38.184805514736837</v>
      </c>
      <c r="GH118">
        <v>15.808504364676189</v>
      </c>
      <c r="GI118">
        <v>76.375957359394789</v>
      </c>
      <c r="GJ118"/>
      <c r="GK118"/>
      <c r="GL118"/>
      <c r="GM118"/>
    </row>
    <row r="119" spans="1:195" s="7" customFormat="1">
      <c r="A119" s="1"/>
      <c r="B119" s="76">
        <f t="shared" ca="1" si="49"/>
        <v>5.0589231076605623E-2</v>
      </c>
      <c r="C119">
        <v>4</v>
      </c>
      <c r="D119">
        <v>39747</v>
      </c>
      <c r="E119">
        <v>0</v>
      </c>
      <c r="F119">
        <v>502.87356321839076</v>
      </c>
      <c r="G119">
        <v>754.31034482758616</v>
      </c>
      <c r="H119">
        <v>251.43678160919538</v>
      </c>
      <c r="I119">
        <v>336.66405433646815</v>
      </c>
      <c r="J119">
        <v>28.409090909090907</v>
      </c>
      <c r="K119">
        <v>0</v>
      </c>
      <c r="L119">
        <v>28.409090909090907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893.96404764704107</v>
      </c>
      <c r="AO119">
        <v>150.64707272078311</v>
      </c>
      <c r="AP119">
        <v>1312.0652127304004</v>
      </c>
      <c r="AQ119">
        <v>330.20892917519569</v>
      </c>
      <c r="AR119">
        <v>147.69914491026765</v>
      </c>
      <c r="AS119">
        <v>1496.333840332725</v>
      </c>
      <c r="AT119">
        <v>69.25869296527415</v>
      </c>
      <c r="AU119">
        <v>174.97648280552113</v>
      </c>
      <c r="AV119"/>
      <c r="AW119"/>
      <c r="AX119" s="146"/>
      <c r="AY119" s="76">
        <f t="shared" ca="1" si="87"/>
        <v>0.76645940718763417</v>
      </c>
      <c r="AZ119">
        <v>2</v>
      </c>
      <c r="BA119" s="129">
        <f t="shared" ref="BA119:BA127" si="130">IF(AZ119="", "",$C$7)</f>
        <v>39747</v>
      </c>
      <c r="BB119">
        <v>0</v>
      </c>
      <c r="BC119"/>
      <c r="BD119"/>
      <c r="BE119">
        <v>1</v>
      </c>
      <c r="BF119">
        <v>3</v>
      </c>
      <c r="BG119">
        <v>3</v>
      </c>
      <c r="BH119"/>
      <c r="BI119"/>
      <c r="BJ119">
        <v>1</v>
      </c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9"/>
        <v>0.63699239165378563</v>
      </c>
      <c r="CL119" s="179">
        <f t="shared" si="90"/>
        <v>2</v>
      </c>
      <c r="CM119" s="180">
        <f t="shared" si="91"/>
        <v>39747</v>
      </c>
      <c r="CN119">
        <v>0</v>
      </c>
      <c r="CO119">
        <v>3</v>
      </c>
      <c r="CP119">
        <v>19</v>
      </c>
      <c r="CQ119">
        <v>6</v>
      </c>
      <c r="CR119">
        <v>1</v>
      </c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0.36854003515096678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273.4375</v>
      </c>
      <c r="DH119" s="161">
        <f t="shared" si="96"/>
        <v>1731.7708333333333</v>
      </c>
      <c r="DI119" s="161">
        <f t="shared" si="97"/>
        <v>572.91666666666663</v>
      </c>
      <c r="DJ119" s="161">
        <f t="shared" si="98"/>
        <v>169.27083333333334</v>
      </c>
      <c r="DK119" s="161">
        <f t="shared" si="99"/>
        <v>78.125</v>
      </c>
      <c r="DL119" s="161">
        <f t="shared" si="100"/>
        <v>0</v>
      </c>
      <c r="DM119" s="161">
        <f t="shared" si="101"/>
        <v>0</v>
      </c>
      <c r="DN119" s="161">
        <f t="shared" si="102"/>
        <v>26.041666666666668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2851.5625</v>
      </c>
      <c r="EL119" s="149"/>
      <c r="EN119" s="146"/>
      <c r="EO119" s="146"/>
      <c r="EP119" s="139" t="e">
        <f t="shared" si="55"/>
        <v>#VALUE!</v>
      </c>
      <c r="EQ119" s="139" t="e">
        <f t="shared" si="56"/>
        <v>#VALUE!</v>
      </c>
      <c r="ER119" s="139" t="e">
        <f t="shared" si="57"/>
        <v>#VALUE!</v>
      </c>
      <c r="ES119" s="139" t="e">
        <f t="shared" si="58"/>
        <v>#VALUE!</v>
      </c>
      <c r="ET119" s="139" t="e">
        <f t="shared" si="59"/>
        <v>#VALUE!</v>
      </c>
      <c r="EU119" s="139" t="e">
        <f t="shared" si="60"/>
        <v>#VALUE!</v>
      </c>
      <c r="EV119" s="139" t="e">
        <f t="shared" si="61"/>
        <v>#VALUE!</v>
      </c>
      <c r="EW119" s="139" t="e">
        <f t="shared" si="62"/>
        <v>#VALUE!</v>
      </c>
      <c r="EX119" s="139" t="e">
        <f t="shared" si="63"/>
        <v>#VALUE!</v>
      </c>
      <c r="EY119" s="139" t="e">
        <f t="shared" si="64"/>
        <v>#VALUE!</v>
      </c>
      <c r="EZ119" s="139" t="e">
        <f t="shared" si="65"/>
        <v>#VALUE!</v>
      </c>
      <c r="FA119" s="139" t="e">
        <f t="shared" si="66"/>
        <v>#VALUE!</v>
      </c>
      <c r="FB119" s="139" t="e">
        <f t="shared" si="67"/>
        <v>#VALUE!</v>
      </c>
      <c r="FC119" s="139" t="e">
        <f t="shared" si="68"/>
        <v>#VALUE!</v>
      </c>
      <c r="FD119" s="139" t="e">
        <f t="shared" si="69"/>
        <v>#VALUE!</v>
      </c>
      <c r="FE119" s="139" t="e">
        <f t="shared" si="70"/>
        <v>#VALUE!</v>
      </c>
      <c r="FF119" s="139" t="e">
        <f t="shared" si="71"/>
        <v>#VALUE!</v>
      </c>
      <c r="FG119" s="139" t="e">
        <f t="shared" si="72"/>
        <v>#VALUE!</v>
      </c>
      <c r="FH119" s="139" t="e">
        <f t="shared" si="73"/>
        <v>#VALUE!</v>
      </c>
      <c r="FI119" s="139" t="e">
        <f t="shared" si="74"/>
        <v>#VALUE!</v>
      </c>
      <c r="FJ119" s="139" t="e">
        <f t="shared" si="75"/>
        <v>#VALUE!</v>
      </c>
      <c r="FK119" s="139" t="e">
        <f t="shared" si="76"/>
        <v>#VALUE!</v>
      </c>
      <c r="FL119" s="139" t="e">
        <f t="shared" si="77"/>
        <v>#VALUE!</v>
      </c>
      <c r="FM119" s="139" t="e">
        <f t="shared" si="78"/>
        <v>#VALUE!</v>
      </c>
      <c r="FN119" s="139" t="e">
        <f t="shared" si="79"/>
        <v>#VALUE!</v>
      </c>
      <c r="FO119" s="139" t="e">
        <f t="shared" si="80"/>
        <v>#VALUE!</v>
      </c>
      <c r="FP119" s="139" t="e">
        <f t="shared" si="81"/>
        <v>#VALUE!</v>
      </c>
      <c r="FQ119" s="139" t="e">
        <f t="shared" si="82"/>
        <v>#VALUE!</v>
      </c>
      <c r="FR119" s="139" t="e">
        <f t="shared" si="83"/>
        <v>#VALUE!</v>
      </c>
      <c r="FS119" s="139" t="e">
        <f t="shared" si="84"/>
        <v>#VALUE!</v>
      </c>
      <c r="FT119" s="139" t="e">
        <f t="shared" si="85"/>
        <v>#VALUE!</v>
      </c>
      <c r="FU119" s="148" t="e">
        <f t="shared" si="86"/>
        <v>#VALUE!</v>
      </c>
      <c r="FV119" s="149"/>
      <c r="FY119" s="211">
        <v>114</v>
      </c>
      <c r="FZ119">
        <v>156.49773270549721</v>
      </c>
      <c r="GA119">
        <v>133.9670059078687</v>
      </c>
      <c r="GB119">
        <v>41.400275641084633</v>
      </c>
      <c r="GC119">
        <v>9.2470853810420195</v>
      </c>
      <c r="GD119">
        <v>3.4847804058686709</v>
      </c>
      <c r="GE119">
        <v>6.8094361624161728</v>
      </c>
      <c r="GF119">
        <v>28.54326361155568</v>
      </c>
      <c r="GG119">
        <v>37.513234354272271</v>
      </c>
      <c r="GH119">
        <v>37.148618225230464</v>
      </c>
      <c r="GI119">
        <v>85.657420779388005</v>
      </c>
      <c r="GJ119"/>
      <c r="GK119"/>
      <c r="GL119"/>
      <c r="GM119"/>
    </row>
    <row r="120" spans="1:195" s="7" customFormat="1">
      <c r="A120" s="1"/>
      <c r="B120" s="76">
        <f t="shared" ref="B120:B151" ca="1" si="131">IF(C120="", "", RAND())</f>
        <v>0.66211629882879819</v>
      </c>
      <c r="C120">
        <v>10</v>
      </c>
      <c r="D120">
        <v>39747</v>
      </c>
      <c r="E120">
        <v>0</v>
      </c>
      <c r="F120">
        <v>390.625</v>
      </c>
      <c r="G120">
        <v>65.104166666666671</v>
      </c>
      <c r="H120">
        <v>10.416666666666666</v>
      </c>
      <c r="I120">
        <v>0</v>
      </c>
      <c r="J120">
        <v>0</v>
      </c>
      <c r="K120">
        <v>10.416666666666666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1022.8174316323064</v>
      </c>
      <c r="AO120">
        <v>139.11621155953165</v>
      </c>
      <c r="AP120">
        <v>1102.7229263685842</v>
      </c>
      <c r="AQ120">
        <v>475.8340735313239</v>
      </c>
      <c r="AR120">
        <v>135.7786561399578</v>
      </c>
      <c r="AS120">
        <v>1449.5615232197358</v>
      </c>
      <c r="AT120">
        <v>64.844399580745574</v>
      </c>
      <c r="AU120">
        <v>-59.692010438802527</v>
      </c>
      <c r="AV120"/>
      <c r="AW120"/>
      <c r="AX120" s="146"/>
      <c r="AY120" s="76">
        <f t="shared" ca="1" si="87"/>
        <v>0.84084482548543715</v>
      </c>
      <c r="AZ120">
        <v>3</v>
      </c>
      <c r="BA120" s="129">
        <f t="shared" si="130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9"/>
        <v>0.76077601083300639</v>
      </c>
      <c r="CL120" s="179">
        <f t="shared" si="90"/>
        <v>3</v>
      </c>
      <c r="CM120" s="180">
        <f t="shared" si="91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0.98814321986469233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 t="e">
        <f t="shared" ref="EP120:EP151" si="133">IF(DF120="", "", DF120*G$36)</f>
        <v>#VALUE!</v>
      </c>
      <c r="EQ120" s="139" t="e">
        <f t="shared" ref="EQ120:EQ151" si="134">IF(DG120="", "", DG120*H$36)</f>
        <v>#VALUE!</v>
      </c>
      <c r="ER120" s="139" t="e">
        <f t="shared" ref="ER120:ER151" si="135">IF(DH120="", "", DH120*I$36)</f>
        <v>#VALUE!</v>
      </c>
      <c r="ES120" s="139" t="e">
        <f t="shared" ref="ES120:ES151" si="136">IF(DI120="", "", DI120*J$36)</f>
        <v>#VALUE!</v>
      </c>
      <c r="ET120" s="139" t="e">
        <f t="shared" ref="ET120:ET151" si="137">IF(DJ120="", "", DJ120*K$36)</f>
        <v>#VALUE!</v>
      </c>
      <c r="EU120" s="139" t="e">
        <f t="shared" ref="EU120:EU151" si="138">IF(DK120="", "", DK120*L$36)</f>
        <v>#VALUE!</v>
      </c>
      <c r="EV120" s="139" t="e">
        <f t="shared" ref="EV120:EV151" si="139">IF(DL120="", "", DL120*M$36)</f>
        <v>#VALUE!</v>
      </c>
      <c r="EW120" s="139" t="e">
        <f t="shared" ref="EW120:EW151" si="140">IF(DM120="", "", DM120*N$36)</f>
        <v>#VALUE!</v>
      </c>
      <c r="EX120" s="139" t="e">
        <f t="shared" ref="EX120:EX151" si="141">IF(DN120="", "", DN120*O$36)</f>
        <v>#VALUE!</v>
      </c>
      <c r="EY120" s="139" t="e">
        <f t="shared" ref="EY120:EY151" si="142">IF(DO120="", "", DO120*P$36)</f>
        <v>#VALUE!</v>
      </c>
      <c r="EZ120" s="139" t="e">
        <f t="shared" ref="EZ120:EZ151" si="143">IF(DP120="", "", DP120*Q$36)</f>
        <v>#VALUE!</v>
      </c>
      <c r="FA120" s="139" t="e">
        <f t="shared" ref="FA120:FA151" si="144">IF(DQ120="", "", DQ120*R$36)</f>
        <v>#VALUE!</v>
      </c>
      <c r="FB120" s="139" t="e">
        <f t="shared" ref="FB120:FB151" si="145">IF(DR120="", "", DR120*S$36)</f>
        <v>#VALUE!</v>
      </c>
      <c r="FC120" s="139" t="e">
        <f t="shared" ref="FC120:FC151" si="146">IF(DS120="", "", DS120*T$36)</f>
        <v>#VALUE!</v>
      </c>
      <c r="FD120" s="139" t="e">
        <f t="shared" ref="FD120:FD151" si="147">IF(DT120="", "", DT120*U$36)</f>
        <v>#VALUE!</v>
      </c>
      <c r="FE120" s="139" t="e">
        <f t="shared" ref="FE120:FE151" si="148">IF(DU120="", "", DU120*V$36)</f>
        <v>#VALUE!</v>
      </c>
      <c r="FF120" s="139" t="e">
        <f t="shared" ref="FF120:FF151" si="149">IF(DV120="", "", DV120*W$36)</f>
        <v>#VALUE!</v>
      </c>
      <c r="FG120" s="139" t="e">
        <f t="shared" ref="FG120:FG151" si="150">IF(DW120="", "", DW120*X$36)</f>
        <v>#VALUE!</v>
      </c>
      <c r="FH120" s="139" t="e">
        <f t="shared" ref="FH120:FH151" si="151">IF(DX120="", "", DX120*Y$36)</f>
        <v>#VALUE!</v>
      </c>
      <c r="FI120" s="139" t="e">
        <f t="shared" ref="FI120:FI151" si="152">IF(DY120="", "", DY120*Z$36)</f>
        <v>#VALUE!</v>
      </c>
      <c r="FJ120" s="139" t="e">
        <f t="shared" ref="FJ120:FJ151" si="153">IF(DZ120="", "", DZ120*AA$36)</f>
        <v>#VALUE!</v>
      </c>
      <c r="FK120" s="139" t="e">
        <f t="shared" ref="FK120:FK151" si="154">IF(EA120="", "", EA120*AB$36)</f>
        <v>#VALUE!</v>
      </c>
      <c r="FL120" s="139" t="e">
        <f t="shared" ref="FL120:FL151" si="155">IF(EB120="", "", EB120*AC$36)</f>
        <v>#VALUE!</v>
      </c>
      <c r="FM120" s="139" t="e">
        <f t="shared" ref="FM120:FM151" si="156">IF(EC120="", "", EC120*AD$36)</f>
        <v>#VALUE!</v>
      </c>
      <c r="FN120" s="139" t="e">
        <f t="shared" ref="FN120:FN151" si="157">IF(ED120="", "", ED120*AE$36)</f>
        <v>#VALUE!</v>
      </c>
      <c r="FO120" s="139" t="e">
        <f t="shared" ref="FO120:FO151" si="158">IF(EE120="", "", EE120*AF$36)</f>
        <v>#VALUE!</v>
      </c>
      <c r="FP120" s="139" t="e">
        <f t="shared" ref="FP120:FP151" si="159">IF(EF120="", "", EF120*AG$36)</f>
        <v>#VALUE!</v>
      </c>
      <c r="FQ120" s="139" t="e">
        <f t="shared" ref="FQ120:FQ151" si="160">IF(EG120="", "", EG120*AH$36)</f>
        <v>#VALUE!</v>
      </c>
      <c r="FR120" s="139" t="e">
        <f t="shared" ref="FR120:FR151" si="161">IF(EH120="", "", EH120*AI$36)</f>
        <v>#VALUE!</v>
      </c>
      <c r="FS120" s="139" t="e">
        <f t="shared" ref="FS120:FS151" si="162">IF(EI120="", "", EI120*AJ$36)</f>
        <v>#VALUE!</v>
      </c>
      <c r="FT120" s="139" t="e">
        <f t="shared" ref="FT120:FT151" si="163">IF(EJ120="", "", EJ120*AK$36)</f>
        <v>#VALUE!</v>
      </c>
      <c r="FU120" s="148" t="e">
        <f t="shared" ref="FU120:FU151" si="164">IF(EP120="","",SUM(EP120:FT120))</f>
        <v>#VALUE!</v>
      </c>
      <c r="FV120" s="149"/>
      <c r="FY120" s="211">
        <v>115</v>
      </c>
      <c r="FZ120">
        <v>128.60260417605096</v>
      </c>
      <c r="GA120">
        <v>119.63617071726901</v>
      </c>
      <c r="GB120">
        <v>43.051861249745023</v>
      </c>
      <c r="GC120">
        <v>7.47940833965915</v>
      </c>
      <c r="GD120">
        <v>3.0054511618455573</v>
      </c>
      <c r="GE120">
        <v>3.9644491158025841</v>
      </c>
      <c r="GF120">
        <v>6.561323348308421</v>
      </c>
      <c r="GG120">
        <v>12.30654469411439</v>
      </c>
      <c r="GH120">
        <v>28.503428036628527</v>
      </c>
      <c r="GI120">
        <v>67.782604329439678</v>
      </c>
      <c r="GJ120"/>
      <c r="GK120"/>
      <c r="GL120"/>
      <c r="GM120"/>
    </row>
    <row r="121" spans="1:195" s="7" customFormat="1">
      <c r="A121" s="1"/>
      <c r="B121" s="76">
        <f t="shared" ca="1" si="131"/>
        <v>0.36279002433596297</v>
      </c>
      <c r="C121">
        <v>9</v>
      </c>
      <c r="D121">
        <v>39747</v>
      </c>
      <c r="E121">
        <v>0</v>
      </c>
      <c r="F121">
        <v>355.6910569105691</v>
      </c>
      <c r="G121">
        <v>622.45934959349597</v>
      </c>
      <c r="H121">
        <v>455.03048780487808</v>
      </c>
      <c r="I121">
        <v>455.03048780487808</v>
      </c>
      <c r="J121">
        <v>177.84552845528455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1024.1440802999</v>
      </c>
      <c r="AO121">
        <v>168.78872980540353</v>
      </c>
      <c r="AP121">
        <v>1434.634173424535</v>
      </c>
      <c r="AQ121">
        <v>394.51668179496914</v>
      </c>
      <c r="AR121">
        <v>166.19869417981968</v>
      </c>
      <c r="AS121">
        <v>1688.290439675123</v>
      </c>
      <c r="AT121">
        <v>81.4791568958357</v>
      </c>
      <c r="AU121">
        <v>227.11765486648966</v>
      </c>
      <c r="AV121"/>
      <c r="AW121"/>
      <c r="AX121" s="146"/>
      <c r="AY121" s="76">
        <f t="shared" ca="1" si="87"/>
        <v>0.60424586473725184</v>
      </c>
      <c r="AZ121">
        <v>4</v>
      </c>
      <c r="BA121" s="129">
        <f t="shared" si="130"/>
        <v>39747</v>
      </c>
      <c r="BB121">
        <v>0</v>
      </c>
      <c r="BC121"/>
      <c r="BD121"/>
      <c r="BE121"/>
      <c r="BF121">
        <v>3</v>
      </c>
      <c r="BG121">
        <v>1</v>
      </c>
      <c r="BH121"/>
      <c r="BI121">
        <v>1</v>
      </c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9"/>
        <v>0.33253663139690803</v>
      </c>
      <c r="CL121" s="179">
        <f t="shared" si="90"/>
        <v>4</v>
      </c>
      <c r="CM121" s="180">
        <f t="shared" si="91"/>
        <v>39747</v>
      </c>
      <c r="CN121">
        <v>0</v>
      </c>
      <c r="CO121">
        <v>8</v>
      </c>
      <c r="CP121">
        <v>12</v>
      </c>
      <c r="CQ121">
        <v>4</v>
      </c>
      <c r="CR121">
        <v>4</v>
      </c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0.21016807683803174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502.87356321839076</v>
      </c>
      <c r="DH121" s="161">
        <f t="shared" si="96"/>
        <v>754.31034482758616</v>
      </c>
      <c r="DI121" s="161">
        <f t="shared" si="97"/>
        <v>251.43678160919538</v>
      </c>
      <c r="DJ121" s="161">
        <f t="shared" si="98"/>
        <v>336.66405433646815</v>
      </c>
      <c r="DK121" s="161">
        <f t="shared" si="99"/>
        <v>28.409090909090907</v>
      </c>
      <c r="DL121" s="161">
        <f t="shared" si="100"/>
        <v>0</v>
      </c>
      <c r="DM121" s="161">
        <f t="shared" si="101"/>
        <v>28.409090909090907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2"/>
        <v>1902.1029258098224</v>
      </c>
      <c r="EL121" s="149"/>
      <c r="EN121" s="146"/>
      <c r="EO121" s="146"/>
      <c r="EP121" s="139" t="e">
        <f t="shared" si="133"/>
        <v>#VALUE!</v>
      </c>
      <c r="EQ121" s="139" t="e">
        <f t="shared" si="134"/>
        <v>#VALUE!</v>
      </c>
      <c r="ER121" s="139" t="e">
        <f t="shared" si="135"/>
        <v>#VALUE!</v>
      </c>
      <c r="ES121" s="139" t="e">
        <f t="shared" si="136"/>
        <v>#VALUE!</v>
      </c>
      <c r="ET121" s="139" t="e">
        <f t="shared" si="137"/>
        <v>#VALUE!</v>
      </c>
      <c r="EU121" s="139" t="e">
        <f t="shared" si="138"/>
        <v>#VALUE!</v>
      </c>
      <c r="EV121" s="139" t="e">
        <f t="shared" si="139"/>
        <v>#VALUE!</v>
      </c>
      <c r="EW121" s="139" t="e">
        <f t="shared" si="140"/>
        <v>#VALUE!</v>
      </c>
      <c r="EX121" s="139" t="e">
        <f t="shared" si="141"/>
        <v>#VALUE!</v>
      </c>
      <c r="EY121" s="139" t="e">
        <f t="shared" si="142"/>
        <v>#VALUE!</v>
      </c>
      <c r="EZ121" s="139" t="e">
        <f t="shared" si="143"/>
        <v>#VALUE!</v>
      </c>
      <c r="FA121" s="139" t="e">
        <f t="shared" si="144"/>
        <v>#VALUE!</v>
      </c>
      <c r="FB121" s="139" t="e">
        <f t="shared" si="145"/>
        <v>#VALUE!</v>
      </c>
      <c r="FC121" s="139" t="e">
        <f t="shared" si="146"/>
        <v>#VALUE!</v>
      </c>
      <c r="FD121" s="139" t="e">
        <f t="shared" si="147"/>
        <v>#VALUE!</v>
      </c>
      <c r="FE121" s="139" t="e">
        <f t="shared" si="148"/>
        <v>#VALUE!</v>
      </c>
      <c r="FF121" s="139" t="e">
        <f t="shared" si="149"/>
        <v>#VALUE!</v>
      </c>
      <c r="FG121" s="139" t="e">
        <f t="shared" si="150"/>
        <v>#VALUE!</v>
      </c>
      <c r="FH121" s="139" t="e">
        <f t="shared" si="151"/>
        <v>#VALUE!</v>
      </c>
      <c r="FI121" s="139" t="e">
        <f t="shared" si="152"/>
        <v>#VALUE!</v>
      </c>
      <c r="FJ121" s="139" t="e">
        <f t="shared" si="153"/>
        <v>#VALUE!</v>
      </c>
      <c r="FK121" s="139" t="e">
        <f t="shared" si="154"/>
        <v>#VALUE!</v>
      </c>
      <c r="FL121" s="139" t="e">
        <f t="shared" si="155"/>
        <v>#VALUE!</v>
      </c>
      <c r="FM121" s="139" t="e">
        <f t="shared" si="156"/>
        <v>#VALUE!</v>
      </c>
      <c r="FN121" s="139" t="e">
        <f t="shared" si="157"/>
        <v>#VALUE!</v>
      </c>
      <c r="FO121" s="139" t="e">
        <f t="shared" si="158"/>
        <v>#VALUE!</v>
      </c>
      <c r="FP121" s="139" t="e">
        <f t="shared" si="159"/>
        <v>#VALUE!</v>
      </c>
      <c r="FQ121" s="139" t="e">
        <f t="shared" si="160"/>
        <v>#VALUE!</v>
      </c>
      <c r="FR121" s="139" t="e">
        <f t="shared" si="161"/>
        <v>#VALUE!</v>
      </c>
      <c r="FS121" s="139" t="e">
        <f t="shared" si="162"/>
        <v>#VALUE!</v>
      </c>
      <c r="FT121" s="139" t="e">
        <f t="shared" si="163"/>
        <v>#VALUE!</v>
      </c>
      <c r="FU121" s="148" t="e">
        <f t="shared" si="164"/>
        <v>#VALUE!</v>
      </c>
      <c r="FV121" s="149"/>
      <c r="FY121" s="211">
        <v>116</v>
      </c>
      <c r="FZ121">
        <v>116.29217316704838</v>
      </c>
      <c r="GA121">
        <v>85.137764076602963</v>
      </c>
      <c r="GB121">
        <v>27.034881467448702</v>
      </c>
      <c r="GC121">
        <v>7.0374790103743408</v>
      </c>
      <c r="GD121">
        <v>2.9747737086943573</v>
      </c>
      <c r="GE121">
        <v>7.4358067026560448</v>
      </c>
      <c r="GF121">
        <v>46.436961431745559</v>
      </c>
      <c r="GG121">
        <v>56.065746871115593</v>
      </c>
      <c r="GH121">
        <v>37.200667558451428</v>
      </c>
      <c r="GI121">
        <v>81.557565267959149</v>
      </c>
      <c r="GJ121"/>
      <c r="GK121"/>
      <c r="GL121"/>
      <c r="GM121"/>
    </row>
    <row r="122" spans="1:195" s="7" customFormat="1">
      <c r="A122" s="1"/>
      <c r="B122" s="76">
        <f t="shared" ca="1" si="131"/>
        <v>0.40951236555825909</v>
      </c>
      <c r="C122">
        <v>7</v>
      </c>
      <c r="D122">
        <v>39747</v>
      </c>
      <c r="E122">
        <v>0</v>
      </c>
      <c r="F122">
        <v>223.21428571428572</v>
      </c>
      <c r="G122">
        <v>595.2380952380953</v>
      </c>
      <c r="H122">
        <v>297.61904761904765</v>
      </c>
      <c r="I122">
        <v>10.416666666666666</v>
      </c>
      <c r="J122">
        <v>0</v>
      </c>
      <c r="K122">
        <v>10.416666666666666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1048.7242673317253</v>
      </c>
      <c r="AO122">
        <v>135.91007951921949</v>
      </c>
      <c r="AP122">
        <v>1081.7063171331897</v>
      </c>
      <c r="AQ122">
        <v>445.74338042412518</v>
      </c>
      <c r="AR122">
        <v>129.71344709268041</v>
      </c>
      <c r="AS122">
        <v>1496.7513637782213</v>
      </c>
      <c r="AT122">
        <v>63.035354229179063</v>
      </c>
      <c r="AU122">
        <v>-122.55085528016789</v>
      </c>
      <c r="AV122"/>
      <c r="AW122"/>
      <c r="AX122" s="146"/>
      <c r="AY122" s="76">
        <f t="shared" ca="1" si="87"/>
        <v>0.97143387125875924</v>
      </c>
      <c r="AZ122">
        <v>5</v>
      </c>
      <c r="BA122" s="129">
        <f t="shared" si="130"/>
        <v>39747</v>
      </c>
      <c r="BB122">
        <v>0</v>
      </c>
      <c r="BC122"/>
      <c r="BD122"/>
      <c r="BE122"/>
      <c r="BF122"/>
      <c r="BG122">
        <v>2</v>
      </c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9"/>
        <v>0.91524771443836539</v>
      </c>
      <c r="CL122" s="179">
        <f t="shared" si="90"/>
        <v>5</v>
      </c>
      <c r="CM122" s="180">
        <f t="shared" si="91"/>
        <v>39747</v>
      </c>
      <c r="CN122">
        <v>0</v>
      </c>
      <c r="CO122">
        <v>3</v>
      </c>
      <c r="CP122">
        <v>9</v>
      </c>
      <c r="CQ122">
        <v>6</v>
      </c>
      <c r="CR122">
        <v>2</v>
      </c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0.43513148861584217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331.43939393939394</v>
      </c>
      <c r="DH122" s="161">
        <f t="shared" si="96"/>
        <v>994.31818181818176</v>
      </c>
      <c r="DI122" s="161">
        <f t="shared" si="97"/>
        <v>662.87878787878788</v>
      </c>
      <c r="DJ122" s="161">
        <f t="shared" si="98"/>
        <v>220.95959595959593</v>
      </c>
      <c r="DK122" s="161">
        <f t="shared" si="99"/>
        <v>20.833333333333332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2"/>
        <v>2230.4292929292928</v>
      </c>
      <c r="EL122" s="149"/>
      <c r="EN122" s="146"/>
      <c r="EO122" s="146"/>
      <c r="EP122" s="139" t="e">
        <f t="shared" si="133"/>
        <v>#VALUE!</v>
      </c>
      <c r="EQ122" s="139" t="e">
        <f t="shared" si="134"/>
        <v>#VALUE!</v>
      </c>
      <c r="ER122" s="139" t="e">
        <f t="shared" si="135"/>
        <v>#VALUE!</v>
      </c>
      <c r="ES122" s="139" t="e">
        <f t="shared" si="136"/>
        <v>#VALUE!</v>
      </c>
      <c r="ET122" s="139" t="e">
        <f t="shared" si="137"/>
        <v>#VALUE!</v>
      </c>
      <c r="EU122" s="139" t="e">
        <f t="shared" si="138"/>
        <v>#VALUE!</v>
      </c>
      <c r="EV122" s="139" t="e">
        <f t="shared" si="139"/>
        <v>#VALUE!</v>
      </c>
      <c r="EW122" s="139" t="e">
        <f t="shared" si="140"/>
        <v>#VALUE!</v>
      </c>
      <c r="EX122" s="139" t="e">
        <f t="shared" si="141"/>
        <v>#VALUE!</v>
      </c>
      <c r="EY122" s="139" t="e">
        <f t="shared" si="142"/>
        <v>#VALUE!</v>
      </c>
      <c r="EZ122" s="139" t="e">
        <f t="shared" si="143"/>
        <v>#VALUE!</v>
      </c>
      <c r="FA122" s="139" t="e">
        <f t="shared" si="144"/>
        <v>#VALUE!</v>
      </c>
      <c r="FB122" s="139" t="e">
        <f t="shared" si="145"/>
        <v>#VALUE!</v>
      </c>
      <c r="FC122" s="139" t="e">
        <f t="shared" si="146"/>
        <v>#VALUE!</v>
      </c>
      <c r="FD122" s="139" t="e">
        <f t="shared" si="147"/>
        <v>#VALUE!</v>
      </c>
      <c r="FE122" s="139" t="e">
        <f t="shared" si="148"/>
        <v>#VALUE!</v>
      </c>
      <c r="FF122" s="139" t="e">
        <f t="shared" si="149"/>
        <v>#VALUE!</v>
      </c>
      <c r="FG122" s="139" t="e">
        <f t="shared" si="150"/>
        <v>#VALUE!</v>
      </c>
      <c r="FH122" s="139" t="e">
        <f t="shared" si="151"/>
        <v>#VALUE!</v>
      </c>
      <c r="FI122" s="139" t="e">
        <f t="shared" si="152"/>
        <v>#VALUE!</v>
      </c>
      <c r="FJ122" s="139" t="e">
        <f t="shared" si="153"/>
        <v>#VALUE!</v>
      </c>
      <c r="FK122" s="139" t="e">
        <f t="shared" si="154"/>
        <v>#VALUE!</v>
      </c>
      <c r="FL122" s="139" t="e">
        <f t="shared" si="155"/>
        <v>#VALUE!</v>
      </c>
      <c r="FM122" s="139" t="e">
        <f t="shared" si="156"/>
        <v>#VALUE!</v>
      </c>
      <c r="FN122" s="139" t="e">
        <f t="shared" si="157"/>
        <v>#VALUE!</v>
      </c>
      <c r="FO122" s="139" t="e">
        <f t="shared" si="158"/>
        <v>#VALUE!</v>
      </c>
      <c r="FP122" s="139" t="e">
        <f t="shared" si="159"/>
        <v>#VALUE!</v>
      </c>
      <c r="FQ122" s="139" t="e">
        <f t="shared" si="160"/>
        <v>#VALUE!</v>
      </c>
      <c r="FR122" s="139" t="e">
        <f t="shared" si="161"/>
        <v>#VALUE!</v>
      </c>
      <c r="FS122" s="139" t="e">
        <f t="shared" si="162"/>
        <v>#VALUE!</v>
      </c>
      <c r="FT122" s="139" t="e">
        <f t="shared" si="163"/>
        <v>#VALUE!</v>
      </c>
      <c r="FU122" s="148" t="e">
        <f t="shared" si="164"/>
        <v>#VALUE!</v>
      </c>
      <c r="FV122" s="149"/>
      <c r="FY122" s="211">
        <v>117</v>
      </c>
      <c r="FZ122">
        <v>154.91118511940462</v>
      </c>
      <c r="GA122">
        <v>125.11868573099653</v>
      </c>
      <c r="GB122">
        <v>34.806284514670118</v>
      </c>
      <c r="GC122">
        <v>9.5180564162626933</v>
      </c>
      <c r="GD122">
        <v>3.5791142546598196</v>
      </c>
      <c r="GE122">
        <v>6.9974522178340042</v>
      </c>
      <c r="GF122">
        <v>37.056524726342424</v>
      </c>
      <c r="GG122">
        <v>44.390183010119088</v>
      </c>
      <c r="GH122">
        <v>20.035342700133455</v>
      </c>
      <c r="GI122">
        <v>87.989848657721609</v>
      </c>
      <c r="GJ122"/>
      <c r="GK122"/>
      <c r="GL122"/>
      <c r="GM122"/>
    </row>
    <row r="123" spans="1:195" s="7" customFormat="1">
      <c r="A123" s="1"/>
      <c r="B123" s="76">
        <f t="shared" ca="1" si="131"/>
        <v>0.50719666768606309</v>
      </c>
      <c r="C123">
        <v>1</v>
      </c>
      <c r="D123">
        <v>39747</v>
      </c>
      <c r="E123">
        <v>0</v>
      </c>
      <c r="F123">
        <v>694.44444444444446</v>
      </c>
      <c r="G123">
        <v>1062.5</v>
      </c>
      <c r="H123">
        <v>572.91666666666663</v>
      </c>
      <c r="I123">
        <v>368.0555555555556</v>
      </c>
      <c r="J123">
        <v>177.08333333333334</v>
      </c>
      <c r="K123">
        <v>52.083333333333336</v>
      </c>
      <c r="L123">
        <v>10.416666666666666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1319.3394532894654</v>
      </c>
      <c r="AO123">
        <v>194.24038836814401</v>
      </c>
      <c r="AP123">
        <v>1541.4967844820537</v>
      </c>
      <c r="AQ123">
        <v>444.14942616466033</v>
      </c>
      <c r="AR123">
        <v>187.91224365992511</v>
      </c>
      <c r="AS123">
        <v>1974.9104704929052</v>
      </c>
      <c r="AT123">
        <v>89.990259708458552</v>
      </c>
      <c r="AU123">
        <v>293.90694252677196</v>
      </c>
      <c r="AV123"/>
      <c r="AW123"/>
      <c r="AX123" s="146"/>
      <c r="AY123" s="76">
        <f t="shared" ca="1" si="87"/>
        <v>0.9869041426044588</v>
      </c>
      <c r="AZ123">
        <v>6</v>
      </c>
      <c r="BA123" s="129">
        <f t="shared" si="130"/>
        <v>39747</v>
      </c>
      <c r="BB123">
        <v>0</v>
      </c>
      <c r="BC123"/>
      <c r="BD123"/>
      <c r="BE123">
        <v>4</v>
      </c>
      <c r="BF123">
        <v>6</v>
      </c>
      <c r="BG123">
        <v>6</v>
      </c>
      <c r="BH123"/>
      <c r="BI123">
        <v>1</v>
      </c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9"/>
        <v>0.3163024594187418</v>
      </c>
      <c r="CL123" s="179">
        <f t="shared" si="90"/>
        <v>6</v>
      </c>
      <c r="CM123" s="180">
        <f t="shared" si="91"/>
        <v>39747</v>
      </c>
      <c r="CN123" s="219">
        <v>0</v>
      </c>
      <c r="CO123" s="219">
        <v>15.333333333333332</v>
      </c>
      <c r="CP123" s="219">
        <v>20.90909090909091</v>
      </c>
      <c r="CQ123" s="219">
        <v>8.3636363636363633</v>
      </c>
      <c r="CR123" s="219">
        <v>1.393939393939394</v>
      </c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0.22532712663142229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998.2638888888888</v>
      </c>
      <c r="DH123" s="161">
        <f t="shared" si="96"/>
        <v>1361.2689393939395</v>
      </c>
      <c r="DI123" s="161">
        <f t="shared" si="97"/>
        <v>586.17424242424238</v>
      </c>
      <c r="DJ123" s="161">
        <f t="shared" si="98"/>
        <v>153.25126262626264</v>
      </c>
      <c r="DK123" s="161">
        <f t="shared" si="99"/>
        <v>62.5</v>
      </c>
      <c r="DL123" s="161">
        <f t="shared" si="100"/>
        <v>0</v>
      </c>
      <c r="DM123" s="161">
        <f t="shared" si="101"/>
        <v>10.416666666666666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2"/>
        <v>3171.875</v>
      </c>
      <c r="EL123" s="149"/>
      <c r="EN123" s="146"/>
      <c r="EO123" s="146"/>
      <c r="EP123" s="139" t="e">
        <f t="shared" si="133"/>
        <v>#VALUE!</v>
      </c>
      <c r="EQ123" s="139" t="e">
        <f t="shared" si="134"/>
        <v>#VALUE!</v>
      </c>
      <c r="ER123" s="139" t="e">
        <f t="shared" si="135"/>
        <v>#VALUE!</v>
      </c>
      <c r="ES123" s="139" t="e">
        <f t="shared" si="136"/>
        <v>#VALUE!</v>
      </c>
      <c r="ET123" s="139" t="e">
        <f t="shared" si="137"/>
        <v>#VALUE!</v>
      </c>
      <c r="EU123" s="139" t="e">
        <f t="shared" si="138"/>
        <v>#VALUE!</v>
      </c>
      <c r="EV123" s="139" t="e">
        <f t="shared" si="139"/>
        <v>#VALUE!</v>
      </c>
      <c r="EW123" s="139" t="e">
        <f t="shared" si="140"/>
        <v>#VALUE!</v>
      </c>
      <c r="EX123" s="139" t="e">
        <f t="shared" si="141"/>
        <v>#VALUE!</v>
      </c>
      <c r="EY123" s="139" t="e">
        <f t="shared" si="142"/>
        <v>#VALUE!</v>
      </c>
      <c r="EZ123" s="139" t="e">
        <f t="shared" si="143"/>
        <v>#VALUE!</v>
      </c>
      <c r="FA123" s="139" t="e">
        <f t="shared" si="144"/>
        <v>#VALUE!</v>
      </c>
      <c r="FB123" s="139" t="e">
        <f t="shared" si="145"/>
        <v>#VALUE!</v>
      </c>
      <c r="FC123" s="139" t="e">
        <f t="shared" si="146"/>
        <v>#VALUE!</v>
      </c>
      <c r="FD123" s="139" t="e">
        <f t="shared" si="147"/>
        <v>#VALUE!</v>
      </c>
      <c r="FE123" s="139" t="e">
        <f t="shared" si="148"/>
        <v>#VALUE!</v>
      </c>
      <c r="FF123" s="139" t="e">
        <f t="shared" si="149"/>
        <v>#VALUE!</v>
      </c>
      <c r="FG123" s="139" t="e">
        <f t="shared" si="150"/>
        <v>#VALUE!</v>
      </c>
      <c r="FH123" s="139" t="e">
        <f t="shared" si="151"/>
        <v>#VALUE!</v>
      </c>
      <c r="FI123" s="139" t="e">
        <f t="shared" si="152"/>
        <v>#VALUE!</v>
      </c>
      <c r="FJ123" s="139" t="e">
        <f t="shared" si="153"/>
        <v>#VALUE!</v>
      </c>
      <c r="FK123" s="139" t="e">
        <f t="shared" si="154"/>
        <v>#VALUE!</v>
      </c>
      <c r="FL123" s="139" t="e">
        <f t="shared" si="155"/>
        <v>#VALUE!</v>
      </c>
      <c r="FM123" s="139" t="e">
        <f t="shared" si="156"/>
        <v>#VALUE!</v>
      </c>
      <c r="FN123" s="139" t="e">
        <f t="shared" si="157"/>
        <v>#VALUE!</v>
      </c>
      <c r="FO123" s="139" t="e">
        <f t="shared" si="158"/>
        <v>#VALUE!</v>
      </c>
      <c r="FP123" s="139" t="e">
        <f t="shared" si="159"/>
        <v>#VALUE!</v>
      </c>
      <c r="FQ123" s="139" t="e">
        <f t="shared" si="160"/>
        <v>#VALUE!</v>
      </c>
      <c r="FR123" s="139" t="e">
        <f t="shared" si="161"/>
        <v>#VALUE!</v>
      </c>
      <c r="FS123" s="139" t="e">
        <f t="shared" si="162"/>
        <v>#VALUE!</v>
      </c>
      <c r="FT123" s="139" t="e">
        <f t="shared" si="163"/>
        <v>#VALUE!</v>
      </c>
      <c r="FU123" s="148" t="e">
        <f t="shared" si="164"/>
        <v>#VALUE!</v>
      </c>
      <c r="FV123" s="149"/>
      <c r="FY123" s="211">
        <v>118</v>
      </c>
      <c r="FZ123">
        <v>116.53202803996838</v>
      </c>
      <c r="GA123">
        <v>125.8437730660151</v>
      </c>
      <c r="GB123">
        <v>41.471627670052051</v>
      </c>
      <c r="GC123">
        <v>7.5086042615889053</v>
      </c>
      <c r="GD123">
        <v>3.595260535138503</v>
      </c>
      <c r="GE123">
        <v>6.3970182085210645</v>
      </c>
      <c r="GF123">
        <v>43.562917047393896</v>
      </c>
      <c r="GG123">
        <v>53.172165408198119</v>
      </c>
      <c r="GH123">
        <v>20.139523171801667</v>
      </c>
      <c r="GI123">
        <v>91.525360257099379</v>
      </c>
      <c r="GJ123"/>
      <c r="GK123"/>
      <c r="GL123"/>
      <c r="GM123"/>
    </row>
    <row r="124" spans="1:195" s="7" customFormat="1">
      <c r="A124" s="1"/>
      <c r="B124" s="76">
        <f t="shared" ca="1" si="131"/>
        <v>0.57772156426696186</v>
      </c>
      <c r="C124">
        <v>3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1059.5044354896138</v>
      </c>
      <c r="AO124">
        <v>132.38482284069147</v>
      </c>
      <c r="AP124">
        <v>1030.2756955423024</v>
      </c>
      <c r="AQ124">
        <v>387.91588772567479</v>
      </c>
      <c r="AR124">
        <v>131.54732955363153</v>
      </c>
      <c r="AS124">
        <v>1451.4377109625127</v>
      </c>
      <c r="AT124">
        <v>62.062073985273742</v>
      </c>
      <c r="AU124">
        <v>169.35886417394497</v>
      </c>
      <c r="AV124"/>
      <c r="AW124"/>
      <c r="AX124" s="146"/>
      <c r="AY124" s="76">
        <f t="shared" ca="1" si="87"/>
        <v>0.93008901024704882</v>
      </c>
      <c r="AZ124">
        <v>7</v>
      </c>
      <c r="BA124" s="129">
        <f t="shared" si="130"/>
        <v>39747</v>
      </c>
      <c r="BB124">
        <v>0</v>
      </c>
      <c r="BC124"/>
      <c r="BD124"/>
      <c r="BE124"/>
      <c r="BF124">
        <v>1</v>
      </c>
      <c r="BG124"/>
      <c r="BH124">
        <v>1</v>
      </c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9"/>
        <v>0.52881678169411972</v>
      </c>
      <c r="CL124" s="179">
        <f t="shared" si="90"/>
        <v>7</v>
      </c>
      <c r="CM124" s="180">
        <f t="shared" si="91"/>
        <v>39747</v>
      </c>
      <c r="CN124">
        <v>0</v>
      </c>
      <c r="CO124">
        <v>3</v>
      </c>
      <c r="CP124">
        <v>8</v>
      </c>
      <c r="CQ124">
        <v>4</v>
      </c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0.66318243750744654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223.21428571428572</v>
      </c>
      <c r="DH124" s="161">
        <f t="shared" si="96"/>
        <v>595.2380952380953</v>
      </c>
      <c r="DI124" s="161">
        <f t="shared" si="97"/>
        <v>297.61904761904765</v>
      </c>
      <c r="DJ124" s="161">
        <f t="shared" si="98"/>
        <v>10.416666666666666</v>
      </c>
      <c r="DK124" s="161">
        <f t="shared" si="99"/>
        <v>0</v>
      </c>
      <c r="DL124" s="161">
        <f t="shared" si="100"/>
        <v>10.416666666666666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2"/>
        <v>1136.9047619047622</v>
      </c>
      <c r="EL124" s="149"/>
      <c r="EN124" s="146"/>
      <c r="EO124" s="146"/>
      <c r="EP124" s="139" t="e">
        <f t="shared" si="133"/>
        <v>#VALUE!</v>
      </c>
      <c r="EQ124" s="139" t="e">
        <f t="shared" si="134"/>
        <v>#VALUE!</v>
      </c>
      <c r="ER124" s="139" t="e">
        <f t="shared" si="135"/>
        <v>#VALUE!</v>
      </c>
      <c r="ES124" s="139" t="e">
        <f t="shared" si="136"/>
        <v>#VALUE!</v>
      </c>
      <c r="ET124" s="139" t="e">
        <f t="shared" si="137"/>
        <v>#VALUE!</v>
      </c>
      <c r="EU124" s="139" t="e">
        <f t="shared" si="138"/>
        <v>#VALUE!</v>
      </c>
      <c r="EV124" s="139" t="e">
        <f t="shared" si="139"/>
        <v>#VALUE!</v>
      </c>
      <c r="EW124" s="139" t="e">
        <f t="shared" si="140"/>
        <v>#VALUE!</v>
      </c>
      <c r="EX124" s="139" t="e">
        <f t="shared" si="141"/>
        <v>#VALUE!</v>
      </c>
      <c r="EY124" s="139" t="e">
        <f t="shared" si="142"/>
        <v>#VALUE!</v>
      </c>
      <c r="EZ124" s="139" t="e">
        <f t="shared" si="143"/>
        <v>#VALUE!</v>
      </c>
      <c r="FA124" s="139" t="e">
        <f t="shared" si="144"/>
        <v>#VALUE!</v>
      </c>
      <c r="FB124" s="139" t="e">
        <f t="shared" si="145"/>
        <v>#VALUE!</v>
      </c>
      <c r="FC124" s="139" t="e">
        <f t="shared" si="146"/>
        <v>#VALUE!</v>
      </c>
      <c r="FD124" s="139" t="e">
        <f t="shared" si="147"/>
        <v>#VALUE!</v>
      </c>
      <c r="FE124" s="139" t="e">
        <f t="shared" si="148"/>
        <v>#VALUE!</v>
      </c>
      <c r="FF124" s="139" t="e">
        <f t="shared" si="149"/>
        <v>#VALUE!</v>
      </c>
      <c r="FG124" s="139" t="e">
        <f t="shared" si="150"/>
        <v>#VALUE!</v>
      </c>
      <c r="FH124" s="139" t="e">
        <f t="shared" si="151"/>
        <v>#VALUE!</v>
      </c>
      <c r="FI124" s="139" t="e">
        <f t="shared" si="152"/>
        <v>#VALUE!</v>
      </c>
      <c r="FJ124" s="139" t="e">
        <f t="shared" si="153"/>
        <v>#VALUE!</v>
      </c>
      <c r="FK124" s="139" t="e">
        <f t="shared" si="154"/>
        <v>#VALUE!</v>
      </c>
      <c r="FL124" s="139" t="e">
        <f t="shared" si="155"/>
        <v>#VALUE!</v>
      </c>
      <c r="FM124" s="139" t="e">
        <f t="shared" si="156"/>
        <v>#VALUE!</v>
      </c>
      <c r="FN124" s="139" t="e">
        <f t="shared" si="157"/>
        <v>#VALUE!</v>
      </c>
      <c r="FO124" s="139" t="e">
        <f t="shared" si="158"/>
        <v>#VALUE!</v>
      </c>
      <c r="FP124" s="139" t="e">
        <f t="shared" si="159"/>
        <v>#VALUE!</v>
      </c>
      <c r="FQ124" s="139" t="e">
        <f t="shared" si="160"/>
        <v>#VALUE!</v>
      </c>
      <c r="FR124" s="139" t="e">
        <f t="shared" si="161"/>
        <v>#VALUE!</v>
      </c>
      <c r="FS124" s="139" t="e">
        <f t="shared" si="162"/>
        <v>#VALUE!</v>
      </c>
      <c r="FT124" s="139" t="e">
        <f t="shared" si="163"/>
        <v>#VALUE!</v>
      </c>
      <c r="FU124" s="148" t="e">
        <f t="shared" si="164"/>
        <v>#VALUE!</v>
      </c>
      <c r="FV124" s="149"/>
      <c r="FY124" s="211">
        <v>119</v>
      </c>
      <c r="FZ124">
        <v>125.34979358034788</v>
      </c>
      <c r="GA124">
        <v>120.06106872135911</v>
      </c>
      <c r="GB124">
        <v>32.358766325065282</v>
      </c>
      <c r="GC124">
        <v>6.6351288043472234</v>
      </c>
      <c r="GD124">
        <v>2.9001468610648331</v>
      </c>
      <c r="GE124">
        <v>5.1937787680075935</v>
      </c>
      <c r="GF124">
        <v>22.615913889544295</v>
      </c>
      <c r="GG124">
        <v>32.952806857531797</v>
      </c>
      <c r="GH124">
        <v>34.903258941637176</v>
      </c>
      <c r="GI124">
        <v>83.642021429606984</v>
      </c>
      <c r="GJ124"/>
      <c r="GK124"/>
      <c r="GL124"/>
      <c r="GM124"/>
    </row>
    <row r="125" spans="1:195" s="7" customFormat="1">
      <c r="A125" s="1"/>
      <c r="B125" s="76">
        <f t="shared" ca="1" si="131"/>
        <v>0.7757721228624187</v>
      </c>
      <c r="C125">
        <v>2</v>
      </c>
      <c r="D125">
        <v>39747</v>
      </c>
      <c r="E125">
        <v>0</v>
      </c>
      <c r="F125">
        <v>273.4375</v>
      </c>
      <c r="G125">
        <v>1731.7708333333333</v>
      </c>
      <c r="H125">
        <v>572.91666666666663</v>
      </c>
      <c r="I125">
        <v>169.27083333333334</v>
      </c>
      <c r="J125">
        <v>78.125</v>
      </c>
      <c r="K125">
        <v>0</v>
      </c>
      <c r="L125">
        <v>0</v>
      </c>
      <c r="M125">
        <v>26.041666666666668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1390.9590147707524</v>
      </c>
      <c r="AO125">
        <v>210.22111905634429</v>
      </c>
      <c r="AP125">
        <v>1671.169327804884</v>
      </c>
      <c r="AQ125">
        <v>532.42570512101076</v>
      </c>
      <c r="AR125">
        <v>206.6535940275069</v>
      </c>
      <c r="AS125">
        <v>2169.2113267718673</v>
      </c>
      <c r="AT125">
        <v>99.420319053457277</v>
      </c>
      <c r="AU125">
        <v>389.20056351063658</v>
      </c>
      <c r="AV125"/>
      <c r="AW125"/>
      <c r="AX125" s="146"/>
      <c r="AY125" s="76">
        <f t="shared" ca="1" si="87"/>
        <v>7.9260761889150766E-2</v>
      </c>
      <c r="AZ125">
        <v>8</v>
      </c>
      <c r="BA125" s="129">
        <f t="shared" si="130"/>
        <v>39747</v>
      </c>
      <c r="BB125">
        <v>0</v>
      </c>
      <c r="BC125"/>
      <c r="BD125"/>
      <c r="BE125"/>
      <c r="BF125">
        <v>1</v>
      </c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9"/>
        <v>0.10955957554558504</v>
      </c>
      <c r="CL125" s="179">
        <f t="shared" si="90"/>
        <v>8</v>
      </c>
      <c r="CM125" s="180">
        <f t="shared" si="91"/>
        <v>39747</v>
      </c>
      <c r="CN125">
        <v>0</v>
      </c>
      <c r="CO125">
        <v>8</v>
      </c>
      <c r="CP125">
        <v>10</v>
      </c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0.3391919845143716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560.89743589743591</v>
      </c>
      <c r="DH125" s="161">
        <f t="shared" si="96"/>
        <v>701.1217948717948</v>
      </c>
      <c r="DI125" s="161">
        <f t="shared" si="97"/>
        <v>0</v>
      </c>
      <c r="DJ125" s="161">
        <f t="shared" si="98"/>
        <v>10.416666666666666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0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2"/>
        <v>1272.4358974358975</v>
      </c>
      <c r="EL125" s="149"/>
      <c r="EN125" s="146"/>
      <c r="EO125" s="146"/>
      <c r="EP125" s="139" t="e">
        <f t="shared" si="133"/>
        <v>#VALUE!</v>
      </c>
      <c r="EQ125" s="139" t="e">
        <f t="shared" si="134"/>
        <v>#VALUE!</v>
      </c>
      <c r="ER125" s="139" t="e">
        <f t="shared" si="135"/>
        <v>#VALUE!</v>
      </c>
      <c r="ES125" s="139" t="e">
        <f t="shared" si="136"/>
        <v>#VALUE!</v>
      </c>
      <c r="ET125" s="139" t="e">
        <f t="shared" si="137"/>
        <v>#VALUE!</v>
      </c>
      <c r="EU125" s="139" t="e">
        <f t="shared" si="138"/>
        <v>#VALUE!</v>
      </c>
      <c r="EV125" s="139" t="e">
        <f t="shared" si="139"/>
        <v>#VALUE!</v>
      </c>
      <c r="EW125" s="139" t="e">
        <f t="shared" si="140"/>
        <v>#VALUE!</v>
      </c>
      <c r="EX125" s="139" t="e">
        <f t="shared" si="141"/>
        <v>#VALUE!</v>
      </c>
      <c r="EY125" s="139" t="e">
        <f t="shared" si="142"/>
        <v>#VALUE!</v>
      </c>
      <c r="EZ125" s="139" t="e">
        <f t="shared" si="143"/>
        <v>#VALUE!</v>
      </c>
      <c r="FA125" s="139" t="e">
        <f t="shared" si="144"/>
        <v>#VALUE!</v>
      </c>
      <c r="FB125" s="139" t="e">
        <f t="shared" si="145"/>
        <v>#VALUE!</v>
      </c>
      <c r="FC125" s="139" t="e">
        <f t="shared" si="146"/>
        <v>#VALUE!</v>
      </c>
      <c r="FD125" s="139" t="e">
        <f t="shared" si="147"/>
        <v>#VALUE!</v>
      </c>
      <c r="FE125" s="139" t="e">
        <f t="shared" si="148"/>
        <v>#VALUE!</v>
      </c>
      <c r="FF125" s="139" t="e">
        <f t="shared" si="149"/>
        <v>#VALUE!</v>
      </c>
      <c r="FG125" s="139" t="e">
        <f t="shared" si="150"/>
        <v>#VALUE!</v>
      </c>
      <c r="FH125" s="139" t="e">
        <f t="shared" si="151"/>
        <v>#VALUE!</v>
      </c>
      <c r="FI125" s="139" t="e">
        <f t="shared" si="152"/>
        <v>#VALUE!</v>
      </c>
      <c r="FJ125" s="139" t="e">
        <f t="shared" si="153"/>
        <v>#VALUE!</v>
      </c>
      <c r="FK125" s="139" t="e">
        <f t="shared" si="154"/>
        <v>#VALUE!</v>
      </c>
      <c r="FL125" s="139" t="e">
        <f t="shared" si="155"/>
        <v>#VALUE!</v>
      </c>
      <c r="FM125" s="139" t="e">
        <f t="shared" si="156"/>
        <v>#VALUE!</v>
      </c>
      <c r="FN125" s="139" t="e">
        <f t="shared" si="157"/>
        <v>#VALUE!</v>
      </c>
      <c r="FO125" s="139" t="e">
        <f t="shared" si="158"/>
        <v>#VALUE!</v>
      </c>
      <c r="FP125" s="139" t="e">
        <f t="shared" si="159"/>
        <v>#VALUE!</v>
      </c>
      <c r="FQ125" s="139" t="e">
        <f t="shared" si="160"/>
        <v>#VALUE!</v>
      </c>
      <c r="FR125" s="139" t="e">
        <f t="shared" si="161"/>
        <v>#VALUE!</v>
      </c>
      <c r="FS125" s="139" t="e">
        <f t="shared" si="162"/>
        <v>#VALUE!</v>
      </c>
      <c r="FT125" s="139" t="e">
        <f t="shared" si="163"/>
        <v>#VALUE!</v>
      </c>
      <c r="FU125" s="148" t="e">
        <f t="shared" si="164"/>
        <v>#VALUE!</v>
      </c>
      <c r="FV125" s="149"/>
      <c r="FY125" s="211">
        <v>120</v>
      </c>
      <c r="FZ125">
        <v>131.46587070637614</v>
      </c>
      <c r="GA125">
        <v>144.90502308258229</v>
      </c>
      <c r="GB125">
        <v>40.845697707671349</v>
      </c>
      <c r="GC125">
        <v>7.6282323971599011</v>
      </c>
      <c r="GD125">
        <v>3.769874968883502</v>
      </c>
      <c r="GE125">
        <v>6.0715696560135228</v>
      </c>
      <c r="GF125">
        <v>22.048779954094641</v>
      </c>
      <c r="GG125">
        <v>31.011895219619284</v>
      </c>
      <c r="GH125">
        <v>29.317060231016566</v>
      </c>
      <c r="GI125">
        <v>86.422189720982516</v>
      </c>
      <c r="GJ125"/>
      <c r="GK125"/>
      <c r="GL125"/>
      <c r="GM125"/>
    </row>
    <row r="126" spans="1:195" s="7" customFormat="1">
      <c r="A126" s="1"/>
      <c r="B126" s="76">
        <f t="shared" ca="1" si="131"/>
        <v>0.15234397812698031</v>
      </c>
      <c r="C126">
        <v>8</v>
      </c>
      <c r="D126">
        <v>39747</v>
      </c>
      <c r="E126">
        <v>0</v>
      </c>
      <c r="F126">
        <v>560.89743589743591</v>
      </c>
      <c r="G126">
        <v>701.1217948717948</v>
      </c>
      <c r="H126">
        <v>0</v>
      </c>
      <c r="I126">
        <v>10.416666666666666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751.09362698604241</v>
      </c>
      <c r="AO126">
        <v>129.25461416512013</v>
      </c>
      <c r="AP126">
        <v>1091.8299027784533</v>
      </c>
      <c r="AQ126">
        <v>311.52433176221911</v>
      </c>
      <c r="AR126">
        <v>132.24732469570557</v>
      </c>
      <c r="AS126">
        <v>1427.7864043914158</v>
      </c>
      <c r="AT126">
        <v>70.277707537255466</v>
      </c>
      <c r="AU126">
        <v>163.69554975485113</v>
      </c>
      <c r="AV126"/>
      <c r="AW126"/>
      <c r="AX126" s="146"/>
      <c r="AY126" s="76">
        <f t="shared" ca="1" si="87"/>
        <v>0.32966109509366082</v>
      </c>
      <c r="AZ126">
        <v>9</v>
      </c>
      <c r="BA126" s="129">
        <f t="shared" si="130"/>
        <v>39747</v>
      </c>
      <c r="BB126">
        <v>0</v>
      </c>
      <c r="BC126"/>
      <c r="BD126"/>
      <c r="BE126">
        <v>1</v>
      </c>
      <c r="BF126">
        <v>1</v>
      </c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9"/>
        <v>0.69572029434720162</v>
      </c>
      <c r="CL126" s="179">
        <f t="shared" si="90"/>
        <v>9</v>
      </c>
      <c r="CM126" s="180">
        <f t="shared" si="91"/>
        <v>39747</v>
      </c>
      <c r="CN126">
        <v>0</v>
      </c>
      <c r="CO126">
        <v>4</v>
      </c>
      <c r="CP126">
        <v>7</v>
      </c>
      <c r="CQ126">
        <v>5</v>
      </c>
      <c r="CR126">
        <v>5</v>
      </c>
      <c r="CS126">
        <v>2</v>
      </c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0.49128803913873076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355.6910569105691</v>
      </c>
      <c r="DH126" s="161">
        <f t="shared" si="96"/>
        <v>622.45934959349597</v>
      </c>
      <c r="DI126" s="161">
        <f t="shared" si="97"/>
        <v>455.03048780487808</v>
      </c>
      <c r="DJ126" s="161">
        <f t="shared" si="98"/>
        <v>455.03048780487808</v>
      </c>
      <c r="DK126" s="161">
        <f t="shared" si="99"/>
        <v>177.84552845528455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2"/>
        <v>2066.0569105691056</v>
      </c>
      <c r="EL126" s="149"/>
      <c r="EN126" s="146"/>
      <c r="EO126" s="146"/>
      <c r="EP126" s="139" t="e">
        <f t="shared" si="133"/>
        <v>#VALUE!</v>
      </c>
      <c r="EQ126" s="139" t="e">
        <f t="shared" si="134"/>
        <v>#VALUE!</v>
      </c>
      <c r="ER126" s="139" t="e">
        <f t="shared" si="135"/>
        <v>#VALUE!</v>
      </c>
      <c r="ES126" s="139" t="e">
        <f t="shared" si="136"/>
        <v>#VALUE!</v>
      </c>
      <c r="ET126" s="139" t="e">
        <f t="shared" si="137"/>
        <v>#VALUE!</v>
      </c>
      <c r="EU126" s="139" t="e">
        <f t="shared" si="138"/>
        <v>#VALUE!</v>
      </c>
      <c r="EV126" s="139" t="e">
        <f t="shared" si="139"/>
        <v>#VALUE!</v>
      </c>
      <c r="EW126" s="139" t="e">
        <f t="shared" si="140"/>
        <v>#VALUE!</v>
      </c>
      <c r="EX126" s="139" t="e">
        <f t="shared" si="141"/>
        <v>#VALUE!</v>
      </c>
      <c r="EY126" s="139" t="e">
        <f t="shared" si="142"/>
        <v>#VALUE!</v>
      </c>
      <c r="EZ126" s="139" t="e">
        <f t="shared" si="143"/>
        <v>#VALUE!</v>
      </c>
      <c r="FA126" s="139" t="e">
        <f t="shared" si="144"/>
        <v>#VALUE!</v>
      </c>
      <c r="FB126" s="139" t="e">
        <f t="shared" si="145"/>
        <v>#VALUE!</v>
      </c>
      <c r="FC126" s="139" t="e">
        <f t="shared" si="146"/>
        <v>#VALUE!</v>
      </c>
      <c r="FD126" s="139" t="e">
        <f t="shared" si="147"/>
        <v>#VALUE!</v>
      </c>
      <c r="FE126" s="139" t="e">
        <f t="shared" si="148"/>
        <v>#VALUE!</v>
      </c>
      <c r="FF126" s="139" t="e">
        <f t="shared" si="149"/>
        <v>#VALUE!</v>
      </c>
      <c r="FG126" s="139" t="e">
        <f t="shared" si="150"/>
        <v>#VALUE!</v>
      </c>
      <c r="FH126" s="139" t="e">
        <f t="shared" si="151"/>
        <v>#VALUE!</v>
      </c>
      <c r="FI126" s="139" t="e">
        <f t="shared" si="152"/>
        <v>#VALUE!</v>
      </c>
      <c r="FJ126" s="139" t="e">
        <f t="shared" si="153"/>
        <v>#VALUE!</v>
      </c>
      <c r="FK126" s="139" t="e">
        <f t="shared" si="154"/>
        <v>#VALUE!</v>
      </c>
      <c r="FL126" s="139" t="e">
        <f t="shared" si="155"/>
        <v>#VALUE!</v>
      </c>
      <c r="FM126" s="139" t="e">
        <f t="shared" si="156"/>
        <v>#VALUE!</v>
      </c>
      <c r="FN126" s="139" t="e">
        <f t="shared" si="157"/>
        <v>#VALUE!</v>
      </c>
      <c r="FO126" s="139" t="e">
        <f t="shared" si="158"/>
        <v>#VALUE!</v>
      </c>
      <c r="FP126" s="139" t="e">
        <f t="shared" si="159"/>
        <v>#VALUE!</v>
      </c>
      <c r="FQ126" s="139" t="e">
        <f t="shared" si="160"/>
        <v>#VALUE!</v>
      </c>
      <c r="FR126" s="139" t="e">
        <f t="shared" si="161"/>
        <v>#VALUE!</v>
      </c>
      <c r="FS126" s="139" t="e">
        <f t="shared" si="162"/>
        <v>#VALUE!</v>
      </c>
      <c r="FT126" s="139" t="e">
        <f t="shared" si="163"/>
        <v>#VALUE!</v>
      </c>
      <c r="FU126" s="148" t="e">
        <f t="shared" si="164"/>
        <v>#VALUE!</v>
      </c>
      <c r="FV126" s="149"/>
      <c r="FY126" s="211">
        <v>121</v>
      </c>
      <c r="FZ126">
        <v>144.22618353966871</v>
      </c>
      <c r="GA126">
        <v>131.61302305075026</v>
      </c>
      <c r="GB126">
        <v>35.286642241244564</v>
      </c>
      <c r="GC126">
        <v>8.4455839388521508</v>
      </c>
      <c r="GD126">
        <v>2.6533058761021877</v>
      </c>
      <c r="GE126">
        <v>5.9457204628190619</v>
      </c>
      <c r="GF126">
        <v>18.81774428475963</v>
      </c>
      <c r="GG126">
        <v>19.182976256046338</v>
      </c>
      <c r="GH126">
        <v>26.49028779702908</v>
      </c>
      <c r="GI126">
        <v>75.587239203377948</v>
      </c>
      <c r="GJ126"/>
      <c r="GK126"/>
      <c r="GL126"/>
      <c r="GM126"/>
    </row>
    <row r="127" spans="1:195" s="7" customFormat="1">
      <c r="A127" s="1"/>
      <c r="B127" s="76">
        <f t="shared" ca="1" si="131"/>
        <v>0.3531074506816001</v>
      </c>
      <c r="C127">
        <v>6</v>
      </c>
      <c r="D127">
        <v>39747</v>
      </c>
      <c r="E127">
        <v>0</v>
      </c>
      <c r="F127">
        <v>998.2638888888888</v>
      </c>
      <c r="G127">
        <v>1361.2689393939395</v>
      </c>
      <c r="H127">
        <v>586.17424242424238</v>
      </c>
      <c r="I127">
        <v>153.25126262626264</v>
      </c>
      <c r="J127">
        <v>62.5</v>
      </c>
      <c r="K127">
        <v>0</v>
      </c>
      <c r="L127">
        <v>10.416666666666666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1366.9082845650732</v>
      </c>
      <c r="AO127">
        <v>210.85824658766722</v>
      </c>
      <c r="AP127">
        <v>1665.8256532084747</v>
      </c>
      <c r="AQ127">
        <v>488.47385605832176</v>
      </c>
      <c r="AR127">
        <v>199.92616949859629</v>
      </c>
      <c r="AS127">
        <v>2281.00629427184</v>
      </c>
      <c r="AT127">
        <v>97.890601092706561</v>
      </c>
      <c r="AU127">
        <v>359.29721670878388</v>
      </c>
      <c r="AV127"/>
      <c r="AW127"/>
      <c r="AX127" s="146"/>
      <c r="AY127" s="76">
        <f t="shared" ca="1" si="87"/>
        <v>0.69085062208469084</v>
      </c>
      <c r="AZ127">
        <v>10</v>
      </c>
      <c r="BA127" s="129">
        <f t="shared" si="130"/>
        <v>39747</v>
      </c>
      <c r="BB127">
        <v>0</v>
      </c>
      <c r="BC127"/>
      <c r="BD127"/>
      <c r="BE127">
        <v>1</v>
      </c>
      <c r="BF127"/>
      <c r="BG127"/>
      <c r="BH127">
        <v>1</v>
      </c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9"/>
        <v>0.76202698220769172</v>
      </c>
      <c r="CL127" s="179">
        <f t="shared" si="90"/>
        <v>10</v>
      </c>
      <c r="CM127" s="180">
        <f t="shared" si="91"/>
        <v>39747</v>
      </c>
      <c r="CN127">
        <v>0</v>
      </c>
      <c r="CO127">
        <v>6</v>
      </c>
      <c r="CP127">
        <v>1</v>
      </c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0.10736428109879181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390.625</v>
      </c>
      <c r="DH127" s="161">
        <f t="shared" si="96"/>
        <v>65.104166666666671</v>
      </c>
      <c r="DI127" s="161">
        <f t="shared" si="97"/>
        <v>10.416666666666666</v>
      </c>
      <c r="DJ127" s="161">
        <f t="shared" si="98"/>
        <v>0</v>
      </c>
      <c r="DK127" s="161">
        <f t="shared" si="99"/>
        <v>0</v>
      </c>
      <c r="DL127" s="161">
        <f t="shared" si="100"/>
        <v>10.416666666666666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2"/>
        <v>476.56250000000006</v>
      </c>
      <c r="EL127" s="149"/>
      <c r="EN127" s="146"/>
      <c r="EO127" s="146"/>
      <c r="EP127" s="139" t="e">
        <f t="shared" si="133"/>
        <v>#VALUE!</v>
      </c>
      <c r="EQ127" s="139" t="e">
        <f t="shared" si="134"/>
        <v>#VALUE!</v>
      </c>
      <c r="ER127" s="139" t="e">
        <f t="shared" si="135"/>
        <v>#VALUE!</v>
      </c>
      <c r="ES127" s="139" t="e">
        <f t="shared" si="136"/>
        <v>#VALUE!</v>
      </c>
      <c r="ET127" s="139" t="e">
        <f t="shared" si="137"/>
        <v>#VALUE!</v>
      </c>
      <c r="EU127" s="139" t="e">
        <f t="shared" si="138"/>
        <v>#VALUE!</v>
      </c>
      <c r="EV127" s="139" t="e">
        <f t="shared" si="139"/>
        <v>#VALUE!</v>
      </c>
      <c r="EW127" s="139" t="e">
        <f t="shared" si="140"/>
        <v>#VALUE!</v>
      </c>
      <c r="EX127" s="139" t="e">
        <f t="shared" si="141"/>
        <v>#VALUE!</v>
      </c>
      <c r="EY127" s="139" t="e">
        <f t="shared" si="142"/>
        <v>#VALUE!</v>
      </c>
      <c r="EZ127" s="139" t="e">
        <f t="shared" si="143"/>
        <v>#VALUE!</v>
      </c>
      <c r="FA127" s="139" t="e">
        <f t="shared" si="144"/>
        <v>#VALUE!</v>
      </c>
      <c r="FB127" s="139" t="e">
        <f t="shared" si="145"/>
        <v>#VALUE!</v>
      </c>
      <c r="FC127" s="139" t="e">
        <f t="shared" si="146"/>
        <v>#VALUE!</v>
      </c>
      <c r="FD127" s="139" t="e">
        <f t="shared" si="147"/>
        <v>#VALUE!</v>
      </c>
      <c r="FE127" s="139" t="e">
        <f t="shared" si="148"/>
        <v>#VALUE!</v>
      </c>
      <c r="FF127" s="139" t="e">
        <f t="shared" si="149"/>
        <v>#VALUE!</v>
      </c>
      <c r="FG127" s="139" t="e">
        <f t="shared" si="150"/>
        <v>#VALUE!</v>
      </c>
      <c r="FH127" s="139" t="e">
        <f t="shared" si="151"/>
        <v>#VALUE!</v>
      </c>
      <c r="FI127" s="139" t="e">
        <f t="shared" si="152"/>
        <v>#VALUE!</v>
      </c>
      <c r="FJ127" s="139" t="e">
        <f t="shared" si="153"/>
        <v>#VALUE!</v>
      </c>
      <c r="FK127" s="139" t="e">
        <f t="shared" si="154"/>
        <v>#VALUE!</v>
      </c>
      <c r="FL127" s="139" t="e">
        <f t="shared" si="155"/>
        <v>#VALUE!</v>
      </c>
      <c r="FM127" s="139" t="e">
        <f t="shared" si="156"/>
        <v>#VALUE!</v>
      </c>
      <c r="FN127" s="139" t="e">
        <f t="shared" si="157"/>
        <v>#VALUE!</v>
      </c>
      <c r="FO127" s="139" t="e">
        <f t="shared" si="158"/>
        <v>#VALUE!</v>
      </c>
      <c r="FP127" s="139" t="e">
        <f t="shared" si="159"/>
        <v>#VALUE!</v>
      </c>
      <c r="FQ127" s="139" t="e">
        <f t="shared" si="160"/>
        <v>#VALUE!</v>
      </c>
      <c r="FR127" s="139" t="e">
        <f t="shared" si="161"/>
        <v>#VALUE!</v>
      </c>
      <c r="FS127" s="139" t="e">
        <f t="shared" si="162"/>
        <v>#VALUE!</v>
      </c>
      <c r="FT127" s="139" t="e">
        <f t="shared" si="163"/>
        <v>#VALUE!</v>
      </c>
      <c r="FU127" s="148" t="e">
        <f t="shared" si="164"/>
        <v>#VALUE!</v>
      </c>
      <c r="FV127" s="149"/>
      <c r="FY127" s="211">
        <v>122</v>
      </c>
      <c r="FZ127">
        <v>172.74843023178667</v>
      </c>
      <c r="GA127">
        <v>140.1421792530102</v>
      </c>
      <c r="GB127">
        <v>37.092501734875086</v>
      </c>
      <c r="GC127">
        <v>11.492508650803066</v>
      </c>
      <c r="GD127">
        <v>3.8843260348362145</v>
      </c>
      <c r="GE127">
        <v>4.9892875121446689</v>
      </c>
      <c r="GF127">
        <v>8.5103326643532498</v>
      </c>
      <c r="GG127">
        <v>9.8652191906168341</v>
      </c>
      <c r="GH127">
        <v>19.898669712809344</v>
      </c>
      <c r="GI127">
        <v>72.638205200295957</v>
      </c>
      <c r="GJ127"/>
      <c r="GK127"/>
      <c r="GL127"/>
      <c r="GM127"/>
    </row>
    <row r="128" spans="1:195" s="7" customFormat="1">
      <c r="A128" s="128"/>
      <c r="B128" s="76">
        <f t="shared" ca="1" si="131"/>
        <v>0.59530129608679294</v>
      </c>
      <c r="C128">
        <v>7</v>
      </c>
      <c r="D128">
        <v>39775</v>
      </c>
      <c r="E128">
        <v>0</v>
      </c>
      <c r="F128">
        <v>167.29797979797982</v>
      </c>
      <c r="G128">
        <v>352.48316498316501</v>
      </c>
      <c r="H128">
        <v>313.02609427609428</v>
      </c>
      <c r="I128">
        <v>65.761784511784512</v>
      </c>
      <c r="J128">
        <v>71.022727272727266</v>
      </c>
      <c r="K128">
        <v>56.818181818181813</v>
      </c>
      <c r="L128">
        <v>28.409090909090907</v>
      </c>
      <c r="M128">
        <v>14.204545454545453</v>
      </c>
      <c r="N128">
        <v>28.409090909090907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1033.2112331607552</v>
      </c>
      <c r="AO128">
        <v>163.93023528047132</v>
      </c>
      <c r="AP128">
        <v>1289.6191237141854</v>
      </c>
      <c r="AQ128">
        <v>442.71946391178062</v>
      </c>
      <c r="AR128">
        <v>160.20401291650677</v>
      </c>
      <c r="AS128">
        <v>1711.2673199630449</v>
      </c>
      <c r="AT128">
        <v>78.75932304608709</v>
      </c>
      <c r="AU128">
        <v>-50.853778549124172</v>
      </c>
      <c r="AV128"/>
      <c r="AW128"/>
      <c r="AX128" s="128"/>
      <c r="AY128" s="76">
        <f t="shared" ca="1" si="87"/>
        <v>3.4457087222906524E-2</v>
      </c>
      <c r="AZ128">
        <v>1</v>
      </c>
      <c r="BA128" s="129">
        <f>IF(AZ128="", "",$C$8)</f>
        <v>39775</v>
      </c>
      <c r="BB128">
        <v>0</v>
      </c>
      <c r="BC128">
        <v>1</v>
      </c>
      <c r="BD128"/>
      <c r="BE128">
        <v>3</v>
      </c>
      <c r="BF128"/>
      <c r="BG128"/>
      <c r="BH128"/>
      <c r="BI128">
        <v>1</v>
      </c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9"/>
        <v>0.89441663568113294</v>
      </c>
      <c r="CL128" s="179">
        <f t="shared" si="90"/>
        <v>1</v>
      </c>
      <c r="CM128" s="180">
        <f t="shared" si="91"/>
        <v>39775</v>
      </c>
      <c r="CN128">
        <v>0</v>
      </c>
      <c r="CO128">
        <v>3</v>
      </c>
      <c r="CP128">
        <v>17</v>
      </c>
      <c r="CQ128">
        <v>8</v>
      </c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0.39509064328767241</v>
      </c>
      <c r="DD128">
        <f t="shared" si="93"/>
        <v>1</v>
      </c>
      <c r="DE128" s="129">
        <f t="shared" ref="DE128:DE137" si="165">IF((DD128)="", "", $C$8)</f>
        <v>39775</v>
      </c>
      <c r="DF128" s="161">
        <f t="shared" si="94"/>
        <v>0</v>
      </c>
      <c r="DG128" s="161">
        <f t="shared" si="95"/>
        <v>97.676282051282058</v>
      </c>
      <c r="DH128" s="161">
        <f t="shared" si="96"/>
        <v>371.875</v>
      </c>
      <c r="DI128" s="161">
        <f t="shared" si="97"/>
        <v>271.15384615384613</v>
      </c>
      <c r="DJ128" s="161">
        <f t="shared" si="98"/>
        <v>0</v>
      </c>
      <c r="DK128" s="161">
        <f t="shared" si="99"/>
        <v>0</v>
      </c>
      <c r="DL128" s="161">
        <f t="shared" si="100"/>
        <v>0</v>
      </c>
      <c r="DM128" s="161">
        <f t="shared" si="101"/>
        <v>32.051282051282051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2"/>
        <v>772.75641025641028</v>
      </c>
      <c r="EL128" s="149"/>
      <c r="EN128" s="146"/>
      <c r="EO128" s="146"/>
      <c r="EP128" s="139" t="e">
        <f t="shared" si="133"/>
        <v>#VALUE!</v>
      </c>
      <c r="EQ128" s="139" t="e">
        <f t="shared" si="134"/>
        <v>#VALUE!</v>
      </c>
      <c r="ER128" s="139" t="e">
        <f t="shared" si="135"/>
        <v>#VALUE!</v>
      </c>
      <c r="ES128" s="139" t="e">
        <f t="shared" si="136"/>
        <v>#VALUE!</v>
      </c>
      <c r="ET128" s="139" t="e">
        <f t="shared" si="137"/>
        <v>#VALUE!</v>
      </c>
      <c r="EU128" s="139" t="e">
        <f t="shared" si="138"/>
        <v>#VALUE!</v>
      </c>
      <c r="EV128" s="139" t="e">
        <f t="shared" si="139"/>
        <v>#VALUE!</v>
      </c>
      <c r="EW128" s="139" t="e">
        <f t="shared" si="140"/>
        <v>#VALUE!</v>
      </c>
      <c r="EX128" s="139" t="e">
        <f t="shared" si="141"/>
        <v>#VALUE!</v>
      </c>
      <c r="EY128" s="139" t="e">
        <f t="shared" si="142"/>
        <v>#VALUE!</v>
      </c>
      <c r="EZ128" s="139" t="e">
        <f t="shared" si="143"/>
        <v>#VALUE!</v>
      </c>
      <c r="FA128" s="139" t="e">
        <f t="shared" si="144"/>
        <v>#VALUE!</v>
      </c>
      <c r="FB128" s="139" t="e">
        <f t="shared" si="145"/>
        <v>#VALUE!</v>
      </c>
      <c r="FC128" s="139" t="e">
        <f t="shared" si="146"/>
        <v>#VALUE!</v>
      </c>
      <c r="FD128" s="139" t="e">
        <f t="shared" si="147"/>
        <v>#VALUE!</v>
      </c>
      <c r="FE128" s="139" t="e">
        <f t="shared" si="148"/>
        <v>#VALUE!</v>
      </c>
      <c r="FF128" s="139" t="e">
        <f t="shared" si="149"/>
        <v>#VALUE!</v>
      </c>
      <c r="FG128" s="139" t="e">
        <f t="shared" si="150"/>
        <v>#VALUE!</v>
      </c>
      <c r="FH128" s="139" t="e">
        <f t="shared" si="151"/>
        <v>#VALUE!</v>
      </c>
      <c r="FI128" s="139" t="e">
        <f t="shared" si="152"/>
        <v>#VALUE!</v>
      </c>
      <c r="FJ128" s="139" t="e">
        <f t="shared" si="153"/>
        <v>#VALUE!</v>
      </c>
      <c r="FK128" s="139" t="e">
        <f t="shared" si="154"/>
        <v>#VALUE!</v>
      </c>
      <c r="FL128" s="139" t="e">
        <f t="shared" si="155"/>
        <v>#VALUE!</v>
      </c>
      <c r="FM128" s="139" t="e">
        <f t="shared" si="156"/>
        <v>#VALUE!</v>
      </c>
      <c r="FN128" s="139" t="e">
        <f t="shared" si="157"/>
        <v>#VALUE!</v>
      </c>
      <c r="FO128" s="139" t="e">
        <f t="shared" si="158"/>
        <v>#VALUE!</v>
      </c>
      <c r="FP128" s="139" t="e">
        <f t="shared" si="159"/>
        <v>#VALUE!</v>
      </c>
      <c r="FQ128" s="139" t="e">
        <f t="shared" si="160"/>
        <v>#VALUE!</v>
      </c>
      <c r="FR128" s="139" t="e">
        <f t="shared" si="161"/>
        <v>#VALUE!</v>
      </c>
      <c r="FS128" s="139" t="e">
        <f t="shared" si="162"/>
        <v>#VALUE!</v>
      </c>
      <c r="FT128" s="139" t="e">
        <f t="shared" si="163"/>
        <v>#VALUE!</v>
      </c>
      <c r="FU128" s="148" t="e">
        <f t="shared" si="164"/>
        <v>#VALUE!</v>
      </c>
      <c r="FV128" s="149"/>
      <c r="FY128" s="211">
        <v>123</v>
      </c>
      <c r="FZ128">
        <v>53.447306281791938</v>
      </c>
      <c r="GA128">
        <v>89.66939724643332</v>
      </c>
      <c r="GB128">
        <v>41.068714050953517</v>
      </c>
      <c r="GC128">
        <v>8.4123020923884813</v>
      </c>
      <c r="GD128">
        <v>3.1535905847315906</v>
      </c>
      <c r="GE128">
        <v>6.3815551726369488</v>
      </c>
      <c r="GF128">
        <v>31.722154467248362</v>
      </c>
      <c r="GG128">
        <v>41.344640933866401</v>
      </c>
      <c r="GH128">
        <v>24.596823871698309</v>
      </c>
      <c r="GI128">
        <v>79.835005383776917</v>
      </c>
      <c r="GJ128"/>
      <c r="GK128"/>
      <c r="GL128"/>
      <c r="GM128"/>
    </row>
    <row r="129" spans="1:195" s="7" customFormat="1">
      <c r="A129" s="1"/>
      <c r="B129" s="76">
        <f t="shared" ca="1" si="131"/>
        <v>0.52509570191634303</v>
      </c>
      <c r="C129">
        <v>1</v>
      </c>
      <c r="D129">
        <v>39775</v>
      </c>
      <c r="E129">
        <v>0</v>
      </c>
      <c r="F129">
        <v>97.676282051282058</v>
      </c>
      <c r="G129">
        <v>371.875</v>
      </c>
      <c r="H129">
        <v>271.15384615384613</v>
      </c>
      <c r="I129">
        <v>0</v>
      </c>
      <c r="J129">
        <v>0</v>
      </c>
      <c r="K129">
        <v>0</v>
      </c>
      <c r="L129">
        <v>32.051282051282051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1076.6847397371098</v>
      </c>
      <c r="AO129">
        <v>152.22890449628306</v>
      </c>
      <c r="AP129">
        <v>1187.3853163102344</v>
      </c>
      <c r="AQ129">
        <v>403.31376373672981</v>
      </c>
      <c r="AR129">
        <v>151.17608456552136</v>
      </c>
      <c r="AS129">
        <v>1645.6968764527237</v>
      </c>
      <c r="AT129">
        <v>75.996936526003381</v>
      </c>
      <c r="AU129">
        <v>259.65130624761866</v>
      </c>
      <c r="AV129"/>
      <c r="AW129"/>
      <c r="AX129" s="146"/>
      <c r="AY129" s="76">
        <f t="shared" ca="1" si="87"/>
        <v>0.12902240734801018</v>
      </c>
      <c r="AZ129">
        <v>2</v>
      </c>
      <c r="BA129" s="129">
        <f t="shared" ref="BA129:BA137" si="166">IF(AZ129="", "",$C$8)</f>
        <v>39775</v>
      </c>
      <c r="BB129">
        <v>0</v>
      </c>
      <c r="BC129"/>
      <c r="BD129"/>
      <c r="BE129"/>
      <c r="BF129"/>
      <c r="BG129">
        <v>1</v>
      </c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9"/>
        <v>0.87172777341758112</v>
      </c>
      <c r="CL129" s="179">
        <f t="shared" si="90"/>
        <v>2</v>
      </c>
      <c r="CM129" s="180">
        <f t="shared" si="91"/>
        <v>39775</v>
      </c>
      <c r="CN129">
        <v>0</v>
      </c>
      <c r="CO129">
        <v>2</v>
      </c>
      <c r="CP129">
        <v>1</v>
      </c>
      <c r="CQ129">
        <v>4</v>
      </c>
      <c r="CR129">
        <v>2</v>
      </c>
      <c r="CS129">
        <v>3</v>
      </c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0.35352876427606172</v>
      </c>
      <c r="DD129">
        <f t="shared" si="93"/>
        <v>2</v>
      </c>
      <c r="DE129" s="129">
        <f t="shared" si="165"/>
        <v>39775</v>
      </c>
      <c r="DF129" s="161">
        <f t="shared" si="94"/>
        <v>0</v>
      </c>
      <c r="DG129" s="161">
        <f t="shared" si="95"/>
        <v>37.878787878787875</v>
      </c>
      <c r="DH129" s="161">
        <f t="shared" si="96"/>
        <v>18.939393939393938</v>
      </c>
      <c r="DI129" s="161">
        <f t="shared" si="97"/>
        <v>75.757575757575751</v>
      </c>
      <c r="DJ129" s="161">
        <f t="shared" si="98"/>
        <v>37.878787878787875</v>
      </c>
      <c r="DK129" s="161">
        <f t="shared" si="99"/>
        <v>67.234848484848484</v>
      </c>
      <c r="DL129" s="161">
        <f t="shared" si="100"/>
        <v>0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2"/>
        <v>237.68939393939394</v>
      </c>
      <c r="EL129" s="149"/>
      <c r="EN129" s="146"/>
      <c r="EO129" s="146"/>
      <c r="EP129" s="139" t="e">
        <f t="shared" si="133"/>
        <v>#VALUE!</v>
      </c>
      <c r="EQ129" s="139" t="e">
        <f t="shared" si="134"/>
        <v>#VALUE!</v>
      </c>
      <c r="ER129" s="139" t="e">
        <f t="shared" si="135"/>
        <v>#VALUE!</v>
      </c>
      <c r="ES129" s="139" t="e">
        <f t="shared" si="136"/>
        <v>#VALUE!</v>
      </c>
      <c r="ET129" s="139" t="e">
        <f t="shared" si="137"/>
        <v>#VALUE!</v>
      </c>
      <c r="EU129" s="139" t="e">
        <f t="shared" si="138"/>
        <v>#VALUE!</v>
      </c>
      <c r="EV129" s="139" t="e">
        <f t="shared" si="139"/>
        <v>#VALUE!</v>
      </c>
      <c r="EW129" s="139" t="e">
        <f t="shared" si="140"/>
        <v>#VALUE!</v>
      </c>
      <c r="EX129" s="139" t="e">
        <f t="shared" si="141"/>
        <v>#VALUE!</v>
      </c>
      <c r="EY129" s="139" t="e">
        <f t="shared" si="142"/>
        <v>#VALUE!</v>
      </c>
      <c r="EZ129" s="139" t="e">
        <f t="shared" si="143"/>
        <v>#VALUE!</v>
      </c>
      <c r="FA129" s="139" t="e">
        <f t="shared" si="144"/>
        <v>#VALUE!</v>
      </c>
      <c r="FB129" s="139" t="e">
        <f t="shared" si="145"/>
        <v>#VALUE!</v>
      </c>
      <c r="FC129" s="139" t="e">
        <f t="shared" si="146"/>
        <v>#VALUE!</v>
      </c>
      <c r="FD129" s="139" t="e">
        <f t="shared" si="147"/>
        <v>#VALUE!</v>
      </c>
      <c r="FE129" s="139" t="e">
        <f t="shared" si="148"/>
        <v>#VALUE!</v>
      </c>
      <c r="FF129" s="139" t="e">
        <f t="shared" si="149"/>
        <v>#VALUE!</v>
      </c>
      <c r="FG129" s="139" t="e">
        <f t="shared" si="150"/>
        <v>#VALUE!</v>
      </c>
      <c r="FH129" s="139" t="e">
        <f t="shared" si="151"/>
        <v>#VALUE!</v>
      </c>
      <c r="FI129" s="139" t="e">
        <f t="shared" si="152"/>
        <v>#VALUE!</v>
      </c>
      <c r="FJ129" s="139" t="e">
        <f t="shared" si="153"/>
        <v>#VALUE!</v>
      </c>
      <c r="FK129" s="139" t="e">
        <f t="shared" si="154"/>
        <v>#VALUE!</v>
      </c>
      <c r="FL129" s="139" t="e">
        <f t="shared" si="155"/>
        <v>#VALUE!</v>
      </c>
      <c r="FM129" s="139" t="e">
        <f t="shared" si="156"/>
        <v>#VALUE!</v>
      </c>
      <c r="FN129" s="139" t="e">
        <f t="shared" si="157"/>
        <v>#VALUE!</v>
      </c>
      <c r="FO129" s="139" t="e">
        <f t="shared" si="158"/>
        <v>#VALUE!</v>
      </c>
      <c r="FP129" s="139" t="e">
        <f t="shared" si="159"/>
        <v>#VALUE!</v>
      </c>
      <c r="FQ129" s="139" t="e">
        <f t="shared" si="160"/>
        <v>#VALUE!</v>
      </c>
      <c r="FR129" s="139" t="e">
        <f t="shared" si="161"/>
        <v>#VALUE!</v>
      </c>
      <c r="FS129" s="139" t="e">
        <f t="shared" si="162"/>
        <v>#VALUE!</v>
      </c>
      <c r="FT129" s="139" t="e">
        <f t="shared" si="163"/>
        <v>#VALUE!</v>
      </c>
      <c r="FU129" s="148" t="e">
        <f t="shared" si="164"/>
        <v>#VALUE!</v>
      </c>
      <c r="FV129" s="149"/>
      <c r="FY129" s="211">
        <v>124</v>
      </c>
      <c r="FZ129">
        <v>129.03204210219306</v>
      </c>
      <c r="GA129">
        <v>141.56416048330752</v>
      </c>
      <c r="GB129">
        <v>43.95565414533656</v>
      </c>
      <c r="GC129">
        <v>10.722535905749645</v>
      </c>
      <c r="GD129">
        <v>3.989809745456073</v>
      </c>
      <c r="GE129">
        <v>5.6942685749106179</v>
      </c>
      <c r="GF129">
        <v>24.827965601591757</v>
      </c>
      <c r="GG129">
        <v>31.17770312068021</v>
      </c>
      <c r="GH129">
        <v>19.468262252543759</v>
      </c>
      <c r="GI129">
        <v>78.80398809403026</v>
      </c>
      <c r="GJ129"/>
      <c r="GK129"/>
      <c r="GL129"/>
      <c r="GM129"/>
    </row>
    <row r="130" spans="1:195" s="7" customFormat="1">
      <c r="A130" s="1"/>
      <c r="B130" s="76">
        <f t="shared" ca="1" si="131"/>
        <v>0.86543502389082161</v>
      </c>
      <c r="C130">
        <v>8</v>
      </c>
      <c r="D130">
        <v>39775</v>
      </c>
      <c r="E130">
        <v>0</v>
      </c>
      <c r="F130">
        <v>208.33333333333334</v>
      </c>
      <c r="G130">
        <v>625</v>
      </c>
      <c r="H130">
        <v>572.91666666666663</v>
      </c>
      <c r="I130">
        <v>69.444444444444443</v>
      </c>
      <c r="J130">
        <v>86.805555555555557</v>
      </c>
      <c r="K130">
        <v>0</v>
      </c>
      <c r="L130">
        <v>34.722222222222221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1270.247389718744</v>
      </c>
      <c r="AO130">
        <v>161.43546579705168</v>
      </c>
      <c r="AP130">
        <v>1299.2940954983255</v>
      </c>
      <c r="AQ130">
        <v>540.26885317422386</v>
      </c>
      <c r="AR130">
        <v>159.35912758812444</v>
      </c>
      <c r="AS130">
        <v>1753.4943098699466</v>
      </c>
      <c r="AT130">
        <v>80.428323210165857</v>
      </c>
      <c r="AU130">
        <v>82.265849383394169</v>
      </c>
      <c r="AV130"/>
      <c r="AW130"/>
      <c r="AX130" s="146"/>
      <c r="AY130" s="76">
        <f t="shared" ca="1" si="87"/>
        <v>0.76303312496165399</v>
      </c>
      <c r="AZ130">
        <v>3</v>
      </c>
      <c r="BA130" s="129">
        <f t="shared" si="166"/>
        <v>39775</v>
      </c>
      <c r="BB130">
        <v>0</v>
      </c>
      <c r="BC130"/>
      <c r="BD130">
        <v>1</v>
      </c>
      <c r="BE130">
        <v>5</v>
      </c>
      <c r="BF130">
        <v>7</v>
      </c>
      <c r="BG130">
        <v>1</v>
      </c>
      <c r="BH130"/>
      <c r="BI130">
        <v>2</v>
      </c>
      <c r="BJ130">
        <v>2</v>
      </c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9"/>
        <v>0.66389141362895598</v>
      </c>
      <c r="CL130" s="179">
        <f t="shared" si="90"/>
        <v>3</v>
      </c>
      <c r="CM130" s="180">
        <f t="shared" si="91"/>
        <v>39775</v>
      </c>
      <c r="CN130" s="226">
        <v>0</v>
      </c>
      <c r="CO130" s="226">
        <v>18.333333333333332</v>
      </c>
      <c r="CP130" s="226">
        <v>19.642857142857142</v>
      </c>
      <c r="CQ130" s="226">
        <v>14.404761904761905</v>
      </c>
      <c r="CR130" s="226">
        <v>2.6190476190476191</v>
      </c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0.78523199125009546</v>
      </c>
      <c r="DD130">
        <f t="shared" si="93"/>
        <v>3</v>
      </c>
      <c r="DE130" s="129">
        <f t="shared" si="165"/>
        <v>39775</v>
      </c>
      <c r="DF130" s="161">
        <f t="shared" si="94"/>
        <v>0</v>
      </c>
      <c r="DG130" s="161">
        <f t="shared" si="95"/>
        <v>954.86111111111097</v>
      </c>
      <c r="DH130" s="161">
        <f t="shared" si="96"/>
        <v>1033.4821428571427</v>
      </c>
      <c r="DI130" s="161">
        <f t="shared" si="97"/>
        <v>802.33134920634916</v>
      </c>
      <c r="DJ130" s="161">
        <f t="shared" si="98"/>
        <v>209.32539682539681</v>
      </c>
      <c r="DK130" s="161">
        <f t="shared" si="99"/>
        <v>10.416666666666666</v>
      </c>
      <c r="DL130" s="161">
        <f t="shared" si="100"/>
        <v>0</v>
      </c>
      <c r="DM130" s="161">
        <f t="shared" si="101"/>
        <v>20.833333333333332</v>
      </c>
      <c r="DN130" s="161">
        <f t="shared" si="102"/>
        <v>20.833333333333332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2"/>
        <v>3052.0833333333326</v>
      </c>
      <c r="EL130" s="149"/>
      <c r="EN130" s="146"/>
      <c r="EO130" s="146"/>
      <c r="EP130" s="139" t="e">
        <f t="shared" si="133"/>
        <v>#VALUE!</v>
      </c>
      <c r="EQ130" s="139" t="e">
        <f t="shared" si="134"/>
        <v>#VALUE!</v>
      </c>
      <c r="ER130" s="139" t="e">
        <f t="shared" si="135"/>
        <v>#VALUE!</v>
      </c>
      <c r="ES130" s="139" t="e">
        <f t="shared" si="136"/>
        <v>#VALUE!</v>
      </c>
      <c r="ET130" s="139" t="e">
        <f t="shared" si="137"/>
        <v>#VALUE!</v>
      </c>
      <c r="EU130" s="139" t="e">
        <f t="shared" si="138"/>
        <v>#VALUE!</v>
      </c>
      <c r="EV130" s="139" t="e">
        <f t="shared" si="139"/>
        <v>#VALUE!</v>
      </c>
      <c r="EW130" s="139" t="e">
        <f t="shared" si="140"/>
        <v>#VALUE!</v>
      </c>
      <c r="EX130" s="139" t="e">
        <f t="shared" si="141"/>
        <v>#VALUE!</v>
      </c>
      <c r="EY130" s="139" t="e">
        <f t="shared" si="142"/>
        <v>#VALUE!</v>
      </c>
      <c r="EZ130" s="139" t="e">
        <f t="shared" si="143"/>
        <v>#VALUE!</v>
      </c>
      <c r="FA130" s="139" t="e">
        <f t="shared" si="144"/>
        <v>#VALUE!</v>
      </c>
      <c r="FB130" s="139" t="e">
        <f t="shared" si="145"/>
        <v>#VALUE!</v>
      </c>
      <c r="FC130" s="139" t="e">
        <f t="shared" si="146"/>
        <v>#VALUE!</v>
      </c>
      <c r="FD130" s="139" t="e">
        <f t="shared" si="147"/>
        <v>#VALUE!</v>
      </c>
      <c r="FE130" s="139" t="e">
        <f t="shared" si="148"/>
        <v>#VALUE!</v>
      </c>
      <c r="FF130" s="139" t="e">
        <f t="shared" si="149"/>
        <v>#VALUE!</v>
      </c>
      <c r="FG130" s="139" t="e">
        <f t="shared" si="150"/>
        <v>#VALUE!</v>
      </c>
      <c r="FH130" s="139" t="e">
        <f t="shared" si="151"/>
        <v>#VALUE!</v>
      </c>
      <c r="FI130" s="139" t="e">
        <f t="shared" si="152"/>
        <v>#VALUE!</v>
      </c>
      <c r="FJ130" s="139" t="e">
        <f t="shared" si="153"/>
        <v>#VALUE!</v>
      </c>
      <c r="FK130" s="139" t="e">
        <f t="shared" si="154"/>
        <v>#VALUE!</v>
      </c>
      <c r="FL130" s="139" t="e">
        <f t="shared" si="155"/>
        <v>#VALUE!</v>
      </c>
      <c r="FM130" s="139" t="e">
        <f t="shared" si="156"/>
        <v>#VALUE!</v>
      </c>
      <c r="FN130" s="139" t="e">
        <f t="shared" si="157"/>
        <v>#VALUE!</v>
      </c>
      <c r="FO130" s="139" t="e">
        <f t="shared" si="158"/>
        <v>#VALUE!</v>
      </c>
      <c r="FP130" s="139" t="e">
        <f t="shared" si="159"/>
        <v>#VALUE!</v>
      </c>
      <c r="FQ130" s="139" t="e">
        <f t="shared" si="160"/>
        <v>#VALUE!</v>
      </c>
      <c r="FR130" s="139" t="e">
        <f t="shared" si="161"/>
        <v>#VALUE!</v>
      </c>
      <c r="FS130" s="139" t="e">
        <f t="shared" si="162"/>
        <v>#VALUE!</v>
      </c>
      <c r="FT130" s="139" t="e">
        <f t="shared" si="163"/>
        <v>#VALUE!</v>
      </c>
      <c r="FU130" s="148" t="e">
        <f t="shared" si="164"/>
        <v>#VALUE!</v>
      </c>
      <c r="FV130" s="149"/>
      <c r="FY130" s="211">
        <v>125</v>
      </c>
      <c r="FZ130">
        <v>160.85356642887172</v>
      </c>
      <c r="GA130">
        <v>68.117592074859658</v>
      </c>
      <c r="GB130">
        <v>29.713137387397509</v>
      </c>
      <c r="GC130">
        <v>8.3116466223322281</v>
      </c>
      <c r="GD130">
        <v>2.3835272198948747</v>
      </c>
      <c r="GE130">
        <v>5.0179794072086104</v>
      </c>
      <c r="GF130">
        <v>16.190946758570362</v>
      </c>
      <c r="GG130">
        <v>22.82000386866687</v>
      </c>
      <c r="GH130">
        <v>33.586473743676194</v>
      </c>
      <c r="GI130">
        <v>66.13929282513952</v>
      </c>
      <c r="GJ130"/>
      <c r="GK130"/>
      <c r="GL130"/>
      <c r="GM130"/>
    </row>
    <row r="131" spans="1:195" s="7" customFormat="1">
      <c r="A131" s="1"/>
      <c r="B131" s="76">
        <f t="shared" ca="1" si="131"/>
        <v>0.16323433643258012</v>
      </c>
      <c r="C131">
        <v>2</v>
      </c>
      <c r="D131">
        <v>39775</v>
      </c>
      <c r="E131">
        <v>0</v>
      </c>
      <c r="F131">
        <v>37.878787878787875</v>
      </c>
      <c r="G131">
        <v>18.939393939393938</v>
      </c>
      <c r="H131">
        <v>75.757575757575751</v>
      </c>
      <c r="I131">
        <v>37.878787878787875</v>
      </c>
      <c r="J131">
        <v>67.234848484848484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941.40352909499165</v>
      </c>
      <c r="AO131">
        <v>144.08369176994293</v>
      </c>
      <c r="AP131">
        <v>1183.9551132843724</v>
      </c>
      <c r="AQ131">
        <v>420.89384516886327</v>
      </c>
      <c r="AR131">
        <v>145.26752476580936</v>
      </c>
      <c r="AS131">
        <v>1557.7247900785553</v>
      </c>
      <c r="AT131">
        <v>74.150360464578313</v>
      </c>
      <c r="AU131">
        <v>105.24961239121406</v>
      </c>
      <c r="AV131"/>
      <c r="AW131"/>
      <c r="AX131" s="146"/>
      <c r="AY131" s="76">
        <f t="shared" ca="1" si="87"/>
        <v>0.48269542178642233</v>
      </c>
      <c r="AZ131">
        <v>4</v>
      </c>
      <c r="BA131" s="129">
        <f t="shared" si="166"/>
        <v>39775</v>
      </c>
      <c r="BB131">
        <v>0</v>
      </c>
      <c r="BC131"/>
      <c r="BD131"/>
      <c r="BE131">
        <v>1</v>
      </c>
      <c r="BF131">
        <v>2</v>
      </c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9"/>
        <v>0.57427165618852949</v>
      </c>
      <c r="CL131" s="179">
        <f t="shared" si="90"/>
        <v>4</v>
      </c>
      <c r="CM131" s="180">
        <f t="shared" si="91"/>
        <v>39775</v>
      </c>
      <c r="CN131">
        <v>0</v>
      </c>
      <c r="CO131">
        <v>5</v>
      </c>
      <c r="CP131">
        <v>10</v>
      </c>
      <c r="CQ131">
        <v>7</v>
      </c>
      <c r="CR131">
        <v>1</v>
      </c>
      <c r="CS131"/>
      <c r="CT131"/>
      <c r="CU131"/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3.2781472359995734E-2</v>
      </c>
      <c r="DD131">
        <f t="shared" si="93"/>
        <v>4</v>
      </c>
      <c r="DE131" s="129">
        <f t="shared" si="165"/>
        <v>39775</v>
      </c>
      <c r="DF131" s="161">
        <f t="shared" si="94"/>
        <v>0</v>
      </c>
      <c r="DG131" s="161">
        <f t="shared" si="95"/>
        <v>52.083333333333336</v>
      </c>
      <c r="DH131" s="161">
        <f t="shared" si="96"/>
        <v>104.16666666666667</v>
      </c>
      <c r="DI131" s="161">
        <f t="shared" si="97"/>
        <v>83.333333333333329</v>
      </c>
      <c r="DJ131" s="161">
        <f t="shared" si="98"/>
        <v>31.25</v>
      </c>
      <c r="DK131" s="161">
        <f t="shared" si="99"/>
        <v>0</v>
      </c>
      <c r="DL131" s="161">
        <f t="shared" si="100"/>
        <v>0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2"/>
        <v>270.83333333333331</v>
      </c>
      <c r="EL131" s="149"/>
      <c r="EN131" s="146"/>
      <c r="EO131" s="146"/>
      <c r="EP131" s="139" t="e">
        <f t="shared" si="133"/>
        <v>#VALUE!</v>
      </c>
      <c r="EQ131" s="139" t="e">
        <f t="shared" si="134"/>
        <v>#VALUE!</v>
      </c>
      <c r="ER131" s="139" t="e">
        <f t="shared" si="135"/>
        <v>#VALUE!</v>
      </c>
      <c r="ES131" s="139" t="e">
        <f t="shared" si="136"/>
        <v>#VALUE!</v>
      </c>
      <c r="ET131" s="139" t="e">
        <f t="shared" si="137"/>
        <v>#VALUE!</v>
      </c>
      <c r="EU131" s="139" t="e">
        <f t="shared" si="138"/>
        <v>#VALUE!</v>
      </c>
      <c r="EV131" s="139" t="e">
        <f t="shared" si="139"/>
        <v>#VALUE!</v>
      </c>
      <c r="EW131" s="139" t="e">
        <f t="shared" si="140"/>
        <v>#VALUE!</v>
      </c>
      <c r="EX131" s="139" t="e">
        <f t="shared" si="141"/>
        <v>#VALUE!</v>
      </c>
      <c r="EY131" s="139" t="e">
        <f t="shared" si="142"/>
        <v>#VALUE!</v>
      </c>
      <c r="EZ131" s="139" t="e">
        <f t="shared" si="143"/>
        <v>#VALUE!</v>
      </c>
      <c r="FA131" s="139" t="e">
        <f t="shared" si="144"/>
        <v>#VALUE!</v>
      </c>
      <c r="FB131" s="139" t="e">
        <f t="shared" si="145"/>
        <v>#VALUE!</v>
      </c>
      <c r="FC131" s="139" t="e">
        <f t="shared" si="146"/>
        <v>#VALUE!</v>
      </c>
      <c r="FD131" s="139" t="e">
        <f t="shared" si="147"/>
        <v>#VALUE!</v>
      </c>
      <c r="FE131" s="139" t="e">
        <f t="shared" si="148"/>
        <v>#VALUE!</v>
      </c>
      <c r="FF131" s="139" t="e">
        <f t="shared" si="149"/>
        <v>#VALUE!</v>
      </c>
      <c r="FG131" s="139" t="e">
        <f t="shared" si="150"/>
        <v>#VALUE!</v>
      </c>
      <c r="FH131" s="139" t="e">
        <f t="shared" si="151"/>
        <v>#VALUE!</v>
      </c>
      <c r="FI131" s="139" t="e">
        <f t="shared" si="152"/>
        <v>#VALUE!</v>
      </c>
      <c r="FJ131" s="139" t="e">
        <f t="shared" si="153"/>
        <v>#VALUE!</v>
      </c>
      <c r="FK131" s="139" t="e">
        <f t="shared" si="154"/>
        <v>#VALUE!</v>
      </c>
      <c r="FL131" s="139" t="e">
        <f t="shared" si="155"/>
        <v>#VALUE!</v>
      </c>
      <c r="FM131" s="139" t="e">
        <f t="shared" si="156"/>
        <v>#VALUE!</v>
      </c>
      <c r="FN131" s="139" t="e">
        <f t="shared" si="157"/>
        <v>#VALUE!</v>
      </c>
      <c r="FO131" s="139" t="e">
        <f t="shared" si="158"/>
        <v>#VALUE!</v>
      </c>
      <c r="FP131" s="139" t="e">
        <f t="shared" si="159"/>
        <v>#VALUE!</v>
      </c>
      <c r="FQ131" s="139" t="e">
        <f t="shared" si="160"/>
        <v>#VALUE!</v>
      </c>
      <c r="FR131" s="139" t="e">
        <f t="shared" si="161"/>
        <v>#VALUE!</v>
      </c>
      <c r="FS131" s="139" t="e">
        <f t="shared" si="162"/>
        <v>#VALUE!</v>
      </c>
      <c r="FT131" s="139" t="e">
        <f t="shared" si="163"/>
        <v>#VALUE!</v>
      </c>
      <c r="FU131" s="148" t="e">
        <f t="shared" si="164"/>
        <v>#VALUE!</v>
      </c>
      <c r="FV131" s="149"/>
      <c r="FY131" s="211">
        <v>126</v>
      </c>
      <c r="FZ131">
        <v>60.462755213763948</v>
      </c>
      <c r="GA131">
        <v>69.094560858592672</v>
      </c>
      <c r="GB131">
        <v>29.747813225342451</v>
      </c>
      <c r="GC131">
        <v>6.8016858720433095</v>
      </c>
      <c r="GD131">
        <v>4.3426592859133635</v>
      </c>
      <c r="GE131">
        <v>8.023736271632238</v>
      </c>
      <c r="GF131">
        <v>19.938059224556433</v>
      </c>
      <c r="GG131">
        <v>28.610637684975988</v>
      </c>
      <c r="GH131">
        <v>27.783076547418727</v>
      </c>
      <c r="GI131">
        <v>63.074806186334541</v>
      </c>
      <c r="GJ131"/>
      <c r="GK131"/>
      <c r="GL131"/>
      <c r="GM131"/>
    </row>
    <row r="132" spans="1:195" s="7" customFormat="1">
      <c r="A132" s="1"/>
      <c r="B132" s="76">
        <f t="shared" ca="1" si="131"/>
        <v>0.3937111148247191</v>
      </c>
      <c r="C132">
        <v>4</v>
      </c>
      <c r="D132">
        <v>39775</v>
      </c>
      <c r="E132">
        <v>0</v>
      </c>
      <c r="F132">
        <v>52.083333333333336</v>
      </c>
      <c r="G132">
        <v>104.16666666666667</v>
      </c>
      <c r="H132">
        <v>83.333333333333329</v>
      </c>
      <c r="I132">
        <v>31.25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1240.0841286798463</v>
      </c>
      <c r="AO132">
        <v>172.8934612764271</v>
      </c>
      <c r="AP132">
        <v>1449.3730717591341</v>
      </c>
      <c r="AQ132">
        <v>467.17381926209652</v>
      </c>
      <c r="AR132">
        <v>167.66588979795461</v>
      </c>
      <c r="AS132">
        <v>1889.7868442814486</v>
      </c>
      <c r="AT132">
        <v>80.307441721816446</v>
      </c>
      <c r="AU132">
        <v>282.09981852671814</v>
      </c>
      <c r="AV132"/>
      <c r="AW132"/>
      <c r="AX132" s="146"/>
      <c r="AY132" s="76">
        <f t="shared" ca="1" si="87"/>
        <v>0.24556078875376186</v>
      </c>
      <c r="AZ132">
        <v>5</v>
      </c>
      <c r="BA132" s="129">
        <f t="shared" si="166"/>
        <v>39775</v>
      </c>
      <c r="BB132">
        <v>0</v>
      </c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9"/>
        <v>0.66733500566920201</v>
      </c>
      <c r="CL132" s="179">
        <f t="shared" si="90"/>
        <v>5</v>
      </c>
      <c r="CM132" s="180">
        <f t="shared" si="91"/>
        <v>39775</v>
      </c>
      <c r="CN132">
        <v>0</v>
      </c>
      <c r="CO132">
        <v>4</v>
      </c>
      <c r="CP132">
        <v>7</v>
      </c>
      <c r="CQ132">
        <v>6</v>
      </c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0.79088227315685611</v>
      </c>
      <c r="DD132">
        <f t="shared" si="93"/>
        <v>5</v>
      </c>
      <c r="DE132" s="129">
        <f t="shared" si="165"/>
        <v>39775</v>
      </c>
      <c r="DF132" s="161">
        <f t="shared" si="94"/>
        <v>0</v>
      </c>
      <c r="DG132" s="161">
        <f t="shared" si="95"/>
        <v>119.04761904761905</v>
      </c>
      <c r="DH132" s="161">
        <f t="shared" si="96"/>
        <v>208.33333333333334</v>
      </c>
      <c r="DI132" s="161">
        <f t="shared" si="97"/>
        <v>178.57142857142856</v>
      </c>
      <c r="DJ132" s="161">
        <f t="shared" si="98"/>
        <v>0</v>
      </c>
      <c r="DK132" s="161">
        <f t="shared" si="99"/>
        <v>0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2"/>
        <v>505.95238095238096</v>
      </c>
      <c r="EL132" s="149"/>
      <c r="EN132" s="146"/>
      <c r="EO132" s="146"/>
      <c r="EP132" s="139" t="e">
        <f t="shared" si="133"/>
        <v>#VALUE!</v>
      </c>
      <c r="EQ132" s="139" t="e">
        <f t="shared" si="134"/>
        <v>#VALUE!</v>
      </c>
      <c r="ER132" s="139" t="e">
        <f t="shared" si="135"/>
        <v>#VALUE!</v>
      </c>
      <c r="ES132" s="139" t="e">
        <f t="shared" si="136"/>
        <v>#VALUE!</v>
      </c>
      <c r="ET132" s="139" t="e">
        <f t="shared" si="137"/>
        <v>#VALUE!</v>
      </c>
      <c r="EU132" s="139" t="e">
        <f t="shared" si="138"/>
        <v>#VALUE!</v>
      </c>
      <c r="EV132" s="139" t="e">
        <f t="shared" si="139"/>
        <v>#VALUE!</v>
      </c>
      <c r="EW132" s="139" t="e">
        <f t="shared" si="140"/>
        <v>#VALUE!</v>
      </c>
      <c r="EX132" s="139" t="e">
        <f t="shared" si="141"/>
        <v>#VALUE!</v>
      </c>
      <c r="EY132" s="139" t="e">
        <f t="shared" si="142"/>
        <v>#VALUE!</v>
      </c>
      <c r="EZ132" s="139" t="e">
        <f t="shared" si="143"/>
        <v>#VALUE!</v>
      </c>
      <c r="FA132" s="139" t="e">
        <f t="shared" si="144"/>
        <v>#VALUE!</v>
      </c>
      <c r="FB132" s="139" t="e">
        <f t="shared" si="145"/>
        <v>#VALUE!</v>
      </c>
      <c r="FC132" s="139" t="e">
        <f t="shared" si="146"/>
        <v>#VALUE!</v>
      </c>
      <c r="FD132" s="139" t="e">
        <f t="shared" si="147"/>
        <v>#VALUE!</v>
      </c>
      <c r="FE132" s="139" t="e">
        <f t="shared" si="148"/>
        <v>#VALUE!</v>
      </c>
      <c r="FF132" s="139" t="e">
        <f t="shared" si="149"/>
        <v>#VALUE!</v>
      </c>
      <c r="FG132" s="139" t="e">
        <f t="shared" si="150"/>
        <v>#VALUE!</v>
      </c>
      <c r="FH132" s="139" t="e">
        <f t="shared" si="151"/>
        <v>#VALUE!</v>
      </c>
      <c r="FI132" s="139" t="e">
        <f t="shared" si="152"/>
        <v>#VALUE!</v>
      </c>
      <c r="FJ132" s="139" t="e">
        <f t="shared" si="153"/>
        <v>#VALUE!</v>
      </c>
      <c r="FK132" s="139" t="e">
        <f t="shared" si="154"/>
        <v>#VALUE!</v>
      </c>
      <c r="FL132" s="139" t="e">
        <f t="shared" si="155"/>
        <v>#VALUE!</v>
      </c>
      <c r="FM132" s="139" t="e">
        <f t="shared" si="156"/>
        <v>#VALUE!</v>
      </c>
      <c r="FN132" s="139" t="e">
        <f t="shared" si="157"/>
        <v>#VALUE!</v>
      </c>
      <c r="FO132" s="139" t="e">
        <f t="shared" si="158"/>
        <v>#VALUE!</v>
      </c>
      <c r="FP132" s="139" t="e">
        <f t="shared" si="159"/>
        <v>#VALUE!</v>
      </c>
      <c r="FQ132" s="139" t="e">
        <f t="shared" si="160"/>
        <v>#VALUE!</v>
      </c>
      <c r="FR132" s="139" t="e">
        <f t="shared" si="161"/>
        <v>#VALUE!</v>
      </c>
      <c r="FS132" s="139" t="e">
        <f t="shared" si="162"/>
        <v>#VALUE!</v>
      </c>
      <c r="FT132" s="139" t="e">
        <f t="shared" si="163"/>
        <v>#VALUE!</v>
      </c>
      <c r="FU132" s="148" t="e">
        <f t="shared" si="164"/>
        <v>#VALUE!</v>
      </c>
      <c r="FV132" s="149"/>
      <c r="FY132" s="211">
        <v>127</v>
      </c>
      <c r="FZ132">
        <v>173.55420727752974</v>
      </c>
      <c r="GA132">
        <v>127.48911883308315</v>
      </c>
      <c r="GB132">
        <v>25.319005982575842</v>
      </c>
      <c r="GC132">
        <v>6.3790612071466937</v>
      </c>
      <c r="GD132">
        <v>2.2799443892959106</v>
      </c>
      <c r="GE132">
        <v>4.2889020324605429</v>
      </c>
      <c r="GF132">
        <v>42.955565291597715</v>
      </c>
      <c r="GG132">
        <v>57.95158609277717</v>
      </c>
      <c r="GH132">
        <v>25.824624396505197</v>
      </c>
      <c r="GI132">
        <v>77.092368858608864</v>
      </c>
      <c r="GJ132"/>
      <c r="GK132"/>
      <c r="GL132"/>
      <c r="GM132"/>
    </row>
    <row r="133" spans="1:195" s="7" customFormat="1">
      <c r="A133" s="1"/>
      <c r="B133" s="76">
        <f t="shared" ca="1" si="131"/>
        <v>0.71594897993696605</v>
      </c>
      <c r="C133">
        <v>3</v>
      </c>
      <c r="D133">
        <v>39775</v>
      </c>
      <c r="E133">
        <v>0</v>
      </c>
      <c r="F133">
        <v>954.86111111111097</v>
      </c>
      <c r="G133">
        <v>1033.4821428571427</v>
      </c>
      <c r="H133">
        <v>802.33134920634916</v>
      </c>
      <c r="I133">
        <v>209.32539682539681</v>
      </c>
      <c r="J133">
        <v>10.416666666666666</v>
      </c>
      <c r="K133">
        <v>0</v>
      </c>
      <c r="L133">
        <v>20.833333333333332</v>
      </c>
      <c r="M133">
        <v>20.833333333333332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1318.241125288178</v>
      </c>
      <c r="AO133">
        <v>185.25299656656753</v>
      </c>
      <c r="AP133">
        <v>1415.4874928173422</v>
      </c>
      <c r="AQ133">
        <v>524.40267734814438</v>
      </c>
      <c r="AR133">
        <v>176.72771934487486</v>
      </c>
      <c r="AS133">
        <v>1997.683566419533</v>
      </c>
      <c r="AT133">
        <v>86.226586926697351</v>
      </c>
      <c r="AU133">
        <v>188.07680059524495</v>
      </c>
      <c r="AV133"/>
      <c r="AW133"/>
      <c r="AX133" s="146"/>
      <c r="AY133" s="76">
        <f t="shared" ca="1" si="87"/>
        <v>0.91512220578806069</v>
      </c>
      <c r="AZ133">
        <v>6</v>
      </c>
      <c r="BA133" s="129">
        <f t="shared" si="166"/>
        <v>39775</v>
      </c>
      <c r="BB133">
        <v>0</v>
      </c>
      <c r="BC133"/>
      <c r="BD133">
        <v>2</v>
      </c>
      <c r="BE133">
        <v>2</v>
      </c>
      <c r="BF133">
        <v>5</v>
      </c>
      <c r="BG133">
        <v>1</v>
      </c>
      <c r="BH133">
        <v>1</v>
      </c>
      <c r="BI133"/>
      <c r="BJ133"/>
      <c r="BK133">
        <v>2</v>
      </c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9"/>
        <v>0.53990655960184708</v>
      </c>
      <c r="CL133" s="179">
        <f t="shared" si="90"/>
        <v>6</v>
      </c>
      <c r="CM133" s="180">
        <f t="shared" si="91"/>
        <v>39775</v>
      </c>
      <c r="CN133">
        <v>0</v>
      </c>
      <c r="CO133">
        <v>4</v>
      </c>
      <c r="CP133">
        <v>15</v>
      </c>
      <c r="CQ133">
        <v>15</v>
      </c>
      <c r="CR133">
        <v>3</v>
      </c>
      <c r="CS133"/>
      <c r="CT133"/>
      <c r="CU133"/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0.28568753278907544</v>
      </c>
      <c r="DD133">
        <f t="shared" si="93"/>
        <v>6</v>
      </c>
      <c r="DE133" s="129">
        <f t="shared" si="165"/>
        <v>39775</v>
      </c>
      <c r="DF133" s="161">
        <f t="shared" si="94"/>
        <v>0</v>
      </c>
      <c r="DG133" s="161">
        <f t="shared" si="95"/>
        <v>41.666666666666664</v>
      </c>
      <c r="DH133" s="161">
        <f t="shared" si="96"/>
        <v>177.08333333333334</v>
      </c>
      <c r="DI133" s="161">
        <f t="shared" si="97"/>
        <v>177.08333333333334</v>
      </c>
      <c r="DJ133" s="161">
        <f t="shared" si="98"/>
        <v>83.333333333333329</v>
      </c>
      <c r="DK133" s="161">
        <f t="shared" si="99"/>
        <v>10.416666666666666</v>
      </c>
      <c r="DL133" s="161">
        <f t="shared" si="100"/>
        <v>10.416666666666666</v>
      </c>
      <c r="DM133" s="161">
        <f t="shared" si="101"/>
        <v>0</v>
      </c>
      <c r="DN133" s="161">
        <f t="shared" si="102"/>
        <v>0</v>
      </c>
      <c r="DO133" s="161">
        <f t="shared" si="103"/>
        <v>20.833333333333332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2"/>
        <v>520.83333333333337</v>
      </c>
      <c r="EL133" s="149"/>
      <c r="EN133" s="146"/>
      <c r="EO133" s="146"/>
      <c r="EP133" s="139" t="e">
        <f t="shared" si="133"/>
        <v>#VALUE!</v>
      </c>
      <c r="EQ133" s="139" t="e">
        <f t="shared" si="134"/>
        <v>#VALUE!</v>
      </c>
      <c r="ER133" s="139" t="e">
        <f t="shared" si="135"/>
        <v>#VALUE!</v>
      </c>
      <c r="ES133" s="139" t="e">
        <f t="shared" si="136"/>
        <v>#VALUE!</v>
      </c>
      <c r="ET133" s="139" t="e">
        <f t="shared" si="137"/>
        <v>#VALUE!</v>
      </c>
      <c r="EU133" s="139" t="e">
        <f t="shared" si="138"/>
        <v>#VALUE!</v>
      </c>
      <c r="EV133" s="139" t="e">
        <f t="shared" si="139"/>
        <v>#VALUE!</v>
      </c>
      <c r="EW133" s="139" t="e">
        <f t="shared" si="140"/>
        <v>#VALUE!</v>
      </c>
      <c r="EX133" s="139" t="e">
        <f t="shared" si="141"/>
        <v>#VALUE!</v>
      </c>
      <c r="EY133" s="139" t="e">
        <f t="shared" si="142"/>
        <v>#VALUE!</v>
      </c>
      <c r="EZ133" s="139" t="e">
        <f t="shared" si="143"/>
        <v>#VALUE!</v>
      </c>
      <c r="FA133" s="139" t="e">
        <f t="shared" si="144"/>
        <v>#VALUE!</v>
      </c>
      <c r="FB133" s="139" t="e">
        <f t="shared" si="145"/>
        <v>#VALUE!</v>
      </c>
      <c r="FC133" s="139" t="e">
        <f t="shared" si="146"/>
        <v>#VALUE!</v>
      </c>
      <c r="FD133" s="139" t="e">
        <f t="shared" si="147"/>
        <v>#VALUE!</v>
      </c>
      <c r="FE133" s="139" t="e">
        <f t="shared" si="148"/>
        <v>#VALUE!</v>
      </c>
      <c r="FF133" s="139" t="e">
        <f t="shared" si="149"/>
        <v>#VALUE!</v>
      </c>
      <c r="FG133" s="139" t="e">
        <f t="shared" si="150"/>
        <v>#VALUE!</v>
      </c>
      <c r="FH133" s="139" t="e">
        <f t="shared" si="151"/>
        <v>#VALUE!</v>
      </c>
      <c r="FI133" s="139" t="e">
        <f t="shared" si="152"/>
        <v>#VALUE!</v>
      </c>
      <c r="FJ133" s="139" t="e">
        <f t="shared" si="153"/>
        <v>#VALUE!</v>
      </c>
      <c r="FK133" s="139" t="e">
        <f t="shared" si="154"/>
        <v>#VALUE!</v>
      </c>
      <c r="FL133" s="139" t="e">
        <f t="shared" si="155"/>
        <v>#VALUE!</v>
      </c>
      <c r="FM133" s="139" t="e">
        <f t="shared" si="156"/>
        <v>#VALUE!</v>
      </c>
      <c r="FN133" s="139" t="e">
        <f t="shared" si="157"/>
        <v>#VALUE!</v>
      </c>
      <c r="FO133" s="139" t="e">
        <f t="shared" si="158"/>
        <v>#VALUE!</v>
      </c>
      <c r="FP133" s="139" t="e">
        <f t="shared" si="159"/>
        <v>#VALUE!</v>
      </c>
      <c r="FQ133" s="139" t="e">
        <f t="shared" si="160"/>
        <v>#VALUE!</v>
      </c>
      <c r="FR133" s="139" t="e">
        <f t="shared" si="161"/>
        <v>#VALUE!</v>
      </c>
      <c r="FS133" s="139" t="e">
        <f t="shared" si="162"/>
        <v>#VALUE!</v>
      </c>
      <c r="FT133" s="139" t="e">
        <f t="shared" si="163"/>
        <v>#VALUE!</v>
      </c>
      <c r="FU133" s="148" t="e">
        <f t="shared" si="164"/>
        <v>#VALUE!</v>
      </c>
      <c r="FV133" s="149"/>
      <c r="FY133" s="211">
        <v>128</v>
      </c>
      <c r="FZ133">
        <v>129.12219159162825</v>
      </c>
      <c r="GA133">
        <v>143.79353332631919</v>
      </c>
      <c r="GB133">
        <v>39.416983037950175</v>
      </c>
      <c r="GC133">
        <v>6.8322070316654182</v>
      </c>
      <c r="GD133">
        <v>2.8153318936535885</v>
      </c>
      <c r="GE133">
        <v>7.0928895863416006</v>
      </c>
      <c r="GF133">
        <v>31.487191954971582</v>
      </c>
      <c r="GG133">
        <v>36.002327825223858</v>
      </c>
      <c r="GH133">
        <v>9.7209338470731304</v>
      </c>
      <c r="GI133">
        <v>79.284199977657607</v>
      </c>
      <c r="GJ133"/>
      <c r="GK133"/>
      <c r="GL133"/>
      <c r="GM133"/>
    </row>
    <row r="134" spans="1:195" s="7" customFormat="1">
      <c r="A134" s="1"/>
      <c r="B134" s="76">
        <f t="shared" ca="1" si="131"/>
        <v>0.82808583626442689</v>
      </c>
      <c r="C134">
        <v>6</v>
      </c>
      <c r="D134">
        <v>39775</v>
      </c>
      <c r="E134">
        <v>0</v>
      </c>
      <c r="F134">
        <v>41.666666666666664</v>
      </c>
      <c r="G134">
        <v>177.08333333333334</v>
      </c>
      <c r="H134">
        <v>177.08333333333334</v>
      </c>
      <c r="I134">
        <v>83.333333333333329</v>
      </c>
      <c r="J134">
        <v>10.416666666666666</v>
      </c>
      <c r="K134">
        <v>10.416666666666666</v>
      </c>
      <c r="L134">
        <v>0</v>
      </c>
      <c r="M134">
        <v>0</v>
      </c>
      <c r="N134">
        <v>20.833333333333332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1434.9603140879194</v>
      </c>
      <c r="AO134">
        <v>204.99809163570671</v>
      </c>
      <c r="AP134">
        <v>1688.7990873471445</v>
      </c>
      <c r="AQ134">
        <v>509.7482776657771</v>
      </c>
      <c r="AR134">
        <v>197.40725446697675</v>
      </c>
      <c r="AS134">
        <v>2001.402169708696</v>
      </c>
      <c r="AT134">
        <v>87.672140018306322</v>
      </c>
      <c r="AU134">
        <v>274.10180464782741</v>
      </c>
      <c r="AV134"/>
      <c r="AW134"/>
      <c r="AX134" s="146"/>
      <c r="AY134" s="76">
        <f t="shared" ca="1" si="87"/>
        <v>0.6681798692263351</v>
      </c>
      <c r="AZ134">
        <v>7</v>
      </c>
      <c r="BA134" s="129">
        <f t="shared" si="166"/>
        <v>39775</v>
      </c>
      <c r="BB134">
        <v>0</v>
      </c>
      <c r="BC134">
        <v>2</v>
      </c>
      <c r="BD134">
        <v>2</v>
      </c>
      <c r="BE134">
        <v>9</v>
      </c>
      <c r="BF134">
        <v>3</v>
      </c>
      <c r="BG134">
        <v>5</v>
      </c>
      <c r="BH134">
        <v>4</v>
      </c>
      <c r="BI134">
        <v>2</v>
      </c>
      <c r="BJ134">
        <v>1</v>
      </c>
      <c r="BK134">
        <v>2</v>
      </c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9"/>
        <v>0.2323000218262512</v>
      </c>
      <c r="CL134" s="179">
        <f t="shared" si="90"/>
        <v>7</v>
      </c>
      <c r="CM134" s="180">
        <f t="shared" si="91"/>
        <v>39775</v>
      </c>
      <c r="CN134">
        <v>0</v>
      </c>
      <c r="CO134">
        <v>6</v>
      </c>
      <c r="CP134">
        <v>14</v>
      </c>
      <c r="CQ134">
        <v>8</v>
      </c>
      <c r="CR134">
        <v>1</v>
      </c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0.64399898458954707</v>
      </c>
      <c r="DD134">
        <f t="shared" si="93"/>
        <v>7</v>
      </c>
      <c r="DE134" s="129">
        <f t="shared" si="165"/>
        <v>39775</v>
      </c>
      <c r="DF134" s="161">
        <f t="shared" si="94"/>
        <v>0</v>
      </c>
      <c r="DG134" s="161">
        <f t="shared" si="95"/>
        <v>167.29797979797982</v>
      </c>
      <c r="DH134" s="161">
        <f t="shared" si="96"/>
        <v>352.48316498316501</v>
      </c>
      <c r="DI134" s="161">
        <f t="shared" si="97"/>
        <v>313.02609427609428</v>
      </c>
      <c r="DJ134" s="161">
        <f t="shared" si="98"/>
        <v>65.761784511784512</v>
      </c>
      <c r="DK134" s="161">
        <f t="shared" si="99"/>
        <v>71.022727272727266</v>
      </c>
      <c r="DL134" s="161">
        <f t="shared" si="100"/>
        <v>56.818181818181813</v>
      </c>
      <c r="DM134" s="161">
        <f t="shared" si="101"/>
        <v>28.409090909090907</v>
      </c>
      <c r="DN134" s="161">
        <f t="shared" si="102"/>
        <v>14.204545454545453</v>
      </c>
      <c r="DO134" s="161">
        <f t="shared" si="103"/>
        <v>28.409090909090907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0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2"/>
        <v>1097.43265993266</v>
      </c>
      <c r="EL134" s="149"/>
      <c r="EN134" s="146"/>
      <c r="EO134" s="146"/>
      <c r="EP134" s="139" t="e">
        <f t="shared" si="133"/>
        <v>#VALUE!</v>
      </c>
      <c r="EQ134" s="139" t="e">
        <f t="shared" si="134"/>
        <v>#VALUE!</v>
      </c>
      <c r="ER134" s="139" t="e">
        <f t="shared" si="135"/>
        <v>#VALUE!</v>
      </c>
      <c r="ES134" s="139" t="e">
        <f t="shared" si="136"/>
        <v>#VALUE!</v>
      </c>
      <c r="ET134" s="139" t="e">
        <f t="shared" si="137"/>
        <v>#VALUE!</v>
      </c>
      <c r="EU134" s="139" t="e">
        <f t="shared" si="138"/>
        <v>#VALUE!</v>
      </c>
      <c r="EV134" s="139" t="e">
        <f t="shared" si="139"/>
        <v>#VALUE!</v>
      </c>
      <c r="EW134" s="139" t="e">
        <f t="shared" si="140"/>
        <v>#VALUE!</v>
      </c>
      <c r="EX134" s="139" t="e">
        <f t="shared" si="141"/>
        <v>#VALUE!</v>
      </c>
      <c r="EY134" s="139" t="e">
        <f t="shared" si="142"/>
        <v>#VALUE!</v>
      </c>
      <c r="EZ134" s="139" t="e">
        <f t="shared" si="143"/>
        <v>#VALUE!</v>
      </c>
      <c r="FA134" s="139" t="e">
        <f t="shared" si="144"/>
        <v>#VALUE!</v>
      </c>
      <c r="FB134" s="139" t="e">
        <f t="shared" si="145"/>
        <v>#VALUE!</v>
      </c>
      <c r="FC134" s="139" t="e">
        <f t="shared" si="146"/>
        <v>#VALUE!</v>
      </c>
      <c r="FD134" s="139" t="e">
        <f t="shared" si="147"/>
        <v>#VALUE!</v>
      </c>
      <c r="FE134" s="139" t="e">
        <f t="shared" si="148"/>
        <v>#VALUE!</v>
      </c>
      <c r="FF134" s="139" t="e">
        <f t="shared" si="149"/>
        <v>#VALUE!</v>
      </c>
      <c r="FG134" s="139" t="e">
        <f t="shared" si="150"/>
        <v>#VALUE!</v>
      </c>
      <c r="FH134" s="139" t="e">
        <f t="shared" si="151"/>
        <v>#VALUE!</v>
      </c>
      <c r="FI134" s="139" t="e">
        <f t="shared" si="152"/>
        <v>#VALUE!</v>
      </c>
      <c r="FJ134" s="139" t="e">
        <f t="shared" si="153"/>
        <v>#VALUE!</v>
      </c>
      <c r="FK134" s="139" t="e">
        <f t="shared" si="154"/>
        <v>#VALUE!</v>
      </c>
      <c r="FL134" s="139" t="e">
        <f t="shared" si="155"/>
        <v>#VALUE!</v>
      </c>
      <c r="FM134" s="139" t="e">
        <f t="shared" si="156"/>
        <v>#VALUE!</v>
      </c>
      <c r="FN134" s="139" t="e">
        <f t="shared" si="157"/>
        <v>#VALUE!</v>
      </c>
      <c r="FO134" s="139" t="e">
        <f t="shared" si="158"/>
        <v>#VALUE!</v>
      </c>
      <c r="FP134" s="139" t="e">
        <f t="shared" si="159"/>
        <v>#VALUE!</v>
      </c>
      <c r="FQ134" s="139" t="e">
        <f t="shared" si="160"/>
        <v>#VALUE!</v>
      </c>
      <c r="FR134" s="139" t="e">
        <f t="shared" si="161"/>
        <v>#VALUE!</v>
      </c>
      <c r="FS134" s="139" t="e">
        <f t="shared" si="162"/>
        <v>#VALUE!</v>
      </c>
      <c r="FT134" s="139" t="e">
        <f t="shared" si="163"/>
        <v>#VALUE!</v>
      </c>
      <c r="FU134" s="148" t="e">
        <f t="shared" si="164"/>
        <v>#VALUE!</v>
      </c>
      <c r="FV134" s="149"/>
      <c r="FY134" s="211">
        <v>129</v>
      </c>
      <c r="FZ134">
        <v>119.33372916378579</v>
      </c>
      <c r="GA134">
        <v>94.898211221718711</v>
      </c>
      <c r="GB134">
        <v>22.202161117499969</v>
      </c>
      <c r="GC134">
        <v>7.7553138934093671</v>
      </c>
      <c r="GD134">
        <v>3.1446740799706121</v>
      </c>
      <c r="GE134">
        <v>4.443947311107852</v>
      </c>
      <c r="GF134">
        <v>15.171020524506163</v>
      </c>
      <c r="GG134">
        <v>18.672548170190346</v>
      </c>
      <c r="GH134">
        <v>21.831194430924764</v>
      </c>
      <c r="GI134">
        <v>60.47422428254324</v>
      </c>
      <c r="GJ134"/>
      <c r="GK134"/>
      <c r="GL134"/>
      <c r="GM134"/>
    </row>
    <row r="135" spans="1:195" s="7" customFormat="1">
      <c r="A135" s="1"/>
      <c r="B135" s="76">
        <f t="shared" ca="1" si="131"/>
        <v>9.5118732861713573E-2</v>
      </c>
      <c r="C135">
        <v>5</v>
      </c>
      <c r="D135">
        <v>39775</v>
      </c>
      <c r="E135">
        <v>0</v>
      </c>
      <c r="F135">
        <v>119.04761904761905</v>
      </c>
      <c r="G135">
        <v>208.33333333333334</v>
      </c>
      <c r="H135">
        <v>178.57142857142856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1188.68588114422</v>
      </c>
      <c r="AO135">
        <v>200.15939789484187</v>
      </c>
      <c r="AP135">
        <v>1697.9620105835957</v>
      </c>
      <c r="AQ135">
        <v>466.61268417851215</v>
      </c>
      <c r="AR135">
        <v>195.10135299628575</v>
      </c>
      <c r="AS135">
        <v>2014.7973555089197</v>
      </c>
      <c r="AT135">
        <v>98.933349275411175</v>
      </c>
      <c r="AU135">
        <v>154.72734261949097</v>
      </c>
      <c r="AV135"/>
      <c r="AW135"/>
      <c r="AX135" s="146"/>
      <c r="AY135" s="76">
        <f t="shared" ca="1" si="87"/>
        <v>0.8014078922102148</v>
      </c>
      <c r="AZ135">
        <v>8</v>
      </c>
      <c r="BA135" s="129">
        <f t="shared" si="166"/>
        <v>39775</v>
      </c>
      <c r="BB135">
        <v>0</v>
      </c>
      <c r="BC135"/>
      <c r="BD135"/>
      <c r="BE135"/>
      <c r="BF135">
        <v>2</v>
      </c>
      <c r="BG135">
        <v>1</v>
      </c>
      <c r="BH135"/>
      <c r="BI135">
        <v>1</v>
      </c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9"/>
        <v>0.29606298009870968</v>
      </c>
      <c r="CL135" s="179">
        <f t="shared" si="90"/>
        <v>8</v>
      </c>
      <c r="CM135" s="180">
        <f t="shared" si="91"/>
        <v>39775</v>
      </c>
      <c r="CN135">
        <v>0</v>
      </c>
      <c r="CO135">
        <v>4</v>
      </c>
      <c r="CP135">
        <v>12</v>
      </c>
      <c r="CQ135">
        <v>11</v>
      </c>
      <c r="CR135"/>
      <c r="CS135">
        <v>1</v>
      </c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0.6961246077022889</v>
      </c>
      <c r="DD135">
        <f t="shared" si="93"/>
        <v>8</v>
      </c>
      <c r="DE135" s="129">
        <f t="shared" si="165"/>
        <v>39775</v>
      </c>
      <c r="DF135" s="161">
        <f t="shared" si="94"/>
        <v>0</v>
      </c>
      <c r="DG135" s="161">
        <f t="shared" si="95"/>
        <v>208.33333333333334</v>
      </c>
      <c r="DH135" s="161">
        <f t="shared" si="96"/>
        <v>625</v>
      </c>
      <c r="DI135" s="161">
        <f t="shared" si="97"/>
        <v>572.91666666666663</v>
      </c>
      <c r="DJ135" s="161">
        <f t="shared" si="98"/>
        <v>69.444444444444443</v>
      </c>
      <c r="DK135" s="161">
        <f t="shared" si="99"/>
        <v>86.805555555555557</v>
      </c>
      <c r="DL135" s="161">
        <f t="shared" si="100"/>
        <v>0</v>
      </c>
      <c r="DM135" s="161">
        <f t="shared" si="101"/>
        <v>34.722222222222221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2"/>
        <v>1597.2222222222222</v>
      </c>
      <c r="EL135" s="149"/>
      <c r="EN135" s="146"/>
      <c r="EO135" s="146"/>
      <c r="EP135" s="139" t="e">
        <f t="shared" si="133"/>
        <v>#VALUE!</v>
      </c>
      <c r="EQ135" s="139" t="e">
        <f t="shared" si="134"/>
        <v>#VALUE!</v>
      </c>
      <c r="ER135" s="139" t="e">
        <f t="shared" si="135"/>
        <v>#VALUE!</v>
      </c>
      <c r="ES135" s="139" t="e">
        <f t="shared" si="136"/>
        <v>#VALUE!</v>
      </c>
      <c r="ET135" s="139" t="e">
        <f t="shared" si="137"/>
        <v>#VALUE!</v>
      </c>
      <c r="EU135" s="139" t="e">
        <f t="shared" si="138"/>
        <v>#VALUE!</v>
      </c>
      <c r="EV135" s="139" t="e">
        <f t="shared" si="139"/>
        <v>#VALUE!</v>
      </c>
      <c r="EW135" s="139" t="e">
        <f t="shared" si="140"/>
        <v>#VALUE!</v>
      </c>
      <c r="EX135" s="139" t="e">
        <f t="shared" si="141"/>
        <v>#VALUE!</v>
      </c>
      <c r="EY135" s="139" t="e">
        <f t="shared" si="142"/>
        <v>#VALUE!</v>
      </c>
      <c r="EZ135" s="139" t="e">
        <f t="shared" si="143"/>
        <v>#VALUE!</v>
      </c>
      <c r="FA135" s="139" t="e">
        <f t="shared" si="144"/>
        <v>#VALUE!</v>
      </c>
      <c r="FB135" s="139" t="e">
        <f t="shared" si="145"/>
        <v>#VALUE!</v>
      </c>
      <c r="FC135" s="139" t="e">
        <f t="shared" si="146"/>
        <v>#VALUE!</v>
      </c>
      <c r="FD135" s="139" t="e">
        <f t="shared" si="147"/>
        <v>#VALUE!</v>
      </c>
      <c r="FE135" s="139" t="e">
        <f t="shared" si="148"/>
        <v>#VALUE!</v>
      </c>
      <c r="FF135" s="139" t="e">
        <f t="shared" si="149"/>
        <v>#VALUE!</v>
      </c>
      <c r="FG135" s="139" t="e">
        <f t="shared" si="150"/>
        <v>#VALUE!</v>
      </c>
      <c r="FH135" s="139" t="e">
        <f t="shared" si="151"/>
        <v>#VALUE!</v>
      </c>
      <c r="FI135" s="139" t="e">
        <f t="shared" si="152"/>
        <v>#VALUE!</v>
      </c>
      <c r="FJ135" s="139" t="e">
        <f t="shared" si="153"/>
        <v>#VALUE!</v>
      </c>
      <c r="FK135" s="139" t="e">
        <f t="shared" si="154"/>
        <v>#VALUE!</v>
      </c>
      <c r="FL135" s="139" t="e">
        <f t="shared" si="155"/>
        <v>#VALUE!</v>
      </c>
      <c r="FM135" s="139" t="e">
        <f t="shared" si="156"/>
        <v>#VALUE!</v>
      </c>
      <c r="FN135" s="139" t="e">
        <f t="shared" si="157"/>
        <v>#VALUE!</v>
      </c>
      <c r="FO135" s="139" t="e">
        <f t="shared" si="158"/>
        <v>#VALUE!</v>
      </c>
      <c r="FP135" s="139" t="e">
        <f t="shared" si="159"/>
        <v>#VALUE!</v>
      </c>
      <c r="FQ135" s="139" t="e">
        <f t="shared" si="160"/>
        <v>#VALUE!</v>
      </c>
      <c r="FR135" s="139" t="e">
        <f t="shared" si="161"/>
        <v>#VALUE!</v>
      </c>
      <c r="FS135" s="139" t="e">
        <f t="shared" si="162"/>
        <v>#VALUE!</v>
      </c>
      <c r="FT135" s="139" t="e">
        <f t="shared" si="163"/>
        <v>#VALUE!</v>
      </c>
      <c r="FU135" s="148" t="e">
        <f t="shared" si="164"/>
        <v>#VALUE!</v>
      </c>
      <c r="FV135" s="149"/>
      <c r="FY135" s="211">
        <v>130</v>
      </c>
      <c r="FZ135">
        <v>178.14940981221557</v>
      </c>
      <c r="GA135">
        <v>162.03786035270682</v>
      </c>
      <c r="GB135">
        <v>34.843065869472525</v>
      </c>
      <c r="GC135">
        <v>8.7420587010825486</v>
      </c>
      <c r="GD135">
        <v>3.3613341094153739</v>
      </c>
      <c r="GE135">
        <v>4.7635927112365435</v>
      </c>
      <c r="GF135">
        <v>3.7988359896346919</v>
      </c>
      <c r="GG135">
        <v>4.4815935586637066</v>
      </c>
      <c r="GH135">
        <v>19.947159207856185</v>
      </c>
      <c r="GI135">
        <v>66.292607299089951</v>
      </c>
      <c r="GJ135"/>
      <c r="GK135"/>
      <c r="GL135"/>
      <c r="GM135"/>
    </row>
    <row r="136" spans="1:195" s="7" customFormat="1">
      <c r="A136" s="1"/>
      <c r="B136" s="76">
        <f t="shared" ca="1" si="131"/>
        <v>7.5561275410057638E-3</v>
      </c>
      <c r="C136">
        <v>10</v>
      </c>
      <c r="D136">
        <v>39775</v>
      </c>
      <c r="E136">
        <v>0</v>
      </c>
      <c r="F136">
        <v>184.5703125</v>
      </c>
      <c r="G136">
        <v>300.45572916666669</v>
      </c>
      <c r="H136">
        <v>268.5546875</v>
      </c>
      <c r="I136">
        <v>152.66927083333334</v>
      </c>
      <c r="J136">
        <v>20.833333333333332</v>
      </c>
      <c r="K136">
        <v>0</v>
      </c>
      <c r="L136">
        <v>0</v>
      </c>
      <c r="M136">
        <v>0</v>
      </c>
      <c r="N136">
        <v>31.25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1241.7980560229148</v>
      </c>
      <c r="AO136">
        <v>190.02952022672577</v>
      </c>
      <c r="AP136">
        <v>1571.0252672651045</v>
      </c>
      <c r="AQ136">
        <v>503.4861936443998</v>
      </c>
      <c r="AR136">
        <v>186.67262147437862</v>
      </c>
      <c r="AS136">
        <v>1990.2765920601792</v>
      </c>
      <c r="AT136">
        <v>92.070319096322564</v>
      </c>
      <c r="AU136">
        <v>142.69391187304063</v>
      </c>
      <c r="AV136"/>
      <c r="AW136"/>
      <c r="AX136" s="146"/>
      <c r="AY136" s="76">
        <f t="shared" ca="1" si="87"/>
        <v>0.47653374542918081</v>
      </c>
      <c r="AZ136">
        <v>9</v>
      </c>
      <c r="BA136" s="129">
        <f t="shared" si="166"/>
        <v>39775</v>
      </c>
      <c r="BB136">
        <v>0</v>
      </c>
      <c r="BC136"/>
      <c r="BD136"/>
      <c r="BE136">
        <v>5</v>
      </c>
      <c r="BF136">
        <v>4</v>
      </c>
      <c r="BG136">
        <v>1</v>
      </c>
      <c r="BH136"/>
      <c r="BI136">
        <v>3</v>
      </c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9"/>
        <v>0.37284109231973894</v>
      </c>
      <c r="CL136" s="179">
        <f t="shared" si="90"/>
        <v>9</v>
      </c>
      <c r="CM136" s="180">
        <f t="shared" si="91"/>
        <v>39775</v>
      </c>
      <c r="CN136" s="207">
        <v>0</v>
      </c>
      <c r="CO136">
        <v>2</v>
      </c>
      <c r="CP136">
        <v>1</v>
      </c>
      <c r="CQ136">
        <v>3</v>
      </c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0.49262184898533501</v>
      </c>
      <c r="DD136">
        <f t="shared" si="93"/>
        <v>9</v>
      </c>
      <c r="DE136" s="129">
        <f t="shared" si="165"/>
        <v>39775</v>
      </c>
      <c r="DF136" s="161">
        <f t="shared" si="94"/>
        <v>0</v>
      </c>
      <c r="DG136" s="161">
        <f t="shared" si="95"/>
        <v>20.833333333333332</v>
      </c>
      <c r="DH136" s="161">
        <f t="shared" si="96"/>
        <v>10.416666666666666</v>
      </c>
      <c r="DI136" s="161">
        <f t="shared" si="97"/>
        <v>83.333333333333329</v>
      </c>
      <c r="DJ136" s="161">
        <f t="shared" si="98"/>
        <v>41.666666666666664</v>
      </c>
      <c r="DK136" s="161">
        <f t="shared" si="99"/>
        <v>10.416666666666666</v>
      </c>
      <c r="DL136" s="161">
        <f t="shared" si="100"/>
        <v>0</v>
      </c>
      <c r="DM136" s="161">
        <f t="shared" si="101"/>
        <v>31.25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2"/>
        <v>197.91666666666666</v>
      </c>
      <c r="EL136" s="149"/>
      <c r="EN136" s="146"/>
      <c r="EO136" s="146"/>
      <c r="EP136" s="139" t="e">
        <f t="shared" si="133"/>
        <v>#VALUE!</v>
      </c>
      <c r="EQ136" s="139" t="e">
        <f t="shared" si="134"/>
        <v>#VALUE!</v>
      </c>
      <c r="ER136" s="139" t="e">
        <f t="shared" si="135"/>
        <v>#VALUE!</v>
      </c>
      <c r="ES136" s="139" t="e">
        <f t="shared" si="136"/>
        <v>#VALUE!</v>
      </c>
      <c r="ET136" s="139" t="e">
        <f t="shared" si="137"/>
        <v>#VALUE!</v>
      </c>
      <c r="EU136" s="139" t="e">
        <f t="shared" si="138"/>
        <v>#VALUE!</v>
      </c>
      <c r="EV136" s="139" t="e">
        <f t="shared" si="139"/>
        <v>#VALUE!</v>
      </c>
      <c r="EW136" s="139" t="e">
        <f t="shared" si="140"/>
        <v>#VALUE!</v>
      </c>
      <c r="EX136" s="139" t="e">
        <f t="shared" si="141"/>
        <v>#VALUE!</v>
      </c>
      <c r="EY136" s="139" t="e">
        <f t="shared" si="142"/>
        <v>#VALUE!</v>
      </c>
      <c r="EZ136" s="139" t="e">
        <f t="shared" si="143"/>
        <v>#VALUE!</v>
      </c>
      <c r="FA136" s="139" t="e">
        <f t="shared" si="144"/>
        <v>#VALUE!</v>
      </c>
      <c r="FB136" s="139" t="e">
        <f t="shared" si="145"/>
        <v>#VALUE!</v>
      </c>
      <c r="FC136" s="139" t="e">
        <f t="shared" si="146"/>
        <v>#VALUE!</v>
      </c>
      <c r="FD136" s="139" t="e">
        <f t="shared" si="147"/>
        <v>#VALUE!</v>
      </c>
      <c r="FE136" s="139" t="e">
        <f t="shared" si="148"/>
        <v>#VALUE!</v>
      </c>
      <c r="FF136" s="139" t="e">
        <f t="shared" si="149"/>
        <v>#VALUE!</v>
      </c>
      <c r="FG136" s="139" t="e">
        <f t="shared" si="150"/>
        <v>#VALUE!</v>
      </c>
      <c r="FH136" s="139" t="e">
        <f t="shared" si="151"/>
        <v>#VALUE!</v>
      </c>
      <c r="FI136" s="139" t="e">
        <f t="shared" si="152"/>
        <v>#VALUE!</v>
      </c>
      <c r="FJ136" s="139" t="e">
        <f t="shared" si="153"/>
        <v>#VALUE!</v>
      </c>
      <c r="FK136" s="139" t="e">
        <f t="shared" si="154"/>
        <v>#VALUE!</v>
      </c>
      <c r="FL136" s="139" t="e">
        <f t="shared" si="155"/>
        <v>#VALUE!</v>
      </c>
      <c r="FM136" s="139" t="e">
        <f t="shared" si="156"/>
        <v>#VALUE!</v>
      </c>
      <c r="FN136" s="139" t="e">
        <f t="shared" si="157"/>
        <v>#VALUE!</v>
      </c>
      <c r="FO136" s="139" t="e">
        <f t="shared" si="158"/>
        <v>#VALUE!</v>
      </c>
      <c r="FP136" s="139" t="e">
        <f t="shared" si="159"/>
        <v>#VALUE!</v>
      </c>
      <c r="FQ136" s="139" t="e">
        <f t="shared" si="160"/>
        <v>#VALUE!</v>
      </c>
      <c r="FR136" s="139" t="e">
        <f t="shared" si="161"/>
        <v>#VALUE!</v>
      </c>
      <c r="FS136" s="139" t="e">
        <f t="shared" si="162"/>
        <v>#VALUE!</v>
      </c>
      <c r="FT136" s="139" t="e">
        <f t="shared" si="163"/>
        <v>#VALUE!</v>
      </c>
      <c r="FU136" s="148" t="e">
        <f t="shared" si="164"/>
        <v>#VALUE!</v>
      </c>
      <c r="FV136" s="149"/>
      <c r="FY136" s="211">
        <v>131</v>
      </c>
      <c r="FZ136">
        <v>117.29655592019816</v>
      </c>
      <c r="GA136">
        <v>111.60864937179844</v>
      </c>
      <c r="GB136">
        <v>31.446983171749178</v>
      </c>
      <c r="GC136">
        <v>6.4631416367617547</v>
      </c>
      <c r="GD136">
        <v>4.0345043266872933</v>
      </c>
      <c r="GE136">
        <v>6.7102299518516588</v>
      </c>
      <c r="GF136">
        <v>34.353784171971796</v>
      </c>
      <c r="GG136">
        <v>43.593728352195555</v>
      </c>
      <c r="GH136">
        <v>35.214651945606711</v>
      </c>
      <c r="GI136">
        <v>74.856416200539712</v>
      </c>
      <c r="GJ136"/>
      <c r="GK136"/>
      <c r="GL136"/>
      <c r="GM136"/>
    </row>
    <row r="137" spans="1:195" s="7" customFormat="1">
      <c r="A137" s="1"/>
      <c r="B137" s="76">
        <f t="shared" ca="1" si="131"/>
        <v>0.33547153265163965</v>
      </c>
      <c r="C137">
        <v>9</v>
      </c>
      <c r="D137">
        <v>39775</v>
      </c>
      <c r="E137">
        <v>0</v>
      </c>
      <c r="F137">
        <v>20.833333333333332</v>
      </c>
      <c r="G137">
        <v>10.416666666666666</v>
      </c>
      <c r="H137">
        <v>83.333333333333329</v>
      </c>
      <c r="I137">
        <v>41.666666666666664</v>
      </c>
      <c r="J137">
        <v>10.416666666666666</v>
      </c>
      <c r="K137">
        <v>0</v>
      </c>
      <c r="L137">
        <v>31.25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1087.4600361001587</v>
      </c>
      <c r="AO137">
        <v>161.57427283507212</v>
      </c>
      <c r="AP137">
        <v>1389.2697912384103</v>
      </c>
      <c r="AQ137">
        <v>468.24870665064986</v>
      </c>
      <c r="AR137">
        <v>156.62650714467404</v>
      </c>
      <c r="AS137">
        <v>1661.9674901494793</v>
      </c>
      <c r="AT137">
        <v>77.307600258210073</v>
      </c>
      <c r="AU137">
        <v>102.12033780385468</v>
      </c>
      <c r="AV137"/>
      <c r="AW137"/>
      <c r="AX137" s="146"/>
      <c r="AY137" s="76">
        <f t="shared" ca="1" si="87"/>
        <v>0.36187338730256147</v>
      </c>
      <c r="AZ137">
        <v>10</v>
      </c>
      <c r="BA137" s="129">
        <f t="shared" si="166"/>
        <v>39775</v>
      </c>
      <c r="BB137">
        <v>0</v>
      </c>
      <c r="BC137"/>
      <c r="BD137">
        <v>1</v>
      </c>
      <c r="BE137">
        <v>3</v>
      </c>
      <c r="BF137">
        <v>2</v>
      </c>
      <c r="BG137">
        <v>2</v>
      </c>
      <c r="BH137"/>
      <c r="BI137"/>
      <c r="BJ137"/>
      <c r="BK137">
        <v>3</v>
      </c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9"/>
        <v>4.449367892511269E-2</v>
      </c>
      <c r="CL137" s="179">
        <f t="shared" si="90"/>
        <v>10</v>
      </c>
      <c r="CM137" s="180">
        <f t="shared" si="91"/>
        <v>39775</v>
      </c>
      <c r="CN137" s="225">
        <v>0</v>
      </c>
      <c r="CO137" s="225">
        <v>17.71875</v>
      </c>
      <c r="CP137" s="225">
        <v>27.84375</v>
      </c>
      <c r="CQ137" s="225">
        <v>22.78125</v>
      </c>
      <c r="CR137" s="225">
        <v>12.65625</v>
      </c>
      <c r="CS137"/>
      <c r="CT137"/>
      <c r="CU137"/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0.89350971119114642</v>
      </c>
      <c r="DD137">
        <f t="shared" si="93"/>
        <v>10</v>
      </c>
      <c r="DE137" s="129">
        <f t="shared" si="165"/>
        <v>39775</v>
      </c>
      <c r="DF137" s="161">
        <f t="shared" si="94"/>
        <v>0</v>
      </c>
      <c r="DG137" s="161">
        <f t="shared" si="95"/>
        <v>184.5703125</v>
      </c>
      <c r="DH137" s="161">
        <f t="shared" si="96"/>
        <v>300.45572916666669</v>
      </c>
      <c r="DI137" s="161">
        <f t="shared" si="97"/>
        <v>268.5546875</v>
      </c>
      <c r="DJ137" s="161">
        <f t="shared" si="98"/>
        <v>152.66927083333334</v>
      </c>
      <c r="DK137" s="161">
        <f t="shared" si="99"/>
        <v>20.833333333333332</v>
      </c>
      <c r="DL137" s="161">
        <f t="shared" si="100"/>
        <v>0</v>
      </c>
      <c r="DM137" s="161">
        <f t="shared" si="101"/>
        <v>0</v>
      </c>
      <c r="DN137" s="161">
        <f t="shared" si="102"/>
        <v>0</v>
      </c>
      <c r="DO137" s="161">
        <f t="shared" si="103"/>
        <v>31.25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2"/>
        <v>958.33333333333348</v>
      </c>
      <c r="EL137" s="149"/>
      <c r="EN137" s="146"/>
      <c r="EO137" s="146"/>
      <c r="EP137" s="139" t="e">
        <f t="shared" si="133"/>
        <v>#VALUE!</v>
      </c>
      <c r="EQ137" s="139" t="e">
        <f t="shared" si="134"/>
        <v>#VALUE!</v>
      </c>
      <c r="ER137" s="139" t="e">
        <f t="shared" si="135"/>
        <v>#VALUE!</v>
      </c>
      <c r="ES137" s="139" t="e">
        <f t="shared" si="136"/>
        <v>#VALUE!</v>
      </c>
      <c r="ET137" s="139" t="e">
        <f t="shared" si="137"/>
        <v>#VALUE!</v>
      </c>
      <c r="EU137" s="139" t="e">
        <f t="shared" si="138"/>
        <v>#VALUE!</v>
      </c>
      <c r="EV137" s="139" t="e">
        <f t="shared" si="139"/>
        <v>#VALUE!</v>
      </c>
      <c r="EW137" s="139" t="e">
        <f t="shared" si="140"/>
        <v>#VALUE!</v>
      </c>
      <c r="EX137" s="139" t="e">
        <f t="shared" si="141"/>
        <v>#VALUE!</v>
      </c>
      <c r="EY137" s="139" t="e">
        <f t="shared" si="142"/>
        <v>#VALUE!</v>
      </c>
      <c r="EZ137" s="139" t="e">
        <f t="shared" si="143"/>
        <v>#VALUE!</v>
      </c>
      <c r="FA137" s="139" t="e">
        <f t="shared" si="144"/>
        <v>#VALUE!</v>
      </c>
      <c r="FB137" s="139" t="e">
        <f t="shared" si="145"/>
        <v>#VALUE!</v>
      </c>
      <c r="FC137" s="139" t="e">
        <f t="shared" si="146"/>
        <v>#VALUE!</v>
      </c>
      <c r="FD137" s="139" t="e">
        <f t="shared" si="147"/>
        <v>#VALUE!</v>
      </c>
      <c r="FE137" s="139" t="e">
        <f t="shared" si="148"/>
        <v>#VALUE!</v>
      </c>
      <c r="FF137" s="139" t="e">
        <f t="shared" si="149"/>
        <v>#VALUE!</v>
      </c>
      <c r="FG137" s="139" t="e">
        <f t="shared" si="150"/>
        <v>#VALUE!</v>
      </c>
      <c r="FH137" s="139" t="e">
        <f t="shared" si="151"/>
        <v>#VALUE!</v>
      </c>
      <c r="FI137" s="139" t="e">
        <f t="shared" si="152"/>
        <v>#VALUE!</v>
      </c>
      <c r="FJ137" s="139" t="e">
        <f t="shared" si="153"/>
        <v>#VALUE!</v>
      </c>
      <c r="FK137" s="139" t="e">
        <f t="shared" si="154"/>
        <v>#VALUE!</v>
      </c>
      <c r="FL137" s="139" t="e">
        <f t="shared" si="155"/>
        <v>#VALUE!</v>
      </c>
      <c r="FM137" s="139" t="e">
        <f t="shared" si="156"/>
        <v>#VALUE!</v>
      </c>
      <c r="FN137" s="139" t="e">
        <f t="shared" si="157"/>
        <v>#VALUE!</v>
      </c>
      <c r="FO137" s="139" t="e">
        <f t="shared" si="158"/>
        <v>#VALUE!</v>
      </c>
      <c r="FP137" s="139" t="e">
        <f t="shared" si="159"/>
        <v>#VALUE!</v>
      </c>
      <c r="FQ137" s="139" t="e">
        <f t="shared" si="160"/>
        <v>#VALUE!</v>
      </c>
      <c r="FR137" s="139" t="e">
        <f t="shared" si="161"/>
        <v>#VALUE!</v>
      </c>
      <c r="FS137" s="139" t="e">
        <f t="shared" si="162"/>
        <v>#VALUE!</v>
      </c>
      <c r="FT137" s="139" t="e">
        <f t="shared" si="163"/>
        <v>#VALUE!</v>
      </c>
      <c r="FU137" s="148" t="e">
        <f t="shared" si="164"/>
        <v>#VALUE!</v>
      </c>
      <c r="FV137" s="149"/>
      <c r="FY137" s="211">
        <v>132</v>
      </c>
      <c r="FZ137">
        <v>78.502319395415924</v>
      </c>
      <c r="GA137">
        <v>91.482898787184524</v>
      </c>
      <c r="GB137">
        <v>26.378516431001628</v>
      </c>
      <c r="GC137">
        <v>7.6285666247940114</v>
      </c>
      <c r="GD137">
        <v>2.5056971273516107</v>
      </c>
      <c r="GE137">
        <v>3.7060242400275047</v>
      </c>
      <c r="GF137">
        <v>35.368037960002411</v>
      </c>
      <c r="GG137">
        <v>46.336122971230907</v>
      </c>
      <c r="GH137">
        <v>38.464336092510472</v>
      </c>
      <c r="GI137">
        <v>73.179361783029663</v>
      </c>
      <c r="GJ137"/>
      <c r="GK137"/>
      <c r="GL137"/>
      <c r="GM137"/>
    </row>
    <row r="138" spans="1:195" s="7" customFormat="1">
      <c r="A138" s="128"/>
      <c r="B138" s="76">
        <f t="shared" ca="1" si="131"/>
        <v>0.3656490493455089</v>
      </c>
      <c r="C138">
        <v>2</v>
      </c>
      <c r="D138">
        <v>39799</v>
      </c>
      <c r="E138">
        <v>31.25</v>
      </c>
      <c r="F138">
        <v>343.75</v>
      </c>
      <c r="G138">
        <v>239.58333333333331</v>
      </c>
      <c r="H138">
        <v>83.333333333333329</v>
      </c>
      <c r="I138">
        <v>20.833333333333332</v>
      </c>
      <c r="J138">
        <v>0</v>
      </c>
      <c r="K138">
        <v>10.416666666666666</v>
      </c>
      <c r="L138">
        <v>0</v>
      </c>
      <c r="M138">
        <v>10.416666666666666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1044.4109796042824</v>
      </c>
      <c r="AO138">
        <v>153.65892863250556</v>
      </c>
      <c r="AP138">
        <v>1262.0752386713548</v>
      </c>
      <c r="AQ138">
        <v>481.26166018553124</v>
      </c>
      <c r="AR138">
        <v>148.72144620217489</v>
      </c>
      <c r="AS138">
        <v>1655.37460939736</v>
      </c>
      <c r="AT138">
        <v>76.494842477610192</v>
      </c>
      <c r="AU138">
        <v>-2.2256796817765263</v>
      </c>
      <c r="AV138"/>
      <c r="AW138"/>
      <c r="AX138" s="128"/>
      <c r="AY138" s="76">
        <f t="shared" ca="1" si="87"/>
        <v>0.56899236991167657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9"/>
        <v>0.815268848505457</v>
      </c>
      <c r="CL138" s="179">
        <f t="shared" si="90"/>
        <v>1</v>
      </c>
      <c r="CM138" s="180">
        <f t="shared" si="91"/>
        <v>39799</v>
      </c>
      <c r="CN138">
        <v>0</v>
      </c>
      <c r="CO138"/>
      <c r="CP138">
        <v>4</v>
      </c>
      <c r="CQ138">
        <v>2</v>
      </c>
      <c r="CR138">
        <v>1</v>
      </c>
      <c r="CS138"/>
      <c r="CT138">
        <v>1</v>
      </c>
      <c r="CU138"/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0.14075012997518743</v>
      </c>
      <c r="DD138">
        <f t="shared" si="93"/>
        <v>1</v>
      </c>
      <c r="DE138" s="129">
        <f t="shared" ref="DE138:DE147" si="167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333.33333333333331</v>
      </c>
      <c r="DI138" s="161">
        <f t="shared" si="97"/>
        <v>166.66666666666666</v>
      </c>
      <c r="DJ138" s="161">
        <f t="shared" si="98"/>
        <v>83.333333333333329</v>
      </c>
      <c r="DK138" s="161">
        <f t="shared" si="99"/>
        <v>0</v>
      </c>
      <c r="DL138" s="161">
        <f t="shared" si="100"/>
        <v>83.333333333333329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2"/>
        <v>666.66666666666674</v>
      </c>
      <c r="EL138" s="149"/>
      <c r="EN138" s="146"/>
      <c r="EO138" s="146"/>
      <c r="EP138" s="139" t="e">
        <f t="shared" si="133"/>
        <v>#VALUE!</v>
      </c>
      <c r="EQ138" s="139" t="e">
        <f t="shared" si="134"/>
        <v>#VALUE!</v>
      </c>
      <c r="ER138" s="139" t="e">
        <f t="shared" si="135"/>
        <v>#VALUE!</v>
      </c>
      <c r="ES138" s="139" t="e">
        <f t="shared" si="136"/>
        <v>#VALUE!</v>
      </c>
      <c r="ET138" s="139" t="e">
        <f t="shared" si="137"/>
        <v>#VALUE!</v>
      </c>
      <c r="EU138" s="139" t="e">
        <f t="shared" si="138"/>
        <v>#VALUE!</v>
      </c>
      <c r="EV138" s="139" t="e">
        <f t="shared" si="139"/>
        <v>#VALUE!</v>
      </c>
      <c r="EW138" s="139" t="e">
        <f t="shared" si="140"/>
        <v>#VALUE!</v>
      </c>
      <c r="EX138" s="139" t="e">
        <f t="shared" si="141"/>
        <v>#VALUE!</v>
      </c>
      <c r="EY138" s="139" t="e">
        <f t="shared" si="142"/>
        <v>#VALUE!</v>
      </c>
      <c r="EZ138" s="139" t="e">
        <f t="shared" si="143"/>
        <v>#VALUE!</v>
      </c>
      <c r="FA138" s="139" t="e">
        <f t="shared" si="144"/>
        <v>#VALUE!</v>
      </c>
      <c r="FB138" s="139" t="e">
        <f t="shared" si="145"/>
        <v>#VALUE!</v>
      </c>
      <c r="FC138" s="139" t="e">
        <f t="shared" si="146"/>
        <v>#VALUE!</v>
      </c>
      <c r="FD138" s="139" t="e">
        <f t="shared" si="147"/>
        <v>#VALUE!</v>
      </c>
      <c r="FE138" s="139" t="e">
        <f t="shared" si="148"/>
        <v>#VALUE!</v>
      </c>
      <c r="FF138" s="139" t="e">
        <f t="shared" si="149"/>
        <v>#VALUE!</v>
      </c>
      <c r="FG138" s="139" t="e">
        <f t="shared" si="150"/>
        <v>#VALUE!</v>
      </c>
      <c r="FH138" s="139" t="e">
        <f t="shared" si="151"/>
        <v>#VALUE!</v>
      </c>
      <c r="FI138" s="139" t="e">
        <f t="shared" si="152"/>
        <v>#VALUE!</v>
      </c>
      <c r="FJ138" s="139" t="e">
        <f t="shared" si="153"/>
        <v>#VALUE!</v>
      </c>
      <c r="FK138" s="139" t="e">
        <f t="shared" si="154"/>
        <v>#VALUE!</v>
      </c>
      <c r="FL138" s="139" t="e">
        <f t="shared" si="155"/>
        <v>#VALUE!</v>
      </c>
      <c r="FM138" s="139" t="e">
        <f t="shared" si="156"/>
        <v>#VALUE!</v>
      </c>
      <c r="FN138" s="139" t="e">
        <f t="shared" si="157"/>
        <v>#VALUE!</v>
      </c>
      <c r="FO138" s="139" t="e">
        <f t="shared" si="158"/>
        <v>#VALUE!</v>
      </c>
      <c r="FP138" s="139" t="e">
        <f t="shared" si="159"/>
        <v>#VALUE!</v>
      </c>
      <c r="FQ138" s="139" t="e">
        <f t="shared" si="160"/>
        <v>#VALUE!</v>
      </c>
      <c r="FR138" s="139" t="e">
        <f t="shared" si="161"/>
        <v>#VALUE!</v>
      </c>
      <c r="FS138" s="139" t="e">
        <f t="shared" si="162"/>
        <v>#VALUE!</v>
      </c>
      <c r="FT138" s="139" t="e">
        <f t="shared" si="163"/>
        <v>#VALUE!</v>
      </c>
      <c r="FU138" s="148" t="e">
        <f t="shared" si="164"/>
        <v>#VALUE!</v>
      </c>
      <c r="FV138" s="149"/>
      <c r="FY138" s="211">
        <v>133</v>
      </c>
      <c r="FZ138">
        <v>171.06672807384749</v>
      </c>
      <c r="GA138">
        <v>93.305872845089169</v>
      </c>
      <c r="GB138">
        <v>20.459110943105166</v>
      </c>
      <c r="GC138">
        <v>8.6787275036692222</v>
      </c>
      <c r="GD138">
        <v>3.2462821592826581</v>
      </c>
      <c r="GE138">
        <v>4.1825615467230675</v>
      </c>
      <c r="GF138">
        <v>36.728088333156784</v>
      </c>
      <c r="GG138">
        <v>49.718291440826839</v>
      </c>
      <c r="GH138">
        <v>23.167282756017826</v>
      </c>
      <c r="GI138">
        <v>74.0281691346797</v>
      </c>
      <c r="GJ138"/>
      <c r="GK138"/>
      <c r="GL138"/>
      <c r="GM138"/>
    </row>
    <row r="139" spans="1:195" s="7" customFormat="1">
      <c r="A139" s="1"/>
      <c r="B139" s="76">
        <f t="shared" ca="1" si="131"/>
        <v>0.63338637990969682</v>
      </c>
      <c r="C139">
        <v>6</v>
      </c>
      <c r="D139">
        <v>39799</v>
      </c>
      <c r="E139">
        <v>0</v>
      </c>
      <c r="F139">
        <v>0</v>
      </c>
      <c r="G139">
        <v>0</v>
      </c>
      <c r="H139">
        <v>62.5</v>
      </c>
      <c r="I139">
        <v>197.91666666666666</v>
      </c>
      <c r="J139">
        <v>93.75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1253.094524556217</v>
      </c>
      <c r="AO139">
        <v>199.65068964705921</v>
      </c>
      <c r="AP139">
        <v>1701.525638624526</v>
      </c>
      <c r="AQ139">
        <v>379.6314900855258</v>
      </c>
      <c r="AR139">
        <v>187.85039113781417</v>
      </c>
      <c r="AS139">
        <v>1914.9439628364751</v>
      </c>
      <c r="AT139">
        <v>84.891254468667654</v>
      </c>
      <c r="AU139">
        <v>342.79960651616676</v>
      </c>
      <c r="AV139"/>
      <c r="AW139"/>
      <c r="AX139" s="146"/>
      <c r="AY139" s="76">
        <f t="shared" ca="1" si="87"/>
        <v>0.99590574355278361</v>
      </c>
      <c r="AZ139">
        <v>2</v>
      </c>
      <c r="BA139" s="129">
        <f t="shared" ref="BA139:BA147" si="168">IF(AZ139="", "",$C$9)</f>
        <v>39799</v>
      </c>
      <c r="BB139">
        <v>0</v>
      </c>
      <c r="BC139"/>
      <c r="BD139"/>
      <c r="BE139"/>
      <c r="BF139">
        <v>1</v>
      </c>
      <c r="BG139"/>
      <c r="BH139">
        <v>1</v>
      </c>
      <c r="BI139"/>
      <c r="BJ139">
        <v>1</v>
      </c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9"/>
        <v>2.5265371162806916E-2</v>
      </c>
      <c r="CL139" s="179">
        <f t="shared" si="90"/>
        <v>2</v>
      </c>
      <c r="CM139" s="180">
        <f t="shared" si="91"/>
        <v>39799</v>
      </c>
      <c r="CN139">
        <v>3</v>
      </c>
      <c r="CO139">
        <v>33</v>
      </c>
      <c r="CP139">
        <v>23</v>
      </c>
      <c r="CQ139">
        <v>8</v>
      </c>
      <c r="CR139">
        <v>1</v>
      </c>
      <c r="CS139"/>
      <c r="CT139"/>
      <c r="CU139"/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0.87131034109737993</v>
      </c>
      <c r="DD139">
        <f t="shared" si="93"/>
        <v>2</v>
      </c>
      <c r="DE139" s="129">
        <f t="shared" si="167"/>
        <v>39799</v>
      </c>
      <c r="DF139" s="161">
        <f t="shared" si="94"/>
        <v>31.25</v>
      </c>
      <c r="DG139" s="161">
        <f t="shared" si="95"/>
        <v>343.75</v>
      </c>
      <c r="DH139" s="161">
        <f t="shared" si="96"/>
        <v>239.58333333333331</v>
      </c>
      <c r="DI139" s="161">
        <f t="shared" si="97"/>
        <v>83.333333333333329</v>
      </c>
      <c r="DJ139" s="161">
        <f t="shared" si="98"/>
        <v>20.833333333333332</v>
      </c>
      <c r="DK139" s="161">
        <f t="shared" si="99"/>
        <v>0</v>
      </c>
      <c r="DL139" s="161">
        <f t="shared" si="100"/>
        <v>10.416666666666666</v>
      </c>
      <c r="DM139" s="161">
        <f t="shared" si="101"/>
        <v>0</v>
      </c>
      <c r="DN139" s="161">
        <f t="shared" si="102"/>
        <v>10.416666666666666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2"/>
        <v>739.58333333333326</v>
      </c>
      <c r="EL139" s="149"/>
      <c r="EN139" s="146"/>
      <c r="EO139" s="146"/>
      <c r="EP139" s="139" t="e">
        <f t="shared" si="133"/>
        <v>#VALUE!</v>
      </c>
      <c r="EQ139" s="139" t="e">
        <f t="shared" si="134"/>
        <v>#VALUE!</v>
      </c>
      <c r="ER139" s="139" t="e">
        <f t="shared" si="135"/>
        <v>#VALUE!</v>
      </c>
      <c r="ES139" s="139" t="e">
        <f t="shared" si="136"/>
        <v>#VALUE!</v>
      </c>
      <c r="ET139" s="139" t="e">
        <f t="shared" si="137"/>
        <v>#VALUE!</v>
      </c>
      <c r="EU139" s="139" t="e">
        <f t="shared" si="138"/>
        <v>#VALUE!</v>
      </c>
      <c r="EV139" s="139" t="e">
        <f t="shared" si="139"/>
        <v>#VALUE!</v>
      </c>
      <c r="EW139" s="139" t="e">
        <f t="shared" si="140"/>
        <v>#VALUE!</v>
      </c>
      <c r="EX139" s="139" t="e">
        <f t="shared" si="141"/>
        <v>#VALUE!</v>
      </c>
      <c r="EY139" s="139" t="e">
        <f t="shared" si="142"/>
        <v>#VALUE!</v>
      </c>
      <c r="EZ139" s="139" t="e">
        <f t="shared" si="143"/>
        <v>#VALUE!</v>
      </c>
      <c r="FA139" s="139" t="e">
        <f t="shared" si="144"/>
        <v>#VALUE!</v>
      </c>
      <c r="FB139" s="139" t="e">
        <f t="shared" si="145"/>
        <v>#VALUE!</v>
      </c>
      <c r="FC139" s="139" t="e">
        <f t="shared" si="146"/>
        <v>#VALUE!</v>
      </c>
      <c r="FD139" s="139" t="e">
        <f t="shared" si="147"/>
        <v>#VALUE!</v>
      </c>
      <c r="FE139" s="139" t="e">
        <f t="shared" si="148"/>
        <v>#VALUE!</v>
      </c>
      <c r="FF139" s="139" t="e">
        <f t="shared" si="149"/>
        <v>#VALUE!</v>
      </c>
      <c r="FG139" s="139" t="e">
        <f t="shared" si="150"/>
        <v>#VALUE!</v>
      </c>
      <c r="FH139" s="139" t="e">
        <f t="shared" si="151"/>
        <v>#VALUE!</v>
      </c>
      <c r="FI139" s="139" t="e">
        <f t="shared" si="152"/>
        <v>#VALUE!</v>
      </c>
      <c r="FJ139" s="139" t="e">
        <f t="shared" si="153"/>
        <v>#VALUE!</v>
      </c>
      <c r="FK139" s="139" t="e">
        <f t="shared" si="154"/>
        <v>#VALUE!</v>
      </c>
      <c r="FL139" s="139" t="e">
        <f t="shared" si="155"/>
        <v>#VALUE!</v>
      </c>
      <c r="FM139" s="139" t="e">
        <f t="shared" si="156"/>
        <v>#VALUE!</v>
      </c>
      <c r="FN139" s="139" t="e">
        <f t="shared" si="157"/>
        <v>#VALUE!</v>
      </c>
      <c r="FO139" s="139" t="e">
        <f t="shared" si="158"/>
        <v>#VALUE!</v>
      </c>
      <c r="FP139" s="139" t="e">
        <f t="shared" si="159"/>
        <v>#VALUE!</v>
      </c>
      <c r="FQ139" s="139" t="e">
        <f t="shared" si="160"/>
        <v>#VALUE!</v>
      </c>
      <c r="FR139" s="139" t="e">
        <f t="shared" si="161"/>
        <v>#VALUE!</v>
      </c>
      <c r="FS139" s="139" t="e">
        <f t="shared" si="162"/>
        <v>#VALUE!</v>
      </c>
      <c r="FT139" s="139" t="e">
        <f t="shared" si="163"/>
        <v>#VALUE!</v>
      </c>
      <c r="FU139" s="148" t="e">
        <f t="shared" si="164"/>
        <v>#VALUE!</v>
      </c>
      <c r="FV139" s="149"/>
      <c r="FY139" s="211">
        <v>134</v>
      </c>
      <c r="FZ139">
        <v>94.736430245739143</v>
      </c>
      <c r="GA139">
        <v>104.96217312134107</v>
      </c>
      <c r="GB139">
        <v>38.839547433005144</v>
      </c>
      <c r="GC139">
        <v>8.5142164491283516</v>
      </c>
      <c r="GD139">
        <v>2.8082555745018931</v>
      </c>
      <c r="GE139">
        <v>6.5080100507828753</v>
      </c>
      <c r="GF139">
        <v>10.483439160297245</v>
      </c>
      <c r="GG139">
        <v>10.08390105583822</v>
      </c>
      <c r="GH139">
        <v>20.945742518159769</v>
      </c>
      <c r="GI139">
        <v>59.582377237597328</v>
      </c>
      <c r="GJ139"/>
      <c r="GK139"/>
      <c r="GL139"/>
      <c r="GM139"/>
    </row>
    <row r="140" spans="1:195" s="7" customFormat="1">
      <c r="A140" s="1"/>
      <c r="B140" s="76">
        <f t="shared" ca="1" si="131"/>
        <v>0.93891479969981329</v>
      </c>
      <c r="C140">
        <v>9</v>
      </c>
      <c r="D140">
        <v>39799</v>
      </c>
      <c r="E140">
        <v>0</v>
      </c>
      <c r="F140">
        <v>57.53391472868217</v>
      </c>
      <c r="G140">
        <v>57.53391472868217</v>
      </c>
      <c r="H140">
        <v>10.416666666666666</v>
      </c>
      <c r="I140">
        <v>0</v>
      </c>
      <c r="J140">
        <v>0</v>
      </c>
      <c r="K140">
        <v>0</v>
      </c>
      <c r="L140">
        <v>10.416666666666666</v>
      </c>
      <c r="M140">
        <v>0</v>
      </c>
      <c r="N140">
        <v>10.416666666666666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1207.650213861549</v>
      </c>
      <c r="AO140">
        <v>143.03180210687219</v>
      </c>
      <c r="AP140">
        <v>1158.8852491586604</v>
      </c>
      <c r="AQ140">
        <v>489.23639002579944</v>
      </c>
      <c r="AR140">
        <v>138.40002406488242</v>
      </c>
      <c r="AS140">
        <v>1629.7497739263983</v>
      </c>
      <c r="AT140">
        <v>66.991906530599394</v>
      </c>
      <c r="AU140">
        <v>44.099751351823556</v>
      </c>
      <c r="AV140"/>
      <c r="AW140"/>
      <c r="AX140" s="146"/>
      <c r="AY140" s="76">
        <f t="shared" ca="1" si="87"/>
        <v>0.78310891996462195</v>
      </c>
      <c r="AZ140">
        <v>3</v>
      </c>
      <c r="BA140" s="129">
        <f t="shared" si="168"/>
        <v>39799</v>
      </c>
      <c r="BB140">
        <v>0</v>
      </c>
      <c r="BC140"/>
      <c r="BD140"/>
      <c r="BE140"/>
      <c r="BF140">
        <v>3</v>
      </c>
      <c r="BG140">
        <v>1</v>
      </c>
      <c r="BH140">
        <v>2</v>
      </c>
      <c r="BI140">
        <v>1</v>
      </c>
      <c r="BJ140"/>
      <c r="BK140"/>
      <c r="BL140"/>
      <c r="BM140"/>
      <c r="BN140"/>
      <c r="BO140">
        <v>1</v>
      </c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9"/>
        <v>0.89936846510309731</v>
      </c>
      <c r="CL140" s="179">
        <f t="shared" si="90"/>
        <v>3</v>
      </c>
      <c r="CM140" s="180">
        <f t="shared" si="91"/>
        <v>39799</v>
      </c>
      <c r="CN140">
        <v>0</v>
      </c>
      <c r="CO140">
        <v>1</v>
      </c>
      <c r="CP140">
        <v>10</v>
      </c>
      <c r="CQ140">
        <v>17</v>
      </c>
      <c r="CR140">
        <v>11</v>
      </c>
      <c r="CS140">
        <v>2</v>
      </c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0.56680345668205112</v>
      </c>
      <c r="DD140">
        <f t="shared" si="93"/>
        <v>3</v>
      </c>
      <c r="DE140" s="129">
        <f t="shared" si="167"/>
        <v>39799</v>
      </c>
      <c r="DF140" s="161">
        <f t="shared" si="94"/>
        <v>0</v>
      </c>
      <c r="DG140" s="161">
        <f t="shared" si="95"/>
        <v>83.333333333333329</v>
      </c>
      <c r="DH140" s="161">
        <f t="shared" si="96"/>
        <v>833.33333333333337</v>
      </c>
      <c r="DI140" s="161">
        <f t="shared" si="97"/>
        <v>1416.6666666666667</v>
      </c>
      <c r="DJ140" s="161">
        <f t="shared" si="98"/>
        <v>988.78205128205127</v>
      </c>
      <c r="DK140" s="161">
        <f t="shared" si="99"/>
        <v>190.70512820512818</v>
      </c>
      <c r="DL140" s="161">
        <f t="shared" si="100"/>
        <v>48.076923076923073</v>
      </c>
      <c r="DM140" s="161">
        <f t="shared" si="101"/>
        <v>24.038461538461537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24.038461538461537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2"/>
        <v>3608.9743589743584</v>
      </c>
      <c r="EL140" s="149"/>
      <c r="EN140" s="146"/>
      <c r="EO140" s="146"/>
      <c r="EP140" s="139" t="e">
        <f t="shared" si="133"/>
        <v>#VALUE!</v>
      </c>
      <c r="EQ140" s="139" t="e">
        <f t="shared" si="134"/>
        <v>#VALUE!</v>
      </c>
      <c r="ER140" s="139" t="e">
        <f t="shared" si="135"/>
        <v>#VALUE!</v>
      </c>
      <c r="ES140" s="139" t="e">
        <f t="shared" si="136"/>
        <v>#VALUE!</v>
      </c>
      <c r="ET140" s="139" t="e">
        <f t="shared" si="137"/>
        <v>#VALUE!</v>
      </c>
      <c r="EU140" s="139" t="e">
        <f t="shared" si="138"/>
        <v>#VALUE!</v>
      </c>
      <c r="EV140" s="139" t="e">
        <f t="shared" si="139"/>
        <v>#VALUE!</v>
      </c>
      <c r="EW140" s="139" t="e">
        <f t="shared" si="140"/>
        <v>#VALUE!</v>
      </c>
      <c r="EX140" s="139" t="e">
        <f t="shared" si="141"/>
        <v>#VALUE!</v>
      </c>
      <c r="EY140" s="139" t="e">
        <f t="shared" si="142"/>
        <v>#VALUE!</v>
      </c>
      <c r="EZ140" s="139" t="e">
        <f t="shared" si="143"/>
        <v>#VALUE!</v>
      </c>
      <c r="FA140" s="139" t="e">
        <f t="shared" si="144"/>
        <v>#VALUE!</v>
      </c>
      <c r="FB140" s="139" t="e">
        <f t="shared" si="145"/>
        <v>#VALUE!</v>
      </c>
      <c r="FC140" s="139" t="e">
        <f t="shared" si="146"/>
        <v>#VALUE!</v>
      </c>
      <c r="FD140" s="139" t="e">
        <f t="shared" si="147"/>
        <v>#VALUE!</v>
      </c>
      <c r="FE140" s="139" t="e">
        <f t="shared" si="148"/>
        <v>#VALUE!</v>
      </c>
      <c r="FF140" s="139" t="e">
        <f t="shared" si="149"/>
        <v>#VALUE!</v>
      </c>
      <c r="FG140" s="139" t="e">
        <f t="shared" si="150"/>
        <v>#VALUE!</v>
      </c>
      <c r="FH140" s="139" t="e">
        <f t="shared" si="151"/>
        <v>#VALUE!</v>
      </c>
      <c r="FI140" s="139" t="e">
        <f t="shared" si="152"/>
        <v>#VALUE!</v>
      </c>
      <c r="FJ140" s="139" t="e">
        <f t="shared" si="153"/>
        <v>#VALUE!</v>
      </c>
      <c r="FK140" s="139" t="e">
        <f t="shared" si="154"/>
        <v>#VALUE!</v>
      </c>
      <c r="FL140" s="139" t="e">
        <f t="shared" si="155"/>
        <v>#VALUE!</v>
      </c>
      <c r="FM140" s="139" t="e">
        <f t="shared" si="156"/>
        <v>#VALUE!</v>
      </c>
      <c r="FN140" s="139" t="e">
        <f t="shared" si="157"/>
        <v>#VALUE!</v>
      </c>
      <c r="FO140" s="139" t="e">
        <f t="shared" si="158"/>
        <v>#VALUE!</v>
      </c>
      <c r="FP140" s="139" t="e">
        <f t="shared" si="159"/>
        <v>#VALUE!</v>
      </c>
      <c r="FQ140" s="139" t="e">
        <f t="shared" si="160"/>
        <v>#VALUE!</v>
      </c>
      <c r="FR140" s="139" t="e">
        <f t="shared" si="161"/>
        <v>#VALUE!</v>
      </c>
      <c r="FS140" s="139" t="e">
        <f t="shared" si="162"/>
        <v>#VALUE!</v>
      </c>
      <c r="FT140" s="139" t="e">
        <f t="shared" si="163"/>
        <v>#VALUE!</v>
      </c>
      <c r="FU140" s="148" t="e">
        <f t="shared" si="164"/>
        <v>#VALUE!</v>
      </c>
      <c r="FV140" s="149"/>
      <c r="FY140" s="211">
        <v>135</v>
      </c>
      <c r="FZ140">
        <v>132.61526010092382</v>
      </c>
      <c r="GA140">
        <v>123.08934324681037</v>
      </c>
      <c r="GB140">
        <v>27.923615064132282</v>
      </c>
      <c r="GC140">
        <v>7.9162231481891183</v>
      </c>
      <c r="GD140">
        <v>3.6419874472314087</v>
      </c>
      <c r="GE140">
        <v>5.2795609603575571</v>
      </c>
      <c r="GF140">
        <v>19.259692091431198</v>
      </c>
      <c r="GG140">
        <v>22.222894196121995</v>
      </c>
      <c r="GH140">
        <v>21.716808900413731</v>
      </c>
      <c r="GI140">
        <v>71.468396887179949</v>
      </c>
      <c r="GJ140"/>
      <c r="GK140"/>
      <c r="GL140"/>
      <c r="GM140"/>
    </row>
    <row r="141" spans="1:195" s="7" customFormat="1">
      <c r="A141" s="1"/>
      <c r="B141" s="76">
        <f t="shared" ca="1" si="131"/>
        <v>3.6725739711156558E-2</v>
      </c>
      <c r="C141">
        <v>10</v>
      </c>
      <c r="D141">
        <v>39799</v>
      </c>
      <c r="E141">
        <v>0</v>
      </c>
      <c r="F141">
        <v>104.16666666666667</v>
      </c>
      <c r="G141">
        <v>260.41666666666669</v>
      </c>
      <c r="H141">
        <v>52.083333333333336</v>
      </c>
      <c r="I141">
        <v>62.5</v>
      </c>
      <c r="J141">
        <v>10.416666666666666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921.85449037026535</v>
      </c>
      <c r="AO141">
        <v>139.89982785529989</v>
      </c>
      <c r="AP141">
        <v>1215.9600582773382</v>
      </c>
      <c r="AQ141">
        <v>413.13416633661751</v>
      </c>
      <c r="AR141">
        <v>141.47270359165393</v>
      </c>
      <c r="AS141">
        <v>1459.0389887738988</v>
      </c>
      <c r="AT141">
        <v>70.214189113091933</v>
      </c>
      <c r="AU141">
        <v>163.08189859060124</v>
      </c>
      <c r="AV141"/>
      <c r="AW141"/>
      <c r="AX141" s="146"/>
      <c r="AY141" s="76">
        <f t="shared" ca="1" si="87"/>
        <v>0.75671121007725783</v>
      </c>
      <c r="AZ141">
        <v>4</v>
      </c>
      <c r="BA141" s="129">
        <f t="shared" si="168"/>
        <v>39799</v>
      </c>
      <c r="BB141">
        <v>0</v>
      </c>
      <c r="BC141"/>
      <c r="BD141"/>
      <c r="BE141"/>
      <c r="BF141"/>
      <c r="BG141"/>
      <c r="BH141"/>
      <c r="BI141"/>
      <c r="BJ141">
        <v>1</v>
      </c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9"/>
        <v>0.52884302186126775</v>
      </c>
      <c r="CL141" s="179">
        <f t="shared" si="90"/>
        <v>4</v>
      </c>
      <c r="CM141" s="180">
        <f t="shared" si="91"/>
        <v>39799</v>
      </c>
      <c r="CN141">
        <v>0</v>
      </c>
      <c r="CO141">
        <v>4</v>
      </c>
      <c r="CP141">
        <v>2</v>
      </c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0.5438104602765329</v>
      </c>
      <c r="DD141">
        <f t="shared" si="93"/>
        <v>4</v>
      </c>
      <c r="DE141" s="129">
        <f t="shared" si="167"/>
        <v>39799</v>
      </c>
      <c r="DF141" s="161">
        <f t="shared" si="94"/>
        <v>0</v>
      </c>
      <c r="DG141" s="161">
        <f t="shared" si="95"/>
        <v>1169.7860962566845</v>
      </c>
      <c r="DH141" s="161">
        <f t="shared" si="96"/>
        <v>584.89304812834223</v>
      </c>
      <c r="DI141" s="161">
        <f t="shared" si="97"/>
        <v>0</v>
      </c>
      <c r="DJ141" s="161">
        <f t="shared" si="98"/>
        <v>0</v>
      </c>
      <c r="DK141" s="161">
        <f t="shared" si="99"/>
        <v>0</v>
      </c>
      <c r="DL141" s="161">
        <f t="shared" si="100"/>
        <v>0</v>
      </c>
      <c r="DM141" s="161">
        <f t="shared" si="101"/>
        <v>0</v>
      </c>
      <c r="DN141" s="161">
        <f t="shared" si="102"/>
        <v>37.878787878787875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2"/>
        <v>1792.5579322638146</v>
      </c>
      <c r="EL141" s="149"/>
      <c r="EN141" s="146"/>
      <c r="EO141" s="146"/>
      <c r="EP141" s="139" t="e">
        <f t="shared" si="133"/>
        <v>#VALUE!</v>
      </c>
      <c r="EQ141" s="139" t="e">
        <f t="shared" si="134"/>
        <v>#VALUE!</v>
      </c>
      <c r="ER141" s="139" t="e">
        <f t="shared" si="135"/>
        <v>#VALUE!</v>
      </c>
      <c r="ES141" s="139" t="e">
        <f t="shared" si="136"/>
        <v>#VALUE!</v>
      </c>
      <c r="ET141" s="139" t="e">
        <f t="shared" si="137"/>
        <v>#VALUE!</v>
      </c>
      <c r="EU141" s="139" t="e">
        <f t="shared" si="138"/>
        <v>#VALUE!</v>
      </c>
      <c r="EV141" s="139" t="e">
        <f t="shared" si="139"/>
        <v>#VALUE!</v>
      </c>
      <c r="EW141" s="139" t="e">
        <f t="shared" si="140"/>
        <v>#VALUE!</v>
      </c>
      <c r="EX141" s="139" t="e">
        <f t="shared" si="141"/>
        <v>#VALUE!</v>
      </c>
      <c r="EY141" s="139" t="e">
        <f t="shared" si="142"/>
        <v>#VALUE!</v>
      </c>
      <c r="EZ141" s="139" t="e">
        <f t="shared" si="143"/>
        <v>#VALUE!</v>
      </c>
      <c r="FA141" s="139" t="e">
        <f t="shared" si="144"/>
        <v>#VALUE!</v>
      </c>
      <c r="FB141" s="139" t="e">
        <f t="shared" si="145"/>
        <v>#VALUE!</v>
      </c>
      <c r="FC141" s="139" t="e">
        <f t="shared" si="146"/>
        <v>#VALUE!</v>
      </c>
      <c r="FD141" s="139" t="e">
        <f t="shared" si="147"/>
        <v>#VALUE!</v>
      </c>
      <c r="FE141" s="139" t="e">
        <f t="shared" si="148"/>
        <v>#VALUE!</v>
      </c>
      <c r="FF141" s="139" t="e">
        <f t="shared" si="149"/>
        <v>#VALUE!</v>
      </c>
      <c r="FG141" s="139" t="e">
        <f t="shared" si="150"/>
        <v>#VALUE!</v>
      </c>
      <c r="FH141" s="139" t="e">
        <f t="shared" si="151"/>
        <v>#VALUE!</v>
      </c>
      <c r="FI141" s="139" t="e">
        <f t="shared" si="152"/>
        <v>#VALUE!</v>
      </c>
      <c r="FJ141" s="139" t="e">
        <f t="shared" si="153"/>
        <v>#VALUE!</v>
      </c>
      <c r="FK141" s="139" t="e">
        <f t="shared" si="154"/>
        <v>#VALUE!</v>
      </c>
      <c r="FL141" s="139" t="e">
        <f t="shared" si="155"/>
        <v>#VALUE!</v>
      </c>
      <c r="FM141" s="139" t="e">
        <f t="shared" si="156"/>
        <v>#VALUE!</v>
      </c>
      <c r="FN141" s="139" t="e">
        <f t="shared" si="157"/>
        <v>#VALUE!</v>
      </c>
      <c r="FO141" s="139" t="e">
        <f t="shared" si="158"/>
        <v>#VALUE!</v>
      </c>
      <c r="FP141" s="139" t="e">
        <f t="shared" si="159"/>
        <v>#VALUE!</v>
      </c>
      <c r="FQ141" s="139" t="e">
        <f t="shared" si="160"/>
        <v>#VALUE!</v>
      </c>
      <c r="FR141" s="139" t="e">
        <f t="shared" si="161"/>
        <v>#VALUE!</v>
      </c>
      <c r="FS141" s="139" t="e">
        <f t="shared" si="162"/>
        <v>#VALUE!</v>
      </c>
      <c r="FT141" s="139" t="e">
        <f t="shared" si="163"/>
        <v>#VALUE!</v>
      </c>
      <c r="FU141" s="148" t="e">
        <f t="shared" si="164"/>
        <v>#VALUE!</v>
      </c>
      <c r="FV141" s="149"/>
      <c r="FY141" s="211">
        <v>136</v>
      </c>
      <c r="FZ141">
        <v>194.250024621043</v>
      </c>
      <c r="GA141">
        <v>125.88049031012953</v>
      </c>
      <c r="GB141">
        <v>29.544687607544798</v>
      </c>
      <c r="GC141">
        <v>11.577151239410213</v>
      </c>
      <c r="GD141">
        <v>3.9690344696191264</v>
      </c>
      <c r="GE141">
        <v>7.0291693442051137</v>
      </c>
      <c r="GF141">
        <v>42.235857303362245</v>
      </c>
      <c r="GG141">
        <v>51.589671234160228</v>
      </c>
      <c r="GH141">
        <v>20.32522953263123</v>
      </c>
      <c r="GI141">
        <v>91.527492756094475</v>
      </c>
      <c r="GJ141"/>
      <c r="GK141"/>
      <c r="GL141"/>
      <c r="GM141"/>
    </row>
    <row r="142" spans="1:195" s="7" customFormat="1">
      <c r="A142" s="1"/>
      <c r="B142" s="76">
        <f t="shared" ca="1" si="131"/>
        <v>0.6974127152565156</v>
      </c>
      <c r="C142">
        <v>4</v>
      </c>
      <c r="D142">
        <v>39799</v>
      </c>
      <c r="E142">
        <v>0</v>
      </c>
      <c r="F142">
        <v>1169.7860962566845</v>
      </c>
      <c r="G142">
        <v>584.89304812834223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37.878787878787875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974.03179597445944</v>
      </c>
      <c r="AO142">
        <v>153.53718047352828</v>
      </c>
      <c r="AP142">
        <v>1353.5453342142673</v>
      </c>
      <c r="AQ142">
        <v>317.87979037057369</v>
      </c>
      <c r="AR142">
        <v>149.54856951195379</v>
      </c>
      <c r="AS142">
        <v>1562.8067724668142</v>
      </c>
      <c r="AT142">
        <v>69.45848669711657</v>
      </c>
      <c r="AU142">
        <v>87.617557086714996</v>
      </c>
      <c r="AV142"/>
      <c r="AW142"/>
      <c r="AX142" s="146"/>
      <c r="AY142" s="76">
        <f t="shared" ca="1" si="87"/>
        <v>0.62068182424258223</v>
      </c>
      <c r="AZ142">
        <v>5</v>
      </c>
      <c r="BA142" s="129">
        <f t="shared" si="168"/>
        <v>39799</v>
      </c>
      <c r="BB142">
        <v>0</v>
      </c>
      <c r="BC142"/>
      <c r="BD142"/>
      <c r="BE142"/>
      <c r="BF142">
        <v>1</v>
      </c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9"/>
        <v>7.7738596543512561E-2</v>
      </c>
      <c r="CL142" s="179">
        <f t="shared" si="90"/>
        <v>5</v>
      </c>
      <c r="CM142" s="180">
        <f t="shared" si="91"/>
        <v>39799</v>
      </c>
      <c r="CN142">
        <v>0</v>
      </c>
      <c r="CO142">
        <v>14</v>
      </c>
      <c r="CP142">
        <v>8</v>
      </c>
      <c r="CQ142">
        <v>1</v>
      </c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0.62424324787483765</v>
      </c>
      <c r="DD142">
        <f t="shared" si="93"/>
        <v>5</v>
      </c>
      <c r="DE142" s="129">
        <f t="shared" si="167"/>
        <v>39799</v>
      </c>
      <c r="DF142" s="161">
        <f t="shared" si="94"/>
        <v>0</v>
      </c>
      <c r="DG142" s="161">
        <f t="shared" si="95"/>
        <v>981.5705128205127</v>
      </c>
      <c r="DH142" s="161">
        <f t="shared" si="96"/>
        <v>560.89743589743591</v>
      </c>
      <c r="DI142" s="161">
        <f t="shared" si="97"/>
        <v>70.112179487179489</v>
      </c>
      <c r="DJ142" s="161">
        <f t="shared" si="98"/>
        <v>10.416666666666666</v>
      </c>
      <c r="DK142" s="161">
        <f t="shared" si="99"/>
        <v>0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2"/>
        <v>1622.9967948717949</v>
      </c>
      <c r="EL142" s="149"/>
      <c r="EN142" s="146"/>
      <c r="EO142" s="146"/>
      <c r="EP142" s="139" t="e">
        <f t="shared" si="133"/>
        <v>#VALUE!</v>
      </c>
      <c r="EQ142" s="139" t="e">
        <f t="shared" si="134"/>
        <v>#VALUE!</v>
      </c>
      <c r="ER142" s="139" t="e">
        <f t="shared" si="135"/>
        <v>#VALUE!</v>
      </c>
      <c r="ES142" s="139" t="e">
        <f t="shared" si="136"/>
        <v>#VALUE!</v>
      </c>
      <c r="ET142" s="139" t="e">
        <f t="shared" si="137"/>
        <v>#VALUE!</v>
      </c>
      <c r="EU142" s="139" t="e">
        <f t="shared" si="138"/>
        <v>#VALUE!</v>
      </c>
      <c r="EV142" s="139" t="e">
        <f t="shared" si="139"/>
        <v>#VALUE!</v>
      </c>
      <c r="EW142" s="139" t="e">
        <f t="shared" si="140"/>
        <v>#VALUE!</v>
      </c>
      <c r="EX142" s="139" t="e">
        <f t="shared" si="141"/>
        <v>#VALUE!</v>
      </c>
      <c r="EY142" s="139" t="e">
        <f t="shared" si="142"/>
        <v>#VALUE!</v>
      </c>
      <c r="EZ142" s="139" t="e">
        <f t="shared" si="143"/>
        <v>#VALUE!</v>
      </c>
      <c r="FA142" s="139" t="e">
        <f t="shared" si="144"/>
        <v>#VALUE!</v>
      </c>
      <c r="FB142" s="139" t="e">
        <f t="shared" si="145"/>
        <v>#VALUE!</v>
      </c>
      <c r="FC142" s="139" t="e">
        <f t="shared" si="146"/>
        <v>#VALUE!</v>
      </c>
      <c r="FD142" s="139" t="e">
        <f t="shared" si="147"/>
        <v>#VALUE!</v>
      </c>
      <c r="FE142" s="139" t="e">
        <f t="shared" si="148"/>
        <v>#VALUE!</v>
      </c>
      <c r="FF142" s="139" t="e">
        <f t="shared" si="149"/>
        <v>#VALUE!</v>
      </c>
      <c r="FG142" s="139" t="e">
        <f t="shared" si="150"/>
        <v>#VALUE!</v>
      </c>
      <c r="FH142" s="139" t="e">
        <f t="shared" si="151"/>
        <v>#VALUE!</v>
      </c>
      <c r="FI142" s="139" t="e">
        <f t="shared" si="152"/>
        <v>#VALUE!</v>
      </c>
      <c r="FJ142" s="139" t="e">
        <f t="shared" si="153"/>
        <v>#VALUE!</v>
      </c>
      <c r="FK142" s="139" t="e">
        <f t="shared" si="154"/>
        <v>#VALUE!</v>
      </c>
      <c r="FL142" s="139" t="e">
        <f t="shared" si="155"/>
        <v>#VALUE!</v>
      </c>
      <c r="FM142" s="139" t="e">
        <f t="shared" si="156"/>
        <v>#VALUE!</v>
      </c>
      <c r="FN142" s="139" t="e">
        <f t="shared" si="157"/>
        <v>#VALUE!</v>
      </c>
      <c r="FO142" s="139" t="e">
        <f t="shared" si="158"/>
        <v>#VALUE!</v>
      </c>
      <c r="FP142" s="139" t="e">
        <f t="shared" si="159"/>
        <v>#VALUE!</v>
      </c>
      <c r="FQ142" s="139" t="e">
        <f t="shared" si="160"/>
        <v>#VALUE!</v>
      </c>
      <c r="FR142" s="139" t="e">
        <f t="shared" si="161"/>
        <v>#VALUE!</v>
      </c>
      <c r="FS142" s="139" t="e">
        <f t="shared" si="162"/>
        <v>#VALUE!</v>
      </c>
      <c r="FT142" s="139" t="e">
        <f t="shared" si="163"/>
        <v>#VALUE!</v>
      </c>
      <c r="FU142" s="148" t="e">
        <f t="shared" si="164"/>
        <v>#VALUE!</v>
      </c>
      <c r="FV142" s="149"/>
      <c r="FY142" s="211">
        <v>137</v>
      </c>
      <c r="FZ142">
        <v>129.50601024813048</v>
      </c>
      <c r="GA142">
        <v>146.77449430442522</v>
      </c>
      <c r="GB142">
        <v>48.606964002081419</v>
      </c>
      <c r="GC142">
        <v>10.207176193121908</v>
      </c>
      <c r="GD142">
        <v>3.2410351456460891</v>
      </c>
      <c r="GE142">
        <v>6.0094471382709918</v>
      </c>
      <c r="GF142">
        <v>21.988167957997078</v>
      </c>
      <c r="GG142">
        <v>27.574793343448075</v>
      </c>
      <c r="GH142">
        <v>26.009577566694965</v>
      </c>
      <c r="GI142">
        <v>85.974397719662207</v>
      </c>
      <c r="GJ142"/>
      <c r="GK142"/>
      <c r="GL142"/>
      <c r="GM142"/>
    </row>
    <row r="143" spans="1:195" s="7" customFormat="1">
      <c r="A143" s="1"/>
      <c r="B143" s="76">
        <f t="shared" ca="1" si="131"/>
        <v>0.29878383750903392</v>
      </c>
      <c r="C143">
        <v>1</v>
      </c>
      <c r="D143">
        <v>39799</v>
      </c>
      <c r="E143">
        <v>0</v>
      </c>
      <c r="F143">
        <v>0</v>
      </c>
      <c r="G143">
        <v>333.33333333333331</v>
      </c>
      <c r="H143">
        <v>166.66666666666666</v>
      </c>
      <c r="I143">
        <v>83.333333333333329</v>
      </c>
      <c r="J143">
        <v>0</v>
      </c>
      <c r="K143">
        <v>83.333333333333329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1163.5535306479394</v>
      </c>
      <c r="AO143">
        <v>167.10844422893274</v>
      </c>
      <c r="AP143">
        <v>1518.2745464399891</v>
      </c>
      <c r="AQ143">
        <v>543.13438436158094</v>
      </c>
      <c r="AR143">
        <v>159.30015841173787</v>
      </c>
      <c r="AS143">
        <v>1661.0500273673856</v>
      </c>
      <c r="AT143">
        <v>83.494664367143898</v>
      </c>
      <c r="AU143">
        <v>370.76905021534617</v>
      </c>
      <c r="AV143"/>
      <c r="AW143"/>
      <c r="AX143" s="146"/>
      <c r="AY143" s="76">
        <f t="shared" ca="1" si="87"/>
        <v>0.71395548475804227</v>
      </c>
      <c r="AZ143">
        <v>6</v>
      </c>
      <c r="BA143" s="129">
        <f t="shared" si="168"/>
        <v>39799</v>
      </c>
      <c r="BB143">
        <v>0</v>
      </c>
      <c r="BC143"/>
      <c r="BD143"/>
      <c r="BE143">
        <v>6</v>
      </c>
      <c r="BF143">
        <v>19</v>
      </c>
      <c r="BG143">
        <v>9</v>
      </c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9"/>
        <v>0.96608381718190395</v>
      </c>
      <c r="CL143" s="179">
        <f t="shared" si="90"/>
        <v>6</v>
      </c>
      <c r="CM143" s="180">
        <f t="shared" si="91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6.1036462839436756E-2</v>
      </c>
      <c r="DD143">
        <f t="shared" si="93"/>
        <v>6</v>
      </c>
      <c r="DE143" s="129">
        <f t="shared" si="167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62.5</v>
      </c>
      <c r="DJ143" s="161">
        <f t="shared" si="98"/>
        <v>197.91666666666666</v>
      </c>
      <c r="DK143" s="161">
        <f t="shared" si="99"/>
        <v>93.75</v>
      </c>
      <c r="DL143" s="161">
        <f t="shared" si="100"/>
        <v>0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2"/>
        <v>354.16666666666663</v>
      </c>
      <c r="EL143" s="149"/>
      <c r="EN143" s="146"/>
      <c r="EO143" s="146"/>
      <c r="EP143" s="139" t="e">
        <f t="shared" si="133"/>
        <v>#VALUE!</v>
      </c>
      <c r="EQ143" s="139" t="e">
        <f t="shared" si="134"/>
        <v>#VALUE!</v>
      </c>
      <c r="ER143" s="139" t="e">
        <f t="shared" si="135"/>
        <v>#VALUE!</v>
      </c>
      <c r="ES143" s="139" t="e">
        <f t="shared" si="136"/>
        <v>#VALUE!</v>
      </c>
      <c r="ET143" s="139" t="e">
        <f t="shared" si="137"/>
        <v>#VALUE!</v>
      </c>
      <c r="EU143" s="139" t="e">
        <f t="shared" si="138"/>
        <v>#VALUE!</v>
      </c>
      <c r="EV143" s="139" t="e">
        <f t="shared" si="139"/>
        <v>#VALUE!</v>
      </c>
      <c r="EW143" s="139" t="e">
        <f t="shared" si="140"/>
        <v>#VALUE!</v>
      </c>
      <c r="EX143" s="139" t="e">
        <f t="shared" si="141"/>
        <v>#VALUE!</v>
      </c>
      <c r="EY143" s="139" t="e">
        <f t="shared" si="142"/>
        <v>#VALUE!</v>
      </c>
      <c r="EZ143" s="139" t="e">
        <f t="shared" si="143"/>
        <v>#VALUE!</v>
      </c>
      <c r="FA143" s="139" t="e">
        <f t="shared" si="144"/>
        <v>#VALUE!</v>
      </c>
      <c r="FB143" s="139" t="e">
        <f t="shared" si="145"/>
        <v>#VALUE!</v>
      </c>
      <c r="FC143" s="139" t="e">
        <f t="shared" si="146"/>
        <v>#VALUE!</v>
      </c>
      <c r="FD143" s="139" t="e">
        <f t="shared" si="147"/>
        <v>#VALUE!</v>
      </c>
      <c r="FE143" s="139" t="e">
        <f t="shared" si="148"/>
        <v>#VALUE!</v>
      </c>
      <c r="FF143" s="139" t="e">
        <f t="shared" si="149"/>
        <v>#VALUE!</v>
      </c>
      <c r="FG143" s="139" t="e">
        <f t="shared" si="150"/>
        <v>#VALUE!</v>
      </c>
      <c r="FH143" s="139" t="e">
        <f t="shared" si="151"/>
        <v>#VALUE!</v>
      </c>
      <c r="FI143" s="139" t="e">
        <f t="shared" si="152"/>
        <v>#VALUE!</v>
      </c>
      <c r="FJ143" s="139" t="e">
        <f t="shared" si="153"/>
        <v>#VALUE!</v>
      </c>
      <c r="FK143" s="139" t="e">
        <f t="shared" si="154"/>
        <v>#VALUE!</v>
      </c>
      <c r="FL143" s="139" t="e">
        <f t="shared" si="155"/>
        <v>#VALUE!</v>
      </c>
      <c r="FM143" s="139" t="e">
        <f t="shared" si="156"/>
        <v>#VALUE!</v>
      </c>
      <c r="FN143" s="139" t="e">
        <f t="shared" si="157"/>
        <v>#VALUE!</v>
      </c>
      <c r="FO143" s="139" t="e">
        <f t="shared" si="158"/>
        <v>#VALUE!</v>
      </c>
      <c r="FP143" s="139" t="e">
        <f t="shared" si="159"/>
        <v>#VALUE!</v>
      </c>
      <c r="FQ143" s="139" t="e">
        <f t="shared" si="160"/>
        <v>#VALUE!</v>
      </c>
      <c r="FR143" s="139" t="e">
        <f t="shared" si="161"/>
        <v>#VALUE!</v>
      </c>
      <c r="FS143" s="139" t="e">
        <f t="shared" si="162"/>
        <v>#VALUE!</v>
      </c>
      <c r="FT143" s="139" t="e">
        <f t="shared" si="163"/>
        <v>#VALUE!</v>
      </c>
      <c r="FU143" s="148" t="e">
        <f t="shared" si="164"/>
        <v>#VALUE!</v>
      </c>
      <c r="FV143" s="149"/>
      <c r="FY143" s="211">
        <v>138</v>
      </c>
      <c r="FZ143">
        <v>68.373613996110294</v>
      </c>
      <c r="GA143">
        <v>45.136738463739043</v>
      </c>
      <c r="GB143">
        <v>23.493816167992335</v>
      </c>
      <c r="GC143">
        <v>7.3680168200296734</v>
      </c>
      <c r="GD143">
        <v>3.3860460633005838</v>
      </c>
      <c r="GE143">
        <v>5.6981929270988738</v>
      </c>
      <c r="GF143">
        <v>35.255933378107407</v>
      </c>
      <c r="GG143">
        <v>40.867743155502922</v>
      </c>
      <c r="GH143">
        <v>14.736245822813537</v>
      </c>
      <c r="GI143">
        <v>57.820831167388867</v>
      </c>
      <c r="GJ143"/>
      <c r="GK143"/>
      <c r="GL143"/>
      <c r="GM143"/>
    </row>
    <row r="144" spans="1:195" s="7" customFormat="1">
      <c r="A144" s="1"/>
      <c r="B144" s="76">
        <f t="shared" ca="1" si="131"/>
        <v>0.33449163177163066</v>
      </c>
      <c r="C144">
        <v>3</v>
      </c>
      <c r="D144">
        <v>39799</v>
      </c>
      <c r="E144">
        <v>0</v>
      </c>
      <c r="F144">
        <v>83.333333333333329</v>
      </c>
      <c r="G144">
        <v>833.33333333333337</v>
      </c>
      <c r="H144">
        <v>1416.6666666666667</v>
      </c>
      <c r="I144">
        <v>988.78205128205127</v>
      </c>
      <c r="J144">
        <v>190.70512820512818</v>
      </c>
      <c r="K144">
        <v>48.076923076923073</v>
      </c>
      <c r="L144">
        <v>24.038461538461537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24.038461538461537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1189.7722687802229</v>
      </c>
      <c r="AO144">
        <v>152.77851223333838</v>
      </c>
      <c r="AP144">
        <v>1217.522393216113</v>
      </c>
      <c r="AQ144">
        <v>485.5677900724844</v>
      </c>
      <c r="AR144">
        <v>148.78002096518904</v>
      </c>
      <c r="AS144">
        <v>1655.1438950743268</v>
      </c>
      <c r="AT144">
        <v>73.582379394772786</v>
      </c>
      <c r="AU144">
        <v>172.23219102980519</v>
      </c>
      <c r="AV144"/>
      <c r="AW144"/>
      <c r="AX144" s="146"/>
      <c r="AY144" s="76">
        <f t="shared" ca="1" si="87"/>
        <v>0.43205597961388797</v>
      </c>
      <c r="AZ144">
        <v>7</v>
      </c>
      <c r="BA144" s="129">
        <f t="shared" si="168"/>
        <v>39799</v>
      </c>
      <c r="BB144">
        <v>0</v>
      </c>
      <c r="BC144"/>
      <c r="BD144"/>
      <c r="BE144">
        <v>2</v>
      </c>
      <c r="BF144">
        <v>5</v>
      </c>
      <c r="BG144">
        <v>4</v>
      </c>
      <c r="BH144">
        <v>3</v>
      </c>
      <c r="BI144"/>
      <c r="BJ144">
        <v>1</v>
      </c>
      <c r="BK144"/>
      <c r="BL144">
        <v>1</v>
      </c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9"/>
        <v>2.7892131832000233E-2</v>
      </c>
      <c r="CL144" s="179">
        <f t="shared" si="90"/>
        <v>7</v>
      </c>
      <c r="CM144" s="180">
        <f t="shared" si="91"/>
        <v>39799</v>
      </c>
      <c r="CN144">
        <v>0</v>
      </c>
      <c r="CO144">
        <v>3</v>
      </c>
      <c r="CP144">
        <v>3</v>
      </c>
      <c r="CQ144">
        <v>4</v>
      </c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0.61528706902681085</v>
      </c>
      <c r="DD144">
        <f t="shared" si="93"/>
        <v>7</v>
      </c>
      <c r="DE144" s="129">
        <f t="shared" si="167"/>
        <v>39799</v>
      </c>
      <c r="DF144" s="161">
        <f t="shared" si="94"/>
        <v>0</v>
      </c>
      <c r="DG144" s="161">
        <f t="shared" si="95"/>
        <v>182.29166666666666</v>
      </c>
      <c r="DH144" s="161">
        <f t="shared" si="96"/>
        <v>182.29166666666666</v>
      </c>
      <c r="DI144" s="161">
        <f t="shared" si="97"/>
        <v>263.88888888888886</v>
      </c>
      <c r="DJ144" s="161">
        <f t="shared" si="98"/>
        <v>52.083333333333336</v>
      </c>
      <c r="DK144" s="161">
        <f t="shared" si="99"/>
        <v>41.666666666666664</v>
      </c>
      <c r="DL144" s="161">
        <f t="shared" si="100"/>
        <v>31.25</v>
      </c>
      <c r="DM144" s="161">
        <f t="shared" si="101"/>
        <v>0</v>
      </c>
      <c r="DN144" s="161">
        <f t="shared" si="102"/>
        <v>10.416666666666666</v>
      </c>
      <c r="DO144" s="161">
        <f t="shared" si="103"/>
        <v>0</v>
      </c>
      <c r="DP144" s="161">
        <f t="shared" si="104"/>
        <v>10.416666666666666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2"/>
        <v>774.30555555555543</v>
      </c>
      <c r="EL144" s="149"/>
      <c r="EN144" s="146"/>
      <c r="EO144" s="146"/>
      <c r="EP144" s="139" t="e">
        <f t="shared" si="133"/>
        <v>#VALUE!</v>
      </c>
      <c r="EQ144" s="139" t="e">
        <f t="shared" si="134"/>
        <v>#VALUE!</v>
      </c>
      <c r="ER144" s="139" t="e">
        <f t="shared" si="135"/>
        <v>#VALUE!</v>
      </c>
      <c r="ES144" s="139" t="e">
        <f t="shared" si="136"/>
        <v>#VALUE!</v>
      </c>
      <c r="ET144" s="139" t="e">
        <f t="shared" si="137"/>
        <v>#VALUE!</v>
      </c>
      <c r="EU144" s="139" t="e">
        <f t="shared" si="138"/>
        <v>#VALUE!</v>
      </c>
      <c r="EV144" s="139" t="e">
        <f t="shared" si="139"/>
        <v>#VALUE!</v>
      </c>
      <c r="EW144" s="139" t="e">
        <f t="shared" si="140"/>
        <v>#VALUE!</v>
      </c>
      <c r="EX144" s="139" t="e">
        <f t="shared" si="141"/>
        <v>#VALUE!</v>
      </c>
      <c r="EY144" s="139" t="e">
        <f t="shared" si="142"/>
        <v>#VALUE!</v>
      </c>
      <c r="EZ144" s="139" t="e">
        <f t="shared" si="143"/>
        <v>#VALUE!</v>
      </c>
      <c r="FA144" s="139" t="e">
        <f t="shared" si="144"/>
        <v>#VALUE!</v>
      </c>
      <c r="FB144" s="139" t="e">
        <f t="shared" si="145"/>
        <v>#VALUE!</v>
      </c>
      <c r="FC144" s="139" t="e">
        <f t="shared" si="146"/>
        <v>#VALUE!</v>
      </c>
      <c r="FD144" s="139" t="e">
        <f t="shared" si="147"/>
        <v>#VALUE!</v>
      </c>
      <c r="FE144" s="139" t="e">
        <f t="shared" si="148"/>
        <v>#VALUE!</v>
      </c>
      <c r="FF144" s="139" t="e">
        <f t="shared" si="149"/>
        <v>#VALUE!</v>
      </c>
      <c r="FG144" s="139" t="e">
        <f t="shared" si="150"/>
        <v>#VALUE!</v>
      </c>
      <c r="FH144" s="139" t="e">
        <f t="shared" si="151"/>
        <v>#VALUE!</v>
      </c>
      <c r="FI144" s="139" t="e">
        <f t="shared" si="152"/>
        <v>#VALUE!</v>
      </c>
      <c r="FJ144" s="139" t="e">
        <f t="shared" si="153"/>
        <v>#VALUE!</v>
      </c>
      <c r="FK144" s="139" t="e">
        <f t="shared" si="154"/>
        <v>#VALUE!</v>
      </c>
      <c r="FL144" s="139" t="e">
        <f t="shared" si="155"/>
        <v>#VALUE!</v>
      </c>
      <c r="FM144" s="139" t="e">
        <f t="shared" si="156"/>
        <v>#VALUE!</v>
      </c>
      <c r="FN144" s="139" t="e">
        <f t="shared" si="157"/>
        <v>#VALUE!</v>
      </c>
      <c r="FO144" s="139" t="e">
        <f t="shared" si="158"/>
        <v>#VALUE!</v>
      </c>
      <c r="FP144" s="139" t="e">
        <f t="shared" si="159"/>
        <v>#VALUE!</v>
      </c>
      <c r="FQ144" s="139" t="e">
        <f t="shared" si="160"/>
        <v>#VALUE!</v>
      </c>
      <c r="FR144" s="139" t="e">
        <f t="shared" si="161"/>
        <v>#VALUE!</v>
      </c>
      <c r="FS144" s="139" t="e">
        <f t="shared" si="162"/>
        <v>#VALUE!</v>
      </c>
      <c r="FT144" s="139" t="e">
        <f t="shared" si="163"/>
        <v>#VALUE!</v>
      </c>
      <c r="FU144" s="148" t="e">
        <f t="shared" si="164"/>
        <v>#VALUE!</v>
      </c>
      <c r="FV144" s="149"/>
      <c r="FY144" s="211">
        <v>139</v>
      </c>
      <c r="FZ144">
        <v>111.04866806904688</v>
      </c>
      <c r="GA144">
        <v>73.141495664493675</v>
      </c>
      <c r="GB144">
        <v>24.103755084787121</v>
      </c>
      <c r="GC144">
        <v>9.0965866934375725</v>
      </c>
      <c r="GD144">
        <v>3.1750665880876126</v>
      </c>
      <c r="GE144">
        <v>3.6243260216397051</v>
      </c>
      <c r="GF144">
        <v>54.968661781661112</v>
      </c>
      <c r="GG144">
        <v>70.554042696578563</v>
      </c>
      <c r="GH144">
        <v>18.840898345321051</v>
      </c>
      <c r="GI144">
        <v>78.208346453634448</v>
      </c>
      <c r="GJ144"/>
      <c r="GK144"/>
      <c r="GL144"/>
      <c r="GM144"/>
    </row>
    <row r="145" spans="1:195" s="7" customFormat="1">
      <c r="A145" s="1"/>
      <c r="B145" s="76">
        <f t="shared" ca="1" si="131"/>
        <v>0.53546514761553543</v>
      </c>
      <c r="C145">
        <v>7</v>
      </c>
      <c r="D145">
        <v>39799</v>
      </c>
      <c r="E145">
        <v>0</v>
      </c>
      <c r="F145">
        <v>182.29166666666666</v>
      </c>
      <c r="G145">
        <v>182.29166666666666</v>
      </c>
      <c r="H145">
        <v>263.88888888888886</v>
      </c>
      <c r="I145">
        <v>52.083333333333336</v>
      </c>
      <c r="J145">
        <v>41.666666666666664</v>
      </c>
      <c r="K145">
        <v>31.25</v>
      </c>
      <c r="L145">
        <v>0</v>
      </c>
      <c r="M145">
        <v>10.416666666666666</v>
      </c>
      <c r="N145">
        <v>0</v>
      </c>
      <c r="O145">
        <v>10.416666666666666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892.27873949464515</v>
      </c>
      <c r="AO145">
        <v>144.24178739176688</v>
      </c>
      <c r="AP145">
        <v>1223.4022467874561</v>
      </c>
      <c r="AQ145">
        <v>367.92702419565683</v>
      </c>
      <c r="AR145">
        <v>138.77496606046952</v>
      </c>
      <c r="AS145">
        <v>1416.9614585677855</v>
      </c>
      <c r="AT145">
        <v>68.197842941871599</v>
      </c>
      <c r="AU145">
        <v>95.012139955598883</v>
      </c>
      <c r="AV145"/>
      <c r="AW145"/>
      <c r="AX145" s="146"/>
      <c r="AY145" s="76">
        <f t="shared" ca="1" si="87"/>
        <v>0.95448780605552108</v>
      </c>
      <c r="AZ145">
        <v>8</v>
      </c>
      <c r="BA145" s="129">
        <f t="shared" si="168"/>
        <v>39799</v>
      </c>
      <c r="BB145">
        <v>0</v>
      </c>
      <c r="BC145"/>
      <c r="BD145"/>
      <c r="BE145"/>
      <c r="BF145">
        <v>4</v>
      </c>
      <c r="BG145">
        <v>2</v>
      </c>
      <c r="BH145">
        <v>1</v>
      </c>
      <c r="BI145"/>
      <c r="BJ145">
        <v>1</v>
      </c>
      <c r="BK145">
        <v>1</v>
      </c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9"/>
        <v>0.36480578863137891</v>
      </c>
      <c r="CL145" s="179">
        <f t="shared" si="90"/>
        <v>8</v>
      </c>
      <c r="CM145" s="180">
        <f t="shared" si="91"/>
        <v>39799</v>
      </c>
      <c r="CN145">
        <v>0</v>
      </c>
      <c r="CO145"/>
      <c r="CP145">
        <v>5</v>
      </c>
      <c r="CQ145">
        <v>4</v>
      </c>
      <c r="CR145">
        <v>1</v>
      </c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0.79355611828614359</v>
      </c>
      <c r="DD145">
        <f t="shared" si="93"/>
        <v>8</v>
      </c>
      <c r="DE145" s="129">
        <f t="shared" si="167"/>
        <v>39799</v>
      </c>
      <c r="DF145" s="161">
        <f t="shared" si="94"/>
        <v>0</v>
      </c>
      <c r="DG145" s="161">
        <f t="shared" si="95"/>
        <v>0</v>
      </c>
      <c r="DH145" s="161">
        <f t="shared" si="96"/>
        <v>372.02380952380952</v>
      </c>
      <c r="DI145" s="161">
        <f t="shared" si="97"/>
        <v>297.61904761904765</v>
      </c>
      <c r="DJ145" s="161">
        <f t="shared" si="98"/>
        <v>116.07142857142857</v>
      </c>
      <c r="DK145" s="161">
        <f t="shared" si="99"/>
        <v>20.833333333333332</v>
      </c>
      <c r="DL145" s="161">
        <f t="shared" si="100"/>
        <v>10.416666666666666</v>
      </c>
      <c r="DM145" s="161">
        <f t="shared" si="101"/>
        <v>0</v>
      </c>
      <c r="DN145" s="161">
        <f t="shared" si="102"/>
        <v>10.416666666666666</v>
      </c>
      <c r="DO145" s="161">
        <f t="shared" si="103"/>
        <v>10.416666666666666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2"/>
        <v>837.79761904761892</v>
      </c>
      <c r="EL145" s="149"/>
      <c r="EN145" s="146"/>
      <c r="EO145" s="146"/>
      <c r="EP145" s="139" t="e">
        <f t="shared" si="133"/>
        <v>#VALUE!</v>
      </c>
      <c r="EQ145" s="139" t="e">
        <f t="shared" si="134"/>
        <v>#VALUE!</v>
      </c>
      <c r="ER145" s="139" t="e">
        <f t="shared" si="135"/>
        <v>#VALUE!</v>
      </c>
      <c r="ES145" s="139" t="e">
        <f t="shared" si="136"/>
        <v>#VALUE!</v>
      </c>
      <c r="ET145" s="139" t="e">
        <f t="shared" si="137"/>
        <v>#VALUE!</v>
      </c>
      <c r="EU145" s="139" t="e">
        <f t="shared" si="138"/>
        <v>#VALUE!</v>
      </c>
      <c r="EV145" s="139" t="e">
        <f t="shared" si="139"/>
        <v>#VALUE!</v>
      </c>
      <c r="EW145" s="139" t="e">
        <f t="shared" si="140"/>
        <v>#VALUE!</v>
      </c>
      <c r="EX145" s="139" t="e">
        <f t="shared" si="141"/>
        <v>#VALUE!</v>
      </c>
      <c r="EY145" s="139" t="e">
        <f t="shared" si="142"/>
        <v>#VALUE!</v>
      </c>
      <c r="EZ145" s="139" t="e">
        <f t="shared" si="143"/>
        <v>#VALUE!</v>
      </c>
      <c r="FA145" s="139" t="e">
        <f t="shared" si="144"/>
        <v>#VALUE!</v>
      </c>
      <c r="FB145" s="139" t="e">
        <f t="shared" si="145"/>
        <v>#VALUE!</v>
      </c>
      <c r="FC145" s="139" t="e">
        <f t="shared" si="146"/>
        <v>#VALUE!</v>
      </c>
      <c r="FD145" s="139" t="e">
        <f t="shared" si="147"/>
        <v>#VALUE!</v>
      </c>
      <c r="FE145" s="139" t="e">
        <f t="shared" si="148"/>
        <v>#VALUE!</v>
      </c>
      <c r="FF145" s="139" t="e">
        <f t="shared" si="149"/>
        <v>#VALUE!</v>
      </c>
      <c r="FG145" s="139" t="e">
        <f t="shared" si="150"/>
        <v>#VALUE!</v>
      </c>
      <c r="FH145" s="139" t="e">
        <f t="shared" si="151"/>
        <v>#VALUE!</v>
      </c>
      <c r="FI145" s="139" t="e">
        <f t="shared" si="152"/>
        <v>#VALUE!</v>
      </c>
      <c r="FJ145" s="139" t="e">
        <f t="shared" si="153"/>
        <v>#VALUE!</v>
      </c>
      <c r="FK145" s="139" t="e">
        <f t="shared" si="154"/>
        <v>#VALUE!</v>
      </c>
      <c r="FL145" s="139" t="e">
        <f t="shared" si="155"/>
        <v>#VALUE!</v>
      </c>
      <c r="FM145" s="139" t="e">
        <f t="shared" si="156"/>
        <v>#VALUE!</v>
      </c>
      <c r="FN145" s="139" t="e">
        <f t="shared" si="157"/>
        <v>#VALUE!</v>
      </c>
      <c r="FO145" s="139" t="e">
        <f t="shared" si="158"/>
        <v>#VALUE!</v>
      </c>
      <c r="FP145" s="139" t="e">
        <f t="shared" si="159"/>
        <v>#VALUE!</v>
      </c>
      <c r="FQ145" s="139" t="e">
        <f t="shared" si="160"/>
        <v>#VALUE!</v>
      </c>
      <c r="FR145" s="139" t="e">
        <f t="shared" si="161"/>
        <v>#VALUE!</v>
      </c>
      <c r="FS145" s="139" t="e">
        <f t="shared" si="162"/>
        <v>#VALUE!</v>
      </c>
      <c r="FT145" s="139" t="e">
        <f t="shared" si="163"/>
        <v>#VALUE!</v>
      </c>
      <c r="FU145" s="148" t="e">
        <f t="shared" si="164"/>
        <v>#VALUE!</v>
      </c>
      <c r="FV145" s="149"/>
      <c r="FY145" s="211">
        <v>140</v>
      </c>
      <c r="FZ145">
        <v>142.58157261303802</v>
      </c>
      <c r="GA145">
        <v>97.030707150016198</v>
      </c>
      <c r="GB145">
        <v>27.336084396295096</v>
      </c>
      <c r="GC145">
        <v>8.2269830982401668</v>
      </c>
      <c r="GD145">
        <v>3.073833448375642</v>
      </c>
      <c r="GE145">
        <v>4.6232048086242372</v>
      </c>
      <c r="GF145">
        <v>23.163109718783993</v>
      </c>
      <c r="GG145">
        <v>30.636621680458081</v>
      </c>
      <c r="GH145">
        <v>17.98385773776825</v>
      </c>
      <c r="GI145">
        <v>61.00776075969307</v>
      </c>
      <c r="GJ145"/>
      <c r="GK145"/>
      <c r="GL145"/>
      <c r="GM145"/>
    </row>
    <row r="146" spans="1:195" s="7" customFormat="1">
      <c r="A146" s="1"/>
      <c r="B146" s="76">
        <f t="shared" ca="1" si="131"/>
        <v>0.69083425384621255</v>
      </c>
      <c r="C146">
        <v>8</v>
      </c>
      <c r="D146">
        <v>39799</v>
      </c>
      <c r="E146">
        <v>0</v>
      </c>
      <c r="F146">
        <v>0</v>
      </c>
      <c r="G146">
        <v>372.02380952380952</v>
      </c>
      <c r="H146">
        <v>297.61904761904765</v>
      </c>
      <c r="I146">
        <v>116.07142857142857</v>
      </c>
      <c r="J146">
        <v>20.833333333333332</v>
      </c>
      <c r="K146">
        <v>10.416666666666666</v>
      </c>
      <c r="L146">
        <v>0</v>
      </c>
      <c r="M146">
        <v>10.416666666666666</v>
      </c>
      <c r="N146">
        <v>10.416666666666666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940.25056312150775</v>
      </c>
      <c r="AO146">
        <v>138.65880454043551</v>
      </c>
      <c r="AP146">
        <v>1107.5929172645194</v>
      </c>
      <c r="AQ146">
        <v>486.41751761137391</v>
      </c>
      <c r="AR146">
        <v>133.55288396487737</v>
      </c>
      <c r="AS146">
        <v>1358.4852530102632</v>
      </c>
      <c r="AT146">
        <v>65.038581184234545</v>
      </c>
      <c r="AU146">
        <v>-80.247174866479398</v>
      </c>
      <c r="AV146"/>
      <c r="AW146"/>
      <c r="AX146" s="146"/>
      <c r="AY146" s="76">
        <f t="shared" ca="1" si="87"/>
        <v>0.72243611370109706</v>
      </c>
      <c r="AZ146">
        <v>9</v>
      </c>
      <c r="BA146" s="129">
        <f t="shared" si="168"/>
        <v>39799</v>
      </c>
      <c r="BB146">
        <v>0</v>
      </c>
      <c r="BC146"/>
      <c r="BD146"/>
      <c r="BE146">
        <v>1</v>
      </c>
      <c r="BF146"/>
      <c r="BG146"/>
      <c r="BH146"/>
      <c r="BI146">
        <v>1</v>
      </c>
      <c r="BJ146"/>
      <c r="BK146">
        <v>1</v>
      </c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9"/>
        <v>0.6582902642664723</v>
      </c>
      <c r="CL146" s="179">
        <f t="shared" si="90"/>
        <v>9</v>
      </c>
      <c r="CM146" s="180">
        <f t="shared" si="91"/>
        <v>39799</v>
      </c>
      <c r="CN146">
        <v>0</v>
      </c>
      <c r="CO146">
        <v>1</v>
      </c>
      <c r="CP146">
        <v>1</v>
      </c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0.16785584878933302</v>
      </c>
      <c r="DD146">
        <f t="shared" si="93"/>
        <v>9</v>
      </c>
      <c r="DE146" s="129">
        <f t="shared" si="167"/>
        <v>39799</v>
      </c>
      <c r="DF146" s="161">
        <f t="shared" si="94"/>
        <v>0</v>
      </c>
      <c r="DG146" s="161">
        <f t="shared" si="95"/>
        <v>57.53391472868217</v>
      </c>
      <c r="DH146" s="161">
        <f t="shared" si="96"/>
        <v>57.53391472868217</v>
      </c>
      <c r="DI146" s="161">
        <f t="shared" si="97"/>
        <v>10.416666666666666</v>
      </c>
      <c r="DJ146" s="161">
        <f t="shared" si="98"/>
        <v>0</v>
      </c>
      <c r="DK146" s="161">
        <f t="shared" si="99"/>
        <v>0</v>
      </c>
      <c r="DL146" s="161">
        <f t="shared" si="100"/>
        <v>0</v>
      </c>
      <c r="DM146" s="161">
        <f t="shared" si="101"/>
        <v>10.416666666666666</v>
      </c>
      <c r="DN146" s="161">
        <f t="shared" si="102"/>
        <v>0</v>
      </c>
      <c r="DO146" s="161">
        <f t="shared" si="103"/>
        <v>10.416666666666666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2"/>
        <v>146.31782945736433</v>
      </c>
      <c r="EL146" s="149"/>
      <c r="EN146" s="146"/>
      <c r="EO146" s="146"/>
      <c r="EP146" s="139" t="e">
        <f t="shared" si="133"/>
        <v>#VALUE!</v>
      </c>
      <c r="EQ146" s="139" t="e">
        <f t="shared" si="134"/>
        <v>#VALUE!</v>
      </c>
      <c r="ER146" s="139" t="e">
        <f t="shared" si="135"/>
        <v>#VALUE!</v>
      </c>
      <c r="ES146" s="139" t="e">
        <f t="shared" si="136"/>
        <v>#VALUE!</v>
      </c>
      <c r="ET146" s="139" t="e">
        <f t="shared" si="137"/>
        <v>#VALUE!</v>
      </c>
      <c r="EU146" s="139" t="e">
        <f t="shared" si="138"/>
        <v>#VALUE!</v>
      </c>
      <c r="EV146" s="139" t="e">
        <f t="shared" si="139"/>
        <v>#VALUE!</v>
      </c>
      <c r="EW146" s="139" t="e">
        <f t="shared" si="140"/>
        <v>#VALUE!</v>
      </c>
      <c r="EX146" s="139" t="e">
        <f t="shared" si="141"/>
        <v>#VALUE!</v>
      </c>
      <c r="EY146" s="139" t="e">
        <f t="shared" si="142"/>
        <v>#VALUE!</v>
      </c>
      <c r="EZ146" s="139" t="e">
        <f t="shared" si="143"/>
        <v>#VALUE!</v>
      </c>
      <c r="FA146" s="139" t="e">
        <f t="shared" si="144"/>
        <v>#VALUE!</v>
      </c>
      <c r="FB146" s="139" t="e">
        <f t="shared" si="145"/>
        <v>#VALUE!</v>
      </c>
      <c r="FC146" s="139" t="e">
        <f t="shared" si="146"/>
        <v>#VALUE!</v>
      </c>
      <c r="FD146" s="139" t="e">
        <f t="shared" si="147"/>
        <v>#VALUE!</v>
      </c>
      <c r="FE146" s="139" t="e">
        <f t="shared" si="148"/>
        <v>#VALUE!</v>
      </c>
      <c r="FF146" s="139" t="e">
        <f t="shared" si="149"/>
        <v>#VALUE!</v>
      </c>
      <c r="FG146" s="139" t="e">
        <f t="shared" si="150"/>
        <v>#VALUE!</v>
      </c>
      <c r="FH146" s="139" t="e">
        <f t="shared" si="151"/>
        <v>#VALUE!</v>
      </c>
      <c r="FI146" s="139" t="e">
        <f t="shared" si="152"/>
        <v>#VALUE!</v>
      </c>
      <c r="FJ146" s="139" t="e">
        <f t="shared" si="153"/>
        <v>#VALUE!</v>
      </c>
      <c r="FK146" s="139" t="e">
        <f t="shared" si="154"/>
        <v>#VALUE!</v>
      </c>
      <c r="FL146" s="139" t="e">
        <f t="shared" si="155"/>
        <v>#VALUE!</v>
      </c>
      <c r="FM146" s="139" t="e">
        <f t="shared" si="156"/>
        <v>#VALUE!</v>
      </c>
      <c r="FN146" s="139" t="e">
        <f t="shared" si="157"/>
        <v>#VALUE!</v>
      </c>
      <c r="FO146" s="139" t="e">
        <f t="shared" si="158"/>
        <v>#VALUE!</v>
      </c>
      <c r="FP146" s="139" t="e">
        <f t="shared" si="159"/>
        <v>#VALUE!</v>
      </c>
      <c r="FQ146" s="139" t="e">
        <f t="shared" si="160"/>
        <v>#VALUE!</v>
      </c>
      <c r="FR146" s="139" t="e">
        <f t="shared" si="161"/>
        <v>#VALUE!</v>
      </c>
      <c r="FS146" s="139" t="e">
        <f t="shared" si="162"/>
        <v>#VALUE!</v>
      </c>
      <c r="FT146" s="139" t="e">
        <f t="shared" si="163"/>
        <v>#VALUE!</v>
      </c>
      <c r="FU146" s="148" t="e">
        <f t="shared" si="164"/>
        <v>#VALUE!</v>
      </c>
      <c r="FV146" s="149"/>
      <c r="FY146" s="211">
        <v>141</v>
      </c>
      <c r="FZ146">
        <v>131.90850554008875</v>
      </c>
      <c r="GA146">
        <v>96.386899690147317</v>
      </c>
      <c r="GB146">
        <v>28.947710246279712</v>
      </c>
      <c r="GC146">
        <v>8.3667073595587347</v>
      </c>
      <c r="GD146">
        <v>2.6652145804906757</v>
      </c>
      <c r="GE146">
        <v>4.7820711557184739</v>
      </c>
      <c r="GF146">
        <v>41.082758891145616</v>
      </c>
      <c r="GG146">
        <v>45.916236410535461</v>
      </c>
      <c r="GH146">
        <v>17.624968985640518</v>
      </c>
      <c r="GI146">
        <v>71.76260120373675</v>
      </c>
      <c r="GJ146"/>
      <c r="GK146"/>
      <c r="GL146"/>
      <c r="GM146"/>
    </row>
    <row r="147" spans="1:195" s="7" customFormat="1">
      <c r="A147" s="1"/>
      <c r="B147" s="76">
        <f t="shared" ca="1" si="131"/>
        <v>0.16072301776581099</v>
      </c>
      <c r="C147">
        <v>5</v>
      </c>
      <c r="D147">
        <v>39799</v>
      </c>
      <c r="E147">
        <v>0</v>
      </c>
      <c r="F147">
        <v>981.5705128205127</v>
      </c>
      <c r="G147">
        <v>560.89743589743591</v>
      </c>
      <c r="H147">
        <v>70.112179487179489</v>
      </c>
      <c r="I147">
        <v>10.416666666666666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1216.0795613608848</v>
      </c>
      <c r="AO147">
        <v>171.70600217272332</v>
      </c>
      <c r="AP147">
        <v>1460.5336586699345</v>
      </c>
      <c r="AQ147">
        <v>465.57864504936026</v>
      </c>
      <c r="AR147">
        <v>166.52933220229684</v>
      </c>
      <c r="AS147">
        <v>1714.565336615829</v>
      </c>
      <c r="AT147">
        <v>79.931637630898308</v>
      </c>
      <c r="AU147">
        <v>282.99154949096322</v>
      </c>
      <c r="AV147"/>
      <c r="AW147"/>
      <c r="AX147" s="146"/>
      <c r="AY147" s="76">
        <f t="shared" ca="1" si="87"/>
        <v>0.26081297887394073</v>
      </c>
      <c r="AZ147">
        <v>10</v>
      </c>
      <c r="BA147" s="129">
        <f t="shared" si="168"/>
        <v>39799</v>
      </c>
      <c r="BB147">
        <v>0</v>
      </c>
      <c r="BC147"/>
      <c r="BD147">
        <v>1</v>
      </c>
      <c r="BE147">
        <v>1</v>
      </c>
      <c r="BF147">
        <v>4</v>
      </c>
      <c r="BG147">
        <v>1</v>
      </c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9"/>
        <v>6.8879000931009182E-2</v>
      </c>
      <c r="CL147" s="179">
        <f t="shared" si="90"/>
        <v>10</v>
      </c>
      <c r="CM147" s="180">
        <f t="shared" si="91"/>
        <v>39799</v>
      </c>
      <c r="CN147">
        <v>0</v>
      </c>
      <c r="CO147">
        <v>10</v>
      </c>
      <c r="CP147">
        <v>24</v>
      </c>
      <c r="CQ147">
        <v>4</v>
      </c>
      <c r="CR147">
        <v>2</v>
      </c>
      <c r="CS147"/>
      <c r="CT147"/>
      <c r="CU147"/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0.65015937682609937</v>
      </c>
      <c r="DD147">
        <f t="shared" si="93"/>
        <v>10</v>
      </c>
      <c r="DE147" s="129">
        <f t="shared" si="167"/>
        <v>39799</v>
      </c>
      <c r="DF147" s="161">
        <f t="shared" si="94"/>
        <v>0</v>
      </c>
      <c r="DG147" s="161">
        <f t="shared" si="95"/>
        <v>104.16666666666667</v>
      </c>
      <c r="DH147" s="161">
        <f t="shared" si="96"/>
        <v>260.41666666666669</v>
      </c>
      <c r="DI147" s="161">
        <f t="shared" si="97"/>
        <v>52.083333333333336</v>
      </c>
      <c r="DJ147" s="161">
        <f t="shared" si="98"/>
        <v>62.5</v>
      </c>
      <c r="DK147" s="161">
        <f t="shared" si="99"/>
        <v>10.416666666666666</v>
      </c>
      <c r="DL147" s="161">
        <f t="shared" si="100"/>
        <v>0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2"/>
        <v>489.58333333333337</v>
      </c>
      <c r="EL147" s="149"/>
      <c r="EN147" s="146"/>
      <c r="EO147" s="146"/>
      <c r="EP147" s="139" t="e">
        <f t="shared" si="133"/>
        <v>#VALUE!</v>
      </c>
      <c r="EQ147" s="139" t="e">
        <f t="shared" si="134"/>
        <v>#VALUE!</v>
      </c>
      <c r="ER147" s="139" t="e">
        <f t="shared" si="135"/>
        <v>#VALUE!</v>
      </c>
      <c r="ES147" s="139" t="e">
        <f t="shared" si="136"/>
        <v>#VALUE!</v>
      </c>
      <c r="ET147" s="139" t="e">
        <f t="shared" si="137"/>
        <v>#VALUE!</v>
      </c>
      <c r="EU147" s="139" t="e">
        <f t="shared" si="138"/>
        <v>#VALUE!</v>
      </c>
      <c r="EV147" s="139" t="e">
        <f t="shared" si="139"/>
        <v>#VALUE!</v>
      </c>
      <c r="EW147" s="139" t="e">
        <f t="shared" si="140"/>
        <v>#VALUE!</v>
      </c>
      <c r="EX147" s="139" t="e">
        <f t="shared" si="141"/>
        <v>#VALUE!</v>
      </c>
      <c r="EY147" s="139" t="e">
        <f t="shared" si="142"/>
        <v>#VALUE!</v>
      </c>
      <c r="EZ147" s="139" t="e">
        <f t="shared" si="143"/>
        <v>#VALUE!</v>
      </c>
      <c r="FA147" s="139" t="e">
        <f t="shared" si="144"/>
        <v>#VALUE!</v>
      </c>
      <c r="FB147" s="139" t="e">
        <f t="shared" si="145"/>
        <v>#VALUE!</v>
      </c>
      <c r="FC147" s="139" t="e">
        <f t="shared" si="146"/>
        <v>#VALUE!</v>
      </c>
      <c r="FD147" s="139" t="e">
        <f t="shared" si="147"/>
        <v>#VALUE!</v>
      </c>
      <c r="FE147" s="139" t="e">
        <f t="shared" si="148"/>
        <v>#VALUE!</v>
      </c>
      <c r="FF147" s="139" t="e">
        <f t="shared" si="149"/>
        <v>#VALUE!</v>
      </c>
      <c r="FG147" s="139" t="e">
        <f t="shared" si="150"/>
        <v>#VALUE!</v>
      </c>
      <c r="FH147" s="139" t="e">
        <f t="shared" si="151"/>
        <v>#VALUE!</v>
      </c>
      <c r="FI147" s="139" t="e">
        <f t="shared" si="152"/>
        <v>#VALUE!</v>
      </c>
      <c r="FJ147" s="139" t="e">
        <f t="shared" si="153"/>
        <v>#VALUE!</v>
      </c>
      <c r="FK147" s="139" t="e">
        <f t="shared" si="154"/>
        <v>#VALUE!</v>
      </c>
      <c r="FL147" s="139" t="e">
        <f t="shared" si="155"/>
        <v>#VALUE!</v>
      </c>
      <c r="FM147" s="139" t="e">
        <f t="shared" si="156"/>
        <v>#VALUE!</v>
      </c>
      <c r="FN147" s="139" t="e">
        <f t="shared" si="157"/>
        <v>#VALUE!</v>
      </c>
      <c r="FO147" s="139" t="e">
        <f t="shared" si="158"/>
        <v>#VALUE!</v>
      </c>
      <c r="FP147" s="139" t="e">
        <f t="shared" si="159"/>
        <v>#VALUE!</v>
      </c>
      <c r="FQ147" s="139" t="e">
        <f t="shared" si="160"/>
        <v>#VALUE!</v>
      </c>
      <c r="FR147" s="139" t="e">
        <f t="shared" si="161"/>
        <v>#VALUE!</v>
      </c>
      <c r="FS147" s="139" t="e">
        <f t="shared" si="162"/>
        <v>#VALUE!</v>
      </c>
      <c r="FT147" s="139" t="e">
        <f t="shared" si="163"/>
        <v>#VALUE!</v>
      </c>
      <c r="FU147" s="148" t="e">
        <f t="shared" si="164"/>
        <v>#VALUE!</v>
      </c>
      <c r="FV147" s="149"/>
      <c r="FY147" s="211">
        <v>142</v>
      </c>
      <c r="FZ147">
        <v>129.76393935036842</v>
      </c>
      <c r="GA147">
        <v>107.66820758440619</v>
      </c>
      <c r="GB147">
        <v>34.185220330019519</v>
      </c>
      <c r="GC147">
        <v>9.8983227653716845</v>
      </c>
      <c r="GD147">
        <v>3.5919199976783753</v>
      </c>
      <c r="GE147">
        <v>3.6896869965253849</v>
      </c>
      <c r="GF147">
        <v>28.941699267021065</v>
      </c>
      <c r="GG147">
        <v>38.655993869092498</v>
      </c>
      <c r="GH147">
        <v>30.165697887522082</v>
      </c>
      <c r="GI147">
        <v>80.41663249348052</v>
      </c>
      <c r="GJ147"/>
      <c r="GK147"/>
      <c r="GL147"/>
      <c r="GM147"/>
    </row>
    <row r="148" spans="1:195" s="7" customFormat="1">
      <c r="A148" s="128"/>
      <c r="B148" s="76" t="str">
        <f t="shared" ca="1" si="131"/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1106.4174006846335</v>
      </c>
      <c r="AO148">
        <v>155.46791893717409</v>
      </c>
      <c r="AP148">
        <v>1362.5020574094287</v>
      </c>
      <c r="AQ148">
        <v>403.55188141254865</v>
      </c>
      <c r="AR148">
        <v>149.03520171371943</v>
      </c>
      <c r="AS148">
        <v>1590.9694645981028</v>
      </c>
      <c r="AT148">
        <v>72.985199456658052</v>
      </c>
      <c r="AU148">
        <v>228.2267591905449</v>
      </c>
      <c r="AV148"/>
      <c r="AW148"/>
      <c r="AX148" s="128"/>
      <c r="AY148" s="76">
        <f t="shared" ca="1" si="87"/>
        <v>0.18904824660068531</v>
      </c>
      <c r="AZ148">
        <v>1</v>
      </c>
      <c r="BA148" s="129">
        <f>IF(AZ148="", "",$C$10)</f>
        <v>39847</v>
      </c>
      <c r="BB148">
        <v>0</v>
      </c>
      <c r="BC148"/>
      <c r="BD148">
        <v>3</v>
      </c>
      <c r="BE148">
        <v>2</v>
      </c>
      <c r="BF148">
        <v>5</v>
      </c>
      <c r="BG148">
        <v>2</v>
      </c>
      <c r="BH148">
        <v>1</v>
      </c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9"/>
        <v>0.83426057110261886</v>
      </c>
      <c r="CL148" s="179">
        <f t="shared" si="90"/>
        <v>1</v>
      </c>
      <c r="CM148" s="180">
        <f t="shared" si="91"/>
        <v>39847</v>
      </c>
      <c r="CN148">
        <v>0</v>
      </c>
      <c r="CO148">
        <v>7</v>
      </c>
      <c r="CP148">
        <v>12</v>
      </c>
      <c r="CQ148">
        <v>6</v>
      </c>
      <c r="CR148">
        <v>3</v>
      </c>
      <c r="CS148"/>
      <c r="CT148"/>
      <c r="CU148"/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0.26485677411129838</v>
      </c>
      <c r="DD148">
        <f t="shared" si="93"/>
        <v>1</v>
      </c>
      <c r="DE148" s="129">
        <f t="shared" ref="DE148:DE157" si="169">IF((DD148)="", "", $C$10)</f>
        <v>39847</v>
      </c>
      <c r="DF148" s="161">
        <f t="shared" si="94"/>
        <v>0</v>
      </c>
      <c r="DG148" s="161">
        <f t="shared" si="95"/>
        <v>72.916666666666671</v>
      </c>
      <c r="DH148" s="161">
        <f t="shared" si="96"/>
        <v>156.25</v>
      </c>
      <c r="DI148" s="161">
        <f t="shared" si="97"/>
        <v>83.333333333333329</v>
      </c>
      <c r="DJ148" s="161">
        <f t="shared" si="98"/>
        <v>83.333333333333329</v>
      </c>
      <c r="DK148" s="161">
        <f t="shared" si="99"/>
        <v>20.833333333333332</v>
      </c>
      <c r="DL148" s="161">
        <f t="shared" si="100"/>
        <v>10.416666666666666</v>
      </c>
      <c r="DM148" s="161">
        <f t="shared" si="101"/>
        <v>0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2"/>
        <v>427.08333333333331</v>
      </c>
      <c r="EL148" s="149"/>
      <c r="EN148" s="146"/>
      <c r="EO148" s="146"/>
      <c r="EP148" s="139" t="e">
        <f t="shared" si="133"/>
        <v>#VALUE!</v>
      </c>
      <c r="EQ148" s="139" t="e">
        <f t="shared" si="134"/>
        <v>#VALUE!</v>
      </c>
      <c r="ER148" s="139" t="e">
        <f t="shared" si="135"/>
        <v>#VALUE!</v>
      </c>
      <c r="ES148" s="139" t="e">
        <f t="shared" si="136"/>
        <v>#VALUE!</v>
      </c>
      <c r="ET148" s="139" t="e">
        <f t="shared" si="137"/>
        <v>#VALUE!</v>
      </c>
      <c r="EU148" s="139" t="e">
        <f t="shared" si="138"/>
        <v>#VALUE!</v>
      </c>
      <c r="EV148" s="139" t="e">
        <f t="shared" si="139"/>
        <v>#VALUE!</v>
      </c>
      <c r="EW148" s="139" t="e">
        <f t="shared" si="140"/>
        <v>#VALUE!</v>
      </c>
      <c r="EX148" s="139" t="e">
        <f t="shared" si="141"/>
        <v>#VALUE!</v>
      </c>
      <c r="EY148" s="139" t="e">
        <f t="shared" si="142"/>
        <v>#VALUE!</v>
      </c>
      <c r="EZ148" s="139" t="e">
        <f t="shared" si="143"/>
        <v>#VALUE!</v>
      </c>
      <c r="FA148" s="139" t="e">
        <f t="shared" si="144"/>
        <v>#VALUE!</v>
      </c>
      <c r="FB148" s="139" t="e">
        <f t="shared" si="145"/>
        <v>#VALUE!</v>
      </c>
      <c r="FC148" s="139" t="e">
        <f t="shared" si="146"/>
        <v>#VALUE!</v>
      </c>
      <c r="FD148" s="139" t="e">
        <f t="shared" si="147"/>
        <v>#VALUE!</v>
      </c>
      <c r="FE148" s="139" t="e">
        <f t="shared" si="148"/>
        <v>#VALUE!</v>
      </c>
      <c r="FF148" s="139" t="e">
        <f t="shared" si="149"/>
        <v>#VALUE!</v>
      </c>
      <c r="FG148" s="139" t="e">
        <f t="shared" si="150"/>
        <v>#VALUE!</v>
      </c>
      <c r="FH148" s="139" t="e">
        <f t="shared" si="151"/>
        <v>#VALUE!</v>
      </c>
      <c r="FI148" s="139" t="e">
        <f t="shared" si="152"/>
        <v>#VALUE!</v>
      </c>
      <c r="FJ148" s="139" t="e">
        <f t="shared" si="153"/>
        <v>#VALUE!</v>
      </c>
      <c r="FK148" s="139" t="e">
        <f t="shared" si="154"/>
        <v>#VALUE!</v>
      </c>
      <c r="FL148" s="139" t="e">
        <f t="shared" si="155"/>
        <v>#VALUE!</v>
      </c>
      <c r="FM148" s="139" t="e">
        <f t="shared" si="156"/>
        <v>#VALUE!</v>
      </c>
      <c r="FN148" s="139" t="e">
        <f t="shared" si="157"/>
        <v>#VALUE!</v>
      </c>
      <c r="FO148" s="139" t="e">
        <f t="shared" si="158"/>
        <v>#VALUE!</v>
      </c>
      <c r="FP148" s="139" t="e">
        <f t="shared" si="159"/>
        <v>#VALUE!</v>
      </c>
      <c r="FQ148" s="139" t="e">
        <f t="shared" si="160"/>
        <v>#VALUE!</v>
      </c>
      <c r="FR148" s="139" t="e">
        <f t="shared" si="161"/>
        <v>#VALUE!</v>
      </c>
      <c r="FS148" s="139" t="e">
        <f t="shared" si="162"/>
        <v>#VALUE!</v>
      </c>
      <c r="FT148" s="139" t="e">
        <f t="shared" si="163"/>
        <v>#VALUE!</v>
      </c>
      <c r="FU148" s="148" t="e">
        <f t="shared" si="164"/>
        <v>#VALUE!</v>
      </c>
      <c r="FV148" s="149"/>
      <c r="FY148" s="211">
        <v>143</v>
      </c>
      <c r="FZ148">
        <v>131.05489551608386</v>
      </c>
      <c r="GA148">
        <v>99.674374435775945</v>
      </c>
      <c r="GB148">
        <v>28.140605448519771</v>
      </c>
      <c r="GC148">
        <v>6.6654741950971577</v>
      </c>
      <c r="GD148">
        <v>3.1435451857053121</v>
      </c>
      <c r="GE148">
        <v>5.0513281756570789</v>
      </c>
      <c r="GF148">
        <v>34.342072870265326</v>
      </c>
      <c r="GG148">
        <v>43.489252848350162</v>
      </c>
      <c r="GH148">
        <v>29.810738411955782</v>
      </c>
      <c r="GI148">
        <v>75.960975915160958</v>
      </c>
      <c r="GJ148"/>
      <c r="GK148"/>
      <c r="GL148"/>
      <c r="GM148"/>
    </row>
    <row r="149" spans="1:195" s="7" customFormat="1">
      <c r="A149" s="77"/>
      <c r="B149" s="76" t="str">
        <f t="shared" ca="1" si="131"/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1083.4585748338773</v>
      </c>
      <c r="AO149">
        <v>153.5455630539017</v>
      </c>
      <c r="AP149">
        <v>1370.5614412576219</v>
      </c>
      <c r="AQ149">
        <v>484.58111473639792</v>
      </c>
      <c r="AR149">
        <v>150.07169582206828</v>
      </c>
      <c r="AS149">
        <v>1516.1240145210834</v>
      </c>
      <c r="AT149">
        <v>72.120868966871157</v>
      </c>
      <c r="AU149">
        <v>120.30982548883611</v>
      </c>
      <c r="AV149"/>
      <c r="AW149"/>
      <c r="AX149" s="151"/>
      <c r="AY149" s="76">
        <f t="shared" ca="1" si="87"/>
        <v>0.24237098107116983</v>
      </c>
      <c r="AZ149">
        <v>2</v>
      </c>
      <c r="BA149" s="129">
        <f t="shared" ref="BA149:BA157" si="170">IF(AZ149="", "",$C$10)</f>
        <v>39847</v>
      </c>
      <c r="BB149">
        <v>0</v>
      </c>
      <c r="BC149"/>
      <c r="BD149">
        <v>1</v>
      </c>
      <c r="BE149">
        <v>2</v>
      </c>
      <c r="BF149">
        <v>1</v>
      </c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9"/>
        <v>0.86435689713197139</v>
      </c>
      <c r="CL149" s="179">
        <f t="shared" si="90"/>
        <v>2</v>
      </c>
      <c r="CM149" s="180">
        <f t="shared" si="91"/>
        <v>39847</v>
      </c>
      <c r="CN149">
        <v>0</v>
      </c>
      <c r="CO149">
        <v>5</v>
      </c>
      <c r="CP149">
        <v>3</v>
      </c>
      <c r="CQ149"/>
      <c r="CR149">
        <v>1</v>
      </c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0.66001094196150012</v>
      </c>
      <c r="DD149">
        <f t="shared" si="93"/>
        <v>2</v>
      </c>
      <c r="DE149" s="129">
        <f t="shared" si="169"/>
        <v>39847</v>
      </c>
      <c r="DF149" s="161">
        <f t="shared" si="94"/>
        <v>0</v>
      </c>
      <c r="DG149" s="161">
        <f t="shared" si="95"/>
        <v>569.66145833333337</v>
      </c>
      <c r="DH149" s="161">
        <f t="shared" si="96"/>
        <v>376.51909722222223</v>
      </c>
      <c r="DI149" s="161">
        <f t="shared" si="97"/>
        <v>69.444444444444443</v>
      </c>
      <c r="DJ149" s="161">
        <f t="shared" si="98"/>
        <v>148.65451388888889</v>
      </c>
      <c r="DK149" s="161">
        <f t="shared" si="99"/>
        <v>0</v>
      </c>
      <c r="DL149" s="161">
        <f t="shared" si="100"/>
        <v>0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2"/>
        <v>1164.2795138888889</v>
      </c>
      <c r="EL149" s="149"/>
      <c r="EN149" s="151"/>
      <c r="EO149" s="151"/>
      <c r="EP149" s="139" t="e">
        <f t="shared" si="133"/>
        <v>#VALUE!</v>
      </c>
      <c r="EQ149" s="139" t="e">
        <f t="shared" si="134"/>
        <v>#VALUE!</v>
      </c>
      <c r="ER149" s="139" t="e">
        <f t="shared" si="135"/>
        <v>#VALUE!</v>
      </c>
      <c r="ES149" s="139" t="e">
        <f t="shared" si="136"/>
        <v>#VALUE!</v>
      </c>
      <c r="ET149" s="139" t="e">
        <f t="shared" si="137"/>
        <v>#VALUE!</v>
      </c>
      <c r="EU149" s="139" t="e">
        <f t="shared" si="138"/>
        <v>#VALUE!</v>
      </c>
      <c r="EV149" s="139" t="e">
        <f t="shared" si="139"/>
        <v>#VALUE!</v>
      </c>
      <c r="EW149" s="139" t="e">
        <f t="shared" si="140"/>
        <v>#VALUE!</v>
      </c>
      <c r="EX149" s="139" t="e">
        <f t="shared" si="141"/>
        <v>#VALUE!</v>
      </c>
      <c r="EY149" s="139" t="e">
        <f t="shared" si="142"/>
        <v>#VALUE!</v>
      </c>
      <c r="EZ149" s="139" t="e">
        <f t="shared" si="143"/>
        <v>#VALUE!</v>
      </c>
      <c r="FA149" s="139" t="e">
        <f t="shared" si="144"/>
        <v>#VALUE!</v>
      </c>
      <c r="FB149" s="139" t="e">
        <f t="shared" si="145"/>
        <v>#VALUE!</v>
      </c>
      <c r="FC149" s="139" t="e">
        <f t="shared" si="146"/>
        <v>#VALUE!</v>
      </c>
      <c r="FD149" s="139" t="e">
        <f t="shared" si="147"/>
        <v>#VALUE!</v>
      </c>
      <c r="FE149" s="139" t="e">
        <f t="shared" si="148"/>
        <v>#VALUE!</v>
      </c>
      <c r="FF149" s="139" t="e">
        <f t="shared" si="149"/>
        <v>#VALUE!</v>
      </c>
      <c r="FG149" s="139" t="e">
        <f t="shared" si="150"/>
        <v>#VALUE!</v>
      </c>
      <c r="FH149" s="139" t="e">
        <f t="shared" si="151"/>
        <v>#VALUE!</v>
      </c>
      <c r="FI149" s="139" t="e">
        <f t="shared" si="152"/>
        <v>#VALUE!</v>
      </c>
      <c r="FJ149" s="139" t="e">
        <f t="shared" si="153"/>
        <v>#VALUE!</v>
      </c>
      <c r="FK149" s="139" t="e">
        <f t="shared" si="154"/>
        <v>#VALUE!</v>
      </c>
      <c r="FL149" s="139" t="e">
        <f t="shared" si="155"/>
        <v>#VALUE!</v>
      </c>
      <c r="FM149" s="139" t="e">
        <f t="shared" si="156"/>
        <v>#VALUE!</v>
      </c>
      <c r="FN149" s="139" t="e">
        <f t="shared" si="157"/>
        <v>#VALUE!</v>
      </c>
      <c r="FO149" s="139" t="e">
        <f t="shared" si="158"/>
        <v>#VALUE!</v>
      </c>
      <c r="FP149" s="139" t="e">
        <f t="shared" si="159"/>
        <v>#VALUE!</v>
      </c>
      <c r="FQ149" s="139" t="e">
        <f t="shared" si="160"/>
        <v>#VALUE!</v>
      </c>
      <c r="FR149" s="139" t="e">
        <f t="shared" si="161"/>
        <v>#VALUE!</v>
      </c>
      <c r="FS149" s="139" t="e">
        <f t="shared" si="162"/>
        <v>#VALUE!</v>
      </c>
      <c r="FT149" s="139" t="e">
        <f t="shared" si="163"/>
        <v>#VALUE!</v>
      </c>
      <c r="FU149" s="148" t="e">
        <f t="shared" si="164"/>
        <v>#VALUE!</v>
      </c>
      <c r="FV149" s="149"/>
      <c r="FY149" s="211">
        <v>144</v>
      </c>
      <c r="FZ149">
        <v>129.77930022281862</v>
      </c>
      <c r="GA149">
        <v>78.743658170958071</v>
      </c>
      <c r="GB149">
        <v>32.403161416214772</v>
      </c>
      <c r="GC149">
        <v>7.5970573781087509</v>
      </c>
      <c r="GD149">
        <v>3.8240097994277522</v>
      </c>
      <c r="GE149">
        <v>6.9883598686141042</v>
      </c>
      <c r="GF149">
        <v>47.430943672053417</v>
      </c>
      <c r="GG149">
        <v>56.944566988670474</v>
      </c>
      <c r="GH149">
        <v>22.008865274152978</v>
      </c>
      <c r="GI149">
        <v>77.703571685934207</v>
      </c>
      <c r="GJ149"/>
      <c r="GK149"/>
      <c r="GL149"/>
      <c r="GM149"/>
    </row>
    <row r="150" spans="1:195" s="7" customFormat="1">
      <c r="A150" s="77"/>
      <c r="B150" s="76">
        <f t="shared" ca="1" si="131"/>
        <v>6.2249279143519631E-2</v>
      </c>
      <c r="C150">
        <v>8</v>
      </c>
      <c r="D150">
        <v>39847</v>
      </c>
      <c r="E150">
        <v>0</v>
      </c>
      <c r="F150">
        <v>138.88888888888889</v>
      </c>
      <c r="G150">
        <v>69.444444444444443</v>
      </c>
      <c r="H150">
        <v>180.55555555555557</v>
      </c>
      <c r="I150">
        <v>52.083333333333336</v>
      </c>
      <c r="J150">
        <v>72.916666666666671</v>
      </c>
      <c r="K150">
        <v>31.25</v>
      </c>
      <c r="L150">
        <v>10.416666666666666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887.20596258306671</v>
      </c>
      <c r="AO150">
        <v>133.93199020071626</v>
      </c>
      <c r="AP150">
        <v>1129.526923764457</v>
      </c>
      <c r="AQ150">
        <v>357.464092846391</v>
      </c>
      <c r="AR150">
        <v>129.37997968947138</v>
      </c>
      <c r="AS150">
        <v>1373.5587892162916</v>
      </c>
      <c r="AT150">
        <v>65.992547592719774</v>
      </c>
      <c r="AU150">
        <v>59.549095718947243</v>
      </c>
      <c r="AV150"/>
      <c r="AW150"/>
      <c r="AX150" s="151"/>
      <c r="AY150" s="76"/>
      <c r="AZ150"/>
      <c r="BA150" s="129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/>
      <c r="CL150" s="179"/>
      <c r="CM150" s="180"/>
      <c r="CN150"/>
      <c r="CO150"/>
      <c r="CP150"/>
      <c r="CQ150"/>
      <c r="CR150"/>
      <c r="CS150"/>
      <c r="CT150"/>
      <c r="CU150"/>
      <c r="CV150" s="160"/>
      <c r="CW150"/>
      <c r="CX150"/>
      <c r="CY150" s="160"/>
      <c r="CZ150" s="177" t="str">
        <f t="shared" si="92"/>
        <v/>
      </c>
      <c r="DB150" s="151"/>
      <c r="DC150" s="76" t="str">
        <f t="shared" ca="1" si="50"/>
        <v/>
      </c>
      <c r="DD150" t="str">
        <f t="shared" si="93"/>
        <v/>
      </c>
      <c r="DE150" s="129" t="str">
        <f t="shared" si="169"/>
        <v/>
      </c>
      <c r="DF150" s="161" t="str">
        <f t="shared" si="94"/>
        <v/>
      </c>
      <c r="DG150" s="161" t="str">
        <f t="shared" si="95"/>
        <v/>
      </c>
      <c r="DH150" s="161" t="str">
        <f t="shared" si="96"/>
        <v/>
      </c>
      <c r="DI150" s="161" t="str">
        <f t="shared" si="97"/>
        <v/>
      </c>
      <c r="DJ150" s="161" t="str">
        <f t="shared" si="98"/>
        <v/>
      </c>
      <c r="DK150" s="161" t="str">
        <f t="shared" si="99"/>
        <v/>
      </c>
      <c r="DL150" s="161" t="str">
        <f t="shared" si="100"/>
        <v/>
      </c>
      <c r="DM150" s="161" t="str">
        <f t="shared" si="101"/>
        <v/>
      </c>
      <c r="DN150" s="161" t="str">
        <f t="shared" si="102"/>
        <v/>
      </c>
      <c r="DO150" s="161" t="str">
        <f t="shared" si="103"/>
        <v/>
      </c>
      <c r="DP150" s="161" t="str">
        <f t="shared" si="104"/>
        <v/>
      </c>
      <c r="DQ150" s="161" t="str">
        <f t="shared" si="105"/>
        <v/>
      </c>
      <c r="DR150" s="161" t="str">
        <f t="shared" si="106"/>
        <v/>
      </c>
      <c r="DS150" s="161" t="str">
        <f t="shared" si="107"/>
        <v/>
      </c>
      <c r="DT150" s="161" t="str">
        <f t="shared" si="108"/>
        <v/>
      </c>
      <c r="DU150" s="161" t="str">
        <f t="shared" si="109"/>
        <v/>
      </c>
      <c r="DV150" s="161" t="str">
        <f t="shared" si="110"/>
        <v/>
      </c>
      <c r="DW150" s="161" t="str">
        <f t="shared" si="111"/>
        <v/>
      </c>
      <c r="DX150" s="161" t="str">
        <f t="shared" si="112"/>
        <v/>
      </c>
      <c r="DY150" s="161" t="str">
        <f t="shared" si="113"/>
        <v/>
      </c>
      <c r="DZ150" s="161" t="str">
        <f t="shared" si="114"/>
        <v/>
      </c>
      <c r="EA150" s="161" t="str">
        <f t="shared" si="115"/>
        <v/>
      </c>
      <c r="EB150" s="161" t="str">
        <f t="shared" si="116"/>
        <v/>
      </c>
      <c r="EC150" s="161" t="str">
        <f t="shared" si="117"/>
        <v/>
      </c>
      <c r="ED150" s="161" t="str">
        <f t="shared" si="118"/>
        <v/>
      </c>
      <c r="EE150" s="161" t="str">
        <f t="shared" si="119"/>
        <v/>
      </c>
      <c r="EF150" s="161" t="str">
        <f t="shared" si="120"/>
        <v/>
      </c>
      <c r="EG150" s="161" t="str">
        <f t="shared" si="121"/>
        <v/>
      </c>
      <c r="EH150" s="161" t="str">
        <f t="shared" si="122"/>
        <v/>
      </c>
      <c r="EI150" s="161" t="str">
        <f t="shared" si="123"/>
        <v/>
      </c>
      <c r="EJ150" s="161" t="str">
        <f t="shared" si="124"/>
        <v/>
      </c>
      <c r="EK150" s="147" t="str">
        <f t="shared" si="132"/>
        <v/>
      </c>
      <c r="EL150" s="149"/>
      <c r="EN150" s="151"/>
      <c r="EO150" s="151"/>
      <c r="EP150" s="139" t="str">
        <f t="shared" si="133"/>
        <v/>
      </c>
      <c r="EQ150" s="139" t="str">
        <f t="shared" si="134"/>
        <v/>
      </c>
      <c r="ER150" s="139" t="str">
        <f t="shared" si="135"/>
        <v/>
      </c>
      <c r="ES150" s="139" t="str">
        <f t="shared" si="136"/>
        <v/>
      </c>
      <c r="ET150" s="139" t="str">
        <f t="shared" si="137"/>
        <v/>
      </c>
      <c r="EU150" s="139" t="str">
        <f t="shared" si="138"/>
        <v/>
      </c>
      <c r="EV150" s="139" t="str">
        <f t="shared" si="139"/>
        <v/>
      </c>
      <c r="EW150" s="139" t="str">
        <f t="shared" si="140"/>
        <v/>
      </c>
      <c r="EX150" s="139" t="str">
        <f t="shared" si="141"/>
        <v/>
      </c>
      <c r="EY150" s="139" t="str">
        <f t="shared" si="142"/>
        <v/>
      </c>
      <c r="EZ150" s="139" t="str">
        <f t="shared" si="143"/>
        <v/>
      </c>
      <c r="FA150" s="139" t="str">
        <f t="shared" si="144"/>
        <v/>
      </c>
      <c r="FB150" s="139" t="str">
        <f t="shared" si="145"/>
        <v/>
      </c>
      <c r="FC150" s="139" t="str">
        <f t="shared" si="146"/>
        <v/>
      </c>
      <c r="FD150" s="139" t="str">
        <f t="shared" si="147"/>
        <v/>
      </c>
      <c r="FE150" s="139" t="str">
        <f t="shared" si="148"/>
        <v/>
      </c>
      <c r="FF150" s="139" t="str">
        <f t="shared" si="149"/>
        <v/>
      </c>
      <c r="FG150" s="139" t="str">
        <f t="shared" si="150"/>
        <v/>
      </c>
      <c r="FH150" s="139" t="str">
        <f t="shared" si="151"/>
        <v/>
      </c>
      <c r="FI150" s="139" t="str">
        <f t="shared" si="152"/>
        <v/>
      </c>
      <c r="FJ150" s="139" t="str">
        <f t="shared" si="153"/>
        <v/>
      </c>
      <c r="FK150" s="139" t="str">
        <f t="shared" si="154"/>
        <v/>
      </c>
      <c r="FL150" s="139" t="str">
        <f t="shared" si="155"/>
        <v/>
      </c>
      <c r="FM150" s="139" t="str">
        <f t="shared" si="156"/>
        <v/>
      </c>
      <c r="FN150" s="139" t="str">
        <f t="shared" si="157"/>
        <v/>
      </c>
      <c r="FO150" s="139" t="str">
        <f t="shared" si="158"/>
        <v/>
      </c>
      <c r="FP150" s="139" t="str">
        <f t="shared" si="159"/>
        <v/>
      </c>
      <c r="FQ150" s="139" t="str">
        <f t="shared" si="160"/>
        <v/>
      </c>
      <c r="FR150" s="139" t="str">
        <f t="shared" si="161"/>
        <v/>
      </c>
      <c r="FS150" s="139" t="str">
        <f t="shared" si="162"/>
        <v/>
      </c>
      <c r="FT150" s="139" t="str">
        <f t="shared" si="163"/>
        <v/>
      </c>
      <c r="FU150" s="148" t="str">
        <f t="shared" si="164"/>
        <v/>
      </c>
      <c r="FV150" s="149"/>
      <c r="FY150" s="211">
        <v>145</v>
      </c>
      <c r="FZ150">
        <v>160.6062360543535</v>
      </c>
      <c r="GA150">
        <v>122.82266837403445</v>
      </c>
      <c r="GB150">
        <v>34.352793552574425</v>
      </c>
      <c r="GC150">
        <v>9.8023522451375715</v>
      </c>
      <c r="GD150">
        <v>3.0924948852594367</v>
      </c>
      <c r="GE150">
        <v>4.8141581511595035</v>
      </c>
      <c r="GF150">
        <v>14.518446078634257</v>
      </c>
      <c r="GG150">
        <v>19.651739810569399</v>
      </c>
      <c r="GH150">
        <v>30.894938996570001</v>
      </c>
      <c r="GI150">
        <v>80.031628589396362</v>
      </c>
      <c r="GJ150"/>
      <c r="GK150"/>
      <c r="GL150"/>
      <c r="GM150"/>
    </row>
    <row r="151" spans="1:195" s="7" customFormat="1">
      <c r="A151" s="77"/>
      <c r="B151" s="76">
        <f t="shared" ca="1" si="131"/>
        <v>0.21504963867293081</v>
      </c>
      <c r="C151">
        <v>1</v>
      </c>
      <c r="D151">
        <v>39847</v>
      </c>
      <c r="E151">
        <v>0</v>
      </c>
      <c r="F151">
        <v>72.916666666666671</v>
      </c>
      <c r="G151">
        <v>156.25</v>
      </c>
      <c r="H151">
        <v>83.333333333333329</v>
      </c>
      <c r="I151">
        <v>83.333333333333329</v>
      </c>
      <c r="J151">
        <v>20.833333333333332</v>
      </c>
      <c r="K151">
        <v>10.416666666666666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1057.4392877238265</v>
      </c>
      <c r="AO151">
        <v>153.81116898612362</v>
      </c>
      <c r="AP151">
        <v>1192.1468578321028</v>
      </c>
      <c r="AQ151">
        <v>435.13378204279149</v>
      </c>
      <c r="AR151">
        <v>149.87657787702292</v>
      </c>
      <c r="AS151">
        <v>1574.1958826474267</v>
      </c>
      <c r="AT151">
        <v>71.415380279758949</v>
      </c>
      <c r="AU151">
        <v>67.289426172310669</v>
      </c>
      <c r="AV151"/>
      <c r="AW151"/>
      <c r="AX151" s="151"/>
      <c r="AY151" s="76"/>
      <c r="AZ151"/>
      <c r="BA151" s="129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/>
      <c r="CL151" s="179"/>
      <c r="CM151" s="180"/>
      <c r="CN151"/>
      <c r="CO151"/>
      <c r="CP151"/>
      <c r="CQ151"/>
      <c r="CR151"/>
      <c r="CS151"/>
      <c r="CT151"/>
      <c r="CU151"/>
      <c r="CV151" s="160"/>
      <c r="CW151"/>
      <c r="CX151"/>
      <c r="CY151" s="160"/>
      <c r="CZ151" s="177" t="str">
        <f t="shared" si="92"/>
        <v/>
      </c>
      <c r="DB151" s="151"/>
      <c r="DC151" s="76" t="str">
        <f t="shared" ca="1" si="50"/>
        <v/>
      </c>
      <c r="DD151" t="str">
        <f t="shared" si="93"/>
        <v/>
      </c>
      <c r="DE151" s="129" t="str">
        <f t="shared" si="169"/>
        <v/>
      </c>
      <c r="DF151" s="161" t="str">
        <f t="shared" si="94"/>
        <v/>
      </c>
      <c r="DG151" s="161" t="str">
        <f t="shared" si="95"/>
        <v/>
      </c>
      <c r="DH151" s="161" t="str">
        <f t="shared" si="96"/>
        <v/>
      </c>
      <c r="DI151" s="161" t="str">
        <f t="shared" si="97"/>
        <v/>
      </c>
      <c r="DJ151" s="161" t="str">
        <f t="shared" si="98"/>
        <v/>
      </c>
      <c r="DK151" s="161" t="str">
        <f t="shared" si="99"/>
        <v/>
      </c>
      <c r="DL151" s="161" t="str">
        <f t="shared" si="100"/>
        <v/>
      </c>
      <c r="DM151" s="161" t="str">
        <f t="shared" si="101"/>
        <v/>
      </c>
      <c r="DN151" s="161" t="str">
        <f t="shared" si="102"/>
        <v/>
      </c>
      <c r="DO151" s="161" t="str">
        <f t="shared" si="103"/>
        <v/>
      </c>
      <c r="DP151" s="161" t="str">
        <f t="shared" si="104"/>
        <v/>
      </c>
      <c r="DQ151" s="161" t="str">
        <f t="shared" si="105"/>
        <v/>
      </c>
      <c r="DR151" s="161" t="str">
        <f t="shared" si="106"/>
        <v/>
      </c>
      <c r="DS151" s="161" t="str">
        <f t="shared" si="107"/>
        <v/>
      </c>
      <c r="DT151" s="161" t="str">
        <f t="shared" si="108"/>
        <v/>
      </c>
      <c r="DU151" s="161" t="str">
        <f t="shared" si="109"/>
        <v/>
      </c>
      <c r="DV151" s="161" t="str">
        <f t="shared" si="110"/>
        <v/>
      </c>
      <c r="DW151" s="161" t="str">
        <f t="shared" si="111"/>
        <v/>
      </c>
      <c r="DX151" s="161" t="str">
        <f t="shared" si="112"/>
        <v/>
      </c>
      <c r="DY151" s="161" t="str">
        <f t="shared" si="113"/>
        <v/>
      </c>
      <c r="DZ151" s="161" t="str">
        <f t="shared" si="114"/>
        <v/>
      </c>
      <c r="EA151" s="161" t="str">
        <f t="shared" si="115"/>
        <v/>
      </c>
      <c r="EB151" s="161" t="str">
        <f t="shared" si="116"/>
        <v/>
      </c>
      <c r="EC151" s="161" t="str">
        <f t="shared" si="117"/>
        <v/>
      </c>
      <c r="ED151" s="161" t="str">
        <f t="shared" si="118"/>
        <v/>
      </c>
      <c r="EE151" s="161" t="str">
        <f t="shared" si="119"/>
        <v/>
      </c>
      <c r="EF151" s="161" t="str">
        <f t="shared" si="120"/>
        <v/>
      </c>
      <c r="EG151" s="161" t="str">
        <f t="shared" si="121"/>
        <v/>
      </c>
      <c r="EH151" s="161" t="str">
        <f t="shared" si="122"/>
        <v/>
      </c>
      <c r="EI151" s="161" t="str">
        <f t="shared" si="123"/>
        <v/>
      </c>
      <c r="EJ151" s="161" t="str">
        <f t="shared" si="124"/>
        <v/>
      </c>
      <c r="EK151" s="147" t="str">
        <f t="shared" si="132"/>
        <v/>
      </c>
      <c r="EL151" s="149"/>
      <c r="EN151" s="151"/>
      <c r="EO151" s="151"/>
      <c r="EP151" s="139" t="str">
        <f t="shared" si="133"/>
        <v/>
      </c>
      <c r="EQ151" s="139" t="str">
        <f t="shared" si="134"/>
        <v/>
      </c>
      <c r="ER151" s="139" t="str">
        <f t="shared" si="135"/>
        <v/>
      </c>
      <c r="ES151" s="139" t="str">
        <f t="shared" si="136"/>
        <v/>
      </c>
      <c r="ET151" s="139" t="str">
        <f t="shared" si="137"/>
        <v/>
      </c>
      <c r="EU151" s="139" t="str">
        <f t="shared" si="138"/>
        <v/>
      </c>
      <c r="EV151" s="139" t="str">
        <f t="shared" si="139"/>
        <v/>
      </c>
      <c r="EW151" s="139" t="str">
        <f t="shared" si="140"/>
        <v/>
      </c>
      <c r="EX151" s="139" t="str">
        <f t="shared" si="141"/>
        <v/>
      </c>
      <c r="EY151" s="139" t="str">
        <f t="shared" si="142"/>
        <v/>
      </c>
      <c r="EZ151" s="139" t="str">
        <f t="shared" si="143"/>
        <v/>
      </c>
      <c r="FA151" s="139" t="str">
        <f t="shared" si="144"/>
        <v/>
      </c>
      <c r="FB151" s="139" t="str">
        <f t="shared" si="145"/>
        <v/>
      </c>
      <c r="FC151" s="139" t="str">
        <f t="shared" si="146"/>
        <v/>
      </c>
      <c r="FD151" s="139" t="str">
        <f t="shared" si="147"/>
        <v/>
      </c>
      <c r="FE151" s="139" t="str">
        <f t="shared" si="148"/>
        <v/>
      </c>
      <c r="FF151" s="139" t="str">
        <f t="shared" si="149"/>
        <v/>
      </c>
      <c r="FG151" s="139" t="str">
        <f t="shared" si="150"/>
        <v/>
      </c>
      <c r="FH151" s="139" t="str">
        <f t="shared" si="151"/>
        <v/>
      </c>
      <c r="FI151" s="139" t="str">
        <f t="shared" si="152"/>
        <v/>
      </c>
      <c r="FJ151" s="139" t="str">
        <f t="shared" si="153"/>
        <v/>
      </c>
      <c r="FK151" s="139" t="str">
        <f t="shared" si="154"/>
        <v/>
      </c>
      <c r="FL151" s="139" t="str">
        <f t="shared" si="155"/>
        <v/>
      </c>
      <c r="FM151" s="139" t="str">
        <f t="shared" si="156"/>
        <v/>
      </c>
      <c r="FN151" s="139" t="str">
        <f t="shared" si="157"/>
        <v/>
      </c>
      <c r="FO151" s="139" t="str">
        <f t="shared" si="158"/>
        <v/>
      </c>
      <c r="FP151" s="139" t="str">
        <f t="shared" si="159"/>
        <v/>
      </c>
      <c r="FQ151" s="139" t="str">
        <f t="shared" si="160"/>
        <v/>
      </c>
      <c r="FR151" s="139" t="str">
        <f t="shared" si="161"/>
        <v/>
      </c>
      <c r="FS151" s="139" t="str">
        <f t="shared" si="162"/>
        <v/>
      </c>
      <c r="FT151" s="139" t="str">
        <f t="shared" si="163"/>
        <v/>
      </c>
      <c r="FU151" s="148" t="str">
        <f t="shared" si="164"/>
        <v/>
      </c>
      <c r="FV151" s="149"/>
      <c r="FY151" s="211">
        <v>146</v>
      </c>
      <c r="FZ151">
        <v>171.83095155364794</v>
      </c>
      <c r="GA151">
        <v>130.52192039837155</v>
      </c>
      <c r="GB151">
        <v>38.008523768701011</v>
      </c>
      <c r="GC151">
        <v>10.165984188647375</v>
      </c>
      <c r="GD151">
        <v>2.6020052909689264</v>
      </c>
      <c r="GE151">
        <v>3.8739505470737861</v>
      </c>
      <c r="GF151">
        <v>78.917827232070408</v>
      </c>
      <c r="GG151">
        <v>95.620896864868484</v>
      </c>
      <c r="GH151">
        <v>27.730564909075039</v>
      </c>
      <c r="GI151">
        <v>106.85437064871353</v>
      </c>
      <c r="GJ151"/>
      <c r="GK151"/>
      <c r="GL151"/>
      <c r="GM151"/>
    </row>
    <row r="152" spans="1:195" s="7" customFormat="1">
      <c r="A152" s="77"/>
      <c r="B152" s="76">
        <f t="shared" ref="B152:B183" ca="1" si="171">IF(C152="", "", RAND())</f>
        <v>0.66989262153412699</v>
      </c>
      <c r="C152">
        <v>5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10.416666666666666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1368.6519161548795</v>
      </c>
      <c r="AO152">
        <v>181.38933473371441</v>
      </c>
      <c r="AP152">
        <v>1551.0841564899554</v>
      </c>
      <c r="AQ152">
        <v>577.92880841819999</v>
      </c>
      <c r="AR152">
        <v>176.19515533568574</v>
      </c>
      <c r="AS152">
        <v>2015.2095709973096</v>
      </c>
      <c r="AT152">
        <v>84.641986991720941</v>
      </c>
      <c r="AU152">
        <v>127.98315132299187</v>
      </c>
      <c r="AV152"/>
      <c r="AW152"/>
      <c r="AX152" s="151"/>
      <c r="AY152" s="76">
        <f t="shared" ref="AY152:AY207" ca="1" si="172">IF(AZ152="", "", RAND())</f>
        <v>0.60009539514148125</v>
      </c>
      <c r="AZ152">
        <v>5</v>
      </c>
      <c r="BA152" s="129">
        <f t="shared" si="170"/>
        <v>39847</v>
      </c>
      <c r="BB152">
        <v>0</v>
      </c>
      <c r="BC152"/>
      <c r="BD152"/>
      <c r="BE152"/>
      <c r="BF152"/>
      <c r="BG152"/>
      <c r="BH152"/>
      <c r="BI152"/>
      <c r="BJ152"/>
      <c r="BK152">
        <v>1</v>
      </c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9"/>
        <v>0.77159829072802844</v>
      </c>
      <c r="CL152" s="179">
        <f t="shared" si="90"/>
        <v>5</v>
      </c>
      <c r="CM152" s="180">
        <f t="shared" si="91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3">IF(DD152="", "", RAND())</f>
        <v>0.25295943418876288</v>
      </c>
      <c r="DD152">
        <f t="shared" si="93"/>
        <v>5</v>
      </c>
      <c r="DE152" s="129">
        <f t="shared" si="169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0</v>
      </c>
      <c r="DK152" s="161">
        <f t="shared" si="99"/>
        <v>0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10.416666666666666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4">IF(DF152="", "", SUM(DF152:EJ152))</f>
        <v>10.416666666666666</v>
      </c>
      <c r="EL152" s="149"/>
      <c r="EN152" s="151"/>
      <c r="EO152" s="151"/>
      <c r="EP152" s="139" t="e">
        <f t="shared" ref="EP152:EP183" si="175">IF(DF152="", "", DF152*G$36)</f>
        <v>#VALUE!</v>
      </c>
      <c r="EQ152" s="139" t="e">
        <f t="shared" ref="EQ152:EQ183" si="176">IF(DG152="", "", DG152*H$36)</f>
        <v>#VALUE!</v>
      </c>
      <c r="ER152" s="139" t="e">
        <f t="shared" ref="ER152:ER183" si="177">IF(DH152="", "", DH152*I$36)</f>
        <v>#VALUE!</v>
      </c>
      <c r="ES152" s="139" t="e">
        <f t="shared" ref="ES152:ES183" si="178">IF(DI152="", "", DI152*J$36)</f>
        <v>#VALUE!</v>
      </c>
      <c r="ET152" s="139" t="e">
        <f t="shared" ref="ET152:ET183" si="179">IF(DJ152="", "", DJ152*K$36)</f>
        <v>#VALUE!</v>
      </c>
      <c r="EU152" s="139" t="e">
        <f t="shared" ref="EU152:EU183" si="180">IF(DK152="", "", DK152*L$36)</f>
        <v>#VALUE!</v>
      </c>
      <c r="EV152" s="139" t="e">
        <f t="shared" ref="EV152:EV183" si="181">IF(DL152="", "", DL152*M$36)</f>
        <v>#VALUE!</v>
      </c>
      <c r="EW152" s="139" t="e">
        <f t="shared" ref="EW152:EW183" si="182">IF(DM152="", "", DM152*N$36)</f>
        <v>#VALUE!</v>
      </c>
      <c r="EX152" s="139" t="e">
        <f t="shared" ref="EX152:EX183" si="183">IF(DN152="", "", DN152*O$36)</f>
        <v>#VALUE!</v>
      </c>
      <c r="EY152" s="139" t="e">
        <f t="shared" ref="EY152:EY183" si="184">IF(DO152="", "", DO152*P$36)</f>
        <v>#VALUE!</v>
      </c>
      <c r="EZ152" s="139" t="e">
        <f t="shared" ref="EZ152:EZ183" si="185">IF(DP152="", "", DP152*Q$36)</f>
        <v>#VALUE!</v>
      </c>
      <c r="FA152" s="139" t="e">
        <f t="shared" ref="FA152:FA183" si="186">IF(DQ152="", "", DQ152*R$36)</f>
        <v>#VALUE!</v>
      </c>
      <c r="FB152" s="139" t="e">
        <f t="shared" ref="FB152:FB183" si="187">IF(DR152="", "", DR152*S$36)</f>
        <v>#VALUE!</v>
      </c>
      <c r="FC152" s="139" t="e">
        <f t="shared" ref="FC152:FC183" si="188">IF(DS152="", "", DS152*T$36)</f>
        <v>#VALUE!</v>
      </c>
      <c r="FD152" s="139" t="e">
        <f t="shared" ref="FD152:FD183" si="189">IF(DT152="", "", DT152*U$36)</f>
        <v>#VALUE!</v>
      </c>
      <c r="FE152" s="139" t="e">
        <f t="shared" ref="FE152:FE183" si="190">IF(DU152="", "", DU152*V$36)</f>
        <v>#VALUE!</v>
      </c>
      <c r="FF152" s="139" t="e">
        <f t="shared" ref="FF152:FF183" si="191">IF(DV152="", "", DV152*W$36)</f>
        <v>#VALUE!</v>
      </c>
      <c r="FG152" s="139" t="e">
        <f t="shared" ref="FG152:FG183" si="192">IF(DW152="", "", DW152*X$36)</f>
        <v>#VALUE!</v>
      </c>
      <c r="FH152" s="139" t="e">
        <f t="shared" ref="FH152:FH183" si="193">IF(DX152="", "", DX152*Y$36)</f>
        <v>#VALUE!</v>
      </c>
      <c r="FI152" s="139" t="e">
        <f t="shared" ref="FI152:FI183" si="194">IF(DY152="", "", DY152*Z$36)</f>
        <v>#VALUE!</v>
      </c>
      <c r="FJ152" s="139" t="e">
        <f t="shared" ref="FJ152:FJ183" si="195">IF(DZ152="", "", DZ152*AA$36)</f>
        <v>#VALUE!</v>
      </c>
      <c r="FK152" s="139" t="e">
        <f t="shared" ref="FK152:FK183" si="196">IF(EA152="", "", EA152*AB$36)</f>
        <v>#VALUE!</v>
      </c>
      <c r="FL152" s="139" t="e">
        <f t="shared" ref="FL152:FL183" si="197">IF(EB152="", "", EB152*AC$36)</f>
        <v>#VALUE!</v>
      </c>
      <c r="FM152" s="139" t="e">
        <f t="shared" ref="FM152:FM183" si="198">IF(EC152="", "", EC152*AD$36)</f>
        <v>#VALUE!</v>
      </c>
      <c r="FN152" s="139" t="e">
        <f t="shared" ref="FN152:FN183" si="199">IF(ED152="", "", ED152*AE$36)</f>
        <v>#VALUE!</v>
      </c>
      <c r="FO152" s="139" t="e">
        <f t="shared" ref="FO152:FO183" si="200">IF(EE152="", "", EE152*AF$36)</f>
        <v>#VALUE!</v>
      </c>
      <c r="FP152" s="139" t="e">
        <f t="shared" ref="FP152:FP183" si="201">IF(EF152="", "", EF152*AG$36)</f>
        <v>#VALUE!</v>
      </c>
      <c r="FQ152" s="139" t="e">
        <f t="shared" ref="FQ152:FQ183" si="202">IF(EG152="", "", EG152*AH$36)</f>
        <v>#VALUE!</v>
      </c>
      <c r="FR152" s="139" t="e">
        <f t="shared" ref="FR152:FR183" si="203">IF(EH152="", "", EH152*AI$36)</f>
        <v>#VALUE!</v>
      </c>
      <c r="FS152" s="139" t="e">
        <f t="shared" ref="FS152:FS183" si="204">IF(EI152="", "", EI152*AJ$36)</f>
        <v>#VALUE!</v>
      </c>
      <c r="FT152" s="139" t="e">
        <f t="shared" ref="FT152:FT183" si="205">IF(EJ152="", "", EJ152*AK$36)</f>
        <v>#VALUE!</v>
      </c>
      <c r="FU152" s="148" t="e">
        <f t="shared" ref="FU152:FU183" si="206">IF(EP152="","",SUM(EP152:FT152))</f>
        <v>#VALUE!</v>
      </c>
      <c r="FV152" s="149"/>
      <c r="FY152" s="211">
        <v>147</v>
      </c>
      <c r="FZ152">
        <v>120.23339229381789</v>
      </c>
      <c r="GA152">
        <v>87.875982530016827</v>
      </c>
      <c r="GB152">
        <v>22.30009291915017</v>
      </c>
      <c r="GC152">
        <v>7.1871036786580982</v>
      </c>
      <c r="GD152">
        <v>3.0159779482531004</v>
      </c>
      <c r="GE152">
        <v>4.39186281486064</v>
      </c>
      <c r="GF152">
        <v>29.685294093941181</v>
      </c>
      <c r="GG152">
        <v>36.899871214394764</v>
      </c>
      <c r="GH152">
        <v>15.680030558207431</v>
      </c>
      <c r="GI152">
        <v>69.523705477999812</v>
      </c>
      <c r="GJ152"/>
      <c r="GK152"/>
      <c r="GL152"/>
      <c r="GM152"/>
    </row>
    <row r="153" spans="1:195" s="7" customFormat="1">
      <c r="A153" s="77"/>
      <c r="B153" s="76">
        <f t="shared" ca="1" si="171"/>
        <v>0.86434664723383148</v>
      </c>
      <c r="C153">
        <v>6</v>
      </c>
      <c r="D153">
        <v>39847</v>
      </c>
      <c r="E153">
        <v>0</v>
      </c>
      <c r="F153">
        <v>0</v>
      </c>
      <c r="G153">
        <v>10.416666666666666</v>
      </c>
      <c r="H153">
        <v>0</v>
      </c>
      <c r="I153">
        <v>72.916666666666671</v>
      </c>
      <c r="J153">
        <v>72.916666666666671</v>
      </c>
      <c r="K153">
        <v>41.666666666666664</v>
      </c>
      <c r="L153">
        <v>10.416666666666666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1279.4277233467756</v>
      </c>
      <c r="AO153">
        <v>171.52050695905504</v>
      </c>
      <c r="AP153">
        <v>1379.7670565904491</v>
      </c>
      <c r="AQ153">
        <v>505.89206361947845</v>
      </c>
      <c r="AR153">
        <v>166.83864350345078</v>
      </c>
      <c r="AS153">
        <v>1838.7391892896528</v>
      </c>
      <c r="AT153">
        <v>79.658571242588309</v>
      </c>
      <c r="AU153">
        <v>88.76820202576279</v>
      </c>
      <c r="AV153"/>
      <c r="AW153"/>
      <c r="AX153" s="151"/>
      <c r="AY153" s="76">
        <f t="shared" ca="1" si="172"/>
        <v>0.41212378011969575</v>
      </c>
      <c r="AZ153">
        <v>6</v>
      </c>
      <c r="BA153" s="129">
        <f t="shared" si="170"/>
        <v>39847</v>
      </c>
      <c r="BB153">
        <v>0</v>
      </c>
      <c r="BC153"/>
      <c r="BD153">
        <v>1</v>
      </c>
      <c r="BE153"/>
      <c r="BF153">
        <v>7</v>
      </c>
      <c r="BG153">
        <v>7</v>
      </c>
      <c r="BH153">
        <v>4</v>
      </c>
      <c r="BI153">
        <v>1</v>
      </c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7">IF(AZ153="", "", RAND())</f>
        <v>6.9485362685234975E-2</v>
      </c>
      <c r="CL153" s="179">
        <f t="shared" ref="CL153:CL207" si="208">IF(AZ153="", "", AZ153)</f>
        <v>6</v>
      </c>
      <c r="CM153" s="180">
        <f t="shared" ref="CM153:CM207" si="209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10">IF(AZ153="", "", $G$15)</f>
        <v>9.6000000000000002E-2</v>
      </c>
      <c r="DB153" s="151"/>
      <c r="DC153" s="76">
        <f t="shared" ca="1" si="173"/>
        <v>0.44459422147008343</v>
      </c>
      <c r="DD153">
        <f t="shared" ref="DD153:DD207" si="211">IF(AZ153="", "", AZ153)</f>
        <v>6</v>
      </c>
      <c r="DE153" s="129">
        <f t="shared" si="169"/>
        <v>39847</v>
      </c>
      <c r="DF153" s="161">
        <f t="shared" ref="DF153:DF187" si="212">IF($AZ153="", "", ((BB153*$CW153)+(CN153*$CX153))/$CZ153)</f>
        <v>0</v>
      </c>
      <c r="DG153" s="161">
        <f t="shared" ref="DG153:DG187" si="213">IF($AZ153="", "", ((BC153*$CW153)+(CO153*$CX153))/$CZ153)</f>
        <v>0</v>
      </c>
      <c r="DH153" s="161">
        <f t="shared" ref="DH153:DH187" si="214">IF($AZ153="", "", ((BD153*$CW153)+(CP153*$CX153))/$CZ153)</f>
        <v>10.416666666666666</v>
      </c>
      <c r="DI153" s="161">
        <f t="shared" ref="DI153:DI187" si="215">IF($AZ153="", "", ((BE153*$CW153)+(CQ153*$CX153))/$CZ153)</f>
        <v>0</v>
      </c>
      <c r="DJ153" s="161">
        <f t="shared" ref="DJ153:DJ187" si="216">IF($AZ153="", "", ((BF153*$CW153)+(CR153*$CX153))/$CZ153)</f>
        <v>72.916666666666671</v>
      </c>
      <c r="DK153" s="161">
        <f t="shared" ref="DK153:DK187" si="217">IF($AZ153="", "", ((BG153*$CW153)+(CS153*$CX153))/$CZ153)</f>
        <v>72.916666666666671</v>
      </c>
      <c r="DL153" s="161">
        <f t="shared" ref="DL153:DL187" si="218">IF($AZ153="", "", ((BH153*$CW153)+(CT153*$CX153))/$CZ153)</f>
        <v>41.666666666666664</v>
      </c>
      <c r="DM153" s="161">
        <f t="shared" ref="DM153:DM187" si="219">IF($AZ153="", "", ((BI153*$CW153)+(CU153*$CX153))/$CZ153)</f>
        <v>10.416666666666666</v>
      </c>
      <c r="DN153" s="161">
        <f t="shared" ref="DN153:DN187" si="220">IF($AZ153="", "", (BJ153*$CW153)/$CZ153)</f>
        <v>0</v>
      </c>
      <c r="DO153" s="161">
        <f t="shared" ref="DO153:DO187" si="221">IF($AZ153="", "", (BK153*$CW153)/$CZ153)</f>
        <v>0</v>
      </c>
      <c r="DP153" s="161">
        <f t="shared" ref="DP153:DP187" si="222">IF($AZ153="", "", (BL153*$CW153)/$CZ153)</f>
        <v>0</v>
      </c>
      <c r="DQ153" s="161">
        <f t="shared" ref="DQ153:DQ187" si="223">IF($AZ153="", "", (BM153*$CW153)/$CZ153)</f>
        <v>0</v>
      </c>
      <c r="DR153" s="161">
        <f t="shared" ref="DR153:DR187" si="224">IF($AZ153="", "", (BN153*$CW153)/$CZ153)</f>
        <v>0</v>
      </c>
      <c r="DS153" s="161">
        <f t="shared" ref="DS153:DS187" si="225">IF($AZ153="", "", (BO153*$CW153)/$CZ153)</f>
        <v>0</v>
      </c>
      <c r="DT153" s="161">
        <f t="shared" ref="DT153:DT187" si="226">IF($AZ153="", "", (BP153*$CW153)/$CZ153)</f>
        <v>0</v>
      </c>
      <c r="DU153" s="161">
        <f t="shared" ref="DU153:DU187" si="227">IF($AZ153="", "", (BQ153*$CW153)/$CZ153)</f>
        <v>0</v>
      </c>
      <c r="DV153" s="161">
        <f t="shared" ref="DV153:DV187" si="228">IF($AZ153="", "", (BR153*$CW153)/$CZ153)</f>
        <v>0</v>
      </c>
      <c r="DW153" s="161">
        <f t="shared" ref="DW153:DW187" si="229">IF($AZ153="", "", (BS153*$CW153)/$CZ153)</f>
        <v>0</v>
      </c>
      <c r="DX153" s="161">
        <f t="shared" ref="DX153:DX187" si="230">IF($AZ153="", "", (BT153*$CW153)/$CZ153)</f>
        <v>0</v>
      </c>
      <c r="DY153" s="161">
        <f t="shared" ref="DY153:DY187" si="231">IF($AZ153="", "", (BU153*$CW153)/$CZ153)</f>
        <v>0</v>
      </c>
      <c r="DZ153" s="161">
        <f t="shared" ref="DZ153:DZ187" si="232">IF($AZ153="", "", (BV153*$CW153)/$CZ153)</f>
        <v>0</v>
      </c>
      <c r="EA153" s="161">
        <f t="shared" ref="EA153:EA187" si="233">IF($AZ153="", "", (BW153*$CW153)/$CZ153)</f>
        <v>0</v>
      </c>
      <c r="EB153" s="161">
        <f t="shared" ref="EB153:EB187" si="234">IF($AZ153="", "", (BX153*$CW153)/$CZ153)</f>
        <v>0</v>
      </c>
      <c r="EC153" s="161">
        <f t="shared" ref="EC153:EC187" si="235">IF($AZ153="", "", (BY153*$CW153)/$CZ153)</f>
        <v>0</v>
      </c>
      <c r="ED153" s="161">
        <f t="shared" ref="ED153:ED187" si="236">IF($AZ153="", "", (BZ153*$CW153)/$CZ153)</f>
        <v>0</v>
      </c>
      <c r="EE153" s="161">
        <f t="shared" ref="EE153:EE187" si="237">IF($AZ153="", "", (CA153*$CW153)/$CZ153)</f>
        <v>0</v>
      </c>
      <c r="EF153" s="161">
        <f t="shared" ref="EF153:EF187" si="238">IF($AZ153="", "", (CB153*$CW153)/$CZ153)</f>
        <v>0</v>
      </c>
      <c r="EG153" s="161">
        <f t="shared" ref="EG153:EG187" si="239">IF($AZ153="", "", (CC153*$CW153)/$CZ153)</f>
        <v>0</v>
      </c>
      <c r="EH153" s="161">
        <f t="shared" ref="EH153:EH187" si="240">IF($AZ153="", "", (CD153*$CW153)/$CZ153)</f>
        <v>0</v>
      </c>
      <c r="EI153" s="161">
        <f t="shared" ref="EI153:EI187" si="241">IF($AZ153="", "", (CE153*$CW153)/$CZ153)</f>
        <v>0</v>
      </c>
      <c r="EJ153" s="161">
        <f t="shared" ref="EJ153:EJ187" si="242">IF($AZ153="", "", (CF153*$CW153)/$CZ153)</f>
        <v>0</v>
      </c>
      <c r="EK153" s="147">
        <f t="shared" si="174"/>
        <v>208.33333333333331</v>
      </c>
      <c r="EL153" s="149"/>
      <c r="EN153" s="151"/>
      <c r="EO153" s="151"/>
      <c r="EP153" s="139" t="e">
        <f t="shared" si="175"/>
        <v>#VALUE!</v>
      </c>
      <c r="EQ153" s="139" t="e">
        <f t="shared" si="176"/>
        <v>#VALUE!</v>
      </c>
      <c r="ER153" s="139" t="e">
        <f t="shared" si="177"/>
        <v>#VALUE!</v>
      </c>
      <c r="ES153" s="139" t="e">
        <f t="shared" si="178"/>
        <v>#VALUE!</v>
      </c>
      <c r="ET153" s="139" t="e">
        <f t="shared" si="179"/>
        <v>#VALUE!</v>
      </c>
      <c r="EU153" s="139" t="e">
        <f t="shared" si="180"/>
        <v>#VALUE!</v>
      </c>
      <c r="EV153" s="139" t="e">
        <f t="shared" si="181"/>
        <v>#VALUE!</v>
      </c>
      <c r="EW153" s="139" t="e">
        <f t="shared" si="182"/>
        <v>#VALUE!</v>
      </c>
      <c r="EX153" s="139" t="e">
        <f t="shared" si="183"/>
        <v>#VALUE!</v>
      </c>
      <c r="EY153" s="139" t="e">
        <f t="shared" si="184"/>
        <v>#VALUE!</v>
      </c>
      <c r="EZ153" s="139" t="e">
        <f t="shared" si="185"/>
        <v>#VALUE!</v>
      </c>
      <c r="FA153" s="139" t="e">
        <f t="shared" si="186"/>
        <v>#VALUE!</v>
      </c>
      <c r="FB153" s="139" t="e">
        <f t="shared" si="187"/>
        <v>#VALUE!</v>
      </c>
      <c r="FC153" s="139" t="e">
        <f t="shared" si="188"/>
        <v>#VALUE!</v>
      </c>
      <c r="FD153" s="139" t="e">
        <f t="shared" si="189"/>
        <v>#VALUE!</v>
      </c>
      <c r="FE153" s="139" t="e">
        <f t="shared" si="190"/>
        <v>#VALUE!</v>
      </c>
      <c r="FF153" s="139" t="e">
        <f t="shared" si="191"/>
        <v>#VALUE!</v>
      </c>
      <c r="FG153" s="139" t="e">
        <f t="shared" si="192"/>
        <v>#VALUE!</v>
      </c>
      <c r="FH153" s="139" t="e">
        <f t="shared" si="193"/>
        <v>#VALUE!</v>
      </c>
      <c r="FI153" s="139" t="e">
        <f t="shared" si="194"/>
        <v>#VALUE!</v>
      </c>
      <c r="FJ153" s="139" t="e">
        <f t="shared" si="195"/>
        <v>#VALUE!</v>
      </c>
      <c r="FK153" s="139" t="e">
        <f t="shared" si="196"/>
        <v>#VALUE!</v>
      </c>
      <c r="FL153" s="139" t="e">
        <f t="shared" si="197"/>
        <v>#VALUE!</v>
      </c>
      <c r="FM153" s="139" t="e">
        <f t="shared" si="198"/>
        <v>#VALUE!</v>
      </c>
      <c r="FN153" s="139" t="e">
        <f t="shared" si="199"/>
        <v>#VALUE!</v>
      </c>
      <c r="FO153" s="139" t="e">
        <f t="shared" si="200"/>
        <v>#VALUE!</v>
      </c>
      <c r="FP153" s="139" t="e">
        <f t="shared" si="201"/>
        <v>#VALUE!</v>
      </c>
      <c r="FQ153" s="139" t="e">
        <f t="shared" si="202"/>
        <v>#VALUE!</v>
      </c>
      <c r="FR153" s="139" t="e">
        <f t="shared" si="203"/>
        <v>#VALUE!</v>
      </c>
      <c r="FS153" s="139" t="e">
        <f t="shared" si="204"/>
        <v>#VALUE!</v>
      </c>
      <c r="FT153" s="139" t="e">
        <f t="shared" si="205"/>
        <v>#VALUE!</v>
      </c>
      <c r="FU153" s="148" t="e">
        <f t="shared" si="206"/>
        <v>#VALUE!</v>
      </c>
      <c r="FV153" s="149"/>
      <c r="FY153" s="211">
        <v>148</v>
      </c>
      <c r="FZ153">
        <v>62.517109886627139</v>
      </c>
      <c r="GA153">
        <v>64.941012150785028</v>
      </c>
      <c r="GB153">
        <v>28.096613444561374</v>
      </c>
      <c r="GC153">
        <v>7.9201009822098465</v>
      </c>
      <c r="GD153">
        <v>3.3045632537366441</v>
      </c>
      <c r="GE153">
        <v>5.7948654506917752</v>
      </c>
      <c r="GF153">
        <v>28.996858421141997</v>
      </c>
      <c r="GG153">
        <v>34.338014546482306</v>
      </c>
      <c r="GH153">
        <v>21.88379729042742</v>
      </c>
      <c r="GI153">
        <v>67.257932138628476</v>
      </c>
      <c r="GJ153"/>
      <c r="GK153"/>
      <c r="GL153"/>
      <c r="GM153"/>
    </row>
    <row r="154" spans="1:195" s="7" customFormat="1">
      <c r="A154" s="77"/>
      <c r="B154" s="76">
        <f t="shared" ca="1" si="171"/>
        <v>0.93967395305779966</v>
      </c>
      <c r="C154">
        <v>10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10.416666666666666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976.11574725243736</v>
      </c>
      <c r="AO154">
        <v>119.92677741605618</v>
      </c>
      <c r="AP154">
        <v>946.79622153951493</v>
      </c>
      <c r="AQ154">
        <v>302.13717796208363</v>
      </c>
      <c r="AR154">
        <v>116.16740449318695</v>
      </c>
      <c r="AS154">
        <v>1240.7522988116316</v>
      </c>
      <c r="AT154">
        <v>50.407128839775027</v>
      </c>
      <c r="AU154">
        <v>215.26539670140968</v>
      </c>
      <c r="AV154"/>
      <c r="AW154"/>
      <c r="AX154" s="151"/>
      <c r="AY154" s="76">
        <f t="shared" ca="1" si="172"/>
        <v>0.59949127989126694</v>
      </c>
      <c r="AZ154">
        <v>7</v>
      </c>
      <c r="BA154" s="129">
        <f t="shared" si="170"/>
        <v>39847</v>
      </c>
      <c r="BB154">
        <v>0</v>
      </c>
      <c r="BC154"/>
      <c r="BD154">
        <v>1</v>
      </c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7"/>
        <v>0.78832857504735521</v>
      </c>
      <c r="CL154" s="179">
        <f t="shared" si="208"/>
        <v>7</v>
      </c>
      <c r="CM154" s="180">
        <f t="shared" si="209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10"/>
        <v>9.6000000000000002E-2</v>
      </c>
      <c r="DB154" s="151"/>
      <c r="DC154" s="76">
        <f t="shared" ca="1" si="173"/>
        <v>0.12913371860710043</v>
      </c>
      <c r="DD154">
        <f t="shared" si="211"/>
        <v>7</v>
      </c>
      <c r="DE154" s="129">
        <f t="shared" si="169"/>
        <v>39847</v>
      </c>
      <c r="DF154" s="161">
        <f t="shared" si="212"/>
        <v>0</v>
      </c>
      <c r="DG154" s="161">
        <f t="shared" si="213"/>
        <v>0</v>
      </c>
      <c r="DH154" s="161">
        <f t="shared" si="214"/>
        <v>10.416666666666666</v>
      </c>
      <c r="DI154" s="161">
        <f t="shared" si="215"/>
        <v>0</v>
      </c>
      <c r="DJ154" s="161">
        <f t="shared" si="216"/>
        <v>0</v>
      </c>
      <c r="DK154" s="161">
        <f t="shared" si="217"/>
        <v>0</v>
      </c>
      <c r="DL154" s="161">
        <f t="shared" si="218"/>
        <v>0</v>
      </c>
      <c r="DM154" s="161">
        <f t="shared" si="219"/>
        <v>0</v>
      </c>
      <c r="DN154" s="161">
        <f t="shared" si="220"/>
        <v>0</v>
      </c>
      <c r="DO154" s="161">
        <f t="shared" si="221"/>
        <v>0</v>
      </c>
      <c r="DP154" s="161">
        <f t="shared" si="222"/>
        <v>0</v>
      </c>
      <c r="DQ154" s="161">
        <f t="shared" si="223"/>
        <v>0</v>
      </c>
      <c r="DR154" s="161">
        <f t="shared" si="224"/>
        <v>0</v>
      </c>
      <c r="DS154" s="161">
        <f t="shared" si="225"/>
        <v>0</v>
      </c>
      <c r="DT154" s="161">
        <f t="shared" si="226"/>
        <v>0</v>
      </c>
      <c r="DU154" s="161">
        <f t="shared" si="227"/>
        <v>0</v>
      </c>
      <c r="DV154" s="161">
        <f t="shared" si="228"/>
        <v>0</v>
      </c>
      <c r="DW154" s="161">
        <f t="shared" si="229"/>
        <v>0</v>
      </c>
      <c r="DX154" s="161">
        <f t="shared" si="230"/>
        <v>0</v>
      </c>
      <c r="DY154" s="161">
        <f t="shared" si="231"/>
        <v>0</v>
      </c>
      <c r="DZ154" s="161">
        <f t="shared" si="232"/>
        <v>0</v>
      </c>
      <c r="EA154" s="161">
        <f t="shared" si="233"/>
        <v>0</v>
      </c>
      <c r="EB154" s="161">
        <f t="shared" si="234"/>
        <v>0</v>
      </c>
      <c r="EC154" s="161">
        <f t="shared" si="235"/>
        <v>0</v>
      </c>
      <c r="ED154" s="161">
        <f t="shared" si="236"/>
        <v>0</v>
      </c>
      <c r="EE154" s="161">
        <f t="shared" si="237"/>
        <v>0</v>
      </c>
      <c r="EF154" s="161">
        <f t="shared" si="238"/>
        <v>0</v>
      </c>
      <c r="EG154" s="161">
        <f t="shared" si="239"/>
        <v>0</v>
      </c>
      <c r="EH154" s="161">
        <f t="shared" si="240"/>
        <v>0</v>
      </c>
      <c r="EI154" s="161">
        <f t="shared" si="241"/>
        <v>0</v>
      </c>
      <c r="EJ154" s="161">
        <f t="shared" si="242"/>
        <v>0</v>
      </c>
      <c r="EK154" s="147">
        <f t="shared" si="174"/>
        <v>10.416666666666666</v>
      </c>
      <c r="EL154" s="149"/>
      <c r="EN154" s="151"/>
      <c r="EO154" s="151"/>
      <c r="EP154" s="139" t="e">
        <f t="shared" si="175"/>
        <v>#VALUE!</v>
      </c>
      <c r="EQ154" s="139" t="e">
        <f t="shared" si="176"/>
        <v>#VALUE!</v>
      </c>
      <c r="ER154" s="139" t="e">
        <f t="shared" si="177"/>
        <v>#VALUE!</v>
      </c>
      <c r="ES154" s="139" t="e">
        <f t="shared" si="178"/>
        <v>#VALUE!</v>
      </c>
      <c r="ET154" s="139" t="e">
        <f t="shared" si="179"/>
        <v>#VALUE!</v>
      </c>
      <c r="EU154" s="139" t="e">
        <f t="shared" si="180"/>
        <v>#VALUE!</v>
      </c>
      <c r="EV154" s="139" t="e">
        <f t="shared" si="181"/>
        <v>#VALUE!</v>
      </c>
      <c r="EW154" s="139" t="e">
        <f t="shared" si="182"/>
        <v>#VALUE!</v>
      </c>
      <c r="EX154" s="139" t="e">
        <f t="shared" si="183"/>
        <v>#VALUE!</v>
      </c>
      <c r="EY154" s="139" t="e">
        <f t="shared" si="184"/>
        <v>#VALUE!</v>
      </c>
      <c r="EZ154" s="139" t="e">
        <f t="shared" si="185"/>
        <v>#VALUE!</v>
      </c>
      <c r="FA154" s="139" t="e">
        <f t="shared" si="186"/>
        <v>#VALUE!</v>
      </c>
      <c r="FB154" s="139" t="e">
        <f t="shared" si="187"/>
        <v>#VALUE!</v>
      </c>
      <c r="FC154" s="139" t="e">
        <f t="shared" si="188"/>
        <v>#VALUE!</v>
      </c>
      <c r="FD154" s="139" t="e">
        <f t="shared" si="189"/>
        <v>#VALUE!</v>
      </c>
      <c r="FE154" s="139" t="e">
        <f t="shared" si="190"/>
        <v>#VALUE!</v>
      </c>
      <c r="FF154" s="139" t="e">
        <f t="shared" si="191"/>
        <v>#VALUE!</v>
      </c>
      <c r="FG154" s="139" t="e">
        <f t="shared" si="192"/>
        <v>#VALUE!</v>
      </c>
      <c r="FH154" s="139" t="e">
        <f t="shared" si="193"/>
        <v>#VALUE!</v>
      </c>
      <c r="FI154" s="139" t="e">
        <f t="shared" si="194"/>
        <v>#VALUE!</v>
      </c>
      <c r="FJ154" s="139" t="e">
        <f t="shared" si="195"/>
        <v>#VALUE!</v>
      </c>
      <c r="FK154" s="139" t="e">
        <f t="shared" si="196"/>
        <v>#VALUE!</v>
      </c>
      <c r="FL154" s="139" t="e">
        <f t="shared" si="197"/>
        <v>#VALUE!</v>
      </c>
      <c r="FM154" s="139" t="e">
        <f t="shared" si="198"/>
        <v>#VALUE!</v>
      </c>
      <c r="FN154" s="139" t="e">
        <f t="shared" si="199"/>
        <v>#VALUE!</v>
      </c>
      <c r="FO154" s="139" t="e">
        <f t="shared" si="200"/>
        <v>#VALUE!</v>
      </c>
      <c r="FP154" s="139" t="e">
        <f t="shared" si="201"/>
        <v>#VALUE!</v>
      </c>
      <c r="FQ154" s="139" t="e">
        <f t="shared" si="202"/>
        <v>#VALUE!</v>
      </c>
      <c r="FR154" s="139" t="e">
        <f t="shared" si="203"/>
        <v>#VALUE!</v>
      </c>
      <c r="FS154" s="139" t="e">
        <f t="shared" si="204"/>
        <v>#VALUE!</v>
      </c>
      <c r="FT154" s="139" t="e">
        <f t="shared" si="205"/>
        <v>#VALUE!</v>
      </c>
      <c r="FU154" s="148" t="e">
        <f t="shared" si="206"/>
        <v>#VALUE!</v>
      </c>
      <c r="FV154" s="149"/>
      <c r="FY154" s="211">
        <v>149</v>
      </c>
      <c r="FZ154">
        <v>126.59993267071131</v>
      </c>
      <c r="GA154">
        <v>99.664351531208837</v>
      </c>
      <c r="GB154">
        <v>31.878183253897646</v>
      </c>
      <c r="GC154">
        <v>8.2635632979576759</v>
      </c>
      <c r="GD154">
        <v>1.7406900830075047</v>
      </c>
      <c r="GE154">
        <v>3.0122972503590093</v>
      </c>
      <c r="GF154">
        <v>9.6116029378187662</v>
      </c>
      <c r="GG154">
        <v>15.349294575224206</v>
      </c>
      <c r="GH154">
        <v>26.538113696631736</v>
      </c>
      <c r="GI154">
        <v>65.56910336928479</v>
      </c>
      <c r="GJ154"/>
      <c r="GK154"/>
      <c r="GL154"/>
      <c r="GM154"/>
    </row>
    <row r="155" spans="1:195" s="7" customFormat="1">
      <c r="A155" s="77"/>
      <c r="B155" s="76">
        <f t="shared" ca="1" si="171"/>
        <v>0.37008732318817228</v>
      </c>
      <c r="C155">
        <v>9</v>
      </c>
      <c r="D155">
        <v>39847</v>
      </c>
      <c r="E155">
        <v>65.104166666666671</v>
      </c>
      <c r="F155">
        <v>455.72916666666663</v>
      </c>
      <c r="G155">
        <v>130.20833333333334</v>
      </c>
      <c r="H155">
        <v>65.104166666666671</v>
      </c>
      <c r="I155">
        <v>85.9375</v>
      </c>
      <c r="J155">
        <v>20.833333333333332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1287.4023189971313</v>
      </c>
      <c r="AO155">
        <v>170.81715775470886</v>
      </c>
      <c r="AP155">
        <v>1520.8560372239551</v>
      </c>
      <c r="AQ155">
        <v>446.76184739868779</v>
      </c>
      <c r="AR155">
        <v>166.16997385931126</v>
      </c>
      <c r="AS155">
        <v>1721.9468804370183</v>
      </c>
      <c r="AT155">
        <v>75.397736518352744</v>
      </c>
      <c r="AU155">
        <v>242.54538948304645</v>
      </c>
      <c r="AV155"/>
      <c r="AW155"/>
      <c r="AX155" s="151"/>
      <c r="AY155" s="76">
        <f t="shared" ca="1" si="172"/>
        <v>6.2402968051484597E-2</v>
      </c>
      <c r="AZ155">
        <v>8</v>
      </c>
      <c r="BA155" s="129">
        <f t="shared" si="170"/>
        <v>39847</v>
      </c>
      <c r="BB155">
        <v>0</v>
      </c>
      <c r="BC155"/>
      <c r="BD155"/>
      <c r="BE155">
        <v>4</v>
      </c>
      <c r="BF155">
        <v>5</v>
      </c>
      <c r="BG155">
        <v>7</v>
      </c>
      <c r="BH155">
        <v>3</v>
      </c>
      <c r="BI155">
        <v>1</v>
      </c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7"/>
        <v>0.71863891220394793</v>
      </c>
      <c r="CL155" s="179">
        <f t="shared" si="208"/>
        <v>8</v>
      </c>
      <c r="CM155" s="180">
        <f t="shared" si="209"/>
        <v>39847</v>
      </c>
      <c r="CN155">
        <v>0</v>
      </c>
      <c r="CO155">
        <v>2</v>
      </c>
      <c r="CP155">
        <v>1</v>
      </c>
      <c r="CQ155">
        <v>2</v>
      </c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10"/>
        <v>9.6000000000000002E-2</v>
      </c>
      <c r="DB155" s="151"/>
      <c r="DC155" s="76">
        <f t="shared" ca="1" si="173"/>
        <v>0.19994220472057889</v>
      </c>
      <c r="DD155">
        <f t="shared" si="211"/>
        <v>8</v>
      </c>
      <c r="DE155" s="129">
        <f t="shared" si="169"/>
        <v>39847</v>
      </c>
      <c r="DF155" s="161">
        <f t="shared" si="212"/>
        <v>0</v>
      </c>
      <c r="DG155" s="161">
        <f t="shared" si="213"/>
        <v>138.88888888888889</v>
      </c>
      <c r="DH155" s="161">
        <f t="shared" si="214"/>
        <v>69.444444444444443</v>
      </c>
      <c r="DI155" s="161">
        <f t="shared" si="215"/>
        <v>180.55555555555557</v>
      </c>
      <c r="DJ155" s="161">
        <f t="shared" si="216"/>
        <v>52.083333333333336</v>
      </c>
      <c r="DK155" s="161">
        <f t="shared" si="217"/>
        <v>72.916666666666671</v>
      </c>
      <c r="DL155" s="161">
        <f t="shared" si="218"/>
        <v>31.25</v>
      </c>
      <c r="DM155" s="161">
        <f t="shared" si="219"/>
        <v>10.416666666666666</v>
      </c>
      <c r="DN155" s="161">
        <f t="shared" si="220"/>
        <v>0</v>
      </c>
      <c r="DO155" s="161">
        <f t="shared" si="221"/>
        <v>0</v>
      </c>
      <c r="DP155" s="161">
        <f t="shared" si="222"/>
        <v>0</v>
      </c>
      <c r="DQ155" s="161">
        <f t="shared" si="223"/>
        <v>0</v>
      </c>
      <c r="DR155" s="161">
        <f t="shared" si="224"/>
        <v>0</v>
      </c>
      <c r="DS155" s="161">
        <f t="shared" si="225"/>
        <v>0</v>
      </c>
      <c r="DT155" s="161">
        <f t="shared" si="226"/>
        <v>0</v>
      </c>
      <c r="DU155" s="161">
        <f t="shared" si="227"/>
        <v>0</v>
      </c>
      <c r="DV155" s="161">
        <f t="shared" si="228"/>
        <v>0</v>
      </c>
      <c r="DW155" s="161">
        <f t="shared" si="229"/>
        <v>0</v>
      </c>
      <c r="DX155" s="161">
        <f t="shared" si="230"/>
        <v>0</v>
      </c>
      <c r="DY155" s="161">
        <f t="shared" si="231"/>
        <v>0</v>
      </c>
      <c r="DZ155" s="161">
        <f t="shared" si="232"/>
        <v>0</v>
      </c>
      <c r="EA155" s="161">
        <f t="shared" si="233"/>
        <v>0</v>
      </c>
      <c r="EB155" s="161">
        <f t="shared" si="234"/>
        <v>0</v>
      </c>
      <c r="EC155" s="161">
        <f t="shared" si="235"/>
        <v>0</v>
      </c>
      <c r="ED155" s="161">
        <f t="shared" si="236"/>
        <v>0</v>
      </c>
      <c r="EE155" s="161">
        <f t="shared" si="237"/>
        <v>0</v>
      </c>
      <c r="EF155" s="161">
        <f t="shared" si="238"/>
        <v>0</v>
      </c>
      <c r="EG155" s="161">
        <f t="shared" si="239"/>
        <v>0</v>
      </c>
      <c r="EH155" s="161">
        <f t="shared" si="240"/>
        <v>0</v>
      </c>
      <c r="EI155" s="161">
        <f t="shared" si="241"/>
        <v>0</v>
      </c>
      <c r="EJ155" s="161">
        <f t="shared" si="242"/>
        <v>0</v>
      </c>
      <c r="EK155" s="147">
        <f t="shared" si="174"/>
        <v>555.55555555555554</v>
      </c>
      <c r="EL155" s="149"/>
      <c r="EN155" s="151"/>
      <c r="EO155" s="151"/>
      <c r="EP155" s="139" t="e">
        <f t="shared" si="175"/>
        <v>#VALUE!</v>
      </c>
      <c r="EQ155" s="139" t="e">
        <f t="shared" si="176"/>
        <v>#VALUE!</v>
      </c>
      <c r="ER155" s="139" t="e">
        <f t="shared" si="177"/>
        <v>#VALUE!</v>
      </c>
      <c r="ES155" s="139" t="e">
        <f t="shared" si="178"/>
        <v>#VALUE!</v>
      </c>
      <c r="ET155" s="139" t="e">
        <f t="shared" si="179"/>
        <v>#VALUE!</v>
      </c>
      <c r="EU155" s="139" t="e">
        <f t="shared" si="180"/>
        <v>#VALUE!</v>
      </c>
      <c r="EV155" s="139" t="e">
        <f t="shared" si="181"/>
        <v>#VALUE!</v>
      </c>
      <c r="EW155" s="139" t="e">
        <f t="shared" si="182"/>
        <v>#VALUE!</v>
      </c>
      <c r="EX155" s="139" t="e">
        <f t="shared" si="183"/>
        <v>#VALUE!</v>
      </c>
      <c r="EY155" s="139" t="e">
        <f t="shared" si="184"/>
        <v>#VALUE!</v>
      </c>
      <c r="EZ155" s="139" t="e">
        <f t="shared" si="185"/>
        <v>#VALUE!</v>
      </c>
      <c r="FA155" s="139" t="e">
        <f t="shared" si="186"/>
        <v>#VALUE!</v>
      </c>
      <c r="FB155" s="139" t="e">
        <f t="shared" si="187"/>
        <v>#VALUE!</v>
      </c>
      <c r="FC155" s="139" t="e">
        <f t="shared" si="188"/>
        <v>#VALUE!</v>
      </c>
      <c r="FD155" s="139" t="e">
        <f t="shared" si="189"/>
        <v>#VALUE!</v>
      </c>
      <c r="FE155" s="139" t="e">
        <f t="shared" si="190"/>
        <v>#VALUE!</v>
      </c>
      <c r="FF155" s="139" t="e">
        <f t="shared" si="191"/>
        <v>#VALUE!</v>
      </c>
      <c r="FG155" s="139" t="e">
        <f t="shared" si="192"/>
        <v>#VALUE!</v>
      </c>
      <c r="FH155" s="139" t="e">
        <f t="shared" si="193"/>
        <v>#VALUE!</v>
      </c>
      <c r="FI155" s="139" t="e">
        <f t="shared" si="194"/>
        <v>#VALUE!</v>
      </c>
      <c r="FJ155" s="139" t="e">
        <f t="shared" si="195"/>
        <v>#VALUE!</v>
      </c>
      <c r="FK155" s="139" t="e">
        <f t="shared" si="196"/>
        <v>#VALUE!</v>
      </c>
      <c r="FL155" s="139" t="e">
        <f t="shared" si="197"/>
        <v>#VALUE!</v>
      </c>
      <c r="FM155" s="139" t="e">
        <f t="shared" si="198"/>
        <v>#VALUE!</v>
      </c>
      <c r="FN155" s="139" t="e">
        <f t="shared" si="199"/>
        <v>#VALUE!</v>
      </c>
      <c r="FO155" s="139" t="e">
        <f t="shared" si="200"/>
        <v>#VALUE!</v>
      </c>
      <c r="FP155" s="139" t="e">
        <f t="shared" si="201"/>
        <v>#VALUE!</v>
      </c>
      <c r="FQ155" s="139" t="e">
        <f t="shared" si="202"/>
        <v>#VALUE!</v>
      </c>
      <c r="FR155" s="139" t="e">
        <f t="shared" si="203"/>
        <v>#VALUE!</v>
      </c>
      <c r="FS155" s="139" t="e">
        <f t="shared" si="204"/>
        <v>#VALUE!</v>
      </c>
      <c r="FT155" s="139" t="e">
        <f t="shared" si="205"/>
        <v>#VALUE!</v>
      </c>
      <c r="FU155" s="148" t="e">
        <f t="shared" si="206"/>
        <v>#VALUE!</v>
      </c>
      <c r="FV155" s="149"/>
      <c r="FY155" s="211">
        <v>150</v>
      </c>
      <c r="FZ155">
        <v>90.204465875394973</v>
      </c>
      <c r="GA155">
        <v>80.2047833489992</v>
      </c>
      <c r="GB155">
        <v>34.50349012861944</v>
      </c>
      <c r="GC155">
        <v>9.1108606676380504</v>
      </c>
      <c r="GD155">
        <v>3.2881998844031095</v>
      </c>
      <c r="GE155">
        <v>6.406499507660059</v>
      </c>
      <c r="GF155">
        <v>22.382443538859981</v>
      </c>
      <c r="GG155">
        <v>27.326342467972687</v>
      </c>
      <c r="GH155">
        <v>25.235809458923605</v>
      </c>
      <c r="GI155">
        <v>73.850263131510559</v>
      </c>
      <c r="GJ155"/>
      <c r="GK155"/>
      <c r="GL155"/>
      <c r="GM155"/>
    </row>
    <row r="156" spans="1:195" s="7" customFormat="1">
      <c r="A156" s="77"/>
      <c r="B156" s="76">
        <f t="shared" ca="1" si="171"/>
        <v>6.7420798954555106E-2</v>
      </c>
      <c r="C156">
        <v>2</v>
      </c>
      <c r="D156">
        <v>39847</v>
      </c>
      <c r="E156">
        <v>0</v>
      </c>
      <c r="F156">
        <v>569.66145833333337</v>
      </c>
      <c r="G156">
        <v>376.51909722222223</v>
      </c>
      <c r="H156">
        <v>69.444444444444443</v>
      </c>
      <c r="I156">
        <v>148.65451388888889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925.84170440801972</v>
      </c>
      <c r="AO156">
        <v>122.35640645199321</v>
      </c>
      <c r="AP156">
        <v>1011.1106006581399</v>
      </c>
      <c r="AQ156">
        <v>415.66373541129269</v>
      </c>
      <c r="AR156">
        <v>122.9361869958089</v>
      </c>
      <c r="AS156">
        <v>1290.4602165413128</v>
      </c>
      <c r="AT156">
        <v>60.008757228630124</v>
      </c>
      <c r="AU156">
        <v>59.752550951825867</v>
      </c>
      <c r="AV156"/>
      <c r="AW156"/>
      <c r="AX156" s="151"/>
      <c r="AY156" s="76">
        <f t="shared" ca="1" si="172"/>
        <v>0.66120716350569497</v>
      </c>
      <c r="AZ156">
        <v>9</v>
      </c>
      <c r="BA156" s="129">
        <f t="shared" si="170"/>
        <v>39847</v>
      </c>
      <c r="BB156">
        <v>0</v>
      </c>
      <c r="BC156"/>
      <c r="BD156"/>
      <c r="BE156"/>
      <c r="BF156">
        <v>2</v>
      </c>
      <c r="BG156">
        <v>2</v>
      </c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7"/>
        <v>0.47041540176426433</v>
      </c>
      <c r="CL156" s="179">
        <f t="shared" si="208"/>
        <v>9</v>
      </c>
      <c r="CM156" s="180">
        <f t="shared" si="209"/>
        <v>39847</v>
      </c>
      <c r="CN156" s="221">
        <v>1</v>
      </c>
      <c r="CO156">
        <v>7</v>
      </c>
      <c r="CP156">
        <v>2</v>
      </c>
      <c r="CQ156">
        <v>1</v>
      </c>
      <c r="CR156">
        <v>1</v>
      </c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10"/>
        <v>9.6000000000000002E-2</v>
      </c>
      <c r="DB156" s="151"/>
      <c r="DC156" s="76">
        <f t="shared" ca="1" si="173"/>
        <v>0.98825298609576151</v>
      </c>
      <c r="DD156">
        <f t="shared" si="211"/>
        <v>9</v>
      </c>
      <c r="DE156" s="129">
        <f t="shared" si="169"/>
        <v>39847</v>
      </c>
      <c r="DF156" s="161">
        <f t="shared" si="212"/>
        <v>65.104166666666671</v>
      </c>
      <c r="DG156" s="161">
        <f t="shared" si="213"/>
        <v>455.72916666666663</v>
      </c>
      <c r="DH156" s="161">
        <f t="shared" si="214"/>
        <v>130.20833333333334</v>
      </c>
      <c r="DI156" s="161">
        <f t="shared" si="215"/>
        <v>65.104166666666671</v>
      </c>
      <c r="DJ156" s="161">
        <f t="shared" si="216"/>
        <v>85.9375</v>
      </c>
      <c r="DK156" s="161">
        <f t="shared" si="217"/>
        <v>20.833333333333332</v>
      </c>
      <c r="DL156" s="161">
        <f t="shared" si="218"/>
        <v>0</v>
      </c>
      <c r="DM156" s="161">
        <f t="shared" si="219"/>
        <v>0</v>
      </c>
      <c r="DN156" s="161">
        <f t="shared" si="220"/>
        <v>0</v>
      </c>
      <c r="DO156" s="161">
        <f t="shared" si="221"/>
        <v>0</v>
      </c>
      <c r="DP156" s="161">
        <f t="shared" si="222"/>
        <v>0</v>
      </c>
      <c r="DQ156" s="161">
        <f t="shared" si="223"/>
        <v>0</v>
      </c>
      <c r="DR156" s="161">
        <f t="shared" si="224"/>
        <v>0</v>
      </c>
      <c r="DS156" s="161">
        <f t="shared" si="225"/>
        <v>0</v>
      </c>
      <c r="DT156" s="161">
        <f t="shared" si="226"/>
        <v>0</v>
      </c>
      <c r="DU156" s="161">
        <f t="shared" si="227"/>
        <v>0</v>
      </c>
      <c r="DV156" s="161">
        <f t="shared" si="228"/>
        <v>0</v>
      </c>
      <c r="DW156" s="161">
        <f t="shared" si="229"/>
        <v>0</v>
      </c>
      <c r="DX156" s="161">
        <f t="shared" si="230"/>
        <v>0</v>
      </c>
      <c r="DY156" s="161">
        <f t="shared" si="231"/>
        <v>0</v>
      </c>
      <c r="DZ156" s="161">
        <f t="shared" si="232"/>
        <v>0</v>
      </c>
      <c r="EA156" s="161">
        <f t="shared" si="233"/>
        <v>0</v>
      </c>
      <c r="EB156" s="161">
        <f t="shared" si="234"/>
        <v>0</v>
      </c>
      <c r="EC156" s="161">
        <f t="shared" si="235"/>
        <v>0</v>
      </c>
      <c r="ED156" s="161">
        <f t="shared" si="236"/>
        <v>0</v>
      </c>
      <c r="EE156" s="161">
        <f t="shared" si="237"/>
        <v>0</v>
      </c>
      <c r="EF156" s="161">
        <f t="shared" si="238"/>
        <v>0</v>
      </c>
      <c r="EG156" s="161">
        <f t="shared" si="239"/>
        <v>0</v>
      </c>
      <c r="EH156" s="161">
        <f t="shared" si="240"/>
        <v>0</v>
      </c>
      <c r="EI156" s="161">
        <f t="shared" si="241"/>
        <v>0</v>
      </c>
      <c r="EJ156" s="161">
        <f t="shared" si="242"/>
        <v>0</v>
      </c>
      <c r="EK156" s="147">
        <f t="shared" si="174"/>
        <v>822.91666666666663</v>
      </c>
      <c r="EL156" s="149"/>
      <c r="EN156" s="151"/>
      <c r="EO156" s="151"/>
      <c r="EP156" s="139" t="e">
        <f t="shared" si="175"/>
        <v>#VALUE!</v>
      </c>
      <c r="EQ156" s="139" t="e">
        <f t="shared" si="176"/>
        <v>#VALUE!</v>
      </c>
      <c r="ER156" s="139" t="e">
        <f t="shared" si="177"/>
        <v>#VALUE!</v>
      </c>
      <c r="ES156" s="139" t="e">
        <f t="shared" si="178"/>
        <v>#VALUE!</v>
      </c>
      <c r="ET156" s="139" t="e">
        <f t="shared" si="179"/>
        <v>#VALUE!</v>
      </c>
      <c r="EU156" s="139" t="e">
        <f t="shared" si="180"/>
        <v>#VALUE!</v>
      </c>
      <c r="EV156" s="139" t="e">
        <f t="shared" si="181"/>
        <v>#VALUE!</v>
      </c>
      <c r="EW156" s="139" t="e">
        <f t="shared" si="182"/>
        <v>#VALUE!</v>
      </c>
      <c r="EX156" s="139" t="e">
        <f t="shared" si="183"/>
        <v>#VALUE!</v>
      </c>
      <c r="EY156" s="139" t="e">
        <f t="shared" si="184"/>
        <v>#VALUE!</v>
      </c>
      <c r="EZ156" s="139" t="e">
        <f t="shared" si="185"/>
        <v>#VALUE!</v>
      </c>
      <c r="FA156" s="139" t="e">
        <f t="shared" si="186"/>
        <v>#VALUE!</v>
      </c>
      <c r="FB156" s="139" t="e">
        <f t="shared" si="187"/>
        <v>#VALUE!</v>
      </c>
      <c r="FC156" s="139" t="e">
        <f t="shared" si="188"/>
        <v>#VALUE!</v>
      </c>
      <c r="FD156" s="139" t="e">
        <f t="shared" si="189"/>
        <v>#VALUE!</v>
      </c>
      <c r="FE156" s="139" t="e">
        <f t="shared" si="190"/>
        <v>#VALUE!</v>
      </c>
      <c r="FF156" s="139" t="e">
        <f t="shared" si="191"/>
        <v>#VALUE!</v>
      </c>
      <c r="FG156" s="139" t="e">
        <f t="shared" si="192"/>
        <v>#VALUE!</v>
      </c>
      <c r="FH156" s="139" t="e">
        <f t="shared" si="193"/>
        <v>#VALUE!</v>
      </c>
      <c r="FI156" s="139" t="e">
        <f t="shared" si="194"/>
        <v>#VALUE!</v>
      </c>
      <c r="FJ156" s="139" t="e">
        <f t="shared" si="195"/>
        <v>#VALUE!</v>
      </c>
      <c r="FK156" s="139" t="e">
        <f t="shared" si="196"/>
        <v>#VALUE!</v>
      </c>
      <c r="FL156" s="139" t="e">
        <f t="shared" si="197"/>
        <v>#VALUE!</v>
      </c>
      <c r="FM156" s="139" t="e">
        <f t="shared" si="198"/>
        <v>#VALUE!</v>
      </c>
      <c r="FN156" s="139" t="e">
        <f t="shared" si="199"/>
        <v>#VALUE!</v>
      </c>
      <c r="FO156" s="139" t="e">
        <f t="shared" si="200"/>
        <v>#VALUE!</v>
      </c>
      <c r="FP156" s="139" t="e">
        <f t="shared" si="201"/>
        <v>#VALUE!</v>
      </c>
      <c r="FQ156" s="139" t="e">
        <f t="shared" si="202"/>
        <v>#VALUE!</v>
      </c>
      <c r="FR156" s="139" t="e">
        <f t="shared" si="203"/>
        <v>#VALUE!</v>
      </c>
      <c r="FS156" s="139" t="e">
        <f t="shared" si="204"/>
        <v>#VALUE!</v>
      </c>
      <c r="FT156" s="139" t="e">
        <f t="shared" si="205"/>
        <v>#VALUE!</v>
      </c>
      <c r="FU156" s="148" t="e">
        <f t="shared" si="206"/>
        <v>#VALUE!</v>
      </c>
      <c r="FV156" s="149"/>
      <c r="FY156" s="211">
        <v>151</v>
      </c>
      <c r="FZ156">
        <v>186.49520256467008</v>
      </c>
      <c r="GA156">
        <v>162.20836819463744</v>
      </c>
      <c r="GB156">
        <v>31.254000753480746</v>
      </c>
      <c r="GC156">
        <v>7.1914721771210646</v>
      </c>
      <c r="GD156">
        <v>2.6521498472812457</v>
      </c>
      <c r="GE156">
        <v>4.5348234005176549</v>
      </c>
      <c r="GF156">
        <v>19.463495552977491</v>
      </c>
      <c r="GG156">
        <v>25.115575851330671</v>
      </c>
      <c r="GH156">
        <v>22.990262996397213</v>
      </c>
      <c r="GI156">
        <v>74.40355931646954</v>
      </c>
      <c r="GJ156"/>
      <c r="GK156"/>
      <c r="GL156"/>
      <c r="GM156"/>
    </row>
    <row r="157" spans="1:195" s="7" customFormat="1">
      <c r="A157" s="77"/>
      <c r="B157" s="76">
        <f t="shared" ca="1" si="171"/>
        <v>0.61503859267119187</v>
      </c>
      <c r="C157">
        <v>7</v>
      </c>
      <c r="D157">
        <v>39847</v>
      </c>
      <c r="E157">
        <v>0</v>
      </c>
      <c r="F157">
        <v>0</v>
      </c>
      <c r="G157">
        <v>10.416666666666666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1174.174076186647</v>
      </c>
      <c r="AO157">
        <v>148.65175648729411</v>
      </c>
      <c r="AP157">
        <v>1274.6756457754748</v>
      </c>
      <c r="AQ157">
        <v>449.44367406334197</v>
      </c>
      <c r="AR157">
        <v>144.7976126292109</v>
      </c>
      <c r="AS157">
        <v>1593.933146881669</v>
      </c>
      <c r="AT157">
        <v>68.889670619908458</v>
      </c>
      <c r="AU157">
        <v>390.19679253434106</v>
      </c>
      <c r="AV157"/>
      <c r="AW157"/>
      <c r="AX157" s="151"/>
      <c r="AY157" s="76">
        <f t="shared" ca="1" si="172"/>
        <v>0.15359431117233724</v>
      </c>
      <c r="AZ157">
        <v>10</v>
      </c>
      <c r="BA157" s="129">
        <f t="shared" si="170"/>
        <v>39847</v>
      </c>
      <c r="BB157">
        <v>0</v>
      </c>
      <c r="BC157"/>
      <c r="BD157"/>
      <c r="BE157"/>
      <c r="BF157"/>
      <c r="BG157">
        <v>1</v>
      </c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7"/>
        <v>0.14470815026463568</v>
      </c>
      <c r="CL157" s="179">
        <f t="shared" si="208"/>
        <v>10</v>
      </c>
      <c r="CM157" s="180">
        <f t="shared" si="209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10"/>
        <v>9.6000000000000002E-2</v>
      </c>
      <c r="DB157" s="151"/>
      <c r="DC157" s="76">
        <f t="shared" ca="1" si="173"/>
        <v>0.68333887955470263</v>
      </c>
      <c r="DD157">
        <f t="shared" si="211"/>
        <v>10</v>
      </c>
      <c r="DE157" s="129">
        <f t="shared" si="169"/>
        <v>39847</v>
      </c>
      <c r="DF157" s="161">
        <f t="shared" si="212"/>
        <v>0</v>
      </c>
      <c r="DG157" s="161">
        <f t="shared" si="213"/>
        <v>0</v>
      </c>
      <c r="DH157" s="161">
        <f t="shared" si="214"/>
        <v>0</v>
      </c>
      <c r="DI157" s="161">
        <f t="shared" si="215"/>
        <v>0</v>
      </c>
      <c r="DJ157" s="161">
        <f t="shared" si="216"/>
        <v>0</v>
      </c>
      <c r="DK157" s="161">
        <f t="shared" si="217"/>
        <v>10.416666666666666</v>
      </c>
      <c r="DL157" s="161">
        <f t="shared" si="218"/>
        <v>0</v>
      </c>
      <c r="DM157" s="161">
        <f t="shared" si="219"/>
        <v>0</v>
      </c>
      <c r="DN157" s="161">
        <f t="shared" si="220"/>
        <v>0</v>
      </c>
      <c r="DO157" s="161">
        <f t="shared" si="221"/>
        <v>0</v>
      </c>
      <c r="DP157" s="161">
        <f t="shared" si="222"/>
        <v>0</v>
      </c>
      <c r="DQ157" s="161">
        <f t="shared" si="223"/>
        <v>0</v>
      </c>
      <c r="DR157" s="161">
        <f t="shared" si="224"/>
        <v>0</v>
      </c>
      <c r="DS157" s="161">
        <f t="shared" si="225"/>
        <v>0</v>
      </c>
      <c r="DT157" s="161">
        <f t="shared" si="226"/>
        <v>0</v>
      </c>
      <c r="DU157" s="161">
        <f t="shared" si="227"/>
        <v>0</v>
      </c>
      <c r="DV157" s="161">
        <f t="shared" si="228"/>
        <v>0</v>
      </c>
      <c r="DW157" s="161">
        <f t="shared" si="229"/>
        <v>0</v>
      </c>
      <c r="DX157" s="161">
        <f t="shared" si="230"/>
        <v>0</v>
      </c>
      <c r="DY157" s="161">
        <f t="shared" si="231"/>
        <v>0</v>
      </c>
      <c r="DZ157" s="161">
        <f t="shared" si="232"/>
        <v>0</v>
      </c>
      <c r="EA157" s="161">
        <f t="shared" si="233"/>
        <v>0</v>
      </c>
      <c r="EB157" s="161">
        <f t="shared" si="234"/>
        <v>0</v>
      </c>
      <c r="EC157" s="161">
        <f t="shared" si="235"/>
        <v>0</v>
      </c>
      <c r="ED157" s="161">
        <f t="shared" si="236"/>
        <v>0</v>
      </c>
      <c r="EE157" s="161">
        <f t="shared" si="237"/>
        <v>0</v>
      </c>
      <c r="EF157" s="161">
        <f t="shared" si="238"/>
        <v>0</v>
      </c>
      <c r="EG157" s="161">
        <f t="shared" si="239"/>
        <v>0</v>
      </c>
      <c r="EH157" s="161">
        <f t="shared" si="240"/>
        <v>0</v>
      </c>
      <c r="EI157" s="161">
        <f t="shared" si="241"/>
        <v>0</v>
      </c>
      <c r="EJ157" s="161">
        <f t="shared" si="242"/>
        <v>0</v>
      </c>
      <c r="EK157" s="147">
        <f t="shared" si="174"/>
        <v>10.416666666666666</v>
      </c>
      <c r="EL157" s="149"/>
      <c r="EN157" s="151"/>
      <c r="EO157" s="151"/>
      <c r="EP157" s="139" t="e">
        <f t="shared" si="175"/>
        <v>#VALUE!</v>
      </c>
      <c r="EQ157" s="139" t="e">
        <f t="shared" si="176"/>
        <v>#VALUE!</v>
      </c>
      <c r="ER157" s="139" t="e">
        <f t="shared" si="177"/>
        <v>#VALUE!</v>
      </c>
      <c r="ES157" s="139" t="e">
        <f t="shared" si="178"/>
        <v>#VALUE!</v>
      </c>
      <c r="ET157" s="139" t="e">
        <f t="shared" si="179"/>
        <v>#VALUE!</v>
      </c>
      <c r="EU157" s="139" t="e">
        <f t="shared" si="180"/>
        <v>#VALUE!</v>
      </c>
      <c r="EV157" s="139" t="e">
        <f t="shared" si="181"/>
        <v>#VALUE!</v>
      </c>
      <c r="EW157" s="139" t="e">
        <f t="shared" si="182"/>
        <v>#VALUE!</v>
      </c>
      <c r="EX157" s="139" t="e">
        <f t="shared" si="183"/>
        <v>#VALUE!</v>
      </c>
      <c r="EY157" s="139" t="e">
        <f t="shared" si="184"/>
        <v>#VALUE!</v>
      </c>
      <c r="EZ157" s="139" t="e">
        <f t="shared" si="185"/>
        <v>#VALUE!</v>
      </c>
      <c r="FA157" s="139" t="e">
        <f t="shared" si="186"/>
        <v>#VALUE!</v>
      </c>
      <c r="FB157" s="139" t="e">
        <f t="shared" si="187"/>
        <v>#VALUE!</v>
      </c>
      <c r="FC157" s="139" t="e">
        <f t="shared" si="188"/>
        <v>#VALUE!</v>
      </c>
      <c r="FD157" s="139" t="e">
        <f t="shared" si="189"/>
        <v>#VALUE!</v>
      </c>
      <c r="FE157" s="139" t="e">
        <f t="shared" si="190"/>
        <v>#VALUE!</v>
      </c>
      <c r="FF157" s="139" t="e">
        <f t="shared" si="191"/>
        <v>#VALUE!</v>
      </c>
      <c r="FG157" s="139" t="e">
        <f t="shared" si="192"/>
        <v>#VALUE!</v>
      </c>
      <c r="FH157" s="139" t="e">
        <f t="shared" si="193"/>
        <v>#VALUE!</v>
      </c>
      <c r="FI157" s="139" t="e">
        <f t="shared" si="194"/>
        <v>#VALUE!</v>
      </c>
      <c r="FJ157" s="139" t="e">
        <f t="shared" si="195"/>
        <v>#VALUE!</v>
      </c>
      <c r="FK157" s="139" t="e">
        <f t="shared" si="196"/>
        <v>#VALUE!</v>
      </c>
      <c r="FL157" s="139" t="e">
        <f t="shared" si="197"/>
        <v>#VALUE!</v>
      </c>
      <c r="FM157" s="139" t="e">
        <f t="shared" si="198"/>
        <v>#VALUE!</v>
      </c>
      <c r="FN157" s="139" t="e">
        <f t="shared" si="199"/>
        <v>#VALUE!</v>
      </c>
      <c r="FO157" s="139" t="e">
        <f t="shared" si="200"/>
        <v>#VALUE!</v>
      </c>
      <c r="FP157" s="139" t="e">
        <f t="shared" si="201"/>
        <v>#VALUE!</v>
      </c>
      <c r="FQ157" s="139" t="e">
        <f t="shared" si="202"/>
        <v>#VALUE!</v>
      </c>
      <c r="FR157" s="139" t="e">
        <f t="shared" si="203"/>
        <v>#VALUE!</v>
      </c>
      <c r="FS157" s="139" t="e">
        <f t="shared" si="204"/>
        <v>#VALUE!</v>
      </c>
      <c r="FT157" s="139" t="e">
        <f t="shared" si="205"/>
        <v>#VALUE!</v>
      </c>
      <c r="FU157" s="148" t="e">
        <f t="shared" si="206"/>
        <v>#VALUE!</v>
      </c>
      <c r="FV157" s="149"/>
      <c r="FY157" s="211">
        <v>152</v>
      </c>
      <c r="FZ157">
        <v>130.40684276730897</v>
      </c>
      <c r="GA157">
        <v>95.064663912692495</v>
      </c>
      <c r="GB157">
        <v>26.608409655037459</v>
      </c>
      <c r="GC157">
        <v>9.0198627466811843</v>
      </c>
      <c r="GD157">
        <v>2.8927271132378944</v>
      </c>
      <c r="GE157">
        <v>4.6734434992525289</v>
      </c>
      <c r="GF157">
        <v>23.050037719188303</v>
      </c>
      <c r="GG157">
        <v>26.684263500015394</v>
      </c>
      <c r="GH157">
        <v>29.23153817808619</v>
      </c>
      <c r="GI157">
        <v>75.191094280736209</v>
      </c>
      <c r="GJ157"/>
      <c r="GK157"/>
      <c r="GL157"/>
      <c r="GM157"/>
    </row>
    <row r="158" spans="1:195" s="7" customFormat="1">
      <c r="A158" s="128"/>
      <c r="B158" s="76">
        <f t="shared" ca="1" si="171"/>
        <v>0.15932206981464447</v>
      </c>
      <c r="C158">
        <v>8</v>
      </c>
      <c r="D158">
        <v>39910</v>
      </c>
      <c r="E158">
        <v>0</v>
      </c>
      <c r="F158">
        <v>0</v>
      </c>
      <c r="G158">
        <v>10.416666666666666</v>
      </c>
      <c r="H158">
        <v>10.416666666666666</v>
      </c>
      <c r="I158">
        <v>41.666666666666664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1234.4682253512351</v>
      </c>
      <c r="AO158">
        <v>193.92483163362857</v>
      </c>
      <c r="AP158">
        <v>1686.8344701126052</v>
      </c>
      <c r="AQ158">
        <v>466.97732054148565</v>
      </c>
      <c r="AR158">
        <v>189.32249035210367</v>
      </c>
      <c r="AS158">
        <v>1901.8981969838542</v>
      </c>
      <c r="AT158">
        <v>90.632448250969944</v>
      </c>
      <c r="AU158">
        <v>111.43851763929185</v>
      </c>
      <c r="AV158"/>
      <c r="AW158"/>
      <c r="AX158" s="128"/>
      <c r="AY158" s="76">
        <f t="shared" ca="1" si="172"/>
        <v>0.49324723384026969</v>
      </c>
      <c r="AZ158">
        <v>1</v>
      </c>
      <c r="BA158" s="129">
        <f>IF(AZ158="", "",$C$11)</f>
        <v>39910</v>
      </c>
      <c r="BB158">
        <v>0</v>
      </c>
      <c r="BC158"/>
      <c r="BD158">
        <v>1</v>
      </c>
      <c r="BE158">
        <v>2</v>
      </c>
      <c r="BF158">
        <v>1</v>
      </c>
      <c r="BG158"/>
      <c r="BH158">
        <v>1</v>
      </c>
      <c r="BI158"/>
      <c r="BJ158">
        <v>1</v>
      </c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7"/>
        <v>0.53719185704264782</v>
      </c>
      <c r="CL158" s="179">
        <f t="shared" si="208"/>
        <v>1</v>
      </c>
      <c r="CM158" s="180">
        <f t="shared" si="209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10"/>
        <v>9.6000000000000002E-2</v>
      </c>
      <c r="DB158" s="128"/>
      <c r="DC158" s="76">
        <f t="shared" ca="1" si="173"/>
        <v>0.56511146344012431</v>
      </c>
      <c r="DD158">
        <f t="shared" si="211"/>
        <v>1</v>
      </c>
      <c r="DE158" s="129">
        <f t="shared" ref="DE158:DE167" si="243">IF((DD158)="", "", $C$11)</f>
        <v>39910</v>
      </c>
      <c r="DF158" s="161">
        <f t="shared" si="212"/>
        <v>0</v>
      </c>
      <c r="DG158" s="161">
        <f t="shared" si="213"/>
        <v>0</v>
      </c>
      <c r="DH158" s="161">
        <f t="shared" si="214"/>
        <v>10.416666666666666</v>
      </c>
      <c r="DI158" s="161">
        <f t="shared" si="215"/>
        <v>20.833333333333332</v>
      </c>
      <c r="DJ158" s="161">
        <f t="shared" si="216"/>
        <v>10.416666666666666</v>
      </c>
      <c r="DK158" s="161">
        <f t="shared" si="217"/>
        <v>0</v>
      </c>
      <c r="DL158" s="161">
        <f t="shared" si="218"/>
        <v>10.416666666666666</v>
      </c>
      <c r="DM158" s="161">
        <f t="shared" si="219"/>
        <v>0</v>
      </c>
      <c r="DN158" s="161">
        <f t="shared" si="220"/>
        <v>10.416666666666666</v>
      </c>
      <c r="DO158" s="161">
        <f t="shared" si="221"/>
        <v>0</v>
      </c>
      <c r="DP158" s="161">
        <f t="shared" si="222"/>
        <v>0</v>
      </c>
      <c r="DQ158" s="161">
        <f t="shared" si="223"/>
        <v>0</v>
      </c>
      <c r="DR158" s="161">
        <f t="shared" si="224"/>
        <v>0</v>
      </c>
      <c r="DS158" s="161">
        <f t="shared" si="225"/>
        <v>0</v>
      </c>
      <c r="DT158" s="161">
        <f t="shared" si="226"/>
        <v>0</v>
      </c>
      <c r="DU158" s="161">
        <f t="shared" si="227"/>
        <v>0</v>
      </c>
      <c r="DV158" s="161">
        <f t="shared" si="228"/>
        <v>0</v>
      </c>
      <c r="DW158" s="161">
        <f t="shared" si="229"/>
        <v>0</v>
      </c>
      <c r="DX158" s="161">
        <f t="shared" si="230"/>
        <v>0</v>
      </c>
      <c r="DY158" s="161">
        <f t="shared" si="231"/>
        <v>0</v>
      </c>
      <c r="DZ158" s="161">
        <f t="shared" si="232"/>
        <v>0</v>
      </c>
      <c r="EA158" s="161">
        <f t="shared" si="233"/>
        <v>0</v>
      </c>
      <c r="EB158" s="161">
        <f t="shared" si="234"/>
        <v>0</v>
      </c>
      <c r="EC158" s="161">
        <f t="shared" si="235"/>
        <v>0</v>
      </c>
      <c r="ED158" s="161">
        <f t="shared" si="236"/>
        <v>0</v>
      </c>
      <c r="EE158" s="161">
        <f t="shared" si="237"/>
        <v>0</v>
      </c>
      <c r="EF158" s="161">
        <f t="shared" si="238"/>
        <v>0</v>
      </c>
      <c r="EG158" s="161">
        <f t="shared" si="239"/>
        <v>0</v>
      </c>
      <c r="EH158" s="161">
        <f t="shared" si="240"/>
        <v>0</v>
      </c>
      <c r="EI158" s="161">
        <f t="shared" si="241"/>
        <v>0</v>
      </c>
      <c r="EJ158" s="161">
        <f t="shared" si="242"/>
        <v>0</v>
      </c>
      <c r="EK158" s="147">
        <f t="shared" si="174"/>
        <v>62.499999999999993</v>
      </c>
      <c r="EL158" s="149"/>
      <c r="EN158" s="146"/>
      <c r="EO158" s="146"/>
      <c r="EP158" s="139" t="e">
        <f t="shared" si="175"/>
        <v>#VALUE!</v>
      </c>
      <c r="EQ158" s="139" t="e">
        <f t="shared" si="176"/>
        <v>#VALUE!</v>
      </c>
      <c r="ER158" s="139" t="e">
        <f t="shared" si="177"/>
        <v>#VALUE!</v>
      </c>
      <c r="ES158" s="139" t="e">
        <f t="shared" si="178"/>
        <v>#VALUE!</v>
      </c>
      <c r="ET158" s="139" t="e">
        <f t="shared" si="179"/>
        <v>#VALUE!</v>
      </c>
      <c r="EU158" s="139" t="e">
        <f t="shared" si="180"/>
        <v>#VALUE!</v>
      </c>
      <c r="EV158" s="139" t="e">
        <f t="shared" si="181"/>
        <v>#VALUE!</v>
      </c>
      <c r="EW158" s="139" t="e">
        <f t="shared" si="182"/>
        <v>#VALUE!</v>
      </c>
      <c r="EX158" s="139" t="e">
        <f t="shared" si="183"/>
        <v>#VALUE!</v>
      </c>
      <c r="EY158" s="139" t="e">
        <f t="shared" si="184"/>
        <v>#VALUE!</v>
      </c>
      <c r="EZ158" s="139" t="e">
        <f t="shared" si="185"/>
        <v>#VALUE!</v>
      </c>
      <c r="FA158" s="139" t="e">
        <f t="shared" si="186"/>
        <v>#VALUE!</v>
      </c>
      <c r="FB158" s="139" t="e">
        <f t="shared" si="187"/>
        <v>#VALUE!</v>
      </c>
      <c r="FC158" s="139" t="e">
        <f t="shared" si="188"/>
        <v>#VALUE!</v>
      </c>
      <c r="FD158" s="139" t="e">
        <f t="shared" si="189"/>
        <v>#VALUE!</v>
      </c>
      <c r="FE158" s="139" t="e">
        <f t="shared" si="190"/>
        <v>#VALUE!</v>
      </c>
      <c r="FF158" s="139" t="e">
        <f t="shared" si="191"/>
        <v>#VALUE!</v>
      </c>
      <c r="FG158" s="139" t="e">
        <f t="shared" si="192"/>
        <v>#VALUE!</v>
      </c>
      <c r="FH158" s="139" t="e">
        <f t="shared" si="193"/>
        <v>#VALUE!</v>
      </c>
      <c r="FI158" s="139" t="e">
        <f t="shared" si="194"/>
        <v>#VALUE!</v>
      </c>
      <c r="FJ158" s="139" t="e">
        <f t="shared" si="195"/>
        <v>#VALUE!</v>
      </c>
      <c r="FK158" s="139" t="e">
        <f t="shared" si="196"/>
        <v>#VALUE!</v>
      </c>
      <c r="FL158" s="139" t="e">
        <f t="shared" si="197"/>
        <v>#VALUE!</v>
      </c>
      <c r="FM158" s="139" t="e">
        <f t="shared" si="198"/>
        <v>#VALUE!</v>
      </c>
      <c r="FN158" s="139" t="e">
        <f t="shared" si="199"/>
        <v>#VALUE!</v>
      </c>
      <c r="FO158" s="139" t="e">
        <f t="shared" si="200"/>
        <v>#VALUE!</v>
      </c>
      <c r="FP158" s="139" t="e">
        <f t="shared" si="201"/>
        <v>#VALUE!</v>
      </c>
      <c r="FQ158" s="139" t="e">
        <f t="shared" si="202"/>
        <v>#VALUE!</v>
      </c>
      <c r="FR158" s="139" t="e">
        <f t="shared" si="203"/>
        <v>#VALUE!</v>
      </c>
      <c r="FS158" s="139" t="e">
        <f t="shared" si="204"/>
        <v>#VALUE!</v>
      </c>
      <c r="FT158" s="139" t="e">
        <f t="shared" si="205"/>
        <v>#VALUE!</v>
      </c>
      <c r="FU158" s="148" t="e">
        <f t="shared" si="206"/>
        <v>#VALUE!</v>
      </c>
      <c r="FV158" s="149"/>
      <c r="FY158" s="211">
        <v>153</v>
      </c>
      <c r="FZ158">
        <v>76.237703543066971</v>
      </c>
      <c r="GA158">
        <v>76.093995315382045</v>
      </c>
      <c r="GB158">
        <v>30.54554600304105</v>
      </c>
      <c r="GC158">
        <v>7.3315021254639898</v>
      </c>
      <c r="GD158">
        <v>2.1438697330457277</v>
      </c>
      <c r="GE158">
        <v>3.8236756202047077</v>
      </c>
      <c r="GF158">
        <v>29.691533939552894</v>
      </c>
      <c r="GG158">
        <v>39.258698460058845</v>
      </c>
      <c r="GH158">
        <v>30.271339991711795</v>
      </c>
      <c r="GI158">
        <v>69.437546619785607</v>
      </c>
      <c r="GJ158"/>
      <c r="GK158"/>
      <c r="GL158"/>
      <c r="GM158"/>
    </row>
    <row r="159" spans="1:195" s="7" customFormat="1">
      <c r="A159" s="1"/>
      <c r="B159" s="76">
        <f t="shared" ca="1" si="171"/>
        <v>0.66951667167134277</v>
      </c>
      <c r="C159">
        <v>10</v>
      </c>
      <c r="D159">
        <v>39910</v>
      </c>
      <c r="E159">
        <v>1114.8648648648648</v>
      </c>
      <c r="F159">
        <v>3623.3108108108117</v>
      </c>
      <c r="G159">
        <v>4180.7432432432433</v>
      </c>
      <c r="H159">
        <v>20.833333333333332</v>
      </c>
      <c r="I159">
        <v>1414.4144144144145</v>
      </c>
      <c r="J159">
        <v>156.25</v>
      </c>
      <c r="K159">
        <v>135.41666666666666</v>
      </c>
      <c r="L159">
        <v>20.833333333333332</v>
      </c>
      <c r="M159">
        <v>52.083333333333336</v>
      </c>
      <c r="N159">
        <v>10.416666666666666</v>
      </c>
      <c r="O159">
        <v>0</v>
      </c>
      <c r="P159">
        <v>0</v>
      </c>
      <c r="Q159">
        <v>10.416666666666666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1155.553691923586</v>
      </c>
      <c r="AO159">
        <v>176.36733413057573</v>
      </c>
      <c r="AP159">
        <v>1585.3551234143429</v>
      </c>
      <c r="AQ159">
        <v>457.33326300257124</v>
      </c>
      <c r="AR159">
        <v>172.12560190458979</v>
      </c>
      <c r="AS159">
        <v>1812.8901548021988</v>
      </c>
      <c r="AT159">
        <v>80.51969102155455</v>
      </c>
      <c r="AU159">
        <v>232.22319557844168</v>
      </c>
      <c r="AV159"/>
      <c r="AW159"/>
      <c r="AX159" s="146"/>
      <c r="AY159" s="76">
        <f t="shared" ca="1" si="172"/>
        <v>0.6984505149403315</v>
      </c>
      <c r="AZ159">
        <v>2</v>
      </c>
      <c r="BA159" s="129">
        <f t="shared" ref="BA159:BA167" si="244">IF(AZ159="", "",$C$11)</f>
        <v>39910</v>
      </c>
      <c r="BB159">
        <v>0</v>
      </c>
      <c r="BC159"/>
      <c r="BD159">
        <v>1</v>
      </c>
      <c r="BE159"/>
      <c r="BF159">
        <v>4</v>
      </c>
      <c r="BG159">
        <v>6</v>
      </c>
      <c r="BH159">
        <v>7</v>
      </c>
      <c r="BI159">
        <v>3</v>
      </c>
      <c r="BJ159"/>
      <c r="BK159">
        <v>2</v>
      </c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7"/>
        <v>4.1819606363959316E-2</v>
      </c>
      <c r="CL159" s="179">
        <f t="shared" si="208"/>
        <v>2</v>
      </c>
      <c r="CM159" s="180">
        <f t="shared" si="209"/>
        <v>39910</v>
      </c>
      <c r="CN159" s="222">
        <v>0</v>
      </c>
      <c r="CO159" s="222">
        <v>15.914893617021278</v>
      </c>
      <c r="CP159" s="222">
        <v>41.957446808510639</v>
      </c>
      <c r="CQ159" s="222">
        <v>10.127659574468085</v>
      </c>
      <c r="CR159" s="222">
        <v>0</v>
      </c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10"/>
        <v>9.6000000000000002E-2</v>
      </c>
      <c r="DB159" s="146"/>
      <c r="DC159" s="76">
        <f t="shared" ca="1" si="173"/>
        <v>0.91263603926854242</v>
      </c>
      <c r="DD159">
        <f t="shared" si="211"/>
        <v>2</v>
      </c>
      <c r="DE159" s="129">
        <f t="shared" si="243"/>
        <v>39910</v>
      </c>
      <c r="DF159" s="161">
        <f t="shared" si="212"/>
        <v>0</v>
      </c>
      <c r="DG159" s="161">
        <f t="shared" si="213"/>
        <v>1845.2050570459451</v>
      </c>
      <c r="DH159" s="161">
        <f t="shared" si="214"/>
        <v>4875.0481806968855</v>
      </c>
      <c r="DI159" s="161">
        <f t="shared" si="215"/>
        <v>1174.2213999383287</v>
      </c>
      <c r="DJ159" s="161">
        <f t="shared" si="216"/>
        <v>41.666666666666664</v>
      </c>
      <c r="DK159" s="161">
        <f t="shared" si="217"/>
        <v>62.5</v>
      </c>
      <c r="DL159" s="161">
        <f t="shared" si="218"/>
        <v>72.916666666666671</v>
      </c>
      <c r="DM159" s="161">
        <f t="shared" si="219"/>
        <v>31.25</v>
      </c>
      <c r="DN159" s="161">
        <f t="shared" si="220"/>
        <v>0</v>
      </c>
      <c r="DO159" s="161">
        <f t="shared" si="221"/>
        <v>20.833333333333332</v>
      </c>
      <c r="DP159" s="161">
        <f t="shared" si="222"/>
        <v>0</v>
      </c>
      <c r="DQ159" s="161">
        <f t="shared" si="223"/>
        <v>0</v>
      </c>
      <c r="DR159" s="161">
        <f t="shared" si="224"/>
        <v>0</v>
      </c>
      <c r="DS159" s="161">
        <f t="shared" si="225"/>
        <v>0</v>
      </c>
      <c r="DT159" s="161">
        <f t="shared" si="226"/>
        <v>0</v>
      </c>
      <c r="DU159" s="161">
        <f t="shared" si="227"/>
        <v>0</v>
      </c>
      <c r="DV159" s="161">
        <f t="shared" si="228"/>
        <v>0</v>
      </c>
      <c r="DW159" s="161">
        <f t="shared" si="229"/>
        <v>0</v>
      </c>
      <c r="DX159" s="161">
        <f t="shared" si="230"/>
        <v>0</v>
      </c>
      <c r="DY159" s="161">
        <f t="shared" si="231"/>
        <v>0</v>
      </c>
      <c r="DZ159" s="161">
        <f t="shared" si="232"/>
        <v>0</v>
      </c>
      <c r="EA159" s="161">
        <f t="shared" si="233"/>
        <v>0</v>
      </c>
      <c r="EB159" s="161">
        <f t="shared" si="234"/>
        <v>0</v>
      </c>
      <c r="EC159" s="161">
        <f t="shared" si="235"/>
        <v>0</v>
      </c>
      <c r="ED159" s="161">
        <f t="shared" si="236"/>
        <v>0</v>
      </c>
      <c r="EE159" s="161">
        <f t="shared" si="237"/>
        <v>0</v>
      </c>
      <c r="EF159" s="161">
        <f t="shared" si="238"/>
        <v>0</v>
      </c>
      <c r="EG159" s="161">
        <f t="shared" si="239"/>
        <v>0</v>
      </c>
      <c r="EH159" s="161">
        <f t="shared" si="240"/>
        <v>0</v>
      </c>
      <c r="EI159" s="161">
        <f t="shared" si="241"/>
        <v>0</v>
      </c>
      <c r="EJ159" s="161">
        <f t="shared" si="242"/>
        <v>0</v>
      </c>
      <c r="EK159" s="147">
        <f t="shared" si="174"/>
        <v>8123.641304347826</v>
      </c>
      <c r="EL159" s="149"/>
      <c r="EN159" s="146"/>
      <c r="EO159" s="146"/>
      <c r="EP159" s="139" t="e">
        <f t="shared" si="175"/>
        <v>#VALUE!</v>
      </c>
      <c r="EQ159" s="139" t="e">
        <f t="shared" si="176"/>
        <v>#VALUE!</v>
      </c>
      <c r="ER159" s="139" t="e">
        <f t="shared" si="177"/>
        <v>#VALUE!</v>
      </c>
      <c r="ES159" s="139" t="e">
        <f t="shared" si="178"/>
        <v>#VALUE!</v>
      </c>
      <c r="ET159" s="139" t="e">
        <f t="shared" si="179"/>
        <v>#VALUE!</v>
      </c>
      <c r="EU159" s="139" t="e">
        <f t="shared" si="180"/>
        <v>#VALUE!</v>
      </c>
      <c r="EV159" s="139" t="e">
        <f t="shared" si="181"/>
        <v>#VALUE!</v>
      </c>
      <c r="EW159" s="139" t="e">
        <f t="shared" si="182"/>
        <v>#VALUE!</v>
      </c>
      <c r="EX159" s="139" t="e">
        <f t="shared" si="183"/>
        <v>#VALUE!</v>
      </c>
      <c r="EY159" s="139" t="e">
        <f t="shared" si="184"/>
        <v>#VALUE!</v>
      </c>
      <c r="EZ159" s="139" t="e">
        <f t="shared" si="185"/>
        <v>#VALUE!</v>
      </c>
      <c r="FA159" s="139" t="e">
        <f t="shared" si="186"/>
        <v>#VALUE!</v>
      </c>
      <c r="FB159" s="139" t="e">
        <f t="shared" si="187"/>
        <v>#VALUE!</v>
      </c>
      <c r="FC159" s="139" t="e">
        <f t="shared" si="188"/>
        <v>#VALUE!</v>
      </c>
      <c r="FD159" s="139" t="e">
        <f t="shared" si="189"/>
        <v>#VALUE!</v>
      </c>
      <c r="FE159" s="139" t="e">
        <f t="shared" si="190"/>
        <v>#VALUE!</v>
      </c>
      <c r="FF159" s="139" t="e">
        <f t="shared" si="191"/>
        <v>#VALUE!</v>
      </c>
      <c r="FG159" s="139" t="e">
        <f t="shared" si="192"/>
        <v>#VALUE!</v>
      </c>
      <c r="FH159" s="139" t="e">
        <f t="shared" si="193"/>
        <v>#VALUE!</v>
      </c>
      <c r="FI159" s="139" t="e">
        <f t="shared" si="194"/>
        <v>#VALUE!</v>
      </c>
      <c r="FJ159" s="139" t="e">
        <f t="shared" si="195"/>
        <v>#VALUE!</v>
      </c>
      <c r="FK159" s="139" t="e">
        <f t="shared" si="196"/>
        <v>#VALUE!</v>
      </c>
      <c r="FL159" s="139" t="e">
        <f t="shared" si="197"/>
        <v>#VALUE!</v>
      </c>
      <c r="FM159" s="139" t="e">
        <f t="shared" si="198"/>
        <v>#VALUE!</v>
      </c>
      <c r="FN159" s="139" t="e">
        <f t="shared" si="199"/>
        <v>#VALUE!</v>
      </c>
      <c r="FO159" s="139" t="e">
        <f t="shared" si="200"/>
        <v>#VALUE!</v>
      </c>
      <c r="FP159" s="139" t="e">
        <f t="shared" si="201"/>
        <v>#VALUE!</v>
      </c>
      <c r="FQ159" s="139" t="e">
        <f t="shared" si="202"/>
        <v>#VALUE!</v>
      </c>
      <c r="FR159" s="139" t="e">
        <f t="shared" si="203"/>
        <v>#VALUE!</v>
      </c>
      <c r="FS159" s="139" t="e">
        <f t="shared" si="204"/>
        <v>#VALUE!</v>
      </c>
      <c r="FT159" s="139" t="e">
        <f t="shared" si="205"/>
        <v>#VALUE!</v>
      </c>
      <c r="FU159" s="148" t="e">
        <f t="shared" si="206"/>
        <v>#VALUE!</v>
      </c>
      <c r="FV159" s="149"/>
      <c r="FY159" s="211">
        <v>154</v>
      </c>
      <c r="FZ159">
        <v>95.886953576068393</v>
      </c>
      <c r="GA159">
        <v>97.023872647677067</v>
      </c>
      <c r="GB159">
        <v>31.392755335392213</v>
      </c>
      <c r="GC159">
        <v>6.6477600667472192</v>
      </c>
      <c r="GD159">
        <v>2.7660669587573365</v>
      </c>
      <c r="GE159">
        <v>4.5833565407197217</v>
      </c>
      <c r="GF159">
        <v>30.417063252892824</v>
      </c>
      <c r="GG159">
        <v>38.437552596396053</v>
      </c>
      <c r="GH159">
        <v>20.284519701647969</v>
      </c>
      <c r="GI159">
        <v>75.831566946353888</v>
      </c>
      <c r="GJ159"/>
      <c r="GK159"/>
      <c r="GL159"/>
      <c r="GM159"/>
    </row>
    <row r="160" spans="1:195" s="7" customFormat="1">
      <c r="A160" s="1"/>
      <c r="B160" s="76">
        <f t="shared" ca="1" si="171"/>
        <v>0.12292945092486462</v>
      </c>
      <c r="C160">
        <v>5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10.416666666666666</v>
      </c>
      <c r="K160">
        <v>0</v>
      </c>
      <c r="L160">
        <v>10.416666666666666</v>
      </c>
      <c r="M160">
        <v>0</v>
      </c>
      <c r="N160">
        <v>0</v>
      </c>
      <c r="O160">
        <v>0</v>
      </c>
      <c r="P160">
        <v>10.416666666666666</v>
      </c>
      <c r="Q160">
        <v>20.833333333333332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1300.1144630473141</v>
      </c>
      <c r="AO160">
        <v>182.68698880672736</v>
      </c>
      <c r="AP160">
        <v>1600.6628038135593</v>
      </c>
      <c r="AQ160">
        <v>463.42349447695318</v>
      </c>
      <c r="AR160">
        <v>180.97820529098837</v>
      </c>
      <c r="AS160">
        <v>1862.2382734983494</v>
      </c>
      <c r="AT160">
        <v>84.055099619214673</v>
      </c>
      <c r="AU160">
        <v>537.84657899622755</v>
      </c>
      <c r="AV160"/>
      <c r="AW160"/>
      <c r="AX160" s="146"/>
      <c r="AY160" s="76">
        <f t="shared" ca="1" si="172"/>
        <v>0.46938847629032521</v>
      </c>
      <c r="AZ160">
        <v>3</v>
      </c>
      <c r="BA160" s="129">
        <f t="shared" si="244"/>
        <v>39910</v>
      </c>
      <c r="BB160">
        <v>0</v>
      </c>
      <c r="BC160"/>
      <c r="BD160"/>
      <c r="BE160"/>
      <c r="BF160">
        <v>7</v>
      </c>
      <c r="BG160">
        <v>2</v>
      </c>
      <c r="BH160">
        <v>5</v>
      </c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7"/>
        <v>0.51773614480477992</v>
      </c>
      <c r="CL160" s="179">
        <f t="shared" si="208"/>
        <v>3</v>
      </c>
      <c r="CM160" s="180">
        <f t="shared" si="209"/>
        <v>39910</v>
      </c>
      <c r="CN160">
        <v>2</v>
      </c>
      <c r="CO160">
        <v>2</v>
      </c>
      <c r="CP160">
        <v>11</v>
      </c>
      <c r="CQ160">
        <v>11</v>
      </c>
      <c r="CR160">
        <v>3</v>
      </c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0"/>
        <v>9.6000000000000002E-2</v>
      </c>
      <c r="DB160" s="146"/>
      <c r="DC160" s="76">
        <f t="shared" ca="1" si="173"/>
        <v>0.77738597174526258</v>
      </c>
      <c r="DD160">
        <f t="shared" si="211"/>
        <v>3</v>
      </c>
      <c r="DE160" s="129">
        <f t="shared" si="243"/>
        <v>39910</v>
      </c>
      <c r="DF160" s="161">
        <f t="shared" si="212"/>
        <v>173.61111111111111</v>
      </c>
      <c r="DG160" s="161">
        <f t="shared" si="213"/>
        <v>173.61111111111111</v>
      </c>
      <c r="DH160" s="161">
        <f t="shared" si="214"/>
        <v>954.86111111111109</v>
      </c>
      <c r="DI160" s="161">
        <f t="shared" si="215"/>
        <v>954.86111111111109</v>
      </c>
      <c r="DJ160" s="161">
        <f t="shared" si="216"/>
        <v>459.28030303030306</v>
      </c>
      <c r="DK160" s="161">
        <f t="shared" si="217"/>
        <v>56.818181818181813</v>
      </c>
      <c r="DL160" s="161">
        <f t="shared" si="218"/>
        <v>142.04545454545453</v>
      </c>
      <c r="DM160" s="161">
        <f t="shared" si="219"/>
        <v>0</v>
      </c>
      <c r="DN160" s="161">
        <f t="shared" si="220"/>
        <v>0</v>
      </c>
      <c r="DO160" s="161">
        <f t="shared" si="221"/>
        <v>0</v>
      </c>
      <c r="DP160" s="161">
        <f t="shared" si="222"/>
        <v>0</v>
      </c>
      <c r="DQ160" s="161">
        <f t="shared" si="223"/>
        <v>0</v>
      </c>
      <c r="DR160" s="161">
        <f t="shared" si="224"/>
        <v>0</v>
      </c>
      <c r="DS160" s="161">
        <f t="shared" si="225"/>
        <v>0</v>
      </c>
      <c r="DT160" s="161">
        <f t="shared" si="226"/>
        <v>0</v>
      </c>
      <c r="DU160" s="161">
        <f t="shared" si="227"/>
        <v>0</v>
      </c>
      <c r="DV160" s="161">
        <f t="shared" si="228"/>
        <v>0</v>
      </c>
      <c r="DW160" s="161">
        <f t="shared" si="229"/>
        <v>0</v>
      </c>
      <c r="DX160" s="161">
        <f t="shared" si="230"/>
        <v>0</v>
      </c>
      <c r="DY160" s="161">
        <f t="shared" si="231"/>
        <v>0</v>
      </c>
      <c r="DZ160" s="161">
        <f t="shared" si="232"/>
        <v>0</v>
      </c>
      <c r="EA160" s="161">
        <f t="shared" si="233"/>
        <v>0</v>
      </c>
      <c r="EB160" s="161">
        <f t="shared" si="234"/>
        <v>0</v>
      </c>
      <c r="EC160" s="161">
        <f t="shared" si="235"/>
        <v>0</v>
      </c>
      <c r="ED160" s="161">
        <f t="shared" si="236"/>
        <v>0</v>
      </c>
      <c r="EE160" s="161">
        <f t="shared" si="237"/>
        <v>0</v>
      </c>
      <c r="EF160" s="161">
        <f t="shared" si="238"/>
        <v>0</v>
      </c>
      <c r="EG160" s="161">
        <f t="shared" si="239"/>
        <v>0</v>
      </c>
      <c r="EH160" s="161">
        <f t="shared" si="240"/>
        <v>0</v>
      </c>
      <c r="EI160" s="161">
        <f t="shared" si="241"/>
        <v>0</v>
      </c>
      <c r="EJ160" s="161">
        <f t="shared" si="242"/>
        <v>0</v>
      </c>
      <c r="EK160" s="147">
        <f t="shared" si="174"/>
        <v>2915.0883838383838</v>
      </c>
      <c r="EL160" s="149"/>
      <c r="EN160" s="146"/>
      <c r="EO160" s="146"/>
      <c r="EP160" s="139" t="e">
        <f t="shared" si="175"/>
        <v>#VALUE!</v>
      </c>
      <c r="EQ160" s="139" t="e">
        <f t="shared" si="176"/>
        <v>#VALUE!</v>
      </c>
      <c r="ER160" s="139" t="e">
        <f t="shared" si="177"/>
        <v>#VALUE!</v>
      </c>
      <c r="ES160" s="139" t="e">
        <f t="shared" si="178"/>
        <v>#VALUE!</v>
      </c>
      <c r="ET160" s="139" t="e">
        <f t="shared" si="179"/>
        <v>#VALUE!</v>
      </c>
      <c r="EU160" s="139" t="e">
        <f t="shared" si="180"/>
        <v>#VALUE!</v>
      </c>
      <c r="EV160" s="139" t="e">
        <f t="shared" si="181"/>
        <v>#VALUE!</v>
      </c>
      <c r="EW160" s="139" t="e">
        <f t="shared" si="182"/>
        <v>#VALUE!</v>
      </c>
      <c r="EX160" s="139" t="e">
        <f t="shared" si="183"/>
        <v>#VALUE!</v>
      </c>
      <c r="EY160" s="139" t="e">
        <f t="shared" si="184"/>
        <v>#VALUE!</v>
      </c>
      <c r="EZ160" s="139" t="e">
        <f t="shared" si="185"/>
        <v>#VALUE!</v>
      </c>
      <c r="FA160" s="139" t="e">
        <f t="shared" si="186"/>
        <v>#VALUE!</v>
      </c>
      <c r="FB160" s="139" t="e">
        <f t="shared" si="187"/>
        <v>#VALUE!</v>
      </c>
      <c r="FC160" s="139" t="e">
        <f t="shared" si="188"/>
        <v>#VALUE!</v>
      </c>
      <c r="FD160" s="139" t="e">
        <f t="shared" si="189"/>
        <v>#VALUE!</v>
      </c>
      <c r="FE160" s="139" t="e">
        <f t="shared" si="190"/>
        <v>#VALUE!</v>
      </c>
      <c r="FF160" s="139" t="e">
        <f t="shared" si="191"/>
        <v>#VALUE!</v>
      </c>
      <c r="FG160" s="139" t="e">
        <f t="shared" si="192"/>
        <v>#VALUE!</v>
      </c>
      <c r="FH160" s="139" t="e">
        <f t="shared" si="193"/>
        <v>#VALUE!</v>
      </c>
      <c r="FI160" s="139" t="e">
        <f t="shared" si="194"/>
        <v>#VALUE!</v>
      </c>
      <c r="FJ160" s="139" t="e">
        <f t="shared" si="195"/>
        <v>#VALUE!</v>
      </c>
      <c r="FK160" s="139" t="e">
        <f t="shared" si="196"/>
        <v>#VALUE!</v>
      </c>
      <c r="FL160" s="139" t="e">
        <f t="shared" si="197"/>
        <v>#VALUE!</v>
      </c>
      <c r="FM160" s="139" t="e">
        <f t="shared" si="198"/>
        <v>#VALUE!</v>
      </c>
      <c r="FN160" s="139" t="e">
        <f t="shared" si="199"/>
        <v>#VALUE!</v>
      </c>
      <c r="FO160" s="139" t="e">
        <f t="shared" si="200"/>
        <v>#VALUE!</v>
      </c>
      <c r="FP160" s="139" t="e">
        <f t="shared" si="201"/>
        <v>#VALUE!</v>
      </c>
      <c r="FQ160" s="139" t="e">
        <f t="shared" si="202"/>
        <v>#VALUE!</v>
      </c>
      <c r="FR160" s="139" t="e">
        <f t="shared" si="203"/>
        <v>#VALUE!</v>
      </c>
      <c r="FS160" s="139" t="e">
        <f t="shared" si="204"/>
        <v>#VALUE!</v>
      </c>
      <c r="FT160" s="139" t="e">
        <f t="shared" si="205"/>
        <v>#VALUE!</v>
      </c>
      <c r="FU160" s="148" t="e">
        <f t="shared" si="206"/>
        <v>#VALUE!</v>
      </c>
      <c r="FV160" s="149"/>
      <c r="FY160" s="211">
        <v>155</v>
      </c>
      <c r="FZ160">
        <v>237.94758613441252</v>
      </c>
      <c r="GA160">
        <v>151.00351593473988</v>
      </c>
      <c r="GB160">
        <v>33.186695552079691</v>
      </c>
      <c r="GC160">
        <v>8.0423112544654458</v>
      </c>
      <c r="GD160">
        <v>2.3826906188793551</v>
      </c>
      <c r="GE160">
        <v>4.9174521622030465</v>
      </c>
      <c r="GF160">
        <v>14.66841391857813</v>
      </c>
      <c r="GG160">
        <v>17.305868465888004</v>
      </c>
      <c r="GH160">
        <v>24.762578236878412</v>
      </c>
      <c r="GI160">
        <v>75.247323732857993</v>
      </c>
      <c r="GJ160"/>
      <c r="GK160"/>
      <c r="GL160"/>
      <c r="GM160"/>
    </row>
    <row r="161" spans="1:195" s="7" customFormat="1">
      <c r="A161" s="1"/>
      <c r="B161" s="76">
        <f t="shared" ca="1" si="171"/>
        <v>0.96200887214643449</v>
      </c>
      <c r="C161">
        <v>6</v>
      </c>
      <c r="D161">
        <v>39910</v>
      </c>
      <c r="E161">
        <v>0</v>
      </c>
      <c r="F161">
        <v>0</v>
      </c>
      <c r="G161">
        <v>0</v>
      </c>
      <c r="H161">
        <v>10.416666666666666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1122.4964041579415</v>
      </c>
      <c r="AO161">
        <v>183.82347682330359</v>
      </c>
      <c r="AP161">
        <v>1479.1116454853491</v>
      </c>
      <c r="AQ161">
        <v>480.58745673768891</v>
      </c>
      <c r="AR161">
        <v>176.73518493867118</v>
      </c>
      <c r="AS161">
        <v>1808.5231144307777</v>
      </c>
      <c r="AT161">
        <v>89.187991930297287</v>
      </c>
      <c r="AU161">
        <v>54.766135073199642</v>
      </c>
      <c r="AV161"/>
      <c r="AW161"/>
      <c r="AX161" s="146"/>
      <c r="AY161" s="76">
        <f t="shared" ca="1" si="172"/>
        <v>0.13293355018167441</v>
      </c>
      <c r="AZ161">
        <v>4</v>
      </c>
      <c r="BA161" s="129">
        <f t="shared" si="244"/>
        <v>39910</v>
      </c>
      <c r="BB161">
        <v>0</v>
      </c>
      <c r="BC161"/>
      <c r="BD161"/>
      <c r="BE161"/>
      <c r="BF161">
        <v>2</v>
      </c>
      <c r="BG161"/>
      <c r="BH161">
        <v>1</v>
      </c>
      <c r="BI161">
        <v>1</v>
      </c>
      <c r="BJ161"/>
      <c r="BK161">
        <v>1</v>
      </c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7"/>
        <v>0.76845544597509252</v>
      </c>
      <c r="CL161" s="179">
        <f t="shared" si="208"/>
        <v>4</v>
      </c>
      <c r="CM161" s="180">
        <f t="shared" si="209"/>
        <v>39910</v>
      </c>
      <c r="CN161">
        <v>0</v>
      </c>
      <c r="CO161">
        <v>2</v>
      </c>
      <c r="CP161">
        <v>17</v>
      </c>
      <c r="CQ161">
        <v>2</v>
      </c>
      <c r="CR161">
        <v>1</v>
      </c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10"/>
        <v>9.6000000000000002E-2</v>
      </c>
      <c r="DB161" s="146"/>
      <c r="DC161" s="76">
        <f t="shared" ca="1" si="173"/>
        <v>0.28487884728182744</v>
      </c>
      <c r="DD161">
        <f t="shared" si="211"/>
        <v>4</v>
      </c>
      <c r="DE161" s="129">
        <f t="shared" si="243"/>
        <v>39910</v>
      </c>
      <c r="DF161" s="161">
        <f t="shared" si="212"/>
        <v>0</v>
      </c>
      <c r="DG161" s="161">
        <f t="shared" si="213"/>
        <v>69.444444444444443</v>
      </c>
      <c r="DH161" s="161">
        <f t="shared" si="214"/>
        <v>590.27777777777783</v>
      </c>
      <c r="DI161" s="161">
        <f t="shared" si="215"/>
        <v>69.444444444444443</v>
      </c>
      <c r="DJ161" s="161">
        <f t="shared" si="216"/>
        <v>55.555555555555557</v>
      </c>
      <c r="DK161" s="161">
        <f t="shared" si="217"/>
        <v>0</v>
      </c>
      <c r="DL161" s="161">
        <f t="shared" si="218"/>
        <v>10.416666666666666</v>
      </c>
      <c r="DM161" s="161">
        <f t="shared" si="219"/>
        <v>10.416666666666666</v>
      </c>
      <c r="DN161" s="161">
        <f t="shared" si="220"/>
        <v>0</v>
      </c>
      <c r="DO161" s="161">
        <f t="shared" si="221"/>
        <v>10.416666666666666</v>
      </c>
      <c r="DP161" s="161">
        <f t="shared" si="222"/>
        <v>0</v>
      </c>
      <c r="DQ161" s="161">
        <f t="shared" si="223"/>
        <v>0</v>
      </c>
      <c r="DR161" s="161">
        <f t="shared" si="224"/>
        <v>0</v>
      </c>
      <c r="DS161" s="161">
        <f t="shared" si="225"/>
        <v>0</v>
      </c>
      <c r="DT161" s="161">
        <f t="shared" si="226"/>
        <v>0</v>
      </c>
      <c r="DU161" s="161">
        <f t="shared" si="227"/>
        <v>0</v>
      </c>
      <c r="DV161" s="161">
        <f t="shared" si="228"/>
        <v>0</v>
      </c>
      <c r="DW161" s="161">
        <f t="shared" si="229"/>
        <v>0</v>
      </c>
      <c r="DX161" s="161">
        <f t="shared" si="230"/>
        <v>0</v>
      </c>
      <c r="DY161" s="161">
        <f t="shared" si="231"/>
        <v>0</v>
      </c>
      <c r="DZ161" s="161">
        <f t="shared" si="232"/>
        <v>0</v>
      </c>
      <c r="EA161" s="161">
        <f t="shared" si="233"/>
        <v>0</v>
      </c>
      <c r="EB161" s="161">
        <f t="shared" si="234"/>
        <v>0</v>
      </c>
      <c r="EC161" s="161">
        <f t="shared" si="235"/>
        <v>0</v>
      </c>
      <c r="ED161" s="161">
        <f t="shared" si="236"/>
        <v>0</v>
      </c>
      <c r="EE161" s="161">
        <f t="shared" si="237"/>
        <v>0</v>
      </c>
      <c r="EF161" s="161">
        <f t="shared" si="238"/>
        <v>0</v>
      </c>
      <c r="EG161" s="161">
        <f t="shared" si="239"/>
        <v>0</v>
      </c>
      <c r="EH161" s="161">
        <f t="shared" si="240"/>
        <v>0</v>
      </c>
      <c r="EI161" s="161">
        <f t="shared" si="241"/>
        <v>0</v>
      </c>
      <c r="EJ161" s="161">
        <f t="shared" si="242"/>
        <v>0</v>
      </c>
      <c r="EK161" s="147">
        <f t="shared" si="174"/>
        <v>815.97222222222217</v>
      </c>
      <c r="EL161" s="149"/>
      <c r="EN161" s="146"/>
      <c r="EO161" s="146"/>
      <c r="EP161" s="139" t="e">
        <f t="shared" si="175"/>
        <v>#VALUE!</v>
      </c>
      <c r="EQ161" s="139" t="e">
        <f t="shared" si="176"/>
        <v>#VALUE!</v>
      </c>
      <c r="ER161" s="139" t="e">
        <f t="shared" si="177"/>
        <v>#VALUE!</v>
      </c>
      <c r="ES161" s="139" t="e">
        <f t="shared" si="178"/>
        <v>#VALUE!</v>
      </c>
      <c r="ET161" s="139" t="e">
        <f t="shared" si="179"/>
        <v>#VALUE!</v>
      </c>
      <c r="EU161" s="139" t="e">
        <f t="shared" si="180"/>
        <v>#VALUE!</v>
      </c>
      <c r="EV161" s="139" t="e">
        <f t="shared" si="181"/>
        <v>#VALUE!</v>
      </c>
      <c r="EW161" s="139" t="e">
        <f t="shared" si="182"/>
        <v>#VALUE!</v>
      </c>
      <c r="EX161" s="139" t="e">
        <f t="shared" si="183"/>
        <v>#VALUE!</v>
      </c>
      <c r="EY161" s="139" t="e">
        <f t="shared" si="184"/>
        <v>#VALUE!</v>
      </c>
      <c r="EZ161" s="139" t="e">
        <f t="shared" si="185"/>
        <v>#VALUE!</v>
      </c>
      <c r="FA161" s="139" t="e">
        <f t="shared" si="186"/>
        <v>#VALUE!</v>
      </c>
      <c r="FB161" s="139" t="e">
        <f t="shared" si="187"/>
        <v>#VALUE!</v>
      </c>
      <c r="FC161" s="139" t="e">
        <f t="shared" si="188"/>
        <v>#VALUE!</v>
      </c>
      <c r="FD161" s="139" t="e">
        <f t="shared" si="189"/>
        <v>#VALUE!</v>
      </c>
      <c r="FE161" s="139" t="e">
        <f t="shared" si="190"/>
        <v>#VALUE!</v>
      </c>
      <c r="FF161" s="139" t="e">
        <f t="shared" si="191"/>
        <v>#VALUE!</v>
      </c>
      <c r="FG161" s="139" t="e">
        <f t="shared" si="192"/>
        <v>#VALUE!</v>
      </c>
      <c r="FH161" s="139" t="e">
        <f t="shared" si="193"/>
        <v>#VALUE!</v>
      </c>
      <c r="FI161" s="139" t="e">
        <f t="shared" si="194"/>
        <v>#VALUE!</v>
      </c>
      <c r="FJ161" s="139" t="e">
        <f t="shared" si="195"/>
        <v>#VALUE!</v>
      </c>
      <c r="FK161" s="139" t="e">
        <f t="shared" si="196"/>
        <v>#VALUE!</v>
      </c>
      <c r="FL161" s="139" t="e">
        <f t="shared" si="197"/>
        <v>#VALUE!</v>
      </c>
      <c r="FM161" s="139" t="e">
        <f t="shared" si="198"/>
        <v>#VALUE!</v>
      </c>
      <c r="FN161" s="139" t="e">
        <f t="shared" si="199"/>
        <v>#VALUE!</v>
      </c>
      <c r="FO161" s="139" t="e">
        <f t="shared" si="200"/>
        <v>#VALUE!</v>
      </c>
      <c r="FP161" s="139" t="e">
        <f t="shared" si="201"/>
        <v>#VALUE!</v>
      </c>
      <c r="FQ161" s="139" t="e">
        <f t="shared" si="202"/>
        <v>#VALUE!</v>
      </c>
      <c r="FR161" s="139" t="e">
        <f t="shared" si="203"/>
        <v>#VALUE!</v>
      </c>
      <c r="FS161" s="139" t="e">
        <f t="shared" si="204"/>
        <v>#VALUE!</v>
      </c>
      <c r="FT161" s="139" t="e">
        <f t="shared" si="205"/>
        <v>#VALUE!</v>
      </c>
      <c r="FU161" s="148" t="e">
        <f t="shared" si="206"/>
        <v>#VALUE!</v>
      </c>
      <c r="FV161" s="149"/>
      <c r="FY161" s="211">
        <v>156</v>
      </c>
      <c r="FZ161">
        <v>96.123388388241167</v>
      </c>
      <c r="GA161">
        <v>81.490548177656365</v>
      </c>
      <c r="GB161">
        <v>26.300300904598306</v>
      </c>
      <c r="GC161">
        <v>8.2413626179380799</v>
      </c>
      <c r="GD161">
        <v>3.8889831933913057</v>
      </c>
      <c r="GE161">
        <v>6.704086028030245</v>
      </c>
      <c r="GF161">
        <v>25.154931019385678</v>
      </c>
      <c r="GG161">
        <v>29.237543127550115</v>
      </c>
      <c r="GH161">
        <v>28.424388560076441</v>
      </c>
      <c r="GI161">
        <v>74.570914261143201</v>
      </c>
      <c r="GJ161"/>
      <c r="GK161"/>
      <c r="GL161"/>
      <c r="GM161"/>
    </row>
    <row r="162" spans="1:195" s="7" customFormat="1">
      <c r="A162" s="1"/>
      <c r="B162" s="76">
        <f t="shared" ca="1" si="171"/>
        <v>0.46380930642730023</v>
      </c>
      <c r="C162">
        <v>7</v>
      </c>
      <c r="D162">
        <v>39910</v>
      </c>
      <c r="E162">
        <v>0</v>
      </c>
      <c r="F162">
        <v>0</v>
      </c>
      <c r="G162">
        <v>0</v>
      </c>
      <c r="H162">
        <v>83.333333333333329</v>
      </c>
      <c r="I162">
        <v>208.33333333333334</v>
      </c>
      <c r="J162">
        <v>41.666666666666664</v>
      </c>
      <c r="K162">
        <v>20.833333333333332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1752.3163715522696</v>
      </c>
      <c r="AO162">
        <v>216.94951548565359</v>
      </c>
      <c r="AP162">
        <v>1893.6832977721622</v>
      </c>
      <c r="AQ162">
        <v>666.12699540213805</v>
      </c>
      <c r="AR162">
        <v>209.81744692076819</v>
      </c>
      <c r="AS162">
        <v>2302.037681140821</v>
      </c>
      <c r="AT162">
        <v>95.711709712979982</v>
      </c>
      <c r="AU162">
        <v>596.43961294025894</v>
      </c>
      <c r="AV162"/>
      <c r="AW162"/>
      <c r="AX162" s="146"/>
      <c r="AY162" s="76">
        <f t="shared" ca="1" si="172"/>
        <v>0.98824927232430693</v>
      </c>
      <c r="AZ162">
        <v>5</v>
      </c>
      <c r="BA162" s="129">
        <f t="shared" si="244"/>
        <v>39910</v>
      </c>
      <c r="BB162">
        <v>0</v>
      </c>
      <c r="BC162"/>
      <c r="BD162"/>
      <c r="BE162"/>
      <c r="BF162"/>
      <c r="BG162">
        <v>1</v>
      </c>
      <c r="BH162"/>
      <c r="BI162">
        <v>1</v>
      </c>
      <c r="BJ162"/>
      <c r="BK162"/>
      <c r="BL162"/>
      <c r="BM162">
        <v>1</v>
      </c>
      <c r="BN162">
        <v>2</v>
      </c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7"/>
        <v>0.60362517572100993</v>
      </c>
      <c r="CL162" s="179">
        <f t="shared" si="208"/>
        <v>5</v>
      </c>
      <c r="CM162" s="180">
        <f t="shared" si="209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10"/>
        <v>9.6000000000000002E-2</v>
      </c>
      <c r="DB162" s="146"/>
      <c r="DC162" s="76">
        <f t="shared" ca="1" si="173"/>
        <v>0.5702595820334373</v>
      </c>
      <c r="DD162">
        <f t="shared" si="211"/>
        <v>5</v>
      </c>
      <c r="DE162" s="129">
        <f t="shared" si="243"/>
        <v>39910</v>
      </c>
      <c r="DF162" s="161">
        <f t="shared" si="212"/>
        <v>0</v>
      </c>
      <c r="DG162" s="161">
        <f t="shared" si="213"/>
        <v>0</v>
      </c>
      <c r="DH162" s="161">
        <f t="shared" si="214"/>
        <v>0</v>
      </c>
      <c r="DI162" s="161">
        <f t="shared" si="215"/>
        <v>0</v>
      </c>
      <c r="DJ162" s="161">
        <f t="shared" si="216"/>
        <v>0</v>
      </c>
      <c r="DK162" s="161">
        <f t="shared" si="217"/>
        <v>10.416666666666666</v>
      </c>
      <c r="DL162" s="161">
        <f t="shared" si="218"/>
        <v>0</v>
      </c>
      <c r="DM162" s="161">
        <f t="shared" si="219"/>
        <v>10.416666666666666</v>
      </c>
      <c r="DN162" s="161">
        <f t="shared" si="220"/>
        <v>0</v>
      </c>
      <c r="DO162" s="161">
        <f t="shared" si="221"/>
        <v>0</v>
      </c>
      <c r="DP162" s="161">
        <f t="shared" si="222"/>
        <v>0</v>
      </c>
      <c r="DQ162" s="161">
        <f t="shared" si="223"/>
        <v>10.416666666666666</v>
      </c>
      <c r="DR162" s="161">
        <f t="shared" si="224"/>
        <v>20.833333333333332</v>
      </c>
      <c r="DS162" s="161">
        <f t="shared" si="225"/>
        <v>0</v>
      </c>
      <c r="DT162" s="161">
        <f t="shared" si="226"/>
        <v>0</v>
      </c>
      <c r="DU162" s="161">
        <f t="shared" si="227"/>
        <v>0</v>
      </c>
      <c r="DV162" s="161">
        <f t="shared" si="228"/>
        <v>0</v>
      </c>
      <c r="DW162" s="161">
        <f t="shared" si="229"/>
        <v>0</v>
      </c>
      <c r="DX162" s="161">
        <f t="shared" si="230"/>
        <v>0</v>
      </c>
      <c r="DY162" s="161">
        <f t="shared" si="231"/>
        <v>0</v>
      </c>
      <c r="DZ162" s="161">
        <f t="shared" si="232"/>
        <v>0</v>
      </c>
      <c r="EA162" s="161">
        <f t="shared" si="233"/>
        <v>0</v>
      </c>
      <c r="EB162" s="161">
        <f t="shared" si="234"/>
        <v>0</v>
      </c>
      <c r="EC162" s="161">
        <f t="shared" si="235"/>
        <v>0</v>
      </c>
      <c r="ED162" s="161">
        <f t="shared" si="236"/>
        <v>0</v>
      </c>
      <c r="EE162" s="161">
        <f t="shared" si="237"/>
        <v>0</v>
      </c>
      <c r="EF162" s="161">
        <f t="shared" si="238"/>
        <v>0</v>
      </c>
      <c r="EG162" s="161">
        <f t="shared" si="239"/>
        <v>0</v>
      </c>
      <c r="EH162" s="161">
        <f t="shared" si="240"/>
        <v>0</v>
      </c>
      <c r="EI162" s="161">
        <f t="shared" si="241"/>
        <v>0</v>
      </c>
      <c r="EJ162" s="161">
        <f t="shared" si="242"/>
        <v>0</v>
      </c>
      <c r="EK162" s="147">
        <f t="shared" si="174"/>
        <v>52.083333333333329</v>
      </c>
      <c r="EL162" s="149"/>
      <c r="EN162" s="146"/>
      <c r="EO162" s="146"/>
      <c r="EP162" s="139" t="e">
        <f t="shared" si="175"/>
        <v>#VALUE!</v>
      </c>
      <c r="EQ162" s="139" t="e">
        <f t="shared" si="176"/>
        <v>#VALUE!</v>
      </c>
      <c r="ER162" s="139" t="e">
        <f t="shared" si="177"/>
        <v>#VALUE!</v>
      </c>
      <c r="ES162" s="139" t="e">
        <f t="shared" si="178"/>
        <v>#VALUE!</v>
      </c>
      <c r="ET162" s="139" t="e">
        <f t="shared" si="179"/>
        <v>#VALUE!</v>
      </c>
      <c r="EU162" s="139" t="e">
        <f t="shared" si="180"/>
        <v>#VALUE!</v>
      </c>
      <c r="EV162" s="139" t="e">
        <f t="shared" si="181"/>
        <v>#VALUE!</v>
      </c>
      <c r="EW162" s="139" t="e">
        <f t="shared" si="182"/>
        <v>#VALUE!</v>
      </c>
      <c r="EX162" s="139" t="e">
        <f t="shared" si="183"/>
        <v>#VALUE!</v>
      </c>
      <c r="EY162" s="139" t="e">
        <f t="shared" si="184"/>
        <v>#VALUE!</v>
      </c>
      <c r="EZ162" s="139" t="e">
        <f t="shared" si="185"/>
        <v>#VALUE!</v>
      </c>
      <c r="FA162" s="139" t="e">
        <f t="shared" si="186"/>
        <v>#VALUE!</v>
      </c>
      <c r="FB162" s="139" t="e">
        <f t="shared" si="187"/>
        <v>#VALUE!</v>
      </c>
      <c r="FC162" s="139" t="e">
        <f t="shared" si="188"/>
        <v>#VALUE!</v>
      </c>
      <c r="FD162" s="139" t="e">
        <f t="shared" si="189"/>
        <v>#VALUE!</v>
      </c>
      <c r="FE162" s="139" t="e">
        <f t="shared" si="190"/>
        <v>#VALUE!</v>
      </c>
      <c r="FF162" s="139" t="e">
        <f t="shared" si="191"/>
        <v>#VALUE!</v>
      </c>
      <c r="FG162" s="139" t="e">
        <f t="shared" si="192"/>
        <v>#VALUE!</v>
      </c>
      <c r="FH162" s="139" t="e">
        <f t="shared" si="193"/>
        <v>#VALUE!</v>
      </c>
      <c r="FI162" s="139" t="e">
        <f t="shared" si="194"/>
        <v>#VALUE!</v>
      </c>
      <c r="FJ162" s="139" t="e">
        <f t="shared" si="195"/>
        <v>#VALUE!</v>
      </c>
      <c r="FK162" s="139" t="e">
        <f t="shared" si="196"/>
        <v>#VALUE!</v>
      </c>
      <c r="FL162" s="139" t="e">
        <f t="shared" si="197"/>
        <v>#VALUE!</v>
      </c>
      <c r="FM162" s="139" t="e">
        <f t="shared" si="198"/>
        <v>#VALUE!</v>
      </c>
      <c r="FN162" s="139" t="e">
        <f t="shared" si="199"/>
        <v>#VALUE!</v>
      </c>
      <c r="FO162" s="139" t="e">
        <f t="shared" si="200"/>
        <v>#VALUE!</v>
      </c>
      <c r="FP162" s="139" t="e">
        <f t="shared" si="201"/>
        <v>#VALUE!</v>
      </c>
      <c r="FQ162" s="139" t="e">
        <f t="shared" si="202"/>
        <v>#VALUE!</v>
      </c>
      <c r="FR162" s="139" t="e">
        <f t="shared" si="203"/>
        <v>#VALUE!</v>
      </c>
      <c r="FS162" s="139" t="e">
        <f t="shared" si="204"/>
        <v>#VALUE!</v>
      </c>
      <c r="FT162" s="139" t="e">
        <f t="shared" si="205"/>
        <v>#VALUE!</v>
      </c>
      <c r="FU162" s="148" t="e">
        <f t="shared" si="206"/>
        <v>#VALUE!</v>
      </c>
      <c r="FV162" s="149"/>
      <c r="FY162" s="211">
        <v>157</v>
      </c>
      <c r="FZ162">
        <v>126.30102575449388</v>
      </c>
      <c r="GA162">
        <v>79.335485815120521</v>
      </c>
      <c r="GB162">
        <v>22.20301684249365</v>
      </c>
      <c r="GC162">
        <v>6.2444210466555408</v>
      </c>
      <c r="GD162">
        <v>3.2207720898134089</v>
      </c>
      <c r="GE162">
        <v>6.214445860426558</v>
      </c>
      <c r="GF162">
        <v>28.048635206317908</v>
      </c>
      <c r="GG162">
        <v>36.573083492174625</v>
      </c>
      <c r="GH162">
        <v>20.917054254200369</v>
      </c>
      <c r="GI162">
        <v>74.987639099336562</v>
      </c>
      <c r="GJ162"/>
      <c r="GK162"/>
      <c r="GL162"/>
      <c r="GM162"/>
    </row>
    <row r="163" spans="1:195" s="7" customFormat="1">
      <c r="A163" s="1"/>
      <c r="B163" s="76">
        <f t="shared" ca="1" si="171"/>
        <v>0.40940998816513663</v>
      </c>
      <c r="C163">
        <v>3</v>
      </c>
      <c r="D163">
        <v>39910</v>
      </c>
      <c r="E163">
        <v>173.61111111111111</v>
      </c>
      <c r="F163">
        <v>173.61111111111111</v>
      </c>
      <c r="G163">
        <v>954.86111111111109</v>
      </c>
      <c r="H163">
        <v>954.86111111111109</v>
      </c>
      <c r="I163">
        <v>459.28030303030306</v>
      </c>
      <c r="J163">
        <v>56.818181818181813</v>
      </c>
      <c r="K163">
        <v>142.04545454545453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1035.8897652774933</v>
      </c>
      <c r="AO163">
        <v>150.23315036338644</v>
      </c>
      <c r="AP163">
        <v>1248.1333993899868</v>
      </c>
      <c r="AQ163">
        <v>396.79331352929989</v>
      </c>
      <c r="AR163">
        <v>144.85777992147538</v>
      </c>
      <c r="AS163">
        <v>1606.4547354477402</v>
      </c>
      <c r="AT163">
        <v>66.763213811916245</v>
      </c>
      <c r="AU163">
        <v>77.009024824402246</v>
      </c>
      <c r="AV163"/>
      <c r="AW163"/>
      <c r="AX163" s="146"/>
      <c r="AY163" s="76">
        <f t="shared" ca="1" si="172"/>
        <v>3.9415847725688402E-2</v>
      </c>
      <c r="AZ163">
        <v>6</v>
      </c>
      <c r="BA163" s="129">
        <f t="shared" si="244"/>
        <v>39910</v>
      </c>
      <c r="BB163">
        <v>0</v>
      </c>
      <c r="BC163"/>
      <c r="BD163"/>
      <c r="BE163">
        <v>1</v>
      </c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7"/>
        <v>2.5361936504079363E-2</v>
      </c>
      <c r="CL163" s="179">
        <f t="shared" si="208"/>
        <v>6</v>
      </c>
      <c r="CM163" s="180">
        <f t="shared" si="209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10"/>
        <v>9.6000000000000002E-2</v>
      </c>
      <c r="DB163" s="146"/>
      <c r="DC163" s="76">
        <f t="shared" ca="1" si="173"/>
        <v>0.46558649887333092</v>
      </c>
      <c r="DD163">
        <f t="shared" si="211"/>
        <v>6</v>
      </c>
      <c r="DE163" s="129">
        <f t="shared" si="243"/>
        <v>39910</v>
      </c>
      <c r="DF163" s="161">
        <f t="shared" si="212"/>
        <v>0</v>
      </c>
      <c r="DG163" s="161">
        <f t="shared" si="213"/>
        <v>0</v>
      </c>
      <c r="DH163" s="161">
        <f t="shared" si="214"/>
        <v>0</v>
      </c>
      <c r="DI163" s="161">
        <f t="shared" si="215"/>
        <v>10.416666666666666</v>
      </c>
      <c r="DJ163" s="161">
        <f t="shared" si="216"/>
        <v>0</v>
      </c>
      <c r="DK163" s="161">
        <f t="shared" si="217"/>
        <v>0</v>
      </c>
      <c r="DL163" s="161">
        <f t="shared" si="218"/>
        <v>0</v>
      </c>
      <c r="DM163" s="161">
        <f t="shared" si="219"/>
        <v>0</v>
      </c>
      <c r="DN163" s="161">
        <f t="shared" si="220"/>
        <v>0</v>
      </c>
      <c r="DO163" s="161">
        <f t="shared" si="221"/>
        <v>0</v>
      </c>
      <c r="DP163" s="161">
        <f t="shared" si="222"/>
        <v>0</v>
      </c>
      <c r="DQ163" s="161">
        <f t="shared" si="223"/>
        <v>0</v>
      </c>
      <c r="DR163" s="161">
        <f t="shared" si="224"/>
        <v>0</v>
      </c>
      <c r="DS163" s="161">
        <f t="shared" si="225"/>
        <v>0</v>
      </c>
      <c r="DT163" s="161">
        <f t="shared" si="226"/>
        <v>0</v>
      </c>
      <c r="DU163" s="161">
        <f t="shared" si="227"/>
        <v>0</v>
      </c>
      <c r="DV163" s="161">
        <f t="shared" si="228"/>
        <v>0</v>
      </c>
      <c r="DW163" s="161">
        <f t="shared" si="229"/>
        <v>0</v>
      </c>
      <c r="DX163" s="161">
        <f t="shared" si="230"/>
        <v>0</v>
      </c>
      <c r="DY163" s="161">
        <f t="shared" si="231"/>
        <v>0</v>
      </c>
      <c r="DZ163" s="161">
        <f t="shared" si="232"/>
        <v>0</v>
      </c>
      <c r="EA163" s="161">
        <f t="shared" si="233"/>
        <v>0</v>
      </c>
      <c r="EB163" s="161">
        <f t="shared" si="234"/>
        <v>0</v>
      </c>
      <c r="EC163" s="161">
        <f t="shared" si="235"/>
        <v>0</v>
      </c>
      <c r="ED163" s="161">
        <f t="shared" si="236"/>
        <v>0</v>
      </c>
      <c r="EE163" s="161">
        <f t="shared" si="237"/>
        <v>0</v>
      </c>
      <c r="EF163" s="161">
        <f t="shared" si="238"/>
        <v>0</v>
      </c>
      <c r="EG163" s="161">
        <f t="shared" si="239"/>
        <v>0</v>
      </c>
      <c r="EH163" s="161">
        <f t="shared" si="240"/>
        <v>0</v>
      </c>
      <c r="EI163" s="161">
        <f t="shared" si="241"/>
        <v>0</v>
      </c>
      <c r="EJ163" s="161">
        <f t="shared" si="242"/>
        <v>0</v>
      </c>
      <c r="EK163" s="147">
        <f t="shared" si="174"/>
        <v>10.416666666666666</v>
      </c>
      <c r="EL163" s="149"/>
      <c r="EN163" s="146"/>
      <c r="EO163" s="146"/>
      <c r="EP163" s="139" t="e">
        <f t="shared" si="175"/>
        <v>#VALUE!</v>
      </c>
      <c r="EQ163" s="139" t="e">
        <f t="shared" si="176"/>
        <v>#VALUE!</v>
      </c>
      <c r="ER163" s="139" t="e">
        <f t="shared" si="177"/>
        <v>#VALUE!</v>
      </c>
      <c r="ES163" s="139" t="e">
        <f t="shared" si="178"/>
        <v>#VALUE!</v>
      </c>
      <c r="ET163" s="139" t="e">
        <f t="shared" si="179"/>
        <v>#VALUE!</v>
      </c>
      <c r="EU163" s="139" t="e">
        <f t="shared" si="180"/>
        <v>#VALUE!</v>
      </c>
      <c r="EV163" s="139" t="e">
        <f t="shared" si="181"/>
        <v>#VALUE!</v>
      </c>
      <c r="EW163" s="139" t="e">
        <f t="shared" si="182"/>
        <v>#VALUE!</v>
      </c>
      <c r="EX163" s="139" t="e">
        <f t="shared" si="183"/>
        <v>#VALUE!</v>
      </c>
      <c r="EY163" s="139" t="e">
        <f t="shared" si="184"/>
        <v>#VALUE!</v>
      </c>
      <c r="EZ163" s="139" t="e">
        <f t="shared" si="185"/>
        <v>#VALUE!</v>
      </c>
      <c r="FA163" s="139" t="e">
        <f t="shared" si="186"/>
        <v>#VALUE!</v>
      </c>
      <c r="FB163" s="139" t="e">
        <f t="shared" si="187"/>
        <v>#VALUE!</v>
      </c>
      <c r="FC163" s="139" t="e">
        <f t="shared" si="188"/>
        <v>#VALUE!</v>
      </c>
      <c r="FD163" s="139" t="e">
        <f t="shared" si="189"/>
        <v>#VALUE!</v>
      </c>
      <c r="FE163" s="139" t="e">
        <f t="shared" si="190"/>
        <v>#VALUE!</v>
      </c>
      <c r="FF163" s="139" t="e">
        <f t="shared" si="191"/>
        <v>#VALUE!</v>
      </c>
      <c r="FG163" s="139" t="e">
        <f t="shared" si="192"/>
        <v>#VALUE!</v>
      </c>
      <c r="FH163" s="139" t="e">
        <f t="shared" si="193"/>
        <v>#VALUE!</v>
      </c>
      <c r="FI163" s="139" t="e">
        <f t="shared" si="194"/>
        <v>#VALUE!</v>
      </c>
      <c r="FJ163" s="139" t="e">
        <f t="shared" si="195"/>
        <v>#VALUE!</v>
      </c>
      <c r="FK163" s="139" t="e">
        <f t="shared" si="196"/>
        <v>#VALUE!</v>
      </c>
      <c r="FL163" s="139" t="e">
        <f t="shared" si="197"/>
        <v>#VALUE!</v>
      </c>
      <c r="FM163" s="139" t="e">
        <f t="shared" si="198"/>
        <v>#VALUE!</v>
      </c>
      <c r="FN163" s="139" t="e">
        <f t="shared" si="199"/>
        <v>#VALUE!</v>
      </c>
      <c r="FO163" s="139" t="e">
        <f t="shared" si="200"/>
        <v>#VALUE!</v>
      </c>
      <c r="FP163" s="139" t="e">
        <f t="shared" si="201"/>
        <v>#VALUE!</v>
      </c>
      <c r="FQ163" s="139" t="e">
        <f t="shared" si="202"/>
        <v>#VALUE!</v>
      </c>
      <c r="FR163" s="139" t="e">
        <f t="shared" si="203"/>
        <v>#VALUE!</v>
      </c>
      <c r="FS163" s="139" t="e">
        <f t="shared" si="204"/>
        <v>#VALUE!</v>
      </c>
      <c r="FT163" s="139" t="e">
        <f t="shared" si="205"/>
        <v>#VALUE!</v>
      </c>
      <c r="FU163" s="148" t="e">
        <f t="shared" si="206"/>
        <v>#VALUE!</v>
      </c>
      <c r="FV163" s="149"/>
      <c r="FY163" s="211">
        <v>158</v>
      </c>
      <c r="FZ163">
        <v>162.24790418535827</v>
      </c>
      <c r="GA163">
        <v>131.00399833551035</v>
      </c>
      <c r="GB163">
        <v>36.296146659403583</v>
      </c>
      <c r="GC163">
        <v>8.4095873919046813</v>
      </c>
      <c r="GD163">
        <v>2.8301330422451105</v>
      </c>
      <c r="GE163">
        <v>4.8119857066780263</v>
      </c>
      <c r="GF163">
        <v>20.060262705271725</v>
      </c>
      <c r="GG163">
        <v>23.403241936990611</v>
      </c>
      <c r="GH163">
        <v>11.996597838422106</v>
      </c>
      <c r="GI163">
        <v>70.507209178569809</v>
      </c>
      <c r="GJ163"/>
      <c r="GK163"/>
      <c r="GL163"/>
      <c r="GM163"/>
    </row>
    <row r="164" spans="1:195" s="7" customFormat="1">
      <c r="A164" s="1"/>
      <c r="B164" s="76">
        <f t="shared" ca="1" si="171"/>
        <v>0.4738509503069851</v>
      </c>
      <c r="C164">
        <v>4</v>
      </c>
      <c r="D164">
        <v>39910</v>
      </c>
      <c r="E164">
        <v>0</v>
      </c>
      <c r="F164">
        <v>69.444444444444443</v>
      </c>
      <c r="G164">
        <v>590.27777777777783</v>
      </c>
      <c r="H164">
        <v>69.444444444444443</v>
      </c>
      <c r="I164">
        <v>55.555555555555557</v>
      </c>
      <c r="J164">
        <v>0</v>
      </c>
      <c r="K164">
        <v>10.416666666666666</v>
      </c>
      <c r="L164">
        <v>10.416666666666666</v>
      </c>
      <c r="M164">
        <v>0</v>
      </c>
      <c r="N164">
        <v>10.416666666666666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1057.0597251168624</v>
      </c>
      <c r="AO164">
        <v>162.25192020774858</v>
      </c>
      <c r="AP164">
        <v>1361.4065379451229</v>
      </c>
      <c r="AQ164">
        <v>325.05086756529198</v>
      </c>
      <c r="AR164">
        <v>156.64373578449511</v>
      </c>
      <c r="AS164">
        <v>1619.0458581471601</v>
      </c>
      <c r="AT164">
        <v>74.292425891569749</v>
      </c>
      <c r="AU164">
        <v>330.57334449979555</v>
      </c>
      <c r="AV164"/>
      <c r="AW164"/>
      <c r="AX164" s="146"/>
      <c r="AY164" s="76">
        <f t="shared" ca="1" si="172"/>
        <v>0.7157325890577666</v>
      </c>
      <c r="AZ164">
        <v>7</v>
      </c>
      <c r="BA164" s="129">
        <f t="shared" si="244"/>
        <v>39910</v>
      </c>
      <c r="BB164">
        <v>0</v>
      </c>
      <c r="BC164"/>
      <c r="BD164"/>
      <c r="BE164">
        <v>8</v>
      </c>
      <c r="BF164">
        <v>20</v>
      </c>
      <c r="BG164">
        <v>4</v>
      </c>
      <c r="BH164">
        <v>2</v>
      </c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7"/>
        <v>0.81585685925817852</v>
      </c>
      <c r="CL164" s="179">
        <f t="shared" si="208"/>
        <v>7</v>
      </c>
      <c r="CM164" s="180">
        <f t="shared" si="209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10"/>
        <v>9.6000000000000002E-2</v>
      </c>
      <c r="DB164" s="146"/>
      <c r="DC164" s="76">
        <f t="shared" ca="1" si="173"/>
        <v>0.37148478555858888</v>
      </c>
      <c r="DD164">
        <f t="shared" si="211"/>
        <v>7</v>
      </c>
      <c r="DE164" s="129">
        <f t="shared" si="243"/>
        <v>39910</v>
      </c>
      <c r="DF164" s="161">
        <f t="shared" si="212"/>
        <v>0</v>
      </c>
      <c r="DG164" s="161">
        <f t="shared" si="213"/>
        <v>0</v>
      </c>
      <c r="DH164" s="161">
        <f t="shared" si="214"/>
        <v>0</v>
      </c>
      <c r="DI164" s="161">
        <f t="shared" si="215"/>
        <v>83.333333333333329</v>
      </c>
      <c r="DJ164" s="161">
        <f t="shared" si="216"/>
        <v>208.33333333333334</v>
      </c>
      <c r="DK164" s="161">
        <f t="shared" si="217"/>
        <v>41.666666666666664</v>
      </c>
      <c r="DL164" s="161">
        <f t="shared" si="218"/>
        <v>20.833333333333332</v>
      </c>
      <c r="DM164" s="161">
        <f t="shared" si="219"/>
        <v>0</v>
      </c>
      <c r="DN164" s="161">
        <f t="shared" si="220"/>
        <v>0</v>
      </c>
      <c r="DO164" s="161">
        <f t="shared" si="221"/>
        <v>0</v>
      </c>
      <c r="DP164" s="161">
        <f t="shared" si="222"/>
        <v>0</v>
      </c>
      <c r="DQ164" s="161">
        <f t="shared" si="223"/>
        <v>0</v>
      </c>
      <c r="DR164" s="161">
        <f t="shared" si="224"/>
        <v>0</v>
      </c>
      <c r="DS164" s="161">
        <f t="shared" si="225"/>
        <v>0</v>
      </c>
      <c r="DT164" s="161">
        <f t="shared" si="226"/>
        <v>0</v>
      </c>
      <c r="DU164" s="161">
        <f t="shared" si="227"/>
        <v>0</v>
      </c>
      <c r="DV164" s="161">
        <f t="shared" si="228"/>
        <v>0</v>
      </c>
      <c r="DW164" s="161">
        <f t="shared" si="229"/>
        <v>0</v>
      </c>
      <c r="DX164" s="161">
        <f t="shared" si="230"/>
        <v>0</v>
      </c>
      <c r="DY164" s="161">
        <f t="shared" si="231"/>
        <v>0</v>
      </c>
      <c r="DZ164" s="161">
        <f t="shared" si="232"/>
        <v>0</v>
      </c>
      <c r="EA164" s="161">
        <f t="shared" si="233"/>
        <v>0</v>
      </c>
      <c r="EB164" s="161">
        <f t="shared" si="234"/>
        <v>0</v>
      </c>
      <c r="EC164" s="161">
        <f t="shared" si="235"/>
        <v>0</v>
      </c>
      <c r="ED164" s="161">
        <f t="shared" si="236"/>
        <v>0</v>
      </c>
      <c r="EE164" s="161">
        <f t="shared" si="237"/>
        <v>0</v>
      </c>
      <c r="EF164" s="161">
        <f t="shared" si="238"/>
        <v>0</v>
      </c>
      <c r="EG164" s="161">
        <f t="shared" si="239"/>
        <v>0</v>
      </c>
      <c r="EH164" s="161">
        <f t="shared" si="240"/>
        <v>0</v>
      </c>
      <c r="EI164" s="161">
        <f t="shared" si="241"/>
        <v>0</v>
      </c>
      <c r="EJ164" s="161">
        <f t="shared" si="242"/>
        <v>0</v>
      </c>
      <c r="EK164" s="147">
        <f t="shared" si="174"/>
        <v>354.16666666666669</v>
      </c>
      <c r="EL164" s="149"/>
      <c r="EN164" s="146"/>
      <c r="EO164" s="146"/>
      <c r="EP164" s="139" t="e">
        <f t="shared" si="175"/>
        <v>#VALUE!</v>
      </c>
      <c r="EQ164" s="139" t="e">
        <f t="shared" si="176"/>
        <v>#VALUE!</v>
      </c>
      <c r="ER164" s="139" t="e">
        <f t="shared" si="177"/>
        <v>#VALUE!</v>
      </c>
      <c r="ES164" s="139" t="e">
        <f t="shared" si="178"/>
        <v>#VALUE!</v>
      </c>
      <c r="ET164" s="139" t="e">
        <f t="shared" si="179"/>
        <v>#VALUE!</v>
      </c>
      <c r="EU164" s="139" t="e">
        <f t="shared" si="180"/>
        <v>#VALUE!</v>
      </c>
      <c r="EV164" s="139" t="e">
        <f t="shared" si="181"/>
        <v>#VALUE!</v>
      </c>
      <c r="EW164" s="139" t="e">
        <f t="shared" si="182"/>
        <v>#VALUE!</v>
      </c>
      <c r="EX164" s="139" t="e">
        <f t="shared" si="183"/>
        <v>#VALUE!</v>
      </c>
      <c r="EY164" s="139" t="e">
        <f t="shared" si="184"/>
        <v>#VALUE!</v>
      </c>
      <c r="EZ164" s="139" t="e">
        <f t="shared" si="185"/>
        <v>#VALUE!</v>
      </c>
      <c r="FA164" s="139" t="e">
        <f t="shared" si="186"/>
        <v>#VALUE!</v>
      </c>
      <c r="FB164" s="139" t="e">
        <f t="shared" si="187"/>
        <v>#VALUE!</v>
      </c>
      <c r="FC164" s="139" t="e">
        <f t="shared" si="188"/>
        <v>#VALUE!</v>
      </c>
      <c r="FD164" s="139" t="e">
        <f t="shared" si="189"/>
        <v>#VALUE!</v>
      </c>
      <c r="FE164" s="139" t="e">
        <f t="shared" si="190"/>
        <v>#VALUE!</v>
      </c>
      <c r="FF164" s="139" t="e">
        <f t="shared" si="191"/>
        <v>#VALUE!</v>
      </c>
      <c r="FG164" s="139" t="e">
        <f t="shared" si="192"/>
        <v>#VALUE!</v>
      </c>
      <c r="FH164" s="139" t="e">
        <f t="shared" si="193"/>
        <v>#VALUE!</v>
      </c>
      <c r="FI164" s="139" t="e">
        <f t="shared" si="194"/>
        <v>#VALUE!</v>
      </c>
      <c r="FJ164" s="139" t="e">
        <f t="shared" si="195"/>
        <v>#VALUE!</v>
      </c>
      <c r="FK164" s="139" t="e">
        <f t="shared" si="196"/>
        <v>#VALUE!</v>
      </c>
      <c r="FL164" s="139" t="e">
        <f t="shared" si="197"/>
        <v>#VALUE!</v>
      </c>
      <c r="FM164" s="139" t="e">
        <f t="shared" si="198"/>
        <v>#VALUE!</v>
      </c>
      <c r="FN164" s="139" t="e">
        <f t="shared" si="199"/>
        <v>#VALUE!</v>
      </c>
      <c r="FO164" s="139" t="e">
        <f t="shared" si="200"/>
        <v>#VALUE!</v>
      </c>
      <c r="FP164" s="139" t="e">
        <f t="shared" si="201"/>
        <v>#VALUE!</v>
      </c>
      <c r="FQ164" s="139" t="e">
        <f t="shared" si="202"/>
        <v>#VALUE!</v>
      </c>
      <c r="FR164" s="139" t="e">
        <f t="shared" si="203"/>
        <v>#VALUE!</v>
      </c>
      <c r="FS164" s="139" t="e">
        <f t="shared" si="204"/>
        <v>#VALUE!</v>
      </c>
      <c r="FT164" s="139" t="e">
        <f t="shared" si="205"/>
        <v>#VALUE!</v>
      </c>
      <c r="FU164" s="148" t="e">
        <f t="shared" si="206"/>
        <v>#VALUE!</v>
      </c>
      <c r="FV164" s="149"/>
      <c r="FY164" s="211">
        <v>159</v>
      </c>
      <c r="FZ164">
        <v>131.17779468711774</v>
      </c>
      <c r="GA164">
        <v>107.36056599030319</v>
      </c>
      <c r="GB164">
        <v>30.716700014342596</v>
      </c>
      <c r="GC164">
        <v>8.0721287245113373</v>
      </c>
      <c r="GD164">
        <v>3.5315387777604066</v>
      </c>
      <c r="GE164">
        <v>4.9293325926339833</v>
      </c>
      <c r="GF164">
        <v>27.209833496017691</v>
      </c>
      <c r="GG164">
        <v>35.398826951702084</v>
      </c>
      <c r="GH164">
        <v>25.462281203244835</v>
      </c>
      <c r="GI164">
        <v>73.716237652216108</v>
      </c>
      <c r="GJ164"/>
      <c r="GK164"/>
      <c r="GL164"/>
      <c r="GM164"/>
    </row>
    <row r="165" spans="1:195" s="7" customFormat="1">
      <c r="A165" s="1"/>
      <c r="B165" s="76">
        <f t="shared" ca="1" si="171"/>
        <v>0.87979207849072871</v>
      </c>
      <c r="C165">
        <v>2</v>
      </c>
      <c r="D165">
        <v>39910</v>
      </c>
      <c r="E165">
        <v>0</v>
      </c>
      <c r="F165">
        <v>1845.2050570459451</v>
      </c>
      <c r="G165">
        <v>4875.0481806968855</v>
      </c>
      <c r="H165">
        <v>1174.2213999383287</v>
      </c>
      <c r="I165">
        <v>41.666666666666664</v>
      </c>
      <c r="J165">
        <v>62.5</v>
      </c>
      <c r="K165">
        <v>72.916666666666671</v>
      </c>
      <c r="L165">
        <v>31.25</v>
      </c>
      <c r="M165">
        <v>0</v>
      </c>
      <c r="N165">
        <v>20.833333333333332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900.69319538342029</v>
      </c>
      <c r="AO165">
        <v>150.13827544728395</v>
      </c>
      <c r="AP165">
        <v>1299.6569099708938</v>
      </c>
      <c r="AQ165">
        <v>388.2271326661014</v>
      </c>
      <c r="AR165">
        <v>146.79274854254911</v>
      </c>
      <c r="AS165">
        <v>1573.5417392411023</v>
      </c>
      <c r="AT165">
        <v>76.507783958112341</v>
      </c>
      <c r="AU165">
        <v>122.53221404833786</v>
      </c>
      <c r="AV165"/>
      <c r="AW165"/>
      <c r="AX165" s="146"/>
      <c r="AY165" s="76">
        <f t="shared" ca="1" si="172"/>
        <v>0.21994952257507516</v>
      </c>
      <c r="AZ165">
        <v>8</v>
      </c>
      <c r="BA165" s="129">
        <f t="shared" si="244"/>
        <v>39910</v>
      </c>
      <c r="BB165">
        <v>0</v>
      </c>
      <c r="BC165"/>
      <c r="BD165">
        <v>1</v>
      </c>
      <c r="BE165">
        <v>1</v>
      </c>
      <c r="BF165">
        <v>4</v>
      </c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7"/>
        <v>0.16278986377887916</v>
      </c>
      <c r="CL165" s="179">
        <f t="shared" si="208"/>
        <v>8</v>
      </c>
      <c r="CM165" s="180">
        <f t="shared" si="209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10"/>
        <v>9.6000000000000002E-2</v>
      </c>
      <c r="DB165" s="146"/>
      <c r="DC165" s="76">
        <f t="shared" ca="1" si="173"/>
        <v>0.10205105189814012</v>
      </c>
      <c r="DD165">
        <f t="shared" si="211"/>
        <v>8</v>
      </c>
      <c r="DE165" s="129">
        <f t="shared" si="243"/>
        <v>39910</v>
      </c>
      <c r="DF165" s="161">
        <f t="shared" si="212"/>
        <v>0</v>
      </c>
      <c r="DG165" s="161">
        <f t="shared" si="213"/>
        <v>0</v>
      </c>
      <c r="DH165" s="161">
        <f t="shared" si="214"/>
        <v>10.416666666666666</v>
      </c>
      <c r="DI165" s="161">
        <f t="shared" si="215"/>
        <v>10.416666666666666</v>
      </c>
      <c r="DJ165" s="161">
        <f t="shared" si="216"/>
        <v>41.666666666666664</v>
      </c>
      <c r="DK165" s="161">
        <f t="shared" si="217"/>
        <v>0</v>
      </c>
      <c r="DL165" s="161">
        <f t="shared" si="218"/>
        <v>0</v>
      </c>
      <c r="DM165" s="161">
        <f t="shared" si="219"/>
        <v>0</v>
      </c>
      <c r="DN165" s="161">
        <f t="shared" si="220"/>
        <v>0</v>
      </c>
      <c r="DO165" s="161">
        <f t="shared" si="221"/>
        <v>0</v>
      </c>
      <c r="DP165" s="161">
        <f t="shared" si="222"/>
        <v>0</v>
      </c>
      <c r="DQ165" s="161">
        <f t="shared" si="223"/>
        <v>0</v>
      </c>
      <c r="DR165" s="161">
        <f t="shared" si="224"/>
        <v>0</v>
      </c>
      <c r="DS165" s="161">
        <f t="shared" si="225"/>
        <v>0</v>
      </c>
      <c r="DT165" s="161">
        <f t="shared" si="226"/>
        <v>0</v>
      </c>
      <c r="DU165" s="161">
        <f t="shared" si="227"/>
        <v>0</v>
      </c>
      <c r="DV165" s="161">
        <f t="shared" si="228"/>
        <v>0</v>
      </c>
      <c r="DW165" s="161">
        <f t="shared" si="229"/>
        <v>0</v>
      </c>
      <c r="DX165" s="161">
        <f t="shared" si="230"/>
        <v>0</v>
      </c>
      <c r="DY165" s="161">
        <f t="shared" si="231"/>
        <v>0</v>
      </c>
      <c r="DZ165" s="161">
        <f t="shared" si="232"/>
        <v>0</v>
      </c>
      <c r="EA165" s="161">
        <f t="shared" si="233"/>
        <v>0</v>
      </c>
      <c r="EB165" s="161">
        <f t="shared" si="234"/>
        <v>0</v>
      </c>
      <c r="EC165" s="161">
        <f t="shared" si="235"/>
        <v>0</v>
      </c>
      <c r="ED165" s="161">
        <f t="shared" si="236"/>
        <v>0</v>
      </c>
      <c r="EE165" s="161">
        <f t="shared" si="237"/>
        <v>0</v>
      </c>
      <c r="EF165" s="161">
        <f t="shared" si="238"/>
        <v>0</v>
      </c>
      <c r="EG165" s="161">
        <f t="shared" si="239"/>
        <v>0</v>
      </c>
      <c r="EH165" s="161">
        <f t="shared" si="240"/>
        <v>0</v>
      </c>
      <c r="EI165" s="161">
        <f t="shared" si="241"/>
        <v>0</v>
      </c>
      <c r="EJ165" s="161">
        <f t="shared" si="242"/>
        <v>0</v>
      </c>
      <c r="EK165" s="147">
        <f t="shared" si="174"/>
        <v>62.5</v>
      </c>
      <c r="EL165" s="149"/>
      <c r="EN165" s="146"/>
      <c r="EO165" s="146"/>
      <c r="EP165" s="139" t="e">
        <f t="shared" si="175"/>
        <v>#VALUE!</v>
      </c>
      <c r="EQ165" s="139" t="e">
        <f t="shared" si="176"/>
        <v>#VALUE!</v>
      </c>
      <c r="ER165" s="139" t="e">
        <f t="shared" si="177"/>
        <v>#VALUE!</v>
      </c>
      <c r="ES165" s="139" t="e">
        <f t="shared" si="178"/>
        <v>#VALUE!</v>
      </c>
      <c r="ET165" s="139" t="e">
        <f t="shared" si="179"/>
        <v>#VALUE!</v>
      </c>
      <c r="EU165" s="139" t="e">
        <f t="shared" si="180"/>
        <v>#VALUE!</v>
      </c>
      <c r="EV165" s="139" t="e">
        <f t="shared" si="181"/>
        <v>#VALUE!</v>
      </c>
      <c r="EW165" s="139" t="e">
        <f t="shared" si="182"/>
        <v>#VALUE!</v>
      </c>
      <c r="EX165" s="139" t="e">
        <f t="shared" si="183"/>
        <v>#VALUE!</v>
      </c>
      <c r="EY165" s="139" t="e">
        <f t="shared" si="184"/>
        <v>#VALUE!</v>
      </c>
      <c r="EZ165" s="139" t="e">
        <f t="shared" si="185"/>
        <v>#VALUE!</v>
      </c>
      <c r="FA165" s="139" t="e">
        <f t="shared" si="186"/>
        <v>#VALUE!</v>
      </c>
      <c r="FB165" s="139" t="e">
        <f t="shared" si="187"/>
        <v>#VALUE!</v>
      </c>
      <c r="FC165" s="139" t="e">
        <f t="shared" si="188"/>
        <v>#VALUE!</v>
      </c>
      <c r="FD165" s="139" t="e">
        <f t="shared" si="189"/>
        <v>#VALUE!</v>
      </c>
      <c r="FE165" s="139" t="e">
        <f t="shared" si="190"/>
        <v>#VALUE!</v>
      </c>
      <c r="FF165" s="139" t="e">
        <f t="shared" si="191"/>
        <v>#VALUE!</v>
      </c>
      <c r="FG165" s="139" t="e">
        <f t="shared" si="192"/>
        <v>#VALUE!</v>
      </c>
      <c r="FH165" s="139" t="e">
        <f t="shared" si="193"/>
        <v>#VALUE!</v>
      </c>
      <c r="FI165" s="139" t="e">
        <f t="shared" si="194"/>
        <v>#VALUE!</v>
      </c>
      <c r="FJ165" s="139" t="e">
        <f t="shared" si="195"/>
        <v>#VALUE!</v>
      </c>
      <c r="FK165" s="139" t="e">
        <f t="shared" si="196"/>
        <v>#VALUE!</v>
      </c>
      <c r="FL165" s="139" t="e">
        <f t="shared" si="197"/>
        <v>#VALUE!</v>
      </c>
      <c r="FM165" s="139" t="e">
        <f t="shared" si="198"/>
        <v>#VALUE!</v>
      </c>
      <c r="FN165" s="139" t="e">
        <f t="shared" si="199"/>
        <v>#VALUE!</v>
      </c>
      <c r="FO165" s="139" t="e">
        <f t="shared" si="200"/>
        <v>#VALUE!</v>
      </c>
      <c r="FP165" s="139" t="e">
        <f t="shared" si="201"/>
        <v>#VALUE!</v>
      </c>
      <c r="FQ165" s="139" t="e">
        <f t="shared" si="202"/>
        <v>#VALUE!</v>
      </c>
      <c r="FR165" s="139" t="e">
        <f t="shared" si="203"/>
        <v>#VALUE!</v>
      </c>
      <c r="FS165" s="139" t="e">
        <f t="shared" si="204"/>
        <v>#VALUE!</v>
      </c>
      <c r="FT165" s="139" t="e">
        <f t="shared" si="205"/>
        <v>#VALUE!</v>
      </c>
      <c r="FU165" s="148" t="e">
        <f t="shared" si="206"/>
        <v>#VALUE!</v>
      </c>
      <c r="FV165" s="149"/>
      <c r="FY165" s="211">
        <v>160</v>
      </c>
      <c r="FZ165">
        <v>66.574072617476503</v>
      </c>
      <c r="GA165">
        <v>47.658441117485658</v>
      </c>
      <c r="GB165">
        <v>19.882025174099532</v>
      </c>
      <c r="GC165">
        <v>7.6148622156933374</v>
      </c>
      <c r="GD165">
        <v>2.5619983438861285</v>
      </c>
      <c r="GE165">
        <v>3.4656758468027169</v>
      </c>
      <c r="GF165">
        <v>21.113677734681836</v>
      </c>
      <c r="GG165">
        <v>29.96169750180842</v>
      </c>
      <c r="GH165">
        <v>25.037513909013256</v>
      </c>
      <c r="GI165">
        <v>64.165872050996228</v>
      </c>
      <c r="GJ165"/>
      <c r="GK165"/>
      <c r="GL165"/>
      <c r="GM165"/>
    </row>
    <row r="166" spans="1:195" s="7" customFormat="1">
      <c r="A166" s="1"/>
      <c r="B166" s="76">
        <f t="shared" ca="1" si="171"/>
        <v>0.60075222381380355</v>
      </c>
      <c r="C166">
        <v>9</v>
      </c>
      <c r="D166">
        <v>39910</v>
      </c>
      <c r="E166">
        <v>0</v>
      </c>
      <c r="F166">
        <v>303.8194444444444</v>
      </c>
      <c r="G166">
        <v>1721.6435185185185</v>
      </c>
      <c r="H166">
        <v>607.6388888888888</v>
      </c>
      <c r="I166">
        <v>1385.3009259259259</v>
      </c>
      <c r="J166">
        <v>578.81944444444434</v>
      </c>
      <c r="K166">
        <v>171.875</v>
      </c>
      <c r="L166">
        <v>240.62499999999997</v>
      </c>
      <c r="M166">
        <v>0</v>
      </c>
      <c r="N166">
        <v>0</v>
      </c>
      <c r="O166">
        <v>34.375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1103.8448285878558</v>
      </c>
      <c r="AO166">
        <v>159.24560090186063</v>
      </c>
      <c r="AP166">
        <v>1287.5252685258697</v>
      </c>
      <c r="AQ166">
        <v>372.51315800998168</v>
      </c>
      <c r="AR166">
        <v>154.86536822214137</v>
      </c>
      <c r="AS166">
        <v>1624.9576014888726</v>
      </c>
      <c r="AT166">
        <v>75.324303894044647</v>
      </c>
      <c r="AU166">
        <v>222.71231629567896</v>
      </c>
      <c r="AV166"/>
      <c r="AW166"/>
      <c r="AX166" s="146"/>
      <c r="AY166" s="76">
        <f t="shared" ca="1" si="172"/>
        <v>0.42565824936432595</v>
      </c>
      <c r="AZ166">
        <v>9</v>
      </c>
      <c r="BA166" s="129">
        <f t="shared" si="244"/>
        <v>39910</v>
      </c>
      <c r="BB166">
        <v>0</v>
      </c>
      <c r="BC166"/>
      <c r="BD166"/>
      <c r="BE166"/>
      <c r="BF166">
        <v>2</v>
      </c>
      <c r="BG166">
        <v>8</v>
      </c>
      <c r="BH166">
        <v>5</v>
      </c>
      <c r="BI166">
        <v>7</v>
      </c>
      <c r="BJ166"/>
      <c r="BK166"/>
      <c r="BL166">
        <v>1</v>
      </c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7"/>
        <v>0.24751436374397584</v>
      </c>
      <c r="CL166" s="179">
        <f t="shared" si="208"/>
        <v>9</v>
      </c>
      <c r="CM166" s="180">
        <f t="shared" si="209"/>
        <v>39910</v>
      </c>
      <c r="CN166">
        <v>0</v>
      </c>
      <c r="CO166">
        <v>3</v>
      </c>
      <c r="CP166">
        <v>17</v>
      </c>
      <c r="CQ166">
        <v>6</v>
      </c>
      <c r="CR166">
        <v>13</v>
      </c>
      <c r="CS166">
        <v>3</v>
      </c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10"/>
        <v>9.6000000000000002E-2</v>
      </c>
      <c r="DB166" s="146"/>
      <c r="DC166" s="76">
        <f t="shared" ca="1" si="173"/>
        <v>0.29481059639444041</v>
      </c>
      <c r="DD166">
        <f t="shared" si="211"/>
        <v>9</v>
      </c>
      <c r="DE166" s="129">
        <f t="shared" si="243"/>
        <v>39910</v>
      </c>
      <c r="DF166" s="161">
        <f t="shared" si="212"/>
        <v>0</v>
      </c>
      <c r="DG166" s="161">
        <f t="shared" si="213"/>
        <v>303.8194444444444</v>
      </c>
      <c r="DH166" s="161">
        <f t="shared" si="214"/>
        <v>1721.6435185185185</v>
      </c>
      <c r="DI166" s="161">
        <f t="shared" si="215"/>
        <v>607.6388888888888</v>
      </c>
      <c r="DJ166" s="161">
        <f t="shared" si="216"/>
        <v>1385.3009259259259</v>
      </c>
      <c r="DK166" s="161">
        <f t="shared" si="217"/>
        <v>578.81944444444434</v>
      </c>
      <c r="DL166" s="161">
        <f t="shared" si="218"/>
        <v>171.875</v>
      </c>
      <c r="DM166" s="161">
        <f t="shared" si="219"/>
        <v>240.62499999999997</v>
      </c>
      <c r="DN166" s="161">
        <f t="shared" si="220"/>
        <v>0</v>
      </c>
      <c r="DO166" s="161">
        <f t="shared" si="221"/>
        <v>0</v>
      </c>
      <c r="DP166" s="161">
        <f t="shared" si="222"/>
        <v>34.375</v>
      </c>
      <c r="DQ166" s="161">
        <f t="shared" si="223"/>
        <v>0</v>
      </c>
      <c r="DR166" s="161">
        <f t="shared" si="224"/>
        <v>0</v>
      </c>
      <c r="DS166" s="161">
        <f t="shared" si="225"/>
        <v>0</v>
      </c>
      <c r="DT166" s="161">
        <f t="shared" si="226"/>
        <v>0</v>
      </c>
      <c r="DU166" s="161">
        <f t="shared" si="227"/>
        <v>0</v>
      </c>
      <c r="DV166" s="161">
        <f t="shared" si="228"/>
        <v>0</v>
      </c>
      <c r="DW166" s="161">
        <f t="shared" si="229"/>
        <v>0</v>
      </c>
      <c r="DX166" s="161">
        <f t="shared" si="230"/>
        <v>0</v>
      </c>
      <c r="DY166" s="161">
        <f t="shared" si="231"/>
        <v>0</v>
      </c>
      <c r="DZ166" s="161">
        <f t="shared" si="232"/>
        <v>0</v>
      </c>
      <c r="EA166" s="161">
        <f t="shared" si="233"/>
        <v>0</v>
      </c>
      <c r="EB166" s="161">
        <f t="shared" si="234"/>
        <v>0</v>
      </c>
      <c r="EC166" s="161">
        <f t="shared" si="235"/>
        <v>0</v>
      </c>
      <c r="ED166" s="161">
        <f t="shared" si="236"/>
        <v>0</v>
      </c>
      <c r="EE166" s="161">
        <f t="shared" si="237"/>
        <v>0</v>
      </c>
      <c r="EF166" s="161">
        <f t="shared" si="238"/>
        <v>0</v>
      </c>
      <c r="EG166" s="161">
        <f t="shared" si="239"/>
        <v>0</v>
      </c>
      <c r="EH166" s="161">
        <f t="shared" si="240"/>
        <v>0</v>
      </c>
      <c r="EI166" s="161">
        <f t="shared" si="241"/>
        <v>0</v>
      </c>
      <c r="EJ166" s="161">
        <f t="shared" si="242"/>
        <v>0</v>
      </c>
      <c r="EK166" s="147">
        <f t="shared" si="174"/>
        <v>5044.0972222222217</v>
      </c>
      <c r="EL166" s="149"/>
      <c r="EN166" s="146"/>
      <c r="EO166" s="146"/>
      <c r="EP166" s="139" t="e">
        <f t="shared" si="175"/>
        <v>#VALUE!</v>
      </c>
      <c r="EQ166" s="139" t="e">
        <f t="shared" si="176"/>
        <v>#VALUE!</v>
      </c>
      <c r="ER166" s="139" t="e">
        <f t="shared" si="177"/>
        <v>#VALUE!</v>
      </c>
      <c r="ES166" s="139" t="e">
        <f t="shared" si="178"/>
        <v>#VALUE!</v>
      </c>
      <c r="ET166" s="139" t="e">
        <f t="shared" si="179"/>
        <v>#VALUE!</v>
      </c>
      <c r="EU166" s="139" t="e">
        <f t="shared" si="180"/>
        <v>#VALUE!</v>
      </c>
      <c r="EV166" s="139" t="e">
        <f t="shared" si="181"/>
        <v>#VALUE!</v>
      </c>
      <c r="EW166" s="139" t="e">
        <f t="shared" si="182"/>
        <v>#VALUE!</v>
      </c>
      <c r="EX166" s="139" t="e">
        <f t="shared" si="183"/>
        <v>#VALUE!</v>
      </c>
      <c r="EY166" s="139" t="e">
        <f t="shared" si="184"/>
        <v>#VALUE!</v>
      </c>
      <c r="EZ166" s="139" t="e">
        <f t="shared" si="185"/>
        <v>#VALUE!</v>
      </c>
      <c r="FA166" s="139" t="e">
        <f t="shared" si="186"/>
        <v>#VALUE!</v>
      </c>
      <c r="FB166" s="139" t="e">
        <f t="shared" si="187"/>
        <v>#VALUE!</v>
      </c>
      <c r="FC166" s="139" t="e">
        <f t="shared" si="188"/>
        <v>#VALUE!</v>
      </c>
      <c r="FD166" s="139" t="e">
        <f t="shared" si="189"/>
        <v>#VALUE!</v>
      </c>
      <c r="FE166" s="139" t="e">
        <f t="shared" si="190"/>
        <v>#VALUE!</v>
      </c>
      <c r="FF166" s="139" t="e">
        <f t="shared" si="191"/>
        <v>#VALUE!</v>
      </c>
      <c r="FG166" s="139" t="e">
        <f t="shared" si="192"/>
        <v>#VALUE!</v>
      </c>
      <c r="FH166" s="139" t="e">
        <f t="shared" si="193"/>
        <v>#VALUE!</v>
      </c>
      <c r="FI166" s="139" t="e">
        <f t="shared" si="194"/>
        <v>#VALUE!</v>
      </c>
      <c r="FJ166" s="139" t="e">
        <f t="shared" si="195"/>
        <v>#VALUE!</v>
      </c>
      <c r="FK166" s="139" t="e">
        <f t="shared" si="196"/>
        <v>#VALUE!</v>
      </c>
      <c r="FL166" s="139" t="e">
        <f t="shared" si="197"/>
        <v>#VALUE!</v>
      </c>
      <c r="FM166" s="139" t="e">
        <f t="shared" si="198"/>
        <v>#VALUE!</v>
      </c>
      <c r="FN166" s="139" t="e">
        <f t="shared" si="199"/>
        <v>#VALUE!</v>
      </c>
      <c r="FO166" s="139" t="e">
        <f t="shared" si="200"/>
        <v>#VALUE!</v>
      </c>
      <c r="FP166" s="139" t="e">
        <f t="shared" si="201"/>
        <v>#VALUE!</v>
      </c>
      <c r="FQ166" s="139" t="e">
        <f t="shared" si="202"/>
        <v>#VALUE!</v>
      </c>
      <c r="FR166" s="139" t="e">
        <f t="shared" si="203"/>
        <v>#VALUE!</v>
      </c>
      <c r="FS166" s="139" t="e">
        <f t="shared" si="204"/>
        <v>#VALUE!</v>
      </c>
      <c r="FT166" s="139" t="e">
        <f t="shared" si="205"/>
        <v>#VALUE!</v>
      </c>
      <c r="FU166" s="148" t="e">
        <f t="shared" si="206"/>
        <v>#VALUE!</v>
      </c>
      <c r="FV166" s="149"/>
      <c r="FY166" s="211">
        <v>161</v>
      </c>
      <c r="FZ166">
        <v>149.77864888831391</v>
      </c>
      <c r="GA166">
        <v>121.17717514168754</v>
      </c>
      <c r="GB166">
        <v>45.092150453832545</v>
      </c>
      <c r="GC166">
        <v>11.16283216450122</v>
      </c>
      <c r="GD166">
        <v>3.6016214644166302</v>
      </c>
      <c r="GE166">
        <v>3.706493029088211</v>
      </c>
      <c r="GF166">
        <v>12.652064044679312</v>
      </c>
      <c r="GG166">
        <v>17.715063960707301</v>
      </c>
      <c r="GH166">
        <v>26.937489281731956</v>
      </c>
      <c r="GI166">
        <v>72.91311484663035</v>
      </c>
      <c r="GJ166"/>
      <c r="GK166"/>
      <c r="GL166"/>
      <c r="GM166"/>
    </row>
    <row r="167" spans="1:195" s="7" customFormat="1">
      <c r="A167" s="1"/>
      <c r="B167" s="76">
        <f t="shared" ca="1" si="171"/>
        <v>0.12005420430184222</v>
      </c>
      <c r="C167">
        <v>1</v>
      </c>
      <c r="D167">
        <v>39910</v>
      </c>
      <c r="E167">
        <v>0</v>
      </c>
      <c r="F167">
        <v>0</v>
      </c>
      <c r="G167">
        <v>10.416666666666666</v>
      </c>
      <c r="H167">
        <v>20.833333333333332</v>
      </c>
      <c r="I167">
        <v>10.416666666666666</v>
      </c>
      <c r="J167">
        <v>0</v>
      </c>
      <c r="K167">
        <v>10.416666666666666</v>
      </c>
      <c r="L167">
        <v>0</v>
      </c>
      <c r="M167">
        <v>10.416666666666666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1066.2853175577086</v>
      </c>
      <c r="AO167">
        <v>153.87579552880135</v>
      </c>
      <c r="AP167">
        <v>1302.064407902539</v>
      </c>
      <c r="AQ167">
        <v>536.30891065488322</v>
      </c>
      <c r="AR167">
        <v>148.88084828459736</v>
      </c>
      <c r="AS167">
        <v>1531.4289300002201</v>
      </c>
      <c r="AT167">
        <v>74.891517536291261</v>
      </c>
      <c r="AU167">
        <v>-2.0973669593961262</v>
      </c>
      <c r="AV167"/>
      <c r="AW167"/>
      <c r="AX167" s="146"/>
      <c r="AY167" s="76">
        <f t="shared" ca="1" si="172"/>
        <v>0.97008274912763715</v>
      </c>
      <c r="AZ167">
        <v>10</v>
      </c>
      <c r="BA167" s="129">
        <f t="shared" si="244"/>
        <v>39910</v>
      </c>
      <c r="BB167">
        <v>0</v>
      </c>
      <c r="BC167"/>
      <c r="BD167"/>
      <c r="BE167">
        <v>2</v>
      </c>
      <c r="BF167">
        <v>2</v>
      </c>
      <c r="BG167">
        <v>15</v>
      </c>
      <c r="BH167">
        <v>13</v>
      </c>
      <c r="BI167">
        <v>2</v>
      </c>
      <c r="BJ167">
        <v>5</v>
      </c>
      <c r="BK167">
        <v>1</v>
      </c>
      <c r="BL167"/>
      <c r="BM167"/>
      <c r="BN167">
        <v>1</v>
      </c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7"/>
        <v>0.96647004086052191</v>
      </c>
      <c r="CL167" s="179">
        <f t="shared" si="208"/>
        <v>10</v>
      </c>
      <c r="CM167" s="180">
        <f t="shared" si="209"/>
        <v>39910</v>
      </c>
      <c r="CN167" s="223">
        <v>10.702702702702704</v>
      </c>
      <c r="CO167" s="223">
        <v>34.78378378378379</v>
      </c>
      <c r="CP167" s="223">
        <v>40.135135135135137</v>
      </c>
      <c r="CQ167" s="223">
        <v>0</v>
      </c>
      <c r="CR167" s="223">
        <v>13.378378378378379</v>
      </c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10"/>
        <v>9.6000000000000002E-2</v>
      </c>
      <c r="DB167" s="146"/>
      <c r="DC167" s="76">
        <f t="shared" ca="1" si="173"/>
        <v>0.74473581364509789</v>
      </c>
      <c r="DD167">
        <f t="shared" si="211"/>
        <v>10</v>
      </c>
      <c r="DE167" s="129">
        <f t="shared" si="243"/>
        <v>39910</v>
      </c>
      <c r="DF167" s="161">
        <f t="shared" si="212"/>
        <v>1114.8648648648648</v>
      </c>
      <c r="DG167" s="161">
        <f t="shared" si="213"/>
        <v>3623.3108108108117</v>
      </c>
      <c r="DH167" s="161">
        <f t="shared" si="214"/>
        <v>4180.7432432432433</v>
      </c>
      <c r="DI167" s="161">
        <f t="shared" si="215"/>
        <v>20.833333333333332</v>
      </c>
      <c r="DJ167" s="161">
        <f t="shared" si="216"/>
        <v>1414.4144144144145</v>
      </c>
      <c r="DK167" s="161">
        <f t="shared" si="217"/>
        <v>156.25</v>
      </c>
      <c r="DL167" s="161">
        <f t="shared" si="218"/>
        <v>135.41666666666666</v>
      </c>
      <c r="DM167" s="161">
        <f t="shared" si="219"/>
        <v>20.833333333333332</v>
      </c>
      <c r="DN167" s="161">
        <f t="shared" si="220"/>
        <v>52.083333333333336</v>
      </c>
      <c r="DO167" s="161">
        <f t="shared" si="221"/>
        <v>10.416666666666666</v>
      </c>
      <c r="DP167" s="161">
        <f t="shared" si="222"/>
        <v>0</v>
      </c>
      <c r="DQ167" s="161">
        <f t="shared" si="223"/>
        <v>0</v>
      </c>
      <c r="DR167" s="161">
        <f t="shared" si="224"/>
        <v>10.416666666666666</v>
      </c>
      <c r="DS167" s="161">
        <f t="shared" si="225"/>
        <v>0</v>
      </c>
      <c r="DT167" s="161">
        <f t="shared" si="226"/>
        <v>0</v>
      </c>
      <c r="DU167" s="161">
        <f t="shared" si="227"/>
        <v>0</v>
      </c>
      <c r="DV167" s="161">
        <f t="shared" si="228"/>
        <v>0</v>
      </c>
      <c r="DW167" s="161">
        <f t="shared" si="229"/>
        <v>0</v>
      </c>
      <c r="DX167" s="161">
        <f t="shared" si="230"/>
        <v>0</v>
      </c>
      <c r="DY167" s="161">
        <f t="shared" si="231"/>
        <v>0</v>
      </c>
      <c r="DZ167" s="161">
        <f t="shared" si="232"/>
        <v>0</v>
      </c>
      <c r="EA167" s="161">
        <f t="shared" si="233"/>
        <v>0</v>
      </c>
      <c r="EB167" s="161">
        <f t="shared" si="234"/>
        <v>0</v>
      </c>
      <c r="EC167" s="161">
        <f t="shared" si="235"/>
        <v>0</v>
      </c>
      <c r="ED167" s="161">
        <f t="shared" si="236"/>
        <v>0</v>
      </c>
      <c r="EE167" s="161">
        <f t="shared" si="237"/>
        <v>0</v>
      </c>
      <c r="EF167" s="161">
        <f t="shared" si="238"/>
        <v>0</v>
      </c>
      <c r="EG167" s="161">
        <f t="shared" si="239"/>
        <v>0</v>
      </c>
      <c r="EH167" s="161">
        <f t="shared" si="240"/>
        <v>0</v>
      </c>
      <c r="EI167" s="161">
        <f t="shared" si="241"/>
        <v>0</v>
      </c>
      <c r="EJ167" s="161">
        <f t="shared" si="242"/>
        <v>0</v>
      </c>
      <c r="EK167" s="147">
        <f t="shared" si="174"/>
        <v>10739.583333333334</v>
      </c>
      <c r="EL167" s="149"/>
      <c r="EN167" s="146"/>
      <c r="EO167" s="146"/>
      <c r="EP167" s="139" t="e">
        <f t="shared" si="175"/>
        <v>#VALUE!</v>
      </c>
      <c r="EQ167" s="139" t="e">
        <f t="shared" si="176"/>
        <v>#VALUE!</v>
      </c>
      <c r="ER167" s="139" t="e">
        <f t="shared" si="177"/>
        <v>#VALUE!</v>
      </c>
      <c r="ES167" s="139" t="e">
        <f t="shared" si="178"/>
        <v>#VALUE!</v>
      </c>
      <c r="ET167" s="139" t="e">
        <f t="shared" si="179"/>
        <v>#VALUE!</v>
      </c>
      <c r="EU167" s="139" t="e">
        <f t="shared" si="180"/>
        <v>#VALUE!</v>
      </c>
      <c r="EV167" s="139" t="e">
        <f t="shared" si="181"/>
        <v>#VALUE!</v>
      </c>
      <c r="EW167" s="139" t="e">
        <f t="shared" si="182"/>
        <v>#VALUE!</v>
      </c>
      <c r="EX167" s="139" t="e">
        <f t="shared" si="183"/>
        <v>#VALUE!</v>
      </c>
      <c r="EY167" s="139" t="e">
        <f t="shared" si="184"/>
        <v>#VALUE!</v>
      </c>
      <c r="EZ167" s="139" t="e">
        <f t="shared" si="185"/>
        <v>#VALUE!</v>
      </c>
      <c r="FA167" s="139" t="e">
        <f t="shared" si="186"/>
        <v>#VALUE!</v>
      </c>
      <c r="FB167" s="139" t="e">
        <f t="shared" si="187"/>
        <v>#VALUE!</v>
      </c>
      <c r="FC167" s="139" t="e">
        <f t="shared" si="188"/>
        <v>#VALUE!</v>
      </c>
      <c r="FD167" s="139" t="e">
        <f t="shared" si="189"/>
        <v>#VALUE!</v>
      </c>
      <c r="FE167" s="139" t="e">
        <f t="shared" si="190"/>
        <v>#VALUE!</v>
      </c>
      <c r="FF167" s="139" t="e">
        <f t="shared" si="191"/>
        <v>#VALUE!</v>
      </c>
      <c r="FG167" s="139" t="e">
        <f t="shared" si="192"/>
        <v>#VALUE!</v>
      </c>
      <c r="FH167" s="139" t="e">
        <f t="shared" si="193"/>
        <v>#VALUE!</v>
      </c>
      <c r="FI167" s="139" t="e">
        <f t="shared" si="194"/>
        <v>#VALUE!</v>
      </c>
      <c r="FJ167" s="139" t="e">
        <f t="shared" si="195"/>
        <v>#VALUE!</v>
      </c>
      <c r="FK167" s="139" t="e">
        <f t="shared" si="196"/>
        <v>#VALUE!</v>
      </c>
      <c r="FL167" s="139" t="e">
        <f t="shared" si="197"/>
        <v>#VALUE!</v>
      </c>
      <c r="FM167" s="139" t="e">
        <f t="shared" si="198"/>
        <v>#VALUE!</v>
      </c>
      <c r="FN167" s="139" t="e">
        <f t="shared" si="199"/>
        <v>#VALUE!</v>
      </c>
      <c r="FO167" s="139" t="e">
        <f t="shared" si="200"/>
        <v>#VALUE!</v>
      </c>
      <c r="FP167" s="139" t="e">
        <f t="shared" si="201"/>
        <v>#VALUE!</v>
      </c>
      <c r="FQ167" s="139" t="e">
        <f t="shared" si="202"/>
        <v>#VALUE!</v>
      </c>
      <c r="FR167" s="139" t="e">
        <f t="shared" si="203"/>
        <v>#VALUE!</v>
      </c>
      <c r="FS167" s="139" t="e">
        <f t="shared" si="204"/>
        <v>#VALUE!</v>
      </c>
      <c r="FT167" s="139" t="e">
        <f t="shared" si="205"/>
        <v>#VALUE!</v>
      </c>
      <c r="FU167" s="148" t="e">
        <f t="shared" si="206"/>
        <v>#VALUE!</v>
      </c>
      <c r="FV167" s="149"/>
      <c r="FY167" s="211">
        <v>162</v>
      </c>
      <c r="FZ167">
        <v>122.19951624930565</v>
      </c>
      <c r="GA167">
        <v>126.68773083712055</v>
      </c>
      <c r="GB167">
        <v>36.854065171675316</v>
      </c>
      <c r="GC167">
        <v>7.2427246789636426</v>
      </c>
      <c r="GD167">
        <v>1.9384173903364772</v>
      </c>
      <c r="GE167">
        <v>4.2857851033807597</v>
      </c>
      <c r="GF167">
        <v>33.386170577760232</v>
      </c>
      <c r="GG167">
        <v>41.218728373688037</v>
      </c>
      <c r="GH167">
        <v>28.921633418385031</v>
      </c>
      <c r="GI167">
        <v>80.485975494543936</v>
      </c>
      <c r="GJ167"/>
      <c r="GK167"/>
      <c r="GL167"/>
      <c r="GM167"/>
    </row>
    <row r="168" spans="1:195" s="7" customFormat="1">
      <c r="A168" s="128"/>
      <c r="B168" s="76">
        <f t="shared" ca="1" si="171"/>
        <v>5.7023324444972268E-2</v>
      </c>
      <c r="C168">
        <v>2</v>
      </c>
      <c r="D168">
        <v>39949</v>
      </c>
      <c r="E168">
        <v>0</v>
      </c>
      <c r="F168">
        <v>0</v>
      </c>
      <c r="G168">
        <v>10.416666666666666</v>
      </c>
      <c r="H168">
        <v>31.25</v>
      </c>
      <c r="I168">
        <v>114.58333333333333</v>
      </c>
      <c r="J168">
        <v>41.666666666666664</v>
      </c>
      <c r="K168">
        <v>20.833333333333332</v>
      </c>
      <c r="L168">
        <v>10.416666666666666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1064.9332058250627</v>
      </c>
      <c r="AO168">
        <v>164.99458867888137</v>
      </c>
      <c r="AP168">
        <v>1393.8629699549758</v>
      </c>
      <c r="AQ168">
        <v>422.82288337223662</v>
      </c>
      <c r="AR168">
        <v>160.38928142089762</v>
      </c>
      <c r="AS168">
        <v>1679.3178572150027</v>
      </c>
      <c r="AT168">
        <v>75.839652319877885</v>
      </c>
      <c r="AU168">
        <v>63.667296264260173</v>
      </c>
      <c r="AV168"/>
      <c r="AW168"/>
      <c r="AX168" s="128"/>
      <c r="AY168" s="76">
        <f t="shared" ca="1" si="172"/>
        <v>0.12779132168549212</v>
      </c>
      <c r="AZ168">
        <v>1</v>
      </c>
      <c r="BA168" s="129">
        <f>IF(AZ168="", "",$C$12)</f>
        <v>39949</v>
      </c>
      <c r="BB168">
        <v>0</v>
      </c>
      <c r="BC168"/>
      <c r="BD168"/>
      <c r="BE168">
        <v>1</v>
      </c>
      <c r="BF168">
        <v>2</v>
      </c>
      <c r="BG168">
        <v>3</v>
      </c>
      <c r="BH168">
        <v>1</v>
      </c>
      <c r="BI168">
        <v>2</v>
      </c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7"/>
        <v>7.6528148023534581E-2</v>
      </c>
      <c r="CL168" s="179">
        <f t="shared" si="208"/>
        <v>1</v>
      </c>
      <c r="CM168" s="180">
        <f t="shared" si="209"/>
        <v>39949</v>
      </c>
      <c r="CN168">
        <v>0</v>
      </c>
      <c r="CO168">
        <v>2</v>
      </c>
      <c r="CP168">
        <v>1</v>
      </c>
      <c r="CQ168">
        <v>8</v>
      </c>
      <c r="CR168">
        <v>1</v>
      </c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10"/>
        <v>9.6000000000000002E-2</v>
      </c>
      <c r="DB168" s="128"/>
      <c r="DC168" s="76">
        <f t="shared" ca="1" si="173"/>
        <v>0.6519317782239431</v>
      </c>
      <c r="DD168">
        <f t="shared" si="211"/>
        <v>1</v>
      </c>
      <c r="DE168" s="129">
        <f t="shared" ref="DE168:DE177" si="245">IF((DD168)="", "", $C$12)</f>
        <v>39949</v>
      </c>
      <c r="DF168" s="161">
        <f t="shared" si="212"/>
        <v>0</v>
      </c>
      <c r="DG168" s="161">
        <f t="shared" si="213"/>
        <v>81.576305220883526</v>
      </c>
      <c r="DH168" s="161">
        <f t="shared" si="214"/>
        <v>40.788152610441763</v>
      </c>
      <c r="DI168" s="161">
        <f t="shared" si="215"/>
        <v>336.72188755020079</v>
      </c>
      <c r="DJ168" s="161">
        <f t="shared" si="216"/>
        <v>61.621485943775099</v>
      </c>
      <c r="DK168" s="161">
        <f t="shared" si="217"/>
        <v>31.25</v>
      </c>
      <c r="DL168" s="161">
        <f t="shared" si="218"/>
        <v>10.416666666666666</v>
      </c>
      <c r="DM168" s="161">
        <f t="shared" si="219"/>
        <v>20.833333333333332</v>
      </c>
      <c r="DN168" s="161">
        <f t="shared" si="220"/>
        <v>0</v>
      </c>
      <c r="DO168" s="161">
        <f t="shared" si="221"/>
        <v>0</v>
      </c>
      <c r="DP168" s="161">
        <f t="shared" si="222"/>
        <v>0</v>
      </c>
      <c r="DQ168" s="161">
        <f t="shared" si="223"/>
        <v>0</v>
      </c>
      <c r="DR168" s="161">
        <f t="shared" si="224"/>
        <v>0</v>
      </c>
      <c r="DS168" s="161">
        <f t="shared" si="225"/>
        <v>0</v>
      </c>
      <c r="DT168" s="161">
        <f t="shared" si="226"/>
        <v>0</v>
      </c>
      <c r="DU168" s="161">
        <f t="shared" si="227"/>
        <v>0</v>
      </c>
      <c r="DV168" s="161">
        <f t="shared" si="228"/>
        <v>0</v>
      </c>
      <c r="DW168" s="161">
        <f t="shared" si="229"/>
        <v>0</v>
      </c>
      <c r="DX168" s="161">
        <f t="shared" si="230"/>
        <v>0</v>
      </c>
      <c r="DY168" s="161">
        <f t="shared" si="231"/>
        <v>0</v>
      </c>
      <c r="DZ168" s="161">
        <f t="shared" si="232"/>
        <v>0</v>
      </c>
      <c r="EA168" s="161">
        <f t="shared" si="233"/>
        <v>0</v>
      </c>
      <c r="EB168" s="161">
        <f t="shared" si="234"/>
        <v>0</v>
      </c>
      <c r="EC168" s="161">
        <f t="shared" si="235"/>
        <v>0</v>
      </c>
      <c r="ED168" s="161">
        <f t="shared" si="236"/>
        <v>0</v>
      </c>
      <c r="EE168" s="161">
        <f t="shared" si="237"/>
        <v>0</v>
      </c>
      <c r="EF168" s="161">
        <f t="shared" si="238"/>
        <v>0</v>
      </c>
      <c r="EG168" s="161">
        <f t="shared" si="239"/>
        <v>0</v>
      </c>
      <c r="EH168" s="161">
        <f t="shared" si="240"/>
        <v>0</v>
      </c>
      <c r="EI168" s="161">
        <f t="shared" si="241"/>
        <v>0</v>
      </c>
      <c r="EJ168" s="161">
        <f t="shared" si="242"/>
        <v>0</v>
      </c>
      <c r="EK168" s="147">
        <f t="shared" si="174"/>
        <v>583.20783132530119</v>
      </c>
      <c r="EL168" s="149"/>
      <c r="EN168" s="146"/>
      <c r="EO168" s="146"/>
      <c r="EP168" s="139" t="e">
        <f t="shared" si="175"/>
        <v>#VALUE!</v>
      </c>
      <c r="EQ168" s="139" t="e">
        <f t="shared" si="176"/>
        <v>#VALUE!</v>
      </c>
      <c r="ER168" s="139" t="e">
        <f t="shared" si="177"/>
        <v>#VALUE!</v>
      </c>
      <c r="ES168" s="139" t="e">
        <f t="shared" si="178"/>
        <v>#VALUE!</v>
      </c>
      <c r="ET168" s="139" t="e">
        <f t="shared" si="179"/>
        <v>#VALUE!</v>
      </c>
      <c r="EU168" s="139" t="e">
        <f t="shared" si="180"/>
        <v>#VALUE!</v>
      </c>
      <c r="EV168" s="139" t="e">
        <f t="shared" si="181"/>
        <v>#VALUE!</v>
      </c>
      <c r="EW168" s="139" t="e">
        <f t="shared" si="182"/>
        <v>#VALUE!</v>
      </c>
      <c r="EX168" s="139" t="e">
        <f t="shared" si="183"/>
        <v>#VALUE!</v>
      </c>
      <c r="EY168" s="139" t="e">
        <f t="shared" si="184"/>
        <v>#VALUE!</v>
      </c>
      <c r="EZ168" s="139" t="e">
        <f t="shared" si="185"/>
        <v>#VALUE!</v>
      </c>
      <c r="FA168" s="139" t="e">
        <f t="shared" si="186"/>
        <v>#VALUE!</v>
      </c>
      <c r="FB168" s="139" t="e">
        <f t="shared" si="187"/>
        <v>#VALUE!</v>
      </c>
      <c r="FC168" s="139" t="e">
        <f t="shared" si="188"/>
        <v>#VALUE!</v>
      </c>
      <c r="FD168" s="139" t="e">
        <f t="shared" si="189"/>
        <v>#VALUE!</v>
      </c>
      <c r="FE168" s="139" t="e">
        <f t="shared" si="190"/>
        <v>#VALUE!</v>
      </c>
      <c r="FF168" s="139" t="e">
        <f t="shared" si="191"/>
        <v>#VALUE!</v>
      </c>
      <c r="FG168" s="139" t="e">
        <f t="shared" si="192"/>
        <v>#VALUE!</v>
      </c>
      <c r="FH168" s="139" t="e">
        <f t="shared" si="193"/>
        <v>#VALUE!</v>
      </c>
      <c r="FI168" s="139" t="e">
        <f t="shared" si="194"/>
        <v>#VALUE!</v>
      </c>
      <c r="FJ168" s="139" t="e">
        <f t="shared" si="195"/>
        <v>#VALUE!</v>
      </c>
      <c r="FK168" s="139" t="e">
        <f t="shared" si="196"/>
        <v>#VALUE!</v>
      </c>
      <c r="FL168" s="139" t="e">
        <f t="shared" si="197"/>
        <v>#VALUE!</v>
      </c>
      <c r="FM168" s="139" t="e">
        <f t="shared" si="198"/>
        <v>#VALUE!</v>
      </c>
      <c r="FN168" s="139" t="e">
        <f t="shared" si="199"/>
        <v>#VALUE!</v>
      </c>
      <c r="FO168" s="139" t="e">
        <f t="shared" si="200"/>
        <v>#VALUE!</v>
      </c>
      <c r="FP168" s="139" t="e">
        <f t="shared" si="201"/>
        <v>#VALUE!</v>
      </c>
      <c r="FQ168" s="139" t="e">
        <f t="shared" si="202"/>
        <v>#VALUE!</v>
      </c>
      <c r="FR168" s="139" t="e">
        <f t="shared" si="203"/>
        <v>#VALUE!</v>
      </c>
      <c r="FS168" s="139" t="e">
        <f t="shared" si="204"/>
        <v>#VALUE!</v>
      </c>
      <c r="FT168" s="139" t="e">
        <f t="shared" si="205"/>
        <v>#VALUE!</v>
      </c>
      <c r="FU168" s="148" t="e">
        <f t="shared" si="206"/>
        <v>#VALUE!</v>
      </c>
      <c r="FV168" s="149"/>
      <c r="FY168" s="211">
        <v>163</v>
      </c>
      <c r="FZ168">
        <v>114.35700862100991</v>
      </c>
      <c r="GA168">
        <v>98.733330903369904</v>
      </c>
      <c r="GB168">
        <v>28.894112148142234</v>
      </c>
      <c r="GC168">
        <v>8.1811120995576765</v>
      </c>
      <c r="GD168">
        <v>2.7854134137455731</v>
      </c>
      <c r="GE168">
        <v>3.5970550052693078</v>
      </c>
      <c r="GF168">
        <v>35.737048469178397</v>
      </c>
      <c r="GG168">
        <v>44.159984554375619</v>
      </c>
      <c r="GH168">
        <v>27.802360667178135</v>
      </c>
      <c r="GI168">
        <v>78.386614581864279</v>
      </c>
      <c r="GJ168"/>
      <c r="GK168"/>
      <c r="GL168"/>
      <c r="GM168"/>
    </row>
    <row r="169" spans="1:195" s="7" customFormat="1">
      <c r="A169" s="1"/>
      <c r="B169" s="76">
        <f t="shared" ca="1" si="171"/>
        <v>0.10999883489930051</v>
      </c>
      <c r="C169">
        <v>9</v>
      </c>
      <c r="D169">
        <v>39949</v>
      </c>
      <c r="E169">
        <v>0</v>
      </c>
      <c r="F169">
        <v>10.416666666666666</v>
      </c>
      <c r="G169">
        <v>0</v>
      </c>
      <c r="H169">
        <v>93.75</v>
      </c>
      <c r="I169">
        <v>93.75</v>
      </c>
      <c r="J169">
        <v>52.083333333333336</v>
      </c>
      <c r="K169">
        <v>10.416666666666666</v>
      </c>
      <c r="L169">
        <v>10.416666666666666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1043.0163709649855</v>
      </c>
      <c r="AO169">
        <v>173.47325913017283</v>
      </c>
      <c r="AP169">
        <v>1535.0050693166859</v>
      </c>
      <c r="AQ169">
        <v>364.83541135131367</v>
      </c>
      <c r="AR169">
        <v>164.38933862855015</v>
      </c>
      <c r="AS169">
        <v>1641.7190322106385</v>
      </c>
      <c r="AT169">
        <v>80.639477245577325</v>
      </c>
      <c r="AU169">
        <v>283.04078477777949</v>
      </c>
      <c r="AV169"/>
      <c r="AW169"/>
      <c r="AX169" s="146"/>
      <c r="AY169" s="76">
        <f t="shared" ca="1" si="172"/>
        <v>0.55190224957847256</v>
      </c>
      <c r="AZ169">
        <v>2</v>
      </c>
      <c r="BA169" s="129">
        <f t="shared" ref="BA169:BA177" si="246">IF(AZ169="", "",$C$12)</f>
        <v>39949</v>
      </c>
      <c r="BB169">
        <v>0</v>
      </c>
      <c r="BC169"/>
      <c r="BD169">
        <v>1</v>
      </c>
      <c r="BE169">
        <v>3</v>
      </c>
      <c r="BF169">
        <v>11</v>
      </c>
      <c r="BG169">
        <v>4</v>
      </c>
      <c r="BH169">
        <v>2</v>
      </c>
      <c r="BI169">
        <v>1</v>
      </c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7"/>
        <v>0.63652857387980655</v>
      </c>
      <c r="CL169" s="179">
        <f t="shared" si="208"/>
        <v>2</v>
      </c>
      <c r="CM169" s="180">
        <f t="shared" si="209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10"/>
        <v>9.6000000000000002E-2</v>
      </c>
      <c r="DB169" s="146"/>
      <c r="DC169" s="76">
        <f t="shared" ca="1" si="173"/>
        <v>0.83812642105941271</v>
      </c>
      <c r="DD169">
        <f t="shared" si="211"/>
        <v>2</v>
      </c>
      <c r="DE169" s="129">
        <f t="shared" si="245"/>
        <v>39949</v>
      </c>
      <c r="DF169" s="161">
        <f t="shared" si="212"/>
        <v>0</v>
      </c>
      <c r="DG169" s="161">
        <f t="shared" si="213"/>
        <v>0</v>
      </c>
      <c r="DH169" s="161">
        <f t="shared" si="214"/>
        <v>10.416666666666666</v>
      </c>
      <c r="DI169" s="161">
        <f t="shared" si="215"/>
        <v>31.25</v>
      </c>
      <c r="DJ169" s="161">
        <f t="shared" si="216"/>
        <v>114.58333333333333</v>
      </c>
      <c r="DK169" s="161">
        <f t="shared" si="217"/>
        <v>41.666666666666664</v>
      </c>
      <c r="DL169" s="161">
        <f t="shared" si="218"/>
        <v>20.833333333333332</v>
      </c>
      <c r="DM169" s="161">
        <f t="shared" si="219"/>
        <v>10.416666666666666</v>
      </c>
      <c r="DN169" s="161">
        <f t="shared" si="220"/>
        <v>0</v>
      </c>
      <c r="DO169" s="161">
        <f t="shared" si="221"/>
        <v>0</v>
      </c>
      <c r="DP169" s="161">
        <f t="shared" si="222"/>
        <v>0</v>
      </c>
      <c r="DQ169" s="161">
        <f t="shared" si="223"/>
        <v>0</v>
      </c>
      <c r="DR169" s="161">
        <f t="shared" si="224"/>
        <v>0</v>
      </c>
      <c r="DS169" s="161">
        <f t="shared" si="225"/>
        <v>0</v>
      </c>
      <c r="DT169" s="161">
        <f t="shared" si="226"/>
        <v>0</v>
      </c>
      <c r="DU169" s="161">
        <f t="shared" si="227"/>
        <v>0</v>
      </c>
      <c r="DV169" s="161">
        <f t="shared" si="228"/>
        <v>0</v>
      </c>
      <c r="DW169" s="161">
        <f t="shared" si="229"/>
        <v>0</v>
      </c>
      <c r="DX169" s="161">
        <f t="shared" si="230"/>
        <v>0</v>
      </c>
      <c r="DY169" s="161">
        <f t="shared" si="231"/>
        <v>0</v>
      </c>
      <c r="DZ169" s="161">
        <f t="shared" si="232"/>
        <v>0</v>
      </c>
      <c r="EA169" s="161">
        <f t="shared" si="233"/>
        <v>0</v>
      </c>
      <c r="EB169" s="161">
        <f t="shared" si="234"/>
        <v>0</v>
      </c>
      <c r="EC169" s="161">
        <f t="shared" si="235"/>
        <v>0</v>
      </c>
      <c r="ED169" s="161">
        <f t="shared" si="236"/>
        <v>0</v>
      </c>
      <c r="EE169" s="161">
        <f t="shared" si="237"/>
        <v>0</v>
      </c>
      <c r="EF169" s="161">
        <f t="shared" si="238"/>
        <v>0</v>
      </c>
      <c r="EG169" s="161">
        <f t="shared" si="239"/>
        <v>0</v>
      </c>
      <c r="EH169" s="161">
        <f t="shared" si="240"/>
        <v>0</v>
      </c>
      <c r="EI169" s="161">
        <f t="shared" si="241"/>
        <v>0</v>
      </c>
      <c r="EJ169" s="161">
        <f t="shared" si="242"/>
        <v>0</v>
      </c>
      <c r="EK169" s="147">
        <f t="shared" si="174"/>
        <v>229.16666666666666</v>
      </c>
      <c r="EL169" s="149"/>
      <c r="EN169" s="146"/>
      <c r="EO169" s="146"/>
      <c r="EP169" s="139" t="e">
        <f t="shared" si="175"/>
        <v>#VALUE!</v>
      </c>
      <c r="EQ169" s="139" t="e">
        <f t="shared" si="176"/>
        <v>#VALUE!</v>
      </c>
      <c r="ER169" s="139" t="e">
        <f t="shared" si="177"/>
        <v>#VALUE!</v>
      </c>
      <c r="ES169" s="139" t="e">
        <f t="shared" si="178"/>
        <v>#VALUE!</v>
      </c>
      <c r="ET169" s="139" t="e">
        <f t="shared" si="179"/>
        <v>#VALUE!</v>
      </c>
      <c r="EU169" s="139" t="e">
        <f t="shared" si="180"/>
        <v>#VALUE!</v>
      </c>
      <c r="EV169" s="139" t="e">
        <f t="shared" si="181"/>
        <v>#VALUE!</v>
      </c>
      <c r="EW169" s="139" t="e">
        <f t="shared" si="182"/>
        <v>#VALUE!</v>
      </c>
      <c r="EX169" s="139" t="e">
        <f t="shared" si="183"/>
        <v>#VALUE!</v>
      </c>
      <c r="EY169" s="139" t="e">
        <f t="shared" si="184"/>
        <v>#VALUE!</v>
      </c>
      <c r="EZ169" s="139" t="e">
        <f t="shared" si="185"/>
        <v>#VALUE!</v>
      </c>
      <c r="FA169" s="139" t="e">
        <f t="shared" si="186"/>
        <v>#VALUE!</v>
      </c>
      <c r="FB169" s="139" t="e">
        <f t="shared" si="187"/>
        <v>#VALUE!</v>
      </c>
      <c r="FC169" s="139" t="e">
        <f t="shared" si="188"/>
        <v>#VALUE!</v>
      </c>
      <c r="FD169" s="139" t="e">
        <f t="shared" si="189"/>
        <v>#VALUE!</v>
      </c>
      <c r="FE169" s="139" t="e">
        <f t="shared" si="190"/>
        <v>#VALUE!</v>
      </c>
      <c r="FF169" s="139" t="e">
        <f t="shared" si="191"/>
        <v>#VALUE!</v>
      </c>
      <c r="FG169" s="139" t="e">
        <f t="shared" si="192"/>
        <v>#VALUE!</v>
      </c>
      <c r="FH169" s="139" t="e">
        <f t="shared" si="193"/>
        <v>#VALUE!</v>
      </c>
      <c r="FI169" s="139" t="e">
        <f t="shared" si="194"/>
        <v>#VALUE!</v>
      </c>
      <c r="FJ169" s="139" t="e">
        <f t="shared" si="195"/>
        <v>#VALUE!</v>
      </c>
      <c r="FK169" s="139" t="e">
        <f t="shared" si="196"/>
        <v>#VALUE!</v>
      </c>
      <c r="FL169" s="139" t="e">
        <f t="shared" si="197"/>
        <v>#VALUE!</v>
      </c>
      <c r="FM169" s="139" t="e">
        <f t="shared" si="198"/>
        <v>#VALUE!</v>
      </c>
      <c r="FN169" s="139" t="e">
        <f t="shared" si="199"/>
        <v>#VALUE!</v>
      </c>
      <c r="FO169" s="139" t="e">
        <f t="shared" si="200"/>
        <v>#VALUE!</v>
      </c>
      <c r="FP169" s="139" t="e">
        <f t="shared" si="201"/>
        <v>#VALUE!</v>
      </c>
      <c r="FQ169" s="139" t="e">
        <f t="shared" si="202"/>
        <v>#VALUE!</v>
      </c>
      <c r="FR169" s="139" t="e">
        <f t="shared" si="203"/>
        <v>#VALUE!</v>
      </c>
      <c r="FS169" s="139" t="e">
        <f t="shared" si="204"/>
        <v>#VALUE!</v>
      </c>
      <c r="FT169" s="139" t="e">
        <f t="shared" si="205"/>
        <v>#VALUE!</v>
      </c>
      <c r="FU169" s="148" t="e">
        <f t="shared" si="206"/>
        <v>#VALUE!</v>
      </c>
      <c r="FV169" s="149"/>
      <c r="FY169" s="211">
        <v>164</v>
      </c>
      <c r="FZ169">
        <v>112.76221896861142</v>
      </c>
      <c r="GA169">
        <v>129.30429803715273</v>
      </c>
      <c r="GB169">
        <v>39.032678489790349</v>
      </c>
      <c r="GC169">
        <v>8.179651318063625</v>
      </c>
      <c r="GD169">
        <v>3.630249667932901</v>
      </c>
      <c r="GE169">
        <v>6.2087859870042283</v>
      </c>
      <c r="GF169">
        <v>15.066981027209581</v>
      </c>
      <c r="GG169">
        <v>20.97669368588107</v>
      </c>
      <c r="GH169">
        <v>23.855551896835919</v>
      </c>
      <c r="GI169">
        <v>69.067684867236295</v>
      </c>
      <c r="GJ169"/>
      <c r="GK169"/>
      <c r="GL169"/>
      <c r="GM169"/>
    </row>
    <row r="170" spans="1:195" s="7" customFormat="1">
      <c r="A170" s="1"/>
      <c r="B170" s="76">
        <f t="shared" ca="1" si="171"/>
        <v>0.60848845667626972</v>
      </c>
      <c r="C170">
        <v>3</v>
      </c>
      <c r="D170">
        <v>39949</v>
      </c>
      <c r="E170">
        <v>0</v>
      </c>
      <c r="F170">
        <v>81.018518518518519</v>
      </c>
      <c r="G170">
        <v>324.07407407407408</v>
      </c>
      <c r="H170">
        <v>122.68518518518519</v>
      </c>
      <c r="I170">
        <v>133.10185185185185</v>
      </c>
      <c r="J170">
        <v>62.5</v>
      </c>
      <c r="K170">
        <v>0</v>
      </c>
      <c r="L170">
        <v>41.666666666666664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10.416666666666666</v>
      </c>
      <c r="T170">
        <v>10.416666666666666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1136.5080962711309</v>
      </c>
      <c r="AO170">
        <v>164.42732568609651</v>
      </c>
      <c r="AP170">
        <v>1331.8008364156474</v>
      </c>
      <c r="AQ170">
        <v>403.27146762265272</v>
      </c>
      <c r="AR170">
        <v>157.09647790625004</v>
      </c>
      <c r="AS170">
        <v>1675.8070836974809</v>
      </c>
      <c r="AT170">
        <v>73.858919100589745</v>
      </c>
      <c r="AU170">
        <v>101.3740489385072</v>
      </c>
      <c r="AV170"/>
      <c r="AW170"/>
      <c r="AX170" s="146"/>
      <c r="AY170" s="76">
        <f t="shared" ca="1" si="172"/>
        <v>0.68118383478997768</v>
      </c>
      <c r="AZ170">
        <v>3</v>
      </c>
      <c r="BA170" s="129">
        <f t="shared" si="246"/>
        <v>39949</v>
      </c>
      <c r="BB170">
        <v>0</v>
      </c>
      <c r="BC170"/>
      <c r="BD170"/>
      <c r="BE170">
        <v>4</v>
      </c>
      <c r="BF170">
        <v>5</v>
      </c>
      <c r="BG170">
        <v>6</v>
      </c>
      <c r="BH170"/>
      <c r="BI170">
        <v>4</v>
      </c>
      <c r="BJ170"/>
      <c r="BK170"/>
      <c r="BL170"/>
      <c r="BM170"/>
      <c r="BN170"/>
      <c r="BO170"/>
      <c r="BP170">
        <v>1</v>
      </c>
      <c r="BQ170">
        <v>1</v>
      </c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7"/>
        <v>0.68077982366395429</v>
      </c>
      <c r="CL170" s="179">
        <f t="shared" si="208"/>
        <v>3</v>
      </c>
      <c r="CM170" s="180">
        <f t="shared" si="209"/>
        <v>39949</v>
      </c>
      <c r="CN170">
        <v>0</v>
      </c>
      <c r="CO170">
        <v>1</v>
      </c>
      <c r="CP170">
        <v>4</v>
      </c>
      <c r="CQ170">
        <v>1</v>
      </c>
      <c r="CR170">
        <v>1</v>
      </c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10"/>
        <v>9.6000000000000002E-2</v>
      </c>
      <c r="DB170" s="146"/>
      <c r="DC170" s="76">
        <f t="shared" ca="1" si="173"/>
        <v>0.91695628930132589</v>
      </c>
      <c r="DD170">
        <f t="shared" si="211"/>
        <v>3</v>
      </c>
      <c r="DE170" s="129">
        <f t="shared" si="245"/>
        <v>39949</v>
      </c>
      <c r="DF170" s="161">
        <f t="shared" si="212"/>
        <v>0</v>
      </c>
      <c r="DG170" s="161">
        <f t="shared" si="213"/>
        <v>81.018518518518519</v>
      </c>
      <c r="DH170" s="161">
        <f t="shared" si="214"/>
        <v>324.07407407407408</v>
      </c>
      <c r="DI170" s="161">
        <f t="shared" si="215"/>
        <v>122.68518518518519</v>
      </c>
      <c r="DJ170" s="161">
        <f t="shared" si="216"/>
        <v>133.10185185185185</v>
      </c>
      <c r="DK170" s="161">
        <f t="shared" si="217"/>
        <v>62.5</v>
      </c>
      <c r="DL170" s="161">
        <f t="shared" si="218"/>
        <v>0</v>
      </c>
      <c r="DM170" s="161">
        <f t="shared" si="219"/>
        <v>41.666666666666664</v>
      </c>
      <c r="DN170" s="161">
        <f t="shared" si="220"/>
        <v>0</v>
      </c>
      <c r="DO170" s="161">
        <f t="shared" si="221"/>
        <v>0</v>
      </c>
      <c r="DP170" s="161">
        <f t="shared" si="222"/>
        <v>0</v>
      </c>
      <c r="DQ170" s="161">
        <f t="shared" si="223"/>
        <v>0</v>
      </c>
      <c r="DR170" s="161">
        <f t="shared" si="224"/>
        <v>0</v>
      </c>
      <c r="DS170" s="161">
        <f t="shared" si="225"/>
        <v>0</v>
      </c>
      <c r="DT170" s="161">
        <f t="shared" si="226"/>
        <v>10.416666666666666</v>
      </c>
      <c r="DU170" s="161">
        <f t="shared" si="227"/>
        <v>10.416666666666666</v>
      </c>
      <c r="DV170" s="161">
        <f t="shared" si="228"/>
        <v>0</v>
      </c>
      <c r="DW170" s="161">
        <f t="shared" si="229"/>
        <v>0</v>
      </c>
      <c r="DX170" s="161">
        <f t="shared" si="230"/>
        <v>0</v>
      </c>
      <c r="DY170" s="161">
        <f t="shared" si="231"/>
        <v>0</v>
      </c>
      <c r="DZ170" s="161">
        <f t="shared" si="232"/>
        <v>0</v>
      </c>
      <c r="EA170" s="161">
        <f t="shared" si="233"/>
        <v>0</v>
      </c>
      <c r="EB170" s="161">
        <f t="shared" si="234"/>
        <v>0</v>
      </c>
      <c r="EC170" s="161">
        <f t="shared" si="235"/>
        <v>0</v>
      </c>
      <c r="ED170" s="161">
        <f t="shared" si="236"/>
        <v>0</v>
      </c>
      <c r="EE170" s="161">
        <f t="shared" si="237"/>
        <v>0</v>
      </c>
      <c r="EF170" s="161">
        <f t="shared" si="238"/>
        <v>0</v>
      </c>
      <c r="EG170" s="161">
        <f t="shared" si="239"/>
        <v>0</v>
      </c>
      <c r="EH170" s="161">
        <f t="shared" si="240"/>
        <v>0</v>
      </c>
      <c r="EI170" s="161">
        <f t="shared" si="241"/>
        <v>0</v>
      </c>
      <c r="EJ170" s="161">
        <f t="shared" si="242"/>
        <v>0</v>
      </c>
      <c r="EK170" s="147">
        <f t="shared" si="174"/>
        <v>785.87962962962956</v>
      </c>
      <c r="EL170" s="149"/>
      <c r="EN170" s="146"/>
      <c r="EO170" s="146"/>
      <c r="EP170" s="139" t="e">
        <f t="shared" si="175"/>
        <v>#VALUE!</v>
      </c>
      <c r="EQ170" s="139" t="e">
        <f t="shared" si="176"/>
        <v>#VALUE!</v>
      </c>
      <c r="ER170" s="139" t="e">
        <f t="shared" si="177"/>
        <v>#VALUE!</v>
      </c>
      <c r="ES170" s="139" t="e">
        <f t="shared" si="178"/>
        <v>#VALUE!</v>
      </c>
      <c r="ET170" s="139" t="e">
        <f t="shared" si="179"/>
        <v>#VALUE!</v>
      </c>
      <c r="EU170" s="139" t="e">
        <f t="shared" si="180"/>
        <v>#VALUE!</v>
      </c>
      <c r="EV170" s="139" t="e">
        <f t="shared" si="181"/>
        <v>#VALUE!</v>
      </c>
      <c r="EW170" s="139" t="e">
        <f t="shared" si="182"/>
        <v>#VALUE!</v>
      </c>
      <c r="EX170" s="139" t="e">
        <f t="shared" si="183"/>
        <v>#VALUE!</v>
      </c>
      <c r="EY170" s="139" t="e">
        <f t="shared" si="184"/>
        <v>#VALUE!</v>
      </c>
      <c r="EZ170" s="139" t="e">
        <f t="shared" si="185"/>
        <v>#VALUE!</v>
      </c>
      <c r="FA170" s="139" t="e">
        <f t="shared" si="186"/>
        <v>#VALUE!</v>
      </c>
      <c r="FB170" s="139" t="e">
        <f t="shared" si="187"/>
        <v>#VALUE!</v>
      </c>
      <c r="FC170" s="139" t="e">
        <f t="shared" si="188"/>
        <v>#VALUE!</v>
      </c>
      <c r="FD170" s="139" t="e">
        <f t="shared" si="189"/>
        <v>#VALUE!</v>
      </c>
      <c r="FE170" s="139" t="e">
        <f t="shared" si="190"/>
        <v>#VALUE!</v>
      </c>
      <c r="FF170" s="139" t="e">
        <f t="shared" si="191"/>
        <v>#VALUE!</v>
      </c>
      <c r="FG170" s="139" t="e">
        <f t="shared" si="192"/>
        <v>#VALUE!</v>
      </c>
      <c r="FH170" s="139" t="e">
        <f t="shared" si="193"/>
        <v>#VALUE!</v>
      </c>
      <c r="FI170" s="139" t="e">
        <f t="shared" si="194"/>
        <v>#VALUE!</v>
      </c>
      <c r="FJ170" s="139" t="e">
        <f t="shared" si="195"/>
        <v>#VALUE!</v>
      </c>
      <c r="FK170" s="139" t="e">
        <f t="shared" si="196"/>
        <v>#VALUE!</v>
      </c>
      <c r="FL170" s="139" t="e">
        <f t="shared" si="197"/>
        <v>#VALUE!</v>
      </c>
      <c r="FM170" s="139" t="e">
        <f t="shared" si="198"/>
        <v>#VALUE!</v>
      </c>
      <c r="FN170" s="139" t="e">
        <f t="shared" si="199"/>
        <v>#VALUE!</v>
      </c>
      <c r="FO170" s="139" t="e">
        <f t="shared" si="200"/>
        <v>#VALUE!</v>
      </c>
      <c r="FP170" s="139" t="e">
        <f t="shared" si="201"/>
        <v>#VALUE!</v>
      </c>
      <c r="FQ170" s="139" t="e">
        <f t="shared" si="202"/>
        <v>#VALUE!</v>
      </c>
      <c r="FR170" s="139" t="e">
        <f t="shared" si="203"/>
        <v>#VALUE!</v>
      </c>
      <c r="FS170" s="139" t="e">
        <f t="shared" si="204"/>
        <v>#VALUE!</v>
      </c>
      <c r="FT170" s="139" t="e">
        <f t="shared" si="205"/>
        <v>#VALUE!</v>
      </c>
      <c r="FU170" s="148" t="e">
        <f t="shared" si="206"/>
        <v>#VALUE!</v>
      </c>
      <c r="FV170" s="149"/>
      <c r="FY170" s="211">
        <v>165</v>
      </c>
      <c r="FZ170">
        <v>149.35716908217745</v>
      </c>
      <c r="GA170">
        <v>98.416904284798235</v>
      </c>
      <c r="GB170">
        <v>30.756504583606727</v>
      </c>
      <c r="GC170">
        <v>7.3995741318721695</v>
      </c>
      <c r="GD170">
        <v>3.3113928597283575</v>
      </c>
      <c r="GE170">
        <v>6.5887436319097192</v>
      </c>
      <c r="GF170">
        <v>60.049133863722403</v>
      </c>
      <c r="GG170">
        <v>72.490426405910512</v>
      </c>
      <c r="GH170">
        <v>21.167433993323939</v>
      </c>
      <c r="GI170">
        <v>91.312119317463569</v>
      </c>
      <c r="GJ170"/>
      <c r="GK170"/>
      <c r="GL170"/>
      <c r="GM170"/>
    </row>
    <row r="171" spans="1:195" s="7" customFormat="1">
      <c r="A171" s="1"/>
      <c r="B171" s="76">
        <f t="shared" ca="1" si="171"/>
        <v>0.72417801505125956</v>
      </c>
      <c r="C171">
        <v>6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1034.6240705740945</v>
      </c>
      <c r="AO171">
        <v>154.94255332084981</v>
      </c>
      <c r="AP171">
        <v>1259.1395212584448</v>
      </c>
      <c r="AQ171">
        <v>569.46443601098258</v>
      </c>
      <c r="AR171">
        <v>157.36696823876119</v>
      </c>
      <c r="AS171">
        <v>1679.9258776223462</v>
      </c>
      <c r="AT171">
        <v>82.969795073902688</v>
      </c>
      <c r="AU171">
        <v>-63.785807832934012</v>
      </c>
      <c r="AV171"/>
      <c r="AW171"/>
      <c r="AX171" s="146"/>
      <c r="AY171" s="76">
        <f t="shared" ca="1" si="172"/>
        <v>0.35678104093697449</v>
      </c>
      <c r="AZ171">
        <v>4</v>
      </c>
      <c r="BA171" s="129">
        <f t="shared" si="246"/>
        <v>39949</v>
      </c>
      <c r="BB171">
        <v>0</v>
      </c>
      <c r="BC171"/>
      <c r="BD171">
        <v>2</v>
      </c>
      <c r="BE171">
        <v>2</v>
      </c>
      <c r="BF171">
        <v>6</v>
      </c>
      <c r="BG171">
        <v>5</v>
      </c>
      <c r="BH171">
        <v>4</v>
      </c>
      <c r="BI171">
        <v>3</v>
      </c>
      <c r="BJ171">
        <v>1</v>
      </c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7"/>
        <v>0.26721021045184012</v>
      </c>
      <c r="CL171" s="179">
        <f t="shared" si="208"/>
        <v>4</v>
      </c>
      <c r="CM171" s="180">
        <f t="shared" si="209"/>
        <v>39949</v>
      </c>
      <c r="CN171">
        <v>0</v>
      </c>
      <c r="CO171"/>
      <c r="CP171">
        <v>2</v>
      </c>
      <c r="CQ171">
        <v>11</v>
      </c>
      <c r="CR171">
        <v>2</v>
      </c>
      <c r="CS171">
        <v>2</v>
      </c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10"/>
        <v>9.6000000000000002E-2</v>
      </c>
      <c r="DB171" s="146"/>
      <c r="DC171" s="76">
        <f t="shared" ca="1" si="173"/>
        <v>0.79457508720668701</v>
      </c>
      <c r="DD171">
        <f t="shared" si="211"/>
        <v>4</v>
      </c>
      <c r="DE171" s="129">
        <f t="shared" si="245"/>
        <v>39949</v>
      </c>
      <c r="DF171" s="161">
        <f t="shared" si="212"/>
        <v>0</v>
      </c>
      <c r="DG171" s="161">
        <f t="shared" si="213"/>
        <v>0</v>
      </c>
      <c r="DH171" s="161">
        <f t="shared" si="214"/>
        <v>112.15753424657534</v>
      </c>
      <c r="DI171" s="161">
        <f t="shared" si="215"/>
        <v>523.11643835616428</v>
      </c>
      <c r="DJ171" s="161">
        <f t="shared" si="216"/>
        <v>153.82420091324201</v>
      </c>
      <c r="DK171" s="161">
        <f t="shared" si="217"/>
        <v>143.40753424657532</v>
      </c>
      <c r="DL171" s="161">
        <f t="shared" si="218"/>
        <v>41.666666666666664</v>
      </c>
      <c r="DM171" s="161">
        <f t="shared" si="219"/>
        <v>31.25</v>
      </c>
      <c r="DN171" s="161">
        <f t="shared" si="220"/>
        <v>10.416666666666666</v>
      </c>
      <c r="DO171" s="161">
        <f t="shared" si="221"/>
        <v>0</v>
      </c>
      <c r="DP171" s="161">
        <f t="shared" si="222"/>
        <v>0</v>
      </c>
      <c r="DQ171" s="161">
        <f t="shared" si="223"/>
        <v>0</v>
      </c>
      <c r="DR171" s="161">
        <f t="shared" si="224"/>
        <v>0</v>
      </c>
      <c r="DS171" s="161">
        <f t="shared" si="225"/>
        <v>0</v>
      </c>
      <c r="DT171" s="161">
        <f t="shared" si="226"/>
        <v>0</v>
      </c>
      <c r="DU171" s="161">
        <f t="shared" si="227"/>
        <v>0</v>
      </c>
      <c r="DV171" s="161">
        <f t="shared" si="228"/>
        <v>0</v>
      </c>
      <c r="DW171" s="161">
        <f t="shared" si="229"/>
        <v>0</v>
      </c>
      <c r="DX171" s="161">
        <f t="shared" si="230"/>
        <v>0</v>
      </c>
      <c r="DY171" s="161">
        <f t="shared" si="231"/>
        <v>0</v>
      </c>
      <c r="DZ171" s="161">
        <f t="shared" si="232"/>
        <v>0</v>
      </c>
      <c r="EA171" s="161">
        <f t="shared" si="233"/>
        <v>0</v>
      </c>
      <c r="EB171" s="161">
        <f t="shared" si="234"/>
        <v>0</v>
      </c>
      <c r="EC171" s="161">
        <f t="shared" si="235"/>
        <v>0</v>
      </c>
      <c r="ED171" s="161">
        <f t="shared" si="236"/>
        <v>0</v>
      </c>
      <c r="EE171" s="161">
        <f t="shared" si="237"/>
        <v>0</v>
      </c>
      <c r="EF171" s="161">
        <f t="shared" si="238"/>
        <v>0</v>
      </c>
      <c r="EG171" s="161">
        <f t="shared" si="239"/>
        <v>0</v>
      </c>
      <c r="EH171" s="161">
        <f t="shared" si="240"/>
        <v>0</v>
      </c>
      <c r="EI171" s="161">
        <f t="shared" si="241"/>
        <v>0</v>
      </c>
      <c r="EJ171" s="161">
        <f t="shared" si="242"/>
        <v>0</v>
      </c>
      <c r="EK171" s="147">
        <f t="shared" si="174"/>
        <v>1015.8390410958903</v>
      </c>
      <c r="EL171" s="149"/>
      <c r="EN171" s="146"/>
      <c r="EO171" s="146"/>
      <c r="EP171" s="139" t="e">
        <f t="shared" si="175"/>
        <v>#VALUE!</v>
      </c>
      <c r="EQ171" s="139" t="e">
        <f t="shared" si="176"/>
        <v>#VALUE!</v>
      </c>
      <c r="ER171" s="139" t="e">
        <f t="shared" si="177"/>
        <v>#VALUE!</v>
      </c>
      <c r="ES171" s="139" t="e">
        <f t="shared" si="178"/>
        <v>#VALUE!</v>
      </c>
      <c r="ET171" s="139" t="e">
        <f t="shared" si="179"/>
        <v>#VALUE!</v>
      </c>
      <c r="EU171" s="139" t="e">
        <f t="shared" si="180"/>
        <v>#VALUE!</v>
      </c>
      <c r="EV171" s="139" t="e">
        <f t="shared" si="181"/>
        <v>#VALUE!</v>
      </c>
      <c r="EW171" s="139" t="e">
        <f t="shared" si="182"/>
        <v>#VALUE!</v>
      </c>
      <c r="EX171" s="139" t="e">
        <f t="shared" si="183"/>
        <v>#VALUE!</v>
      </c>
      <c r="EY171" s="139" t="e">
        <f t="shared" si="184"/>
        <v>#VALUE!</v>
      </c>
      <c r="EZ171" s="139" t="e">
        <f t="shared" si="185"/>
        <v>#VALUE!</v>
      </c>
      <c r="FA171" s="139" t="e">
        <f t="shared" si="186"/>
        <v>#VALUE!</v>
      </c>
      <c r="FB171" s="139" t="e">
        <f t="shared" si="187"/>
        <v>#VALUE!</v>
      </c>
      <c r="FC171" s="139" t="e">
        <f t="shared" si="188"/>
        <v>#VALUE!</v>
      </c>
      <c r="FD171" s="139" t="e">
        <f t="shared" si="189"/>
        <v>#VALUE!</v>
      </c>
      <c r="FE171" s="139" t="e">
        <f t="shared" si="190"/>
        <v>#VALUE!</v>
      </c>
      <c r="FF171" s="139" t="e">
        <f t="shared" si="191"/>
        <v>#VALUE!</v>
      </c>
      <c r="FG171" s="139" t="e">
        <f t="shared" si="192"/>
        <v>#VALUE!</v>
      </c>
      <c r="FH171" s="139" t="e">
        <f t="shared" si="193"/>
        <v>#VALUE!</v>
      </c>
      <c r="FI171" s="139" t="e">
        <f t="shared" si="194"/>
        <v>#VALUE!</v>
      </c>
      <c r="FJ171" s="139" t="e">
        <f t="shared" si="195"/>
        <v>#VALUE!</v>
      </c>
      <c r="FK171" s="139" t="e">
        <f t="shared" si="196"/>
        <v>#VALUE!</v>
      </c>
      <c r="FL171" s="139" t="e">
        <f t="shared" si="197"/>
        <v>#VALUE!</v>
      </c>
      <c r="FM171" s="139" t="e">
        <f t="shared" si="198"/>
        <v>#VALUE!</v>
      </c>
      <c r="FN171" s="139" t="e">
        <f t="shared" si="199"/>
        <v>#VALUE!</v>
      </c>
      <c r="FO171" s="139" t="e">
        <f t="shared" si="200"/>
        <v>#VALUE!</v>
      </c>
      <c r="FP171" s="139" t="e">
        <f t="shared" si="201"/>
        <v>#VALUE!</v>
      </c>
      <c r="FQ171" s="139" t="e">
        <f t="shared" si="202"/>
        <v>#VALUE!</v>
      </c>
      <c r="FR171" s="139" t="e">
        <f t="shared" si="203"/>
        <v>#VALUE!</v>
      </c>
      <c r="FS171" s="139" t="e">
        <f t="shared" si="204"/>
        <v>#VALUE!</v>
      </c>
      <c r="FT171" s="139" t="e">
        <f t="shared" si="205"/>
        <v>#VALUE!</v>
      </c>
      <c r="FU171" s="148" t="e">
        <f t="shared" si="206"/>
        <v>#VALUE!</v>
      </c>
      <c r="FV171" s="149"/>
      <c r="FY171" s="211">
        <v>166</v>
      </c>
      <c r="FZ171">
        <v>137.56230751112201</v>
      </c>
      <c r="GA171">
        <v>97.642879657556961</v>
      </c>
      <c r="GB171">
        <v>29.37579201913595</v>
      </c>
      <c r="GC171">
        <v>8.4082782262097133</v>
      </c>
      <c r="GD171">
        <v>2.9067543047860469</v>
      </c>
      <c r="GE171">
        <v>5.0546987495079936</v>
      </c>
      <c r="GF171">
        <v>17.611368988044575</v>
      </c>
      <c r="GG171">
        <v>18.68382034606211</v>
      </c>
      <c r="GH171">
        <v>19.837209248501885</v>
      </c>
      <c r="GI171">
        <v>72.446919316629163</v>
      </c>
      <c r="GJ171"/>
      <c r="GK171"/>
      <c r="GL171"/>
      <c r="GM171"/>
    </row>
    <row r="172" spans="1:195" s="7" customFormat="1">
      <c r="A172" s="1"/>
      <c r="B172" s="76">
        <f t="shared" ca="1" si="171"/>
        <v>0.97944970656802455</v>
      </c>
      <c r="C172">
        <v>7</v>
      </c>
      <c r="D172">
        <v>39949</v>
      </c>
      <c r="E172">
        <v>0</v>
      </c>
      <c r="F172">
        <v>0</v>
      </c>
      <c r="G172">
        <v>115.07936507936508</v>
      </c>
      <c r="H172">
        <v>690.47619047619037</v>
      </c>
      <c r="I172">
        <v>575.39682539682531</v>
      </c>
      <c r="J172">
        <v>460.3174603174603</v>
      </c>
      <c r="K172">
        <v>460.3174603174603</v>
      </c>
      <c r="L172">
        <v>115.07936507936508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1113.3807036018786</v>
      </c>
      <c r="AO172">
        <v>185.10052316636566</v>
      </c>
      <c r="AP172">
        <v>1533.0566551564407</v>
      </c>
      <c r="AQ172">
        <v>380.13644627801091</v>
      </c>
      <c r="AR172">
        <v>181.44488476704956</v>
      </c>
      <c r="AS172">
        <v>1867.0787105420673</v>
      </c>
      <c r="AT172">
        <v>86.683123788805787</v>
      </c>
      <c r="AU172">
        <v>260.27736006516841</v>
      </c>
      <c r="AV172"/>
      <c r="AW172"/>
      <c r="AX172" s="146"/>
      <c r="AY172" s="76">
        <f t="shared" ca="1" si="172"/>
        <v>0.49761397193268109</v>
      </c>
      <c r="AZ172">
        <v>5</v>
      </c>
      <c r="BA172" s="129">
        <f t="shared" si="246"/>
        <v>39949</v>
      </c>
      <c r="BB172">
        <v>0</v>
      </c>
      <c r="BC172"/>
      <c r="BD172">
        <v>3</v>
      </c>
      <c r="BE172">
        <v>6</v>
      </c>
      <c r="BF172">
        <v>6</v>
      </c>
      <c r="BG172">
        <v>2</v>
      </c>
      <c r="BH172">
        <v>2</v>
      </c>
      <c r="BI172">
        <v>1</v>
      </c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7"/>
        <v>0.38104626376792539</v>
      </c>
      <c r="CL172" s="179">
        <f t="shared" si="208"/>
        <v>5</v>
      </c>
      <c r="CM172" s="180">
        <f t="shared" si="209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10"/>
        <v>9.6000000000000002E-2</v>
      </c>
      <c r="DB172" s="146"/>
      <c r="DC172" s="76">
        <f t="shared" ca="1" si="173"/>
        <v>0.19412061733167651</v>
      </c>
      <c r="DD172">
        <f t="shared" si="211"/>
        <v>5</v>
      </c>
      <c r="DE172" s="129">
        <f t="shared" si="245"/>
        <v>39949</v>
      </c>
      <c r="DF172" s="161">
        <f t="shared" si="212"/>
        <v>0</v>
      </c>
      <c r="DG172" s="161">
        <f t="shared" si="213"/>
        <v>0</v>
      </c>
      <c r="DH172" s="161">
        <f t="shared" si="214"/>
        <v>31.25</v>
      </c>
      <c r="DI172" s="161">
        <f t="shared" si="215"/>
        <v>62.5</v>
      </c>
      <c r="DJ172" s="161">
        <f t="shared" si="216"/>
        <v>62.5</v>
      </c>
      <c r="DK172" s="161">
        <f t="shared" si="217"/>
        <v>20.833333333333332</v>
      </c>
      <c r="DL172" s="161">
        <f t="shared" si="218"/>
        <v>20.833333333333332</v>
      </c>
      <c r="DM172" s="161">
        <f t="shared" si="219"/>
        <v>10.416666666666666</v>
      </c>
      <c r="DN172" s="161">
        <f t="shared" si="220"/>
        <v>0</v>
      </c>
      <c r="DO172" s="161">
        <f t="shared" si="221"/>
        <v>0</v>
      </c>
      <c r="DP172" s="161">
        <f t="shared" si="222"/>
        <v>0</v>
      </c>
      <c r="DQ172" s="161">
        <f t="shared" si="223"/>
        <v>0</v>
      </c>
      <c r="DR172" s="161">
        <f t="shared" si="224"/>
        <v>0</v>
      </c>
      <c r="DS172" s="161">
        <f t="shared" si="225"/>
        <v>0</v>
      </c>
      <c r="DT172" s="161">
        <f t="shared" si="226"/>
        <v>0</v>
      </c>
      <c r="DU172" s="161">
        <f t="shared" si="227"/>
        <v>0</v>
      </c>
      <c r="DV172" s="161">
        <f t="shared" si="228"/>
        <v>0</v>
      </c>
      <c r="DW172" s="161">
        <f t="shared" si="229"/>
        <v>0</v>
      </c>
      <c r="DX172" s="161">
        <f t="shared" si="230"/>
        <v>0</v>
      </c>
      <c r="DY172" s="161">
        <f t="shared" si="231"/>
        <v>0</v>
      </c>
      <c r="DZ172" s="161">
        <f t="shared" si="232"/>
        <v>0</v>
      </c>
      <c r="EA172" s="161">
        <f t="shared" si="233"/>
        <v>0</v>
      </c>
      <c r="EB172" s="161">
        <f t="shared" si="234"/>
        <v>0</v>
      </c>
      <c r="EC172" s="161">
        <f t="shared" si="235"/>
        <v>0</v>
      </c>
      <c r="ED172" s="161">
        <f t="shared" si="236"/>
        <v>0</v>
      </c>
      <c r="EE172" s="161">
        <f t="shared" si="237"/>
        <v>0</v>
      </c>
      <c r="EF172" s="161">
        <f t="shared" si="238"/>
        <v>0</v>
      </c>
      <c r="EG172" s="161">
        <f t="shared" si="239"/>
        <v>0</v>
      </c>
      <c r="EH172" s="161">
        <f t="shared" si="240"/>
        <v>0</v>
      </c>
      <c r="EI172" s="161">
        <f t="shared" si="241"/>
        <v>0</v>
      </c>
      <c r="EJ172" s="161">
        <f t="shared" si="242"/>
        <v>0</v>
      </c>
      <c r="EK172" s="147">
        <f t="shared" si="174"/>
        <v>208.33333333333334</v>
      </c>
      <c r="EL172" s="149"/>
      <c r="EN172" s="146"/>
      <c r="EO172" s="146"/>
      <c r="EP172" s="139" t="e">
        <f t="shared" si="175"/>
        <v>#VALUE!</v>
      </c>
      <c r="EQ172" s="139" t="e">
        <f t="shared" si="176"/>
        <v>#VALUE!</v>
      </c>
      <c r="ER172" s="139" t="e">
        <f t="shared" si="177"/>
        <v>#VALUE!</v>
      </c>
      <c r="ES172" s="139" t="e">
        <f t="shared" si="178"/>
        <v>#VALUE!</v>
      </c>
      <c r="ET172" s="139" t="e">
        <f t="shared" si="179"/>
        <v>#VALUE!</v>
      </c>
      <c r="EU172" s="139" t="e">
        <f t="shared" si="180"/>
        <v>#VALUE!</v>
      </c>
      <c r="EV172" s="139" t="e">
        <f t="shared" si="181"/>
        <v>#VALUE!</v>
      </c>
      <c r="EW172" s="139" t="e">
        <f t="shared" si="182"/>
        <v>#VALUE!</v>
      </c>
      <c r="EX172" s="139" t="e">
        <f t="shared" si="183"/>
        <v>#VALUE!</v>
      </c>
      <c r="EY172" s="139" t="e">
        <f t="shared" si="184"/>
        <v>#VALUE!</v>
      </c>
      <c r="EZ172" s="139" t="e">
        <f t="shared" si="185"/>
        <v>#VALUE!</v>
      </c>
      <c r="FA172" s="139" t="e">
        <f t="shared" si="186"/>
        <v>#VALUE!</v>
      </c>
      <c r="FB172" s="139" t="e">
        <f t="shared" si="187"/>
        <v>#VALUE!</v>
      </c>
      <c r="FC172" s="139" t="e">
        <f t="shared" si="188"/>
        <v>#VALUE!</v>
      </c>
      <c r="FD172" s="139" t="e">
        <f t="shared" si="189"/>
        <v>#VALUE!</v>
      </c>
      <c r="FE172" s="139" t="e">
        <f t="shared" si="190"/>
        <v>#VALUE!</v>
      </c>
      <c r="FF172" s="139" t="e">
        <f t="shared" si="191"/>
        <v>#VALUE!</v>
      </c>
      <c r="FG172" s="139" t="e">
        <f t="shared" si="192"/>
        <v>#VALUE!</v>
      </c>
      <c r="FH172" s="139" t="e">
        <f t="shared" si="193"/>
        <v>#VALUE!</v>
      </c>
      <c r="FI172" s="139" t="e">
        <f t="shared" si="194"/>
        <v>#VALUE!</v>
      </c>
      <c r="FJ172" s="139" t="e">
        <f t="shared" si="195"/>
        <v>#VALUE!</v>
      </c>
      <c r="FK172" s="139" t="e">
        <f t="shared" si="196"/>
        <v>#VALUE!</v>
      </c>
      <c r="FL172" s="139" t="e">
        <f t="shared" si="197"/>
        <v>#VALUE!</v>
      </c>
      <c r="FM172" s="139" t="e">
        <f t="shared" si="198"/>
        <v>#VALUE!</v>
      </c>
      <c r="FN172" s="139" t="e">
        <f t="shared" si="199"/>
        <v>#VALUE!</v>
      </c>
      <c r="FO172" s="139" t="e">
        <f t="shared" si="200"/>
        <v>#VALUE!</v>
      </c>
      <c r="FP172" s="139" t="e">
        <f t="shared" si="201"/>
        <v>#VALUE!</v>
      </c>
      <c r="FQ172" s="139" t="e">
        <f t="shared" si="202"/>
        <v>#VALUE!</v>
      </c>
      <c r="FR172" s="139" t="e">
        <f t="shared" si="203"/>
        <v>#VALUE!</v>
      </c>
      <c r="FS172" s="139" t="e">
        <f t="shared" si="204"/>
        <v>#VALUE!</v>
      </c>
      <c r="FT172" s="139" t="e">
        <f t="shared" si="205"/>
        <v>#VALUE!</v>
      </c>
      <c r="FU172" s="148" t="e">
        <f t="shared" si="206"/>
        <v>#VALUE!</v>
      </c>
      <c r="FV172" s="149"/>
      <c r="FY172" s="211">
        <v>167</v>
      </c>
      <c r="FZ172">
        <v>166.63453513946445</v>
      </c>
      <c r="GA172">
        <v>126.41505144800834</v>
      </c>
      <c r="GB172">
        <v>27.244864992028383</v>
      </c>
      <c r="GC172">
        <v>7.7130688624244437</v>
      </c>
      <c r="GD172">
        <v>3.6095121204613725</v>
      </c>
      <c r="GE172">
        <v>5.6153326922510001</v>
      </c>
      <c r="GF172">
        <v>40.775346350631978</v>
      </c>
      <c r="GG172">
        <v>50.95648377784044</v>
      </c>
      <c r="GH172">
        <v>27.190052244922349</v>
      </c>
      <c r="GI172">
        <v>90.970501753769</v>
      </c>
      <c r="GJ172"/>
      <c r="GK172"/>
      <c r="GL172"/>
      <c r="GM172"/>
    </row>
    <row r="173" spans="1:195" s="7" customFormat="1">
      <c r="A173" s="1"/>
      <c r="B173" s="76">
        <f t="shared" ca="1" si="171"/>
        <v>0.19782383236180334</v>
      </c>
      <c r="C173">
        <v>5</v>
      </c>
      <c r="D173">
        <v>39949</v>
      </c>
      <c r="E173">
        <v>0</v>
      </c>
      <c r="F173">
        <v>0</v>
      </c>
      <c r="G173">
        <v>31.25</v>
      </c>
      <c r="H173">
        <v>62.5</v>
      </c>
      <c r="I173">
        <v>62.5</v>
      </c>
      <c r="J173">
        <v>20.833333333333332</v>
      </c>
      <c r="K173">
        <v>20.833333333333332</v>
      </c>
      <c r="L173">
        <v>10.416666666666666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1040.0613552150548</v>
      </c>
      <c r="AO173">
        <v>163.18056674037535</v>
      </c>
      <c r="AP173">
        <v>1302.2777268878253</v>
      </c>
      <c r="AQ173">
        <v>404.04557946103301</v>
      </c>
      <c r="AR173">
        <v>161.00865924133558</v>
      </c>
      <c r="AS173">
        <v>1717.7976830580519</v>
      </c>
      <c r="AT173">
        <v>81.265401756621785</v>
      </c>
      <c r="AU173">
        <v>259.03339290601258</v>
      </c>
      <c r="AV173"/>
      <c r="AW173"/>
      <c r="AX173" s="146"/>
      <c r="AY173" s="76">
        <f t="shared" ca="1" si="172"/>
        <v>2.3556028010318641E-4</v>
      </c>
      <c r="AZ173">
        <v>6</v>
      </c>
      <c r="BA173" s="129">
        <f t="shared" si="246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7"/>
        <v>0.44767980096069626</v>
      </c>
      <c r="CL173" s="179">
        <f t="shared" si="208"/>
        <v>6</v>
      </c>
      <c r="CM173" s="180">
        <f t="shared" si="209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10"/>
        <v>9.6000000000000002E-2</v>
      </c>
      <c r="DB173" s="146"/>
      <c r="DC173" s="76">
        <f t="shared" ca="1" si="173"/>
        <v>0.56820176184265492</v>
      </c>
      <c r="DD173">
        <f t="shared" si="211"/>
        <v>6</v>
      </c>
      <c r="DE173" s="129">
        <f t="shared" si="245"/>
        <v>39949</v>
      </c>
      <c r="DF173" s="161">
        <f t="shared" si="212"/>
        <v>0</v>
      </c>
      <c r="DG173" s="161">
        <f t="shared" si="213"/>
        <v>0</v>
      </c>
      <c r="DH173" s="161">
        <f t="shared" si="214"/>
        <v>0</v>
      </c>
      <c r="DI173" s="161">
        <f t="shared" si="215"/>
        <v>0</v>
      </c>
      <c r="DJ173" s="161">
        <f t="shared" si="216"/>
        <v>0</v>
      </c>
      <c r="DK173" s="161">
        <f t="shared" si="217"/>
        <v>0</v>
      </c>
      <c r="DL173" s="161">
        <f t="shared" si="218"/>
        <v>0</v>
      </c>
      <c r="DM173" s="161">
        <f t="shared" si="219"/>
        <v>0</v>
      </c>
      <c r="DN173" s="161">
        <f t="shared" si="220"/>
        <v>0</v>
      </c>
      <c r="DO173" s="161">
        <f t="shared" si="221"/>
        <v>0</v>
      </c>
      <c r="DP173" s="161">
        <f t="shared" si="222"/>
        <v>0</v>
      </c>
      <c r="DQ173" s="161">
        <f t="shared" si="223"/>
        <v>0</v>
      </c>
      <c r="DR173" s="161">
        <f t="shared" si="224"/>
        <v>0</v>
      </c>
      <c r="DS173" s="161">
        <f t="shared" si="225"/>
        <v>0</v>
      </c>
      <c r="DT173" s="161">
        <f t="shared" si="226"/>
        <v>0</v>
      </c>
      <c r="DU173" s="161">
        <f t="shared" si="227"/>
        <v>0</v>
      </c>
      <c r="DV173" s="161">
        <f t="shared" si="228"/>
        <v>0</v>
      </c>
      <c r="DW173" s="161">
        <f t="shared" si="229"/>
        <v>0</v>
      </c>
      <c r="DX173" s="161">
        <f t="shared" si="230"/>
        <v>0</v>
      </c>
      <c r="DY173" s="161">
        <f t="shared" si="231"/>
        <v>0</v>
      </c>
      <c r="DZ173" s="161">
        <f t="shared" si="232"/>
        <v>0</v>
      </c>
      <c r="EA173" s="161">
        <f t="shared" si="233"/>
        <v>0</v>
      </c>
      <c r="EB173" s="161">
        <f t="shared" si="234"/>
        <v>0</v>
      </c>
      <c r="EC173" s="161">
        <f t="shared" si="235"/>
        <v>0</v>
      </c>
      <c r="ED173" s="161">
        <f t="shared" si="236"/>
        <v>0</v>
      </c>
      <c r="EE173" s="161">
        <f t="shared" si="237"/>
        <v>0</v>
      </c>
      <c r="EF173" s="161">
        <f t="shared" si="238"/>
        <v>0</v>
      </c>
      <c r="EG173" s="161">
        <f t="shared" si="239"/>
        <v>0</v>
      </c>
      <c r="EH173" s="161">
        <f t="shared" si="240"/>
        <v>0</v>
      </c>
      <c r="EI173" s="161">
        <f t="shared" si="241"/>
        <v>0</v>
      </c>
      <c r="EJ173" s="161">
        <f t="shared" si="242"/>
        <v>0</v>
      </c>
      <c r="EK173" s="147">
        <f t="shared" si="174"/>
        <v>0</v>
      </c>
      <c r="EL173" s="149"/>
      <c r="EN173" s="146"/>
      <c r="EO173" s="146"/>
      <c r="EP173" s="139" t="e">
        <f t="shared" si="175"/>
        <v>#VALUE!</v>
      </c>
      <c r="EQ173" s="139" t="e">
        <f t="shared" si="176"/>
        <v>#VALUE!</v>
      </c>
      <c r="ER173" s="139" t="e">
        <f t="shared" si="177"/>
        <v>#VALUE!</v>
      </c>
      <c r="ES173" s="139" t="e">
        <f t="shared" si="178"/>
        <v>#VALUE!</v>
      </c>
      <c r="ET173" s="139" t="e">
        <f t="shared" si="179"/>
        <v>#VALUE!</v>
      </c>
      <c r="EU173" s="139" t="e">
        <f t="shared" si="180"/>
        <v>#VALUE!</v>
      </c>
      <c r="EV173" s="139" t="e">
        <f t="shared" si="181"/>
        <v>#VALUE!</v>
      </c>
      <c r="EW173" s="139" t="e">
        <f t="shared" si="182"/>
        <v>#VALUE!</v>
      </c>
      <c r="EX173" s="139" t="e">
        <f t="shared" si="183"/>
        <v>#VALUE!</v>
      </c>
      <c r="EY173" s="139" t="e">
        <f t="shared" si="184"/>
        <v>#VALUE!</v>
      </c>
      <c r="EZ173" s="139" t="e">
        <f t="shared" si="185"/>
        <v>#VALUE!</v>
      </c>
      <c r="FA173" s="139" t="e">
        <f t="shared" si="186"/>
        <v>#VALUE!</v>
      </c>
      <c r="FB173" s="139" t="e">
        <f t="shared" si="187"/>
        <v>#VALUE!</v>
      </c>
      <c r="FC173" s="139" t="e">
        <f t="shared" si="188"/>
        <v>#VALUE!</v>
      </c>
      <c r="FD173" s="139" t="e">
        <f t="shared" si="189"/>
        <v>#VALUE!</v>
      </c>
      <c r="FE173" s="139" t="e">
        <f t="shared" si="190"/>
        <v>#VALUE!</v>
      </c>
      <c r="FF173" s="139" t="e">
        <f t="shared" si="191"/>
        <v>#VALUE!</v>
      </c>
      <c r="FG173" s="139" t="e">
        <f t="shared" si="192"/>
        <v>#VALUE!</v>
      </c>
      <c r="FH173" s="139" t="e">
        <f t="shared" si="193"/>
        <v>#VALUE!</v>
      </c>
      <c r="FI173" s="139" t="e">
        <f t="shared" si="194"/>
        <v>#VALUE!</v>
      </c>
      <c r="FJ173" s="139" t="e">
        <f t="shared" si="195"/>
        <v>#VALUE!</v>
      </c>
      <c r="FK173" s="139" t="e">
        <f t="shared" si="196"/>
        <v>#VALUE!</v>
      </c>
      <c r="FL173" s="139" t="e">
        <f t="shared" si="197"/>
        <v>#VALUE!</v>
      </c>
      <c r="FM173" s="139" t="e">
        <f t="shared" si="198"/>
        <v>#VALUE!</v>
      </c>
      <c r="FN173" s="139" t="e">
        <f t="shared" si="199"/>
        <v>#VALUE!</v>
      </c>
      <c r="FO173" s="139" t="e">
        <f t="shared" si="200"/>
        <v>#VALUE!</v>
      </c>
      <c r="FP173" s="139" t="e">
        <f t="shared" si="201"/>
        <v>#VALUE!</v>
      </c>
      <c r="FQ173" s="139" t="e">
        <f t="shared" si="202"/>
        <v>#VALUE!</v>
      </c>
      <c r="FR173" s="139" t="e">
        <f t="shared" si="203"/>
        <v>#VALUE!</v>
      </c>
      <c r="FS173" s="139" t="e">
        <f t="shared" si="204"/>
        <v>#VALUE!</v>
      </c>
      <c r="FT173" s="139" t="e">
        <f t="shared" si="205"/>
        <v>#VALUE!</v>
      </c>
      <c r="FU173" s="148" t="e">
        <f t="shared" si="206"/>
        <v>#VALUE!</v>
      </c>
      <c r="FV173" s="149"/>
      <c r="FY173" s="211">
        <v>168</v>
      </c>
      <c r="FZ173">
        <v>184.66258783788356</v>
      </c>
      <c r="GA173">
        <v>120.38015196556582</v>
      </c>
      <c r="GB173">
        <v>25.37888052886942</v>
      </c>
      <c r="GC173">
        <v>7.4439770624607124</v>
      </c>
      <c r="GD173">
        <v>3.0952388789935688</v>
      </c>
      <c r="GE173">
        <v>5.4072149019672615</v>
      </c>
      <c r="GF173">
        <v>47.810049089654896</v>
      </c>
      <c r="GG173">
        <v>55.577862683795544</v>
      </c>
      <c r="GH173">
        <v>24.875497674426835</v>
      </c>
      <c r="GI173">
        <v>83.98671673813169</v>
      </c>
      <c r="GJ173"/>
      <c r="GK173"/>
      <c r="GL173"/>
      <c r="GM173"/>
    </row>
    <row r="174" spans="1:195" s="7" customFormat="1">
      <c r="A174" s="1"/>
      <c r="B174" s="76">
        <f t="shared" ca="1" si="171"/>
        <v>0.28766491657331017</v>
      </c>
      <c r="C174">
        <v>8</v>
      </c>
      <c r="D174">
        <v>39949</v>
      </c>
      <c r="E174">
        <v>0</v>
      </c>
      <c r="F174">
        <v>0</v>
      </c>
      <c r="G174">
        <v>31.25</v>
      </c>
      <c r="H174">
        <v>114.58333333333333</v>
      </c>
      <c r="I174">
        <v>125</v>
      </c>
      <c r="J174">
        <v>104.16666666666667</v>
      </c>
      <c r="K174">
        <v>10.416666666666666</v>
      </c>
      <c r="L174">
        <v>10.416666666666666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1020.584859972251</v>
      </c>
      <c r="AO174">
        <v>148.53070827639075</v>
      </c>
      <c r="AP174">
        <v>1245.1968949654643</v>
      </c>
      <c r="AQ174">
        <v>471.56706698035418</v>
      </c>
      <c r="AR174">
        <v>146.13685850147323</v>
      </c>
      <c r="AS174">
        <v>1553.9475819046017</v>
      </c>
      <c r="AT174">
        <v>73.510872406892148</v>
      </c>
      <c r="AU174">
        <v>119.13518094620156</v>
      </c>
      <c r="AV174"/>
      <c r="AW174"/>
      <c r="AX174" s="146"/>
      <c r="AY174" s="76">
        <f t="shared" ca="1" si="172"/>
        <v>0.47869999956364739</v>
      </c>
      <c r="AZ174">
        <v>7</v>
      </c>
      <c r="BA174" s="129">
        <f t="shared" si="246"/>
        <v>39949</v>
      </c>
      <c r="BB174" s="218">
        <v>0</v>
      </c>
      <c r="BC174" s="218">
        <v>0</v>
      </c>
      <c r="BD174" s="218">
        <v>11.047619047619047</v>
      </c>
      <c r="BE174" s="218">
        <v>66.285714285714278</v>
      </c>
      <c r="BF174" s="218">
        <v>55.238095238095234</v>
      </c>
      <c r="BG174" s="218">
        <v>44.19047619047619</v>
      </c>
      <c r="BH174" s="218">
        <v>44.19047619047619</v>
      </c>
      <c r="BI174" s="218">
        <v>11.047619047619047</v>
      </c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7"/>
        <v>0.17422364771142296</v>
      </c>
      <c r="CL174" s="179">
        <f t="shared" si="208"/>
        <v>7</v>
      </c>
      <c r="CM174" s="180">
        <f t="shared" si="209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10"/>
        <v>9.6000000000000002E-2</v>
      </c>
      <c r="DB174" s="146"/>
      <c r="DC174" s="76">
        <f t="shared" ca="1" si="173"/>
        <v>0.83970438118929913</v>
      </c>
      <c r="DD174">
        <f t="shared" si="211"/>
        <v>7</v>
      </c>
      <c r="DE174" s="129">
        <f t="shared" si="245"/>
        <v>39949</v>
      </c>
      <c r="DF174" s="161">
        <f t="shared" si="212"/>
        <v>0</v>
      </c>
      <c r="DG174" s="161">
        <f t="shared" si="213"/>
        <v>0</v>
      </c>
      <c r="DH174" s="161">
        <f t="shared" si="214"/>
        <v>115.07936507936508</v>
      </c>
      <c r="DI174" s="161">
        <f t="shared" si="215"/>
        <v>690.47619047619037</v>
      </c>
      <c r="DJ174" s="161">
        <f t="shared" si="216"/>
        <v>575.39682539682531</v>
      </c>
      <c r="DK174" s="161">
        <f t="shared" si="217"/>
        <v>460.3174603174603</v>
      </c>
      <c r="DL174" s="161">
        <f t="shared" si="218"/>
        <v>460.3174603174603</v>
      </c>
      <c r="DM174" s="161">
        <f t="shared" si="219"/>
        <v>115.07936507936508</v>
      </c>
      <c r="DN174" s="161">
        <f t="shared" si="220"/>
        <v>0</v>
      </c>
      <c r="DO174" s="161">
        <f t="shared" si="221"/>
        <v>0</v>
      </c>
      <c r="DP174" s="161">
        <f t="shared" si="222"/>
        <v>0</v>
      </c>
      <c r="DQ174" s="161">
        <f t="shared" si="223"/>
        <v>0</v>
      </c>
      <c r="DR174" s="161">
        <f t="shared" si="224"/>
        <v>0</v>
      </c>
      <c r="DS174" s="161">
        <f t="shared" si="225"/>
        <v>0</v>
      </c>
      <c r="DT174" s="161">
        <f t="shared" si="226"/>
        <v>0</v>
      </c>
      <c r="DU174" s="161">
        <f t="shared" si="227"/>
        <v>0</v>
      </c>
      <c r="DV174" s="161">
        <f t="shared" si="228"/>
        <v>0</v>
      </c>
      <c r="DW174" s="161">
        <f t="shared" si="229"/>
        <v>0</v>
      </c>
      <c r="DX174" s="161">
        <f t="shared" si="230"/>
        <v>0</v>
      </c>
      <c r="DY174" s="161">
        <f t="shared" si="231"/>
        <v>0</v>
      </c>
      <c r="DZ174" s="161">
        <f t="shared" si="232"/>
        <v>0</v>
      </c>
      <c r="EA174" s="161">
        <f t="shared" si="233"/>
        <v>0</v>
      </c>
      <c r="EB174" s="161">
        <f t="shared" si="234"/>
        <v>0</v>
      </c>
      <c r="EC174" s="161">
        <f t="shared" si="235"/>
        <v>0</v>
      </c>
      <c r="ED174" s="161">
        <f t="shared" si="236"/>
        <v>0</v>
      </c>
      <c r="EE174" s="161">
        <f t="shared" si="237"/>
        <v>0</v>
      </c>
      <c r="EF174" s="161">
        <f t="shared" si="238"/>
        <v>0</v>
      </c>
      <c r="EG174" s="161">
        <f t="shared" si="239"/>
        <v>0</v>
      </c>
      <c r="EH174" s="161">
        <f t="shared" si="240"/>
        <v>0</v>
      </c>
      <c r="EI174" s="161">
        <f t="shared" si="241"/>
        <v>0</v>
      </c>
      <c r="EJ174" s="161">
        <f t="shared" si="242"/>
        <v>0</v>
      </c>
      <c r="EK174" s="147">
        <f t="shared" si="174"/>
        <v>2416.6666666666665</v>
      </c>
      <c r="EL174" s="149"/>
      <c r="EN174" s="146"/>
      <c r="EO174" s="146"/>
      <c r="EP174" s="139" t="e">
        <f t="shared" si="175"/>
        <v>#VALUE!</v>
      </c>
      <c r="EQ174" s="139" t="e">
        <f t="shared" si="176"/>
        <v>#VALUE!</v>
      </c>
      <c r="ER174" s="139" t="e">
        <f t="shared" si="177"/>
        <v>#VALUE!</v>
      </c>
      <c r="ES174" s="139" t="e">
        <f t="shared" si="178"/>
        <v>#VALUE!</v>
      </c>
      <c r="ET174" s="139" t="e">
        <f t="shared" si="179"/>
        <v>#VALUE!</v>
      </c>
      <c r="EU174" s="139" t="e">
        <f t="shared" si="180"/>
        <v>#VALUE!</v>
      </c>
      <c r="EV174" s="139" t="e">
        <f t="shared" si="181"/>
        <v>#VALUE!</v>
      </c>
      <c r="EW174" s="139" t="e">
        <f t="shared" si="182"/>
        <v>#VALUE!</v>
      </c>
      <c r="EX174" s="139" t="e">
        <f t="shared" si="183"/>
        <v>#VALUE!</v>
      </c>
      <c r="EY174" s="139" t="e">
        <f t="shared" si="184"/>
        <v>#VALUE!</v>
      </c>
      <c r="EZ174" s="139" t="e">
        <f t="shared" si="185"/>
        <v>#VALUE!</v>
      </c>
      <c r="FA174" s="139" t="e">
        <f t="shared" si="186"/>
        <v>#VALUE!</v>
      </c>
      <c r="FB174" s="139" t="e">
        <f t="shared" si="187"/>
        <v>#VALUE!</v>
      </c>
      <c r="FC174" s="139" t="e">
        <f t="shared" si="188"/>
        <v>#VALUE!</v>
      </c>
      <c r="FD174" s="139" t="e">
        <f t="shared" si="189"/>
        <v>#VALUE!</v>
      </c>
      <c r="FE174" s="139" t="e">
        <f t="shared" si="190"/>
        <v>#VALUE!</v>
      </c>
      <c r="FF174" s="139" t="e">
        <f t="shared" si="191"/>
        <v>#VALUE!</v>
      </c>
      <c r="FG174" s="139" t="e">
        <f t="shared" si="192"/>
        <v>#VALUE!</v>
      </c>
      <c r="FH174" s="139" t="e">
        <f t="shared" si="193"/>
        <v>#VALUE!</v>
      </c>
      <c r="FI174" s="139" t="e">
        <f t="shared" si="194"/>
        <v>#VALUE!</v>
      </c>
      <c r="FJ174" s="139" t="e">
        <f t="shared" si="195"/>
        <v>#VALUE!</v>
      </c>
      <c r="FK174" s="139" t="e">
        <f t="shared" si="196"/>
        <v>#VALUE!</v>
      </c>
      <c r="FL174" s="139" t="e">
        <f t="shared" si="197"/>
        <v>#VALUE!</v>
      </c>
      <c r="FM174" s="139" t="e">
        <f t="shared" si="198"/>
        <v>#VALUE!</v>
      </c>
      <c r="FN174" s="139" t="e">
        <f t="shared" si="199"/>
        <v>#VALUE!</v>
      </c>
      <c r="FO174" s="139" t="e">
        <f t="shared" si="200"/>
        <v>#VALUE!</v>
      </c>
      <c r="FP174" s="139" t="e">
        <f t="shared" si="201"/>
        <v>#VALUE!</v>
      </c>
      <c r="FQ174" s="139" t="e">
        <f t="shared" si="202"/>
        <v>#VALUE!</v>
      </c>
      <c r="FR174" s="139" t="e">
        <f t="shared" si="203"/>
        <v>#VALUE!</v>
      </c>
      <c r="FS174" s="139" t="e">
        <f t="shared" si="204"/>
        <v>#VALUE!</v>
      </c>
      <c r="FT174" s="139" t="e">
        <f t="shared" si="205"/>
        <v>#VALUE!</v>
      </c>
      <c r="FU174" s="148" t="e">
        <f t="shared" si="206"/>
        <v>#VALUE!</v>
      </c>
      <c r="FV174" s="149"/>
      <c r="FY174" s="211">
        <v>169</v>
      </c>
      <c r="FZ174">
        <v>78.592987660705447</v>
      </c>
      <c r="GA174">
        <v>47.51383104098565</v>
      </c>
      <c r="GB174">
        <v>23.329589147920309</v>
      </c>
      <c r="GC174">
        <v>6.6804577238246923</v>
      </c>
      <c r="GD174">
        <v>3.3806072580037489</v>
      </c>
      <c r="GE174">
        <v>6.6395085356750245</v>
      </c>
      <c r="GF174">
        <v>17.322942022856523</v>
      </c>
      <c r="GG174">
        <v>24.166909241955331</v>
      </c>
      <c r="GH174">
        <v>34.609385754001643</v>
      </c>
      <c r="GI174">
        <v>60.385215605367485</v>
      </c>
      <c r="GJ174"/>
      <c r="GK174"/>
      <c r="GL174"/>
      <c r="GM174"/>
    </row>
    <row r="175" spans="1:195" s="7" customFormat="1">
      <c r="A175" s="1"/>
      <c r="B175" s="76">
        <f t="shared" ca="1" si="171"/>
        <v>0.60133399831691303</v>
      </c>
      <c r="C175">
        <v>1</v>
      </c>
      <c r="D175">
        <v>39949</v>
      </c>
      <c r="E175">
        <v>0</v>
      </c>
      <c r="F175">
        <v>81.576305220883526</v>
      </c>
      <c r="G175">
        <v>40.788152610441763</v>
      </c>
      <c r="H175">
        <v>336.72188755020079</v>
      </c>
      <c r="I175">
        <v>61.621485943775099</v>
      </c>
      <c r="J175">
        <v>31.25</v>
      </c>
      <c r="K175">
        <v>10.416666666666666</v>
      </c>
      <c r="L175">
        <v>20.833333333333332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1125.111226388703</v>
      </c>
      <c r="AO175">
        <v>180.86179519627117</v>
      </c>
      <c r="AP175">
        <v>1543.9229008297923</v>
      </c>
      <c r="AQ175">
        <v>447.57524008985001</v>
      </c>
      <c r="AR175">
        <v>178.17331033710414</v>
      </c>
      <c r="AS175">
        <v>1781.5146586542883</v>
      </c>
      <c r="AT175">
        <v>87.721847607952114</v>
      </c>
      <c r="AU175">
        <v>193.63489495367492</v>
      </c>
      <c r="AV175"/>
      <c r="AW175"/>
      <c r="AX175" s="146"/>
      <c r="AY175" s="76">
        <f t="shared" ca="1" si="172"/>
        <v>0.90376171594945165</v>
      </c>
      <c r="AZ175">
        <v>8</v>
      </c>
      <c r="BA175" s="129">
        <f t="shared" si="246"/>
        <v>39949</v>
      </c>
      <c r="BB175">
        <v>0</v>
      </c>
      <c r="BC175"/>
      <c r="BD175">
        <v>3</v>
      </c>
      <c r="BE175">
        <v>11</v>
      </c>
      <c r="BF175">
        <v>12</v>
      </c>
      <c r="BG175">
        <v>10</v>
      </c>
      <c r="BH175">
        <v>1</v>
      </c>
      <c r="BI175">
        <v>1</v>
      </c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7"/>
        <v>0.59327036286101931</v>
      </c>
      <c r="CL175" s="179">
        <f t="shared" si="208"/>
        <v>8</v>
      </c>
      <c r="CM175" s="180">
        <f t="shared" si="209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10"/>
        <v>9.6000000000000002E-2</v>
      </c>
      <c r="DB175" s="146"/>
      <c r="DC175" s="76">
        <f t="shared" ca="1" si="173"/>
        <v>0.95915542105185059</v>
      </c>
      <c r="DD175">
        <f t="shared" si="211"/>
        <v>8</v>
      </c>
      <c r="DE175" s="129">
        <f t="shared" si="245"/>
        <v>39949</v>
      </c>
      <c r="DF175" s="161">
        <f t="shared" si="212"/>
        <v>0</v>
      </c>
      <c r="DG175" s="161">
        <f t="shared" si="213"/>
        <v>0</v>
      </c>
      <c r="DH175" s="161">
        <f t="shared" si="214"/>
        <v>31.25</v>
      </c>
      <c r="DI175" s="161">
        <f t="shared" si="215"/>
        <v>114.58333333333333</v>
      </c>
      <c r="DJ175" s="161">
        <f t="shared" si="216"/>
        <v>125</v>
      </c>
      <c r="DK175" s="161">
        <f t="shared" si="217"/>
        <v>104.16666666666667</v>
      </c>
      <c r="DL175" s="161">
        <f t="shared" si="218"/>
        <v>10.416666666666666</v>
      </c>
      <c r="DM175" s="161">
        <f t="shared" si="219"/>
        <v>10.416666666666666</v>
      </c>
      <c r="DN175" s="161">
        <f t="shared" si="220"/>
        <v>0</v>
      </c>
      <c r="DO175" s="161">
        <f t="shared" si="221"/>
        <v>0</v>
      </c>
      <c r="DP175" s="161">
        <f t="shared" si="222"/>
        <v>0</v>
      </c>
      <c r="DQ175" s="161">
        <f t="shared" si="223"/>
        <v>0</v>
      </c>
      <c r="DR175" s="161">
        <f t="shared" si="224"/>
        <v>0</v>
      </c>
      <c r="DS175" s="161">
        <f t="shared" si="225"/>
        <v>0</v>
      </c>
      <c r="DT175" s="161">
        <f t="shared" si="226"/>
        <v>0</v>
      </c>
      <c r="DU175" s="161">
        <f t="shared" si="227"/>
        <v>0</v>
      </c>
      <c r="DV175" s="161">
        <f t="shared" si="228"/>
        <v>0</v>
      </c>
      <c r="DW175" s="161">
        <f t="shared" si="229"/>
        <v>0</v>
      </c>
      <c r="DX175" s="161">
        <f t="shared" si="230"/>
        <v>0</v>
      </c>
      <c r="DY175" s="161">
        <f t="shared" si="231"/>
        <v>0</v>
      </c>
      <c r="DZ175" s="161">
        <f t="shared" si="232"/>
        <v>0</v>
      </c>
      <c r="EA175" s="161">
        <f t="shared" si="233"/>
        <v>0</v>
      </c>
      <c r="EB175" s="161">
        <f t="shared" si="234"/>
        <v>0</v>
      </c>
      <c r="EC175" s="161">
        <f t="shared" si="235"/>
        <v>0</v>
      </c>
      <c r="ED175" s="161">
        <f t="shared" si="236"/>
        <v>0</v>
      </c>
      <c r="EE175" s="161">
        <f t="shared" si="237"/>
        <v>0</v>
      </c>
      <c r="EF175" s="161">
        <f t="shared" si="238"/>
        <v>0</v>
      </c>
      <c r="EG175" s="161">
        <f t="shared" si="239"/>
        <v>0</v>
      </c>
      <c r="EH175" s="161">
        <f t="shared" si="240"/>
        <v>0</v>
      </c>
      <c r="EI175" s="161">
        <f t="shared" si="241"/>
        <v>0</v>
      </c>
      <c r="EJ175" s="161">
        <f t="shared" si="242"/>
        <v>0</v>
      </c>
      <c r="EK175" s="147">
        <f t="shared" si="174"/>
        <v>395.83333333333337</v>
      </c>
      <c r="EL175" s="149"/>
      <c r="EN175" s="146"/>
      <c r="EO175" s="146"/>
      <c r="EP175" s="139" t="e">
        <f t="shared" si="175"/>
        <v>#VALUE!</v>
      </c>
      <c r="EQ175" s="139" t="e">
        <f t="shared" si="176"/>
        <v>#VALUE!</v>
      </c>
      <c r="ER175" s="139" t="e">
        <f t="shared" si="177"/>
        <v>#VALUE!</v>
      </c>
      <c r="ES175" s="139" t="e">
        <f t="shared" si="178"/>
        <v>#VALUE!</v>
      </c>
      <c r="ET175" s="139" t="e">
        <f t="shared" si="179"/>
        <v>#VALUE!</v>
      </c>
      <c r="EU175" s="139" t="e">
        <f t="shared" si="180"/>
        <v>#VALUE!</v>
      </c>
      <c r="EV175" s="139" t="e">
        <f t="shared" si="181"/>
        <v>#VALUE!</v>
      </c>
      <c r="EW175" s="139" t="e">
        <f t="shared" si="182"/>
        <v>#VALUE!</v>
      </c>
      <c r="EX175" s="139" t="e">
        <f t="shared" si="183"/>
        <v>#VALUE!</v>
      </c>
      <c r="EY175" s="139" t="e">
        <f t="shared" si="184"/>
        <v>#VALUE!</v>
      </c>
      <c r="EZ175" s="139" t="e">
        <f t="shared" si="185"/>
        <v>#VALUE!</v>
      </c>
      <c r="FA175" s="139" t="e">
        <f t="shared" si="186"/>
        <v>#VALUE!</v>
      </c>
      <c r="FB175" s="139" t="e">
        <f t="shared" si="187"/>
        <v>#VALUE!</v>
      </c>
      <c r="FC175" s="139" t="e">
        <f t="shared" si="188"/>
        <v>#VALUE!</v>
      </c>
      <c r="FD175" s="139" t="e">
        <f t="shared" si="189"/>
        <v>#VALUE!</v>
      </c>
      <c r="FE175" s="139" t="e">
        <f t="shared" si="190"/>
        <v>#VALUE!</v>
      </c>
      <c r="FF175" s="139" t="e">
        <f t="shared" si="191"/>
        <v>#VALUE!</v>
      </c>
      <c r="FG175" s="139" t="e">
        <f t="shared" si="192"/>
        <v>#VALUE!</v>
      </c>
      <c r="FH175" s="139" t="e">
        <f t="shared" si="193"/>
        <v>#VALUE!</v>
      </c>
      <c r="FI175" s="139" t="e">
        <f t="shared" si="194"/>
        <v>#VALUE!</v>
      </c>
      <c r="FJ175" s="139" t="e">
        <f t="shared" si="195"/>
        <v>#VALUE!</v>
      </c>
      <c r="FK175" s="139" t="e">
        <f t="shared" si="196"/>
        <v>#VALUE!</v>
      </c>
      <c r="FL175" s="139" t="e">
        <f t="shared" si="197"/>
        <v>#VALUE!</v>
      </c>
      <c r="FM175" s="139" t="e">
        <f t="shared" si="198"/>
        <v>#VALUE!</v>
      </c>
      <c r="FN175" s="139" t="e">
        <f t="shared" si="199"/>
        <v>#VALUE!</v>
      </c>
      <c r="FO175" s="139" t="e">
        <f t="shared" si="200"/>
        <v>#VALUE!</v>
      </c>
      <c r="FP175" s="139" t="e">
        <f t="shared" si="201"/>
        <v>#VALUE!</v>
      </c>
      <c r="FQ175" s="139" t="e">
        <f t="shared" si="202"/>
        <v>#VALUE!</v>
      </c>
      <c r="FR175" s="139" t="e">
        <f t="shared" si="203"/>
        <v>#VALUE!</v>
      </c>
      <c r="FS175" s="139" t="e">
        <f t="shared" si="204"/>
        <v>#VALUE!</v>
      </c>
      <c r="FT175" s="139" t="e">
        <f t="shared" si="205"/>
        <v>#VALUE!</v>
      </c>
      <c r="FU175" s="148" t="e">
        <f t="shared" si="206"/>
        <v>#VALUE!</v>
      </c>
      <c r="FV175" s="149"/>
      <c r="FY175" s="211">
        <v>170</v>
      </c>
      <c r="FZ175">
        <v>263.31524567184317</v>
      </c>
      <c r="GA175">
        <v>157.45362502493589</v>
      </c>
      <c r="GB175">
        <v>24.019384115318744</v>
      </c>
      <c r="GC175">
        <v>8.3014795932325747</v>
      </c>
      <c r="GD175">
        <v>3.5729472116766683</v>
      </c>
      <c r="GE175">
        <v>5.4115174742142615</v>
      </c>
      <c r="GF175">
        <v>18.118777415431317</v>
      </c>
      <c r="GG175">
        <v>24.299592007268476</v>
      </c>
      <c r="GH175">
        <v>31.313574750948177</v>
      </c>
      <c r="GI175">
        <v>83.221513775932834</v>
      </c>
      <c r="GJ175"/>
      <c r="GK175"/>
      <c r="GL175"/>
      <c r="GM175"/>
    </row>
    <row r="176" spans="1:195" s="7" customFormat="1">
      <c r="A176" s="1"/>
      <c r="B176" s="76">
        <f t="shared" ca="1" si="171"/>
        <v>0.85689536995894555</v>
      </c>
      <c r="C176">
        <v>10</v>
      </c>
      <c r="D176">
        <v>39949</v>
      </c>
      <c r="E176">
        <v>0</v>
      </c>
      <c r="F176">
        <v>179.59770114942526</v>
      </c>
      <c r="G176">
        <v>299.32950191570882</v>
      </c>
      <c r="H176">
        <v>359.19540229885052</v>
      </c>
      <c r="I176">
        <v>299.32950191570882</v>
      </c>
      <c r="J176">
        <v>0</v>
      </c>
      <c r="K176">
        <v>20.833333333333332</v>
      </c>
      <c r="L176">
        <v>31.25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907.56015956345675</v>
      </c>
      <c r="AO176">
        <v>158.39714423563669</v>
      </c>
      <c r="AP176">
        <v>1270.1383392586365</v>
      </c>
      <c r="AQ176">
        <v>288.03583651194367</v>
      </c>
      <c r="AR176">
        <v>151.39969989734817</v>
      </c>
      <c r="AS176">
        <v>1518.7091361004102</v>
      </c>
      <c r="AT176">
        <v>71.504104921757062</v>
      </c>
      <c r="AU176">
        <v>122.98277897485679</v>
      </c>
      <c r="AV176"/>
      <c r="AW176"/>
      <c r="AX176" s="146"/>
      <c r="AY176" s="76">
        <f t="shared" ca="1" si="172"/>
        <v>0.53418581664962661</v>
      </c>
      <c r="AZ176">
        <v>9</v>
      </c>
      <c r="BA176" s="129">
        <f t="shared" si="246"/>
        <v>39949</v>
      </c>
      <c r="BB176">
        <v>0</v>
      </c>
      <c r="BC176">
        <v>1</v>
      </c>
      <c r="BD176"/>
      <c r="BE176">
        <v>9</v>
      </c>
      <c r="BF176">
        <v>9</v>
      </c>
      <c r="BG176">
        <v>5</v>
      </c>
      <c r="BH176">
        <v>1</v>
      </c>
      <c r="BI176">
        <v>1</v>
      </c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7"/>
        <v>7.0777992799412437E-2</v>
      </c>
      <c r="CL176" s="179">
        <f t="shared" si="208"/>
        <v>9</v>
      </c>
      <c r="CM176" s="180">
        <f t="shared" si="209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10"/>
        <v>9.6000000000000002E-2</v>
      </c>
      <c r="DB176" s="146"/>
      <c r="DC176" s="76">
        <f t="shared" ca="1" si="173"/>
        <v>0.42319752518097276</v>
      </c>
      <c r="DD176">
        <f t="shared" si="211"/>
        <v>9</v>
      </c>
      <c r="DE176" s="129">
        <f t="shared" si="245"/>
        <v>39949</v>
      </c>
      <c r="DF176" s="161">
        <f t="shared" si="212"/>
        <v>0</v>
      </c>
      <c r="DG176" s="161">
        <f t="shared" si="213"/>
        <v>10.416666666666666</v>
      </c>
      <c r="DH176" s="161">
        <f t="shared" si="214"/>
        <v>0</v>
      </c>
      <c r="DI176" s="161">
        <f t="shared" si="215"/>
        <v>93.75</v>
      </c>
      <c r="DJ176" s="161">
        <f t="shared" si="216"/>
        <v>93.75</v>
      </c>
      <c r="DK176" s="161">
        <f t="shared" si="217"/>
        <v>52.083333333333336</v>
      </c>
      <c r="DL176" s="161">
        <f t="shared" si="218"/>
        <v>10.416666666666666</v>
      </c>
      <c r="DM176" s="161">
        <f t="shared" si="219"/>
        <v>10.416666666666666</v>
      </c>
      <c r="DN176" s="161">
        <f t="shared" si="220"/>
        <v>0</v>
      </c>
      <c r="DO176" s="161">
        <f t="shared" si="221"/>
        <v>0</v>
      </c>
      <c r="DP176" s="161">
        <f t="shared" si="222"/>
        <v>0</v>
      </c>
      <c r="DQ176" s="161">
        <f t="shared" si="223"/>
        <v>0</v>
      </c>
      <c r="DR176" s="161">
        <f t="shared" si="224"/>
        <v>0</v>
      </c>
      <c r="DS176" s="161">
        <f t="shared" si="225"/>
        <v>0</v>
      </c>
      <c r="DT176" s="161">
        <f t="shared" si="226"/>
        <v>0</v>
      </c>
      <c r="DU176" s="161">
        <f t="shared" si="227"/>
        <v>0</v>
      </c>
      <c r="DV176" s="161">
        <f t="shared" si="228"/>
        <v>0</v>
      </c>
      <c r="DW176" s="161">
        <f t="shared" si="229"/>
        <v>0</v>
      </c>
      <c r="DX176" s="161">
        <f t="shared" si="230"/>
        <v>0</v>
      </c>
      <c r="DY176" s="161">
        <f t="shared" si="231"/>
        <v>0</v>
      </c>
      <c r="DZ176" s="161">
        <f t="shared" si="232"/>
        <v>0</v>
      </c>
      <c r="EA176" s="161">
        <f t="shared" si="233"/>
        <v>0</v>
      </c>
      <c r="EB176" s="161">
        <f t="shared" si="234"/>
        <v>0</v>
      </c>
      <c r="EC176" s="161">
        <f t="shared" si="235"/>
        <v>0</v>
      </c>
      <c r="ED176" s="161">
        <f t="shared" si="236"/>
        <v>0</v>
      </c>
      <c r="EE176" s="161">
        <f t="shared" si="237"/>
        <v>0</v>
      </c>
      <c r="EF176" s="161">
        <f t="shared" si="238"/>
        <v>0</v>
      </c>
      <c r="EG176" s="161">
        <f t="shared" si="239"/>
        <v>0</v>
      </c>
      <c r="EH176" s="161">
        <f t="shared" si="240"/>
        <v>0</v>
      </c>
      <c r="EI176" s="161">
        <f t="shared" si="241"/>
        <v>0</v>
      </c>
      <c r="EJ176" s="161">
        <f t="shared" si="242"/>
        <v>0</v>
      </c>
      <c r="EK176" s="147">
        <f t="shared" si="174"/>
        <v>270.83333333333337</v>
      </c>
      <c r="EL176" s="149"/>
      <c r="EN176" s="146"/>
      <c r="EO176" s="146"/>
      <c r="EP176" s="139" t="e">
        <f t="shared" si="175"/>
        <v>#VALUE!</v>
      </c>
      <c r="EQ176" s="139" t="e">
        <f t="shared" si="176"/>
        <v>#VALUE!</v>
      </c>
      <c r="ER176" s="139" t="e">
        <f t="shared" si="177"/>
        <v>#VALUE!</v>
      </c>
      <c r="ES176" s="139" t="e">
        <f t="shared" si="178"/>
        <v>#VALUE!</v>
      </c>
      <c r="ET176" s="139" t="e">
        <f t="shared" si="179"/>
        <v>#VALUE!</v>
      </c>
      <c r="EU176" s="139" t="e">
        <f t="shared" si="180"/>
        <v>#VALUE!</v>
      </c>
      <c r="EV176" s="139" t="e">
        <f t="shared" si="181"/>
        <v>#VALUE!</v>
      </c>
      <c r="EW176" s="139" t="e">
        <f t="shared" si="182"/>
        <v>#VALUE!</v>
      </c>
      <c r="EX176" s="139" t="e">
        <f t="shared" si="183"/>
        <v>#VALUE!</v>
      </c>
      <c r="EY176" s="139" t="e">
        <f t="shared" si="184"/>
        <v>#VALUE!</v>
      </c>
      <c r="EZ176" s="139" t="e">
        <f t="shared" si="185"/>
        <v>#VALUE!</v>
      </c>
      <c r="FA176" s="139" t="e">
        <f t="shared" si="186"/>
        <v>#VALUE!</v>
      </c>
      <c r="FB176" s="139" t="e">
        <f t="shared" si="187"/>
        <v>#VALUE!</v>
      </c>
      <c r="FC176" s="139" t="e">
        <f t="shared" si="188"/>
        <v>#VALUE!</v>
      </c>
      <c r="FD176" s="139" t="e">
        <f t="shared" si="189"/>
        <v>#VALUE!</v>
      </c>
      <c r="FE176" s="139" t="e">
        <f t="shared" si="190"/>
        <v>#VALUE!</v>
      </c>
      <c r="FF176" s="139" t="e">
        <f t="shared" si="191"/>
        <v>#VALUE!</v>
      </c>
      <c r="FG176" s="139" t="e">
        <f t="shared" si="192"/>
        <v>#VALUE!</v>
      </c>
      <c r="FH176" s="139" t="e">
        <f t="shared" si="193"/>
        <v>#VALUE!</v>
      </c>
      <c r="FI176" s="139" t="e">
        <f t="shared" si="194"/>
        <v>#VALUE!</v>
      </c>
      <c r="FJ176" s="139" t="e">
        <f t="shared" si="195"/>
        <v>#VALUE!</v>
      </c>
      <c r="FK176" s="139" t="e">
        <f t="shared" si="196"/>
        <v>#VALUE!</v>
      </c>
      <c r="FL176" s="139" t="e">
        <f t="shared" si="197"/>
        <v>#VALUE!</v>
      </c>
      <c r="FM176" s="139" t="e">
        <f t="shared" si="198"/>
        <v>#VALUE!</v>
      </c>
      <c r="FN176" s="139" t="e">
        <f t="shared" si="199"/>
        <v>#VALUE!</v>
      </c>
      <c r="FO176" s="139" t="e">
        <f t="shared" si="200"/>
        <v>#VALUE!</v>
      </c>
      <c r="FP176" s="139" t="e">
        <f t="shared" si="201"/>
        <v>#VALUE!</v>
      </c>
      <c r="FQ176" s="139" t="e">
        <f t="shared" si="202"/>
        <v>#VALUE!</v>
      </c>
      <c r="FR176" s="139" t="e">
        <f t="shared" si="203"/>
        <v>#VALUE!</v>
      </c>
      <c r="FS176" s="139" t="e">
        <f t="shared" si="204"/>
        <v>#VALUE!</v>
      </c>
      <c r="FT176" s="139" t="e">
        <f t="shared" si="205"/>
        <v>#VALUE!</v>
      </c>
      <c r="FU176" s="148" t="e">
        <f t="shared" si="206"/>
        <v>#VALUE!</v>
      </c>
      <c r="FV176" s="149"/>
      <c r="FY176" s="211">
        <v>171</v>
      </c>
      <c r="FZ176">
        <v>158.60336644315936</v>
      </c>
      <c r="GA176">
        <v>138.31528258301162</v>
      </c>
      <c r="GB176">
        <v>34.567121095944678</v>
      </c>
      <c r="GC176">
        <v>8.376071158333346</v>
      </c>
      <c r="GD176">
        <v>3.5340018786115275</v>
      </c>
      <c r="GE176">
        <v>5.4421964372324911</v>
      </c>
      <c r="GF176">
        <v>38.330933899200659</v>
      </c>
      <c r="GG176">
        <v>47.469073048572646</v>
      </c>
      <c r="GH176">
        <v>27.954992546335053</v>
      </c>
      <c r="GI176">
        <v>89.910029363599349</v>
      </c>
      <c r="GJ176"/>
      <c r="GK176"/>
      <c r="GL176"/>
      <c r="GM176"/>
    </row>
    <row r="177" spans="1:195" s="7" customFormat="1">
      <c r="A177" s="1"/>
      <c r="B177" s="76">
        <f t="shared" ca="1" si="171"/>
        <v>0.13985390882544346</v>
      </c>
      <c r="C177">
        <v>4</v>
      </c>
      <c r="D177">
        <v>39949</v>
      </c>
      <c r="E177">
        <v>0</v>
      </c>
      <c r="F177">
        <v>0</v>
      </c>
      <c r="G177">
        <v>112.15753424657534</v>
      </c>
      <c r="H177">
        <v>523.11643835616428</v>
      </c>
      <c r="I177">
        <v>153.82420091324201</v>
      </c>
      <c r="J177">
        <v>143.40753424657532</v>
      </c>
      <c r="K177">
        <v>41.666666666666664</v>
      </c>
      <c r="L177">
        <v>31.25</v>
      </c>
      <c r="M177">
        <v>10.416666666666666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1086.9689878247166</v>
      </c>
      <c r="AO177">
        <v>140.41423019405266</v>
      </c>
      <c r="AP177">
        <v>1138.9743609790505</v>
      </c>
      <c r="AQ177">
        <v>464.73665327558899</v>
      </c>
      <c r="AR177">
        <v>141.36260517695823</v>
      </c>
      <c r="AS177">
        <v>1618.3989152039276</v>
      </c>
      <c r="AT177">
        <v>71.637364602265777</v>
      </c>
      <c r="AU177">
        <v>41.773022253689163</v>
      </c>
      <c r="AV177"/>
      <c r="AW177"/>
      <c r="AX177" s="146"/>
      <c r="AY177" s="76">
        <f t="shared" ca="1" si="172"/>
        <v>5.531384189838906E-2</v>
      </c>
      <c r="AZ177">
        <v>10</v>
      </c>
      <c r="BA177" s="129">
        <f t="shared" si="246"/>
        <v>39949</v>
      </c>
      <c r="BB177">
        <v>0</v>
      </c>
      <c r="BC177"/>
      <c r="BD177"/>
      <c r="BE177"/>
      <c r="BF177"/>
      <c r="BG177"/>
      <c r="BH177">
        <v>2</v>
      </c>
      <c r="BI177">
        <v>3</v>
      </c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7"/>
        <v>0.32753648031590488</v>
      </c>
      <c r="CL177" s="179">
        <f t="shared" si="208"/>
        <v>10</v>
      </c>
      <c r="CM177" s="180">
        <f t="shared" si="209"/>
        <v>39949</v>
      </c>
      <c r="CN177">
        <v>0</v>
      </c>
      <c r="CO177">
        <v>3</v>
      </c>
      <c r="CP177">
        <v>5</v>
      </c>
      <c r="CQ177">
        <v>6</v>
      </c>
      <c r="CR177">
        <v>5</v>
      </c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10"/>
        <v>9.6000000000000002E-2</v>
      </c>
      <c r="DB177" s="146"/>
      <c r="DC177" s="76">
        <f t="shared" ca="1" si="173"/>
        <v>0.43584060205702457</v>
      </c>
      <c r="DD177">
        <f t="shared" si="211"/>
        <v>10</v>
      </c>
      <c r="DE177" s="129">
        <f t="shared" si="245"/>
        <v>39949</v>
      </c>
      <c r="DF177" s="161">
        <f t="shared" si="212"/>
        <v>0</v>
      </c>
      <c r="DG177" s="161">
        <f t="shared" si="213"/>
        <v>179.59770114942526</v>
      </c>
      <c r="DH177" s="161">
        <f t="shared" si="214"/>
        <v>299.32950191570882</v>
      </c>
      <c r="DI177" s="161">
        <f t="shared" si="215"/>
        <v>359.19540229885052</v>
      </c>
      <c r="DJ177" s="161">
        <f t="shared" si="216"/>
        <v>299.32950191570882</v>
      </c>
      <c r="DK177" s="161">
        <f t="shared" si="217"/>
        <v>0</v>
      </c>
      <c r="DL177" s="161">
        <f t="shared" si="218"/>
        <v>20.833333333333332</v>
      </c>
      <c r="DM177" s="161">
        <f t="shared" si="219"/>
        <v>31.25</v>
      </c>
      <c r="DN177" s="161">
        <f t="shared" si="220"/>
        <v>0</v>
      </c>
      <c r="DO177" s="161">
        <f t="shared" si="221"/>
        <v>0</v>
      </c>
      <c r="DP177" s="161">
        <f t="shared" si="222"/>
        <v>0</v>
      </c>
      <c r="DQ177" s="161">
        <f t="shared" si="223"/>
        <v>0</v>
      </c>
      <c r="DR177" s="161">
        <f t="shared" si="224"/>
        <v>0</v>
      </c>
      <c r="DS177" s="161">
        <f t="shared" si="225"/>
        <v>0</v>
      </c>
      <c r="DT177" s="161">
        <f t="shared" si="226"/>
        <v>0</v>
      </c>
      <c r="DU177" s="161">
        <f t="shared" si="227"/>
        <v>0</v>
      </c>
      <c r="DV177" s="161">
        <f t="shared" si="228"/>
        <v>0</v>
      </c>
      <c r="DW177" s="161">
        <f t="shared" si="229"/>
        <v>0</v>
      </c>
      <c r="DX177" s="161">
        <f t="shared" si="230"/>
        <v>0</v>
      </c>
      <c r="DY177" s="161">
        <f t="shared" si="231"/>
        <v>0</v>
      </c>
      <c r="DZ177" s="161">
        <f t="shared" si="232"/>
        <v>0</v>
      </c>
      <c r="EA177" s="161">
        <f t="shared" si="233"/>
        <v>0</v>
      </c>
      <c r="EB177" s="161">
        <f t="shared" si="234"/>
        <v>0</v>
      </c>
      <c r="EC177" s="161">
        <f t="shared" si="235"/>
        <v>0</v>
      </c>
      <c r="ED177" s="161">
        <f t="shared" si="236"/>
        <v>0</v>
      </c>
      <c r="EE177" s="161">
        <f t="shared" si="237"/>
        <v>0</v>
      </c>
      <c r="EF177" s="161">
        <f t="shared" si="238"/>
        <v>0</v>
      </c>
      <c r="EG177" s="161">
        <f t="shared" si="239"/>
        <v>0</v>
      </c>
      <c r="EH177" s="161">
        <f t="shared" si="240"/>
        <v>0</v>
      </c>
      <c r="EI177" s="161">
        <f t="shared" si="241"/>
        <v>0</v>
      </c>
      <c r="EJ177" s="161">
        <f t="shared" si="242"/>
        <v>0</v>
      </c>
      <c r="EK177" s="147">
        <f t="shared" si="174"/>
        <v>1189.5354406130266</v>
      </c>
      <c r="EL177" s="149"/>
      <c r="EN177" s="146"/>
      <c r="EO177" s="146"/>
      <c r="EP177" s="139" t="e">
        <f t="shared" si="175"/>
        <v>#VALUE!</v>
      </c>
      <c r="EQ177" s="139" t="e">
        <f t="shared" si="176"/>
        <v>#VALUE!</v>
      </c>
      <c r="ER177" s="139" t="e">
        <f t="shared" si="177"/>
        <v>#VALUE!</v>
      </c>
      <c r="ES177" s="139" t="e">
        <f t="shared" si="178"/>
        <v>#VALUE!</v>
      </c>
      <c r="ET177" s="139" t="e">
        <f t="shared" si="179"/>
        <v>#VALUE!</v>
      </c>
      <c r="EU177" s="139" t="e">
        <f t="shared" si="180"/>
        <v>#VALUE!</v>
      </c>
      <c r="EV177" s="139" t="e">
        <f t="shared" si="181"/>
        <v>#VALUE!</v>
      </c>
      <c r="EW177" s="139" t="e">
        <f t="shared" si="182"/>
        <v>#VALUE!</v>
      </c>
      <c r="EX177" s="139" t="e">
        <f t="shared" si="183"/>
        <v>#VALUE!</v>
      </c>
      <c r="EY177" s="139" t="e">
        <f t="shared" si="184"/>
        <v>#VALUE!</v>
      </c>
      <c r="EZ177" s="139" t="e">
        <f t="shared" si="185"/>
        <v>#VALUE!</v>
      </c>
      <c r="FA177" s="139" t="e">
        <f t="shared" si="186"/>
        <v>#VALUE!</v>
      </c>
      <c r="FB177" s="139" t="e">
        <f t="shared" si="187"/>
        <v>#VALUE!</v>
      </c>
      <c r="FC177" s="139" t="e">
        <f t="shared" si="188"/>
        <v>#VALUE!</v>
      </c>
      <c r="FD177" s="139" t="e">
        <f t="shared" si="189"/>
        <v>#VALUE!</v>
      </c>
      <c r="FE177" s="139" t="e">
        <f t="shared" si="190"/>
        <v>#VALUE!</v>
      </c>
      <c r="FF177" s="139" t="e">
        <f t="shared" si="191"/>
        <v>#VALUE!</v>
      </c>
      <c r="FG177" s="139" t="e">
        <f t="shared" si="192"/>
        <v>#VALUE!</v>
      </c>
      <c r="FH177" s="139" t="e">
        <f t="shared" si="193"/>
        <v>#VALUE!</v>
      </c>
      <c r="FI177" s="139" t="e">
        <f t="shared" si="194"/>
        <v>#VALUE!</v>
      </c>
      <c r="FJ177" s="139" t="e">
        <f t="shared" si="195"/>
        <v>#VALUE!</v>
      </c>
      <c r="FK177" s="139" t="e">
        <f t="shared" si="196"/>
        <v>#VALUE!</v>
      </c>
      <c r="FL177" s="139" t="e">
        <f t="shared" si="197"/>
        <v>#VALUE!</v>
      </c>
      <c r="FM177" s="139" t="e">
        <f t="shared" si="198"/>
        <v>#VALUE!</v>
      </c>
      <c r="FN177" s="139" t="e">
        <f t="shared" si="199"/>
        <v>#VALUE!</v>
      </c>
      <c r="FO177" s="139" t="e">
        <f t="shared" si="200"/>
        <v>#VALUE!</v>
      </c>
      <c r="FP177" s="139" t="e">
        <f t="shared" si="201"/>
        <v>#VALUE!</v>
      </c>
      <c r="FQ177" s="139" t="e">
        <f t="shared" si="202"/>
        <v>#VALUE!</v>
      </c>
      <c r="FR177" s="139" t="e">
        <f t="shared" si="203"/>
        <v>#VALUE!</v>
      </c>
      <c r="FS177" s="139" t="e">
        <f t="shared" si="204"/>
        <v>#VALUE!</v>
      </c>
      <c r="FT177" s="139" t="e">
        <f t="shared" si="205"/>
        <v>#VALUE!</v>
      </c>
      <c r="FU177" s="148" t="e">
        <f t="shared" si="206"/>
        <v>#VALUE!</v>
      </c>
      <c r="FV177" s="149"/>
      <c r="FY177" s="211">
        <v>172</v>
      </c>
      <c r="FZ177">
        <v>222.61331699811555</v>
      </c>
      <c r="GA177">
        <v>176.59982059321902</v>
      </c>
      <c r="GB177">
        <v>37.648562644416252</v>
      </c>
      <c r="GC177">
        <v>7.4663195679784122</v>
      </c>
      <c r="GD177">
        <v>3.1393326870604206</v>
      </c>
      <c r="GE177">
        <v>5.2648547136167787</v>
      </c>
      <c r="GF177">
        <v>21.553920047797046</v>
      </c>
      <c r="GG177">
        <v>28.032267267971552</v>
      </c>
      <c r="GH177">
        <v>23.566635471177129</v>
      </c>
      <c r="GI177">
        <v>76.928581015119306</v>
      </c>
      <c r="GJ177"/>
      <c r="GK177"/>
      <c r="GL177"/>
      <c r="GM177"/>
    </row>
    <row r="178" spans="1:195" s="7" customFormat="1">
      <c r="A178" s="128"/>
      <c r="B178" s="76">
        <f t="shared" ca="1" si="171"/>
        <v>0.57535363435645159</v>
      </c>
      <c r="C178">
        <v>10</v>
      </c>
      <c r="D178">
        <v>39987</v>
      </c>
      <c r="E178">
        <v>0</v>
      </c>
      <c r="F178">
        <v>0</v>
      </c>
      <c r="G178">
        <v>0</v>
      </c>
      <c r="H178">
        <v>60.359589041095887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1209.6633202293858</v>
      </c>
      <c r="AO178">
        <v>175.94737991823558</v>
      </c>
      <c r="AP178">
        <v>1556.7868083177832</v>
      </c>
      <c r="AQ178">
        <v>483.2207472951597</v>
      </c>
      <c r="AR178">
        <v>170.71950151018243</v>
      </c>
      <c r="AS178">
        <v>1830.3670818619228</v>
      </c>
      <c r="AT178">
        <v>79.490666422485774</v>
      </c>
      <c r="AU178">
        <v>170.60776453765479</v>
      </c>
      <c r="AV178"/>
      <c r="AW178"/>
      <c r="AX178" s="128"/>
      <c r="AY178" s="76">
        <f t="shared" ca="1" si="172"/>
        <v>0.1252174495895656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7"/>
        <v>0.11229064877083639</v>
      </c>
      <c r="CL178" s="179">
        <f t="shared" si="208"/>
        <v>1</v>
      </c>
      <c r="CM178" s="180">
        <f t="shared" si="209"/>
        <v>39987</v>
      </c>
      <c r="CN178">
        <v>1</v>
      </c>
      <c r="CO178"/>
      <c r="CP178">
        <v>1</v>
      </c>
      <c r="CQ178">
        <v>2</v>
      </c>
      <c r="CR178">
        <v>1</v>
      </c>
      <c r="CS178"/>
      <c r="CT178">
        <v>1</v>
      </c>
      <c r="CU178"/>
      <c r="CV178" s="160"/>
      <c r="CW178">
        <v>1</v>
      </c>
      <c r="CX178">
        <f>350/47</f>
        <v>7.4468085106382977</v>
      </c>
      <c r="CY178" s="160"/>
      <c r="CZ178" s="177">
        <f t="shared" si="210"/>
        <v>9.6000000000000002E-2</v>
      </c>
      <c r="DB178" s="128"/>
      <c r="DC178" s="76">
        <f t="shared" ca="1" si="173"/>
        <v>1.4017086861065065E-2</v>
      </c>
      <c r="DD178">
        <f t="shared" si="211"/>
        <v>1</v>
      </c>
      <c r="DE178" s="129">
        <f t="shared" ref="DE178:DE187" si="247">IF((DD178)="", "", $C$13)</f>
        <v>39987</v>
      </c>
      <c r="DF178" s="161">
        <f t="shared" si="212"/>
        <v>77.570921985815602</v>
      </c>
      <c r="DG178" s="161">
        <f t="shared" si="213"/>
        <v>0</v>
      </c>
      <c r="DH178" s="161">
        <f t="shared" si="214"/>
        <v>77.570921985815602</v>
      </c>
      <c r="DI178" s="161">
        <f t="shared" si="215"/>
        <v>155.1418439716312</v>
      </c>
      <c r="DJ178" s="161">
        <f t="shared" si="216"/>
        <v>77.570921985815602</v>
      </c>
      <c r="DK178" s="161">
        <f t="shared" si="217"/>
        <v>0</v>
      </c>
      <c r="DL178" s="161">
        <f t="shared" si="218"/>
        <v>77.570921985815602</v>
      </c>
      <c r="DM178" s="161">
        <f t="shared" si="219"/>
        <v>0</v>
      </c>
      <c r="DN178" s="161">
        <f t="shared" si="220"/>
        <v>0</v>
      </c>
      <c r="DO178" s="161">
        <f t="shared" si="221"/>
        <v>0</v>
      </c>
      <c r="DP178" s="161">
        <f t="shared" si="222"/>
        <v>0</v>
      </c>
      <c r="DQ178" s="161">
        <f t="shared" si="223"/>
        <v>0</v>
      </c>
      <c r="DR178" s="161">
        <f t="shared" si="224"/>
        <v>0</v>
      </c>
      <c r="DS178" s="161">
        <f t="shared" si="225"/>
        <v>0</v>
      </c>
      <c r="DT178" s="161">
        <f t="shared" si="226"/>
        <v>0</v>
      </c>
      <c r="DU178" s="161">
        <f t="shared" si="227"/>
        <v>0</v>
      </c>
      <c r="DV178" s="161">
        <f t="shared" si="228"/>
        <v>0</v>
      </c>
      <c r="DW178" s="161">
        <f t="shared" si="229"/>
        <v>0</v>
      </c>
      <c r="DX178" s="161">
        <f t="shared" si="230"/>
        <v>0</v>
      </c>
      <c r="DY178" s="161">
        <f t="shared" si="231"/>
        <v>0</v>
      </c>
      <c r="DZ178" s="161">
        <f t="shared" si="232"/>
        <v>0</v>
      </c>
      <c r="EA178" s="161">
        <f t="shared" si="233"/>
        <v>0</v>
      </c>
      <c r="EB178" s="161">
        <f t="shared" si="234"/>
        <v>0</v>
      </c>
      <c r="EC178" s="161">
        <f t="shared" si="235"/>
        <v>0</v>
      </c>
      <c r="ED178" s="161">
        <f t="shared" si="236"/>
        <v>0</v>
      </c>
      <c r="EE178" s="161">
        <f t="shared" si="237"/>
        <v>0</v>
      </c>
      <c r="EF178" s="161">
        <f t="shared" si="238"/>
        <v>0</v>
      </c>
      <c r="EG178" s="161">
        <f t="shared" si="239"/>
        <v>0</v>
      </c>
      <c r="EH178" s="161">
        <f t="shared" si="240"/>
        <v>0</v>
      </c>
      <c r="EI178" s="161">
        <f t="shared" si="241"/>
        <v>0</v>
      </c>
      <c r="EJ178" s="161">
        <f t="shared" si="242"/>
        <v>0</v>
      </c>
      <c r="EK178" s="147">
        <f t="shared" si="174"/>
        <v>465.42553191489367</v>
      </c>
      <c r="EL178" s="149"/>
      <c r="EN178" s="146"/>
      <c r="EO178" s="146"/>
      <c r="EP178" s="139" t="e">
        <f t="shared" si="175"/>
        <v>#VALUE!</v>
      </c>
      <c r="EQ178" s="139" t="e">
        <f t="shared" si="176"/>
        <v>#VALUE!</v>
      </c>
      <c r="ER178" s="139" t="e">
        <f t="shared" si="177"/>
        <v>#VALUE!</v>
      </c>
      <c r="ES178" s="139" t="e">
        <f t="shared" si="178"/>
        <v>#VALUE!</v>
      </c>
      <c r="ET178" s="139" t="e">
        <f t="shared" si="179"/>
        <v>#VALUE!</v>
      </c>
      <c r="EU178" s="139" t="e">
        <f t="shared" si="180"/>
        <v>#VALUE!</v>
      </c>
      <c r="EV178" s="139" t="e">
        <f t="shared" si="181"/>
        <v>#VALUE!</v>
      </c>
      <c r="EW178" s="139" t="e">
        <f t="shared" si="182"/>
        <v>#VALUE!</v>
      </c>
      <c r="EX178" s="139" t="e">
        <f t="shared" si="183"/>
        <v>#VALUE!</v>
      </c>
      <c r="EY178" s="139" t="e">
        <f t="shared" si="184"/>
        <v>#VALUE!</v>
      </c>
      <c r="EZ178" s="139" t="e">
        <f t="shared" si="185"/>
        <v>#VALUE!</v>
      </c>
      <c r="FA178" s="139" t="e">
        <f t="shared" si="186"/>
        <v>#VALUE!</v>
      </c>
      <c r="FB178" s="139" t="e">
        <f t="shared" si="187"/>
        <v>#VALUE!</v>
      </c>
      <c r="FC178" s="139" t="e">
        <f t="shared" si="188"/>
        <v>#VALUE!</v>
      </c>
      <c r="FD178" s="139" t="e">
        <f t="shared" si="189"/>
        <v>#VALUE!</v>
      </c>
      <c r="FE178" s="139" t="e">
        <f t="shared" si="190"/>
        <v>#VALUE!</v>
      </c>
      <c r="FF178" s="139" t="e">
        <f t="shared" si="191"/>
        <v>#VALUE!</v>
      </c>
      <c r="FG178" s="139" t="e">
        <f t="shared" si="192"/>
        <v>#VALUE!</v>
      </c>
      <c r="FH178" s="139" t="e">
        <f t="shared" si="193"/>
        <v>#VALUE!</v>
      </c>
      <c r="FI178" s="139" t="e">
        <f t="shared" si="194"/>
        <v>#VALUE!</v>
      </c>
      <c r="FJ178" s="139" t="e">
        <f t="shared" si="195"/>
        <v>#VALUE!</v>
      </c>
      <c r="FK178" s="139" t="e">
        <f t="shared" si="196"/>
        <v>#VALUE!</v>
      </c>
      <c r="FL178" s="139" t="e">
        <f t="shared" si="197"/>
        <v>#VALUE!</v>
      </c>
      <c r="FM178" s="139" t="e">
        <f t="shared" si="198"/>
        <v>#VALUE!</v>
      </c>
      <c r="FN178" s="139" t="e">
        <f t="shared" si="199"/>
        <v>#VALUE!</v>
      </c>
      <c r="FO178" s="139" t="e">
        <f t="shared" si="200"/>
        <v>#VALUE!</v>
      </c>
      <c r="FP178" s="139" t="e">
        <f t="shared" si="201"/>
        <v>#VALUE!</v>
      </c>
      <c r="FQ178" s="139" t="e">
        <f t="shared" si="202"/>
        <v>#VALUE!</v>
      </c>
      <c r="FR178" s="139" t="e">
        <f t="shared" si="203"/>
        <v>#VALUE!</v>
      </c>
      <c r="FS178" s="139" t="e">
        <f t="shared" si="204"/>
        <v>#VALUE!</v>
      </c>
      <c r="FT178" s="139" t="e">
        <f t="shared" si="205"/>
        <v>#VALUE!</v>
      </c>
      <c r="FU178" s="148" t="e">
        <f t="shared" si="206"/>
        <v>#VALUE!</v>
      </c>
      <c r="FV178" s="149"/>
      <c r="FY178" s="211">
        <v>173</v>
      </c>
      <c r="FZ178">
        <v>150.44633662554526</v>
      </c>
      <c r="GA178">
        <v>154.47705042129834</v>
      </c>
      <c r="GB178">
        <v>45.296427198151378</v>
      </c>
      <c r="GC178">
        <v>11.16160079110627</v>
      </c>
      <c r="GD178">
        <v>3.9830829217443338</v>
      </c>
      <c r="GE178">
        <v>4.7437552647661256</v>
      </c>
      <c r="GF178">
        <v>19.10605274706591</v>
      </c>
      <c r="GG178">
        <v>25.812577691338277</v>
      </c>
      <c r="GH178">
        <v>27.848289550098297</v>
      </c>
      <c r="GI178">
        <v>89.128881722013986</v>
      </c>
      <c r="GJ178"/>
      <c r="GK178"/>
      <c r="GL178"/>
      <c r="GM178"/>
    </row>
    <row r="179" spans="1:195" s="7" customFormat="1">
      <c r="A179" s="1"/>
      <c r="B179" s="76">
        <f t="shared" ca="1" si="171"/>
        <v>6.6819718896001579E-2</v>
      </c>
      <c r="C179">
        <v>7</v>
      </c>
      <c r="D179">
        <v>39987</v>
      </c>
      <c r="E179">
        <v>0</v>
      </c>
      <c r="F179">
        <v>142.97385620915031</v>
      </c>
      <c r="G179">
        <v>571.89542483660125</v>
      </c>
      <c r="H179">
        <v>285.94771241830063</v>
      </c>
      <c r="I179">
        <v>71.486928104575156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1188.9295411975359</v>
      </c>
      <c r="AO179">
        <v>183.10022325096489</v>
      </c>
      <c r="AP179">
        <v>1525.1806842961957</v>
      </c>
      <c r="AQ179">
        <v>442.63404046369101</v>
      </c>
      <c r="AR179">
        <v>176.89502731318373</v>
      </c>
      <c r="AS179">
        <v>1882.076576296904</v>
      </c>
      <c r="AT179">
        <v>86.347014828418381</v>
      </c>
      <c r="AU179">
        <v>259.48682846671022</v>
      </c>
      <c r="AV179"/>
      <c r="AW179"/>
      <c r="AX179" s="146"/>
      <c r="AY179" s="76">
        <f t="shared" ca="1" si="172"/>
        <v>0.61873573110705837</v>
      </c>
      <c r="AZ179">
        <v>2</v>
      </c>
      <c r="BA179" s="129">
        <f t="shared" ref="BA179:BA187" si="248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7"/>
        <v>0.27620491863489238</v>
      </c>
      <c r="CL179" s="179">
        <f t="shared" si="208"/>
        <v>2</v>
      </c>
      <c r="CM179" s="180">
        <f t="shared" si="209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10"/>
        <v>9.6000000000000002E-2</v>
      </c>
      <c r="DB179" s="146"/>
      <c r="DC179" s="76">
        <f t="shared" ca="1" si="173"/>
        <v>0.27605935760274747</v>
      </c>
      <c r="DD179">
        <f t="shared" si="211"/>
        <v>2</v>
      </c>
      <c r="DE179" s="129">
        <f t="shared" si="247"/>
        <v>39987</v>
      </c>
      <c r="DF179" s="161">
        <f t="shared" si="212"/>
        <v>0</v>
      </c>
      <c r="DG179" s="161">
        <f t="shared" si="213"/>
        <v>0</v>
      </c>
      <c r="DH179" s="161">
        <f t="shared" si="214"/>
        <v>0</v>
      </c>
      <c r="DI179" s="161">
        <f t="shared" si="215"/>
        <v>0</v>
      </c>
      <c r="DJ179" s="161">
        <f t="shared" si="216"/>
        <v>0</v>
      </c>
      <c r="DK179" s="161">
        <f t="shared" si="217"/>
        <v>0</v>
      </c>
      <c r="DL179" s="161">
        <f t="shared" si="218"/>
        <v>0</v>
      </c>
      <c r="DM179" s="161">
        <f t="shared" si="219"/>
        <v>0</v>
      </c>
      <c r="DN179" s="161">
        <f t="shared" si="220"/>
        <v>0</v>
      </c>
      <c r="DO179" s="161">
        <f t="shared" si="221"/>
        <v>0</v>
      </c>
      <c r="DP179" s="161">
        <f t="shared" si="222"/>
        <v>0</v>
      </c>
      <c r="DQ179" s="161">
        <f t="shared" si="223"/>
        <v>0</v>
      </c>
      <c r="DR179" s="161">
        <f t="shared" si="224"/>
        <v>0</v>
      </c>
      <c r="DS179" s="161">
        <f t="shared" si="225"/>
        <v>0</v>
      </c>
      <c r="DT179" s="161">
        <f t="shared" si="226"/>
        <v>0</v>
      </c>
      <c r="DU179" s="161">
        <f t="shared" si="227"/>
        <v>0</v>
      </c>
      <c r="DV179" s="161">
        <f t="shared" si="228"/>
        <v>0</v>
      </c>
      <c r="DW179" s="161">
        <f t="shared" si="229"/>
        <v>0</v>
      </c>
      <c r="DX179" s="161">
        <f t="shared" si="230"/>
        <v>0</v>
      </c>
      <c r="DY179" s="161">
        <f t="shared" si="231"/>
        <v>0</v>
      </c>
      <c r="DZ179" s="161">
        <f t="shared" si="232"/>
        <v>0</v>
      </c>
      <c r="EA179" s="161">
        <f t="shared" si="233"/>
        <v>0</v>
      </c>
      <c r="EB179" s="161">
        <f t="shared" si="234"/>
        <v>0</v>
      </c>
      <c r="EC179" s="161">
        <f t="shared" si="235"/>
        <v>0</v>
      </c>
      <c r="ED179" s="161">
        <f t="shared" si="236"/>
        <v>0</v>
      </c>
      <c r="EE179" s="161">
        <f t="shared" si="237"/>
        <v>0</v>
      </c>
      <c r="EF179" s="161">
        <f t="shared" si="238"/>
        <v>0</v>
      </c>
      <c r="EG179" s="161">
        <f t="shared" si="239"/>
        <v>0</v>
      </c>
      <c r="EH179" s="161">
        <f t="shared" si="240"/>
        <v>0</v>
      </c>
      <c r="EI179" s="161">
        <f t="shared" si="241"/>
        <v>0</v>
      </c>
      <c r="EJ179" s="161">
        <f t="shared" si="242"/>
        <v>0</v>
      </c>
      <c r="EK179" s="147">
        <f t="shared" si="174"/>
        <v>0</v>
      </c>
      <c r="EL179" s="149"/>
      <c r="EN179" s="146"/>
      <c r="EO179" s="146"/>
      <c r="EP179" s="139" t="e">
        <f t="shared" si="175"/>
        <v>#VALUE!</v>
      </c>
      <c r="EQ179" s="139" t="e">
        <f t="shared" si="176"/>
        <v>#VALUE!</v>
      </c>
      <c r="ER179" s="139" t="e">
        <f t="shared" si="177"/>
        <v>#VALUE!</v>
      </c>
      <c r="ES179" s="139" t="e">
        <f t="shared" si="178"/>
        <v>#VALUE!</v>
      </c>
      <c r="ET179" s="139" t="e">
        <f t="shared" si="179"/>
        <v>#VALUE!</v>
      </c>
      <c r="EU179" s="139" t="e">
        <f t="shared" si="180"/>
        <v>#VALUE!</v>
      </c>
      <c r="EV179" s="139" t="e">
        <f t="shared" si="181"/>
        <v>#VALUE!</v>
      </c>
      <c r="EW179" s="139" t="e">
        <f t="shared" si="182"/>
        <v>#VALUE!</v>
      </c>
      <c r="EX179" s="139" t="e">
        <f t="shared" si="183"/>
        <v>#VALUE!</v>
      </c>
      <c r="EY179" s="139" t="e">
        <f t="shared" si="184"/>
        <v>#VALUE!</v>
      </c>
      <c r="EZ179" s="139" t="e">
        <f t="shared" si="185"/>
        <v>#VALUE!</v>
      </c>
      <c r="FA179" s="139" t="e">
        <f t="shared" si="186"/>
        <v>#VALUE!</v>
      </c>
      <c r="FB179" s="139" t="e">
        <f t="shared" si="187"/>
        <v>#VALUE!</v>
      </c>
      <c r="FC179" s="139" t="e">
        <f t="shared" si="188"/>
        <v>#VALUE!</v>
      </c>
      <c r="FD179" s="139" t="e">
        <f t="shared" si="189"/>
        <v>#VALUE!</v>
      </c>
      <c r="FE179" s="139" t="e">
        <f t="shared" si="190"/>
        <v>#VALUE!</v>
      </c>
      <c r="FF179" s="139" t="e">
        <f t="shared" si="191"/>
        <v>#VALUE!</v>
      </c>
      <c r="FG179" s="139" t="e">
        <f t="shared" si="192"/>
        <v>#VALUE!</v>
      </c>
      <c r="FH179" s="139" t="e">
        <f t="shared" si="193"/>
        <v>#VALUE!</v>
      </c>
      <c r="FI179" s="139" t="e">
        <f t="shared" si="194"/>
        <v>#VALUE!</v>
      </c>
      <c r="FJ179" s="139" t="e">
        <f t="shared" si="195"/>
        <v>#VALUE!</v>
      </c>
      <c r="FK179" s="139" t="e">
        <f t="shared" si="196"/>
        <v>#VALUE!</v>
      </c>
      <c r="FL179" s="139" t="e">
        <f t="shared" si="197"/>
        <v>#VALUE!</v>
      </c>
      <c r="FM179" s="139" t="e">
        <f t="shared" si="198"/>
        <v>#VALUE!</v>
      </c>
      <c r="FN179" s="139" t="e">
        <f t="shared" si="199"/>
        <v>#VALUE!</v>
      </c>
      <c r="FO179" s="139" t="e">
        <f t="shared" si="200"/>
        <v>#VALUE!</v>
      </c>
      <c r="FP179" s="139" t="e">
        <f t="shared" si="201"/>
        <v>#VALUE!</v>
      </c>
      <c r="FQ179" s="139" t="e">
        <f t="shared" si="202"/>
        <v>#VALUE!</v>
      </c>
      <c r="FR179" s="139" t="e">
        <f t="shared" si="203"/>
        <v>#VALUE!</v>
      </c>
      <c r="FS179" s="139" t="e">
        <f t="shared" si="204"/>
        <v>#VALUE!</v>
      </c>
      <c r="FT179" s="139" t="e">
        <f t="shared" si="205"/>
        <v>#VALUE!</v>
      </c>
      <c r="FU179" s="148" t="e">
        <f t="shared" si="206"/>
        <v>#VALUE!</v>
      </c>
      <c r="FV179" s="149"/>
      <c r="FY179" s="211">
        <v>174</v>
      </c>
      <c r="FZ179">
        <v>85.377937543487675</v>
      </c>
      <c r="GA179">
        <v>79.298595947847488</v>
      </c>
      <c r="GB179">
        <v>26.637652718509408</v>
      </c>
      <c r="GC179">
        <v>7.3725236275408168</v>
      </c>
      <c r="GD179">
        <v>3.5643810123167818</v>
      </c>
      <c r="GE179">
        <v>4.9917655718444927</v>
      </c>
      <c r="GF179">
        <v>36.843325160825422</v>
      </c>
      <c r="GG179">
        <v>45.992182178315751</v>
      </c>
      <c r="GH179">
        <v>22.170353019363418</v>
      </c>
      <c r="GI179">
        <v>78.124675787423186</v>
      </c>
      <c r="GJ179"/>
      <c r="GK179"/>
      <c r="GL179"/>
      <c r="GM179"/>
    </row>
    <row r="180" spans="1:195" s="7" customFormat="1">
      <c r="A180" s="1"/>
      <c r="B180" s="76">
        <f t="shared" ca="1" si="171"/>
        <v>9.259624053600346E-2</v>
      </c>
      <c r="C180">
        <v>3</v>
      </c>
      <c r="D180">
        <v>39987</v>
      </c>
      <c r="E180">
        <v>0</v>
      </c>
      <c r="F180">
        <v>67.51543209876543</v>
      </c>
      <c r="G180">
        <v>0</v>
      </c>
      <c r="H180">
        <v>67.51543209876543</v>
      </c>
      <c r="I180">
        <v>10.416666666666666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1020.1690582599452</v>
      </c>
      <c r="AO180">
        <v>130.98728953956893</v>
      </c>
      <c r="AP180">
        <v>1074.5575853024507</v>
      </c>
      <c r="AQ180">
        <v>428.08479394571805</v>
      </c>
      <c r="AR180">
        <v>125.24405619109801</v>
      </c>
      <c r="AS180">
        <v>1355.8752736801348</v>
      </c>
      <c r="AT180">
        <v>59.894360362647603</v>
      </c>
      <c r="AU180">
        <v>3.8851955103172884</v>
      </c>
      <c r="AV180"/>
      <c r="AW180"/>
      <c r="AX180" s="146"/>
      <c r="AY180" s="76">
        <f t="shared" ca="1" si="172"/>
        <v>3.7918000956703724E-3</v>
      </c>
      <c r="AZ180">
        <v>3</v>
      </c>
      <c r="BA180" s="129">
        <f t="shared" si="248"/>
        <v>39987</v>
      </c>
      <c r="BB180">
        <v>0</v>
      </c>
      <c r="BC180"/>
      <c r="BD180"/>
      <c r="BE180"/>
      <c r="BF180">
        <v>1</v>
      </c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7"/>
        <v>0.86389010101650676</v>
      </c>
      <c r="CL180" s="179">
        <f t="shared" si="208"/>
        <v>3</v>
      </c>
      <c r="CM180" s="180">
        <f t="shared" si="209"/>
        <v>39987</v>
      </c>
      <c r="CN180">
        <v>0</v>
      </c>
      <c r="CO180">
        <v>1</v>
      </c>
      <c r="CP180"/>
      <c r="CQ180">
        <v>1</v>
      </c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10"/>
        <v>9.6000000000000002E-2</v>
      </c>
      <c r="DB180" s="146"/>
      <c r="DC180" s="76">
        <f t="shared" ca="1" si="173"/>
        <v>0.98004397853355985</v>
      </c>
      <c r="DD180">
        <f t="shared" si="211"/>
        <v>3</v>
      </c>
      <c r="DE180" s="129">
        <f t="shared" si="247"/>
        <v>39987</v>
      </c>
      <c r="DF180" s="161">
        <f t="shared" si="212"/>
        <v>0</v>
      </c>
      <c r="DG180" s="161">
        <f t="shared" si="213"/>
        <v>67.51543209876543</v>
      </c>
      <c r="DH180" s="161">
        <f t="shared" si="214"/>
        <v>0</v>
      </c>
      <c r="DI180" s="161">
        <f t="shared" si="215"/>
        <v>67.51543209876543</v>
      </c>
      <c r="DJ180" s="161">
        <f t="shared" si="216"/>
        <v>10.416666666666666</v>
      </c>
      <c r="DK180" s="161">
        <f t="shared" si="217"/>
        <v>0</v>
      </c>
      <c r="DL180" s="161">
        <f t="shared" si="218"/>
        <v>0</v>
      </c>
      <c r="DM180" s="161">
        <f t="shared" si="219"/>
        <v>0</v>
      </c>
      <c r="DN180" s="161">
        <f t="shared" si="220"/>
        <v>0</v>
      </c>
      <c r="DO180" s="161">
        <f t="shared" si="221"/>
        <v>0</v>
      </c>
      <c r="DP180" s="161">
        <f t="shared" si="222"/>
        <v>0</v>
      </c>
      <c r="DQ180" s="161">
        <f t="shared" si="223"/>
        <v>0</v>
      </c>
      <c r="DR180" s="161">
        <f t="shared" si="224"/>
        <v>0</v>
      </c>
      <c r="DS180" s="161">
        <f t="shared" si="225"/>
        <v>0</v>
      </c>
      <c r="DT180" s="161">
        <f t="shared" si="226"/>
        <v>0</v>
      </c>
      <c r="DU180" s="161">
        <f t="shared" si="227"/>
        <v>0</v>
      </c>
      <c r="DV180" s="161">
        <f t="shared" si="228"/>
        <v>0</v>
      </c>
      <c r="DW180" s="161">
        <f t="shared" si="229"/>
        <v>0</v>
      </c>
      <c r="DX180" s="161">
        <f t="shared" si="230"/>
        <v>0</v>
      </c>
      <c r="DY180" s="161">
        <f t="shared" si="231"/>
        <v>0</v>
      </c>
      <c r="DZ180" s="161">
        <f t="shared" si="232"/>
        <v>0</v>
      </c>
      <c r="EA180" s="161">
        <f t="shared" si="233"/>
        <v>0</v>
      </c>
      <c r="EB180" s="161">
        <f t="shared" si="234"/>
        <v>0</v>
      </c>
      <c r="EC180" s="161">
        <f t="shared" si="235"/>
        <v>0</v>
      </c>
      <c r="ED180" s="161">
        <f t="shared" si="236"/>
        <v>0</v>
      </c>
      <c r="EE180" s="161">
        <f t="shared" si="237"/>
        <v>0</v>
      </c>
      <c r="EF180" s="161">
        <f t="shared" si="238"/>
        <v>0</v>
      </c>
      <c r="EG180" s="161">
        <f t="shared" si="239"/>
        <v>0</v>
      </c>
      <c r="EH180" s="161">
        <f t="shared" si="240"/>
        <v>0</v>
      </c>
      <c r="EI180" s="161">
        <f t="shared" si="241"/>
        <v>0</v>
      </c>
      <c r="EJ180" s="161">
        <f t="shared" si="242"/>
        <v>0</v>
      </c>
      <c r="EK180" s="147">
        <f t="shared" si="174"/>
        <v>145.44753086419752</v>
      </c>
      <c r="EL180" s="149"/>
      <c r="EN180" s="146"/>
      <c r="EO180" s="146"/>
      <c r="EP180" s="139" t="e">
        <f t="shared" si="175"/>
        <v>#VALUE!</v>
      </c>
      <c r="EQ180" s="139" t="e">
        <f t="shared" si="176"/>
        <v>#VALUE!</v>
      </c>
      <c r="ER180" s="139" t="e">
        <f t="shared" si="177"/>
        <v>#VALUE!</v>
      </c>
      <c r="ES180" s="139" t="e">
        <f t="shared" si="178"/>
        <v>#VALUE!</v>
      </c>
      <c r="ET180" s="139" t="e">
        <f t="shared" si="179"/>
        <v>#VALUE!</v>
      </c>
      <c r="EU180" s="139" t="e">
        <f t="shared" si="180"/>
        <v>#VALUE!</v>
      </c>
      <c r="EV180" s="139" t="e">
        <f t="shared" si="181"/>
        <v>#VALUE!</v>
      </c>
      <c r="EW180" s="139" t="e">
        <f t="shared" si="182"/>
        <v>#VALUE!</v>
      </c>
      <c r="EX180" s="139" t="e">
        <f t="shared" si="183"/>
        <v>#VALUE!</v>
      </c>
      <c r="EY180" s="139" t="e">
        <f t="shared" si="184"/>
        <v>#VALUE!</v>
      </c>
      <c r="EZ180" s="139" t="e">
        <f t="shared" si="185"/>
        <v>#VALUE!</v>
      </c>
      <c r="FA180" s="139" t="e">
        <f t="shared" si="186"/>
        <v>#VALUE!</v>
      </c>
      <c r="FB180" s="139" t="e">
        <f t="shared" si="187"/>
        <v>#VALUE!</v>
      </c>
      <c r="FC180" s="139" t="e">
        <f t="shared" si="188"/>
        <v>#VALUE!</v>
      </c>
      <c r="FD180" s="139" t="e">
        <f t="shared" si="189"/>
        <v>#VALUE!</v>
      </c>
      <c r="FE180" s="139" t="e">
        <f t="shared" si="190"/>
        <v>#VALUE!</v>
      </c>
      <c r="FF180" s="139" t="e">
        <f t="shared" si="191"/>
        <v>#VALUE!</v>
      </c>
      <c r="FG180" s="139" t="e">
        <f t="shared" si="192"/>
        <v>#VALUE!</v>
      </c>
      <c r="FH180" s="139" t="e">
        <f t="shared" si="193"/>
        <v>#VALUE!</v>
      </c>
      <c r="FI180" s="139" t="e">
        <f t="shared" si="194"/>
        <v>#VALUE!</v>
      </c>
      <c r="FJ180" s="139" t="e">
        <f t="shared" si="195"/>
        <v>#VALUE!</v>
      </c>
      <c r="FK180" s="139" t="e">
        <f t="shared" si="196"/>
        <v>#VALUE!</v>
      </c>
      <c r="FL180" s="139" t="e">
        <f t="shared" si="197"/>
        <v>#VALUE!</v>
      </c>
      <c r="FM180" s="139" t="e">
        <f t="shared" si="198"/>
        <v>#VALUE!</v>
      </c>
      <c r="FN180" s="139" t="e">
        <f t="shared" si="199"/>
        <v>#VALUE!</v>
      </c>
      <c r="FO180" s="139" t="e">
        <f t="shared" si="200"/>
        <v>#VALUE!</v>
      </c>
      <c r="FP180" s="139" t="e">
        <f t="shared" si="201"/>
        <v>#VALUE!</v>
      </c>
      <c r="FQ180" s="139" t="e">
        <f t="shared" si="202"/>
        <v>#VALUE!</v>
      </c>
      <c r="FR180" s="139" t="e">
        <f t="shared" si="203"/>
        <v>#VALUE!</v>
      </c>
      <c r="FS180" s="139" t="e">
        <f t="shared" si="204"/>
        <v>#VALUE!</v>
      </c>
      <c r="FT180" s="139" t="e">
        <f t="shared" si="205"/>
        <v>#VALUE!</v>
      </c>
      <c r="FU180" s="148" t="e">
        <f t="shared" si="206"/>
        <v>#VALUE!</v>
      </c>
      <c r="FV180" s="149"/>
      <c r="FY180" s="211">
        <v>175</v>
      </c>
      <c r="FZ180">
        <v>95.957526988203512</v>
      </c>
      <c r="GA180">
        <v>108.22196141172785</v>
      </c>
      <c r="GB180">
        <v>36.237417646094045</v>
      </c>
      <c r="GC180">
        <v>7.3586115873871414</v>
      </c>
      <c r="GD180">
        <v>4.0128297631314469</v>
      </c>
      <c r="GE180">
        <v>8.0212463553117299</v>
      </c>
      <c r="GF180">
        <v>34.253522533847246</v>
      </c>
      <c r="GG180">
        <v>44.405203923758982</v>
      </c>
      <c r="GH180">
        <v>35.18442546750537</v>
      </c>
      <c r="GI180">
        <v>84.289188518114599</v>
      </c>
      <c r="GJ180"/>
      <c r="GK180"/>
      <c r="GL180"/>
      <c r="GM180"/>
    </row>
    <row r="181" spans="1:195" s="7" customFormat="1">
      <c r="A181" s="1"/>
      <c r="B181" s="76">
        <f t="shared" ca="1" si="171"/>
        <v>0.31576868262525726</v>
      </c>
      <c r="C181">
        <v>5</v>
      </c>
      <c r="D181">
        <v>39987</v>
      </c>
      <c r="E181">
        <v>0</v>
      </c>
      <c r="F181">
        <v>60.763888888888886</v>
      </c>
      <c r="G181">
        <v>60.763888888888886</v>
      </c>
      <c r="H181">
        <v>0</v>
      </c>
      <c r="I181">
        <v>10.416666666666666</v>
      </c>
      <c r="J181">
        <v>0</v>
      </c>
      <c r="K181">
        <v>0</v>
      </c>
      <c r="L181">
        <v>0</v>
      </c>
      <c r="M181">
        <v>0</v>
      </c>
      <c r="N181">
        <v>10.416666666666666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1466.4544932632862</v>
      </c>
      <c r="AO181">
        <v>181.70494505710548</v>
      </c>
      <c r="AP181">
        <v>1509.7339280605295</v>
      </c>
      <c r="AQ181">
        <v>540.84940215451309</v>
      </c>
      <c r="AR181">
        <v>177.06400805004492</v>
      </c>
      <c r="AS181">
        <v>1981.2489742511414</v>
      </c>
      <c r="AT181">
        <v>80.531422938281395</v>
      </c>
      <c r="AU181">
        <v>263.78655206361054</v>
      </c>
      <c r="AV181"/>
      <c r="AW181"/>
      <c r="AX181" s="146"/>
      <c r="AY181" s="76">
        <f t="shared" ca="1" si="172"/>
        <v>0.43201477939852417</v>
      </c>
      <c r="AZ181">
        <v>4</v>
      </c>
      <c r="BA181" s="129">
        <f t="shared" si="248"/>
        <v>39987</v>
      </c>
      <c r="BB181">
        <v>0</v>
      </c>
      <c r="BC181"/>
      <c r="BD181"/>
      <c r="BE181">
        <v>1</v>
      </c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7"/>
        <v>0.20046456273011282</v>
      </c>
      <c r="CL181" s="179">
        <f t="shared" si="208"/>
        <v>4</v>
      </c>
      <c r="CM181" s="180">
        <f t="shared" si="209"/>
        <v>39987</v>
      </c>
      <c r="CN181">
        <v>0</v>
      </c>
      <c r="CO181">
        <v>1</v>
      </c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10"/>
        <v>9.6000000000000002E-2</v>
      </c>
      <c r="DB181" s="146"/>
      <c r="DC181" s="76">
        <f t="shared" ca="1" si="173"/>
        <v>0.69946583731168854</v>
      </c>
      <c r="DD181">
        <f t="shared" si="211"/>
        <v>4</v>
      </c>
      <c r="DE181" s="129">
        <f t="shared" si="247"/>
        <v>39987</v>
      </c>
      <c r="DF181" s="161">
        <f t="shared" si="212"/>
        <v>0</v>
      </c>
      <c r="DG181" s="161">
        <f t="shared" si="213"/>
        <v>88.922764227642276</v>
      </c>
      <c r="DH181" s="161">
        <f t="shared" si="214"/>
        <v>0</v>
      </c>
      <c r="DI181" s="161">
        <f t="shared" si="215"/>
        <v>10.416666666666666</v>
      </c>
      <c r="DJ181" s="161">
        <f t="shared" si="216"/>
        <v>0</v>
      </c>
      <c r="DK181" s="161">
        <f t="shared" si="217"/>
        <v>0</v>
      </c>
      <c r="DL181" s="161">
        <f t="shared" si="218"/>
        <v>0</v>
      </c>
      <c r="DM181" s="161">
        <f t="shared" si="219"/>
        <v>0</v>
      </c>
      <c r="DN181" s="161">
        <f t="shared" si="220"/>
        <v>0</v>
      </c>
      <c r="DO181" s="161">
        <f t="shared" si="221"/>
        <v>0</v>
      </c>
      <c r="DP181" s="161">
        <f t="shared" si="222"/>
        <v>0</v>
      </c>
      <c r="DQ181" s="161">
        <f t="shared" si="223"/>
        <v>0</v>
      </c>
      <c r="DR181" s="161">
        <f t="shared" si="224"/>
        <v>0</v>
      </c>
      <c r="DS181" s="161">
        <f t="shared" si="225"/>
        <v>0</v>
      </c>
      <c r="DT181" s="161">
        <f t="shared" si="226"/>
        <v>0</v>
      </c>
      <c r="DU181" s="161">
        <f t="shared" si="227"/>
        <v>0</v>
      </c>
      <c r="DV181" s="161">
        <f t="shared" si="228"/>
        <v>0</v>
      </c>
      <c r="DW181" s="161">
        <f t="shared" si="229"/>
        <v>0</v>
      </c>
      <c r="DX181" s="161">
        <f t="shared" si="230"/>
        <v>0</v>
      </c>
      <c r="DY181" s="161">
        <f t="shared" si="231"/>
        <v>0</v>
      </c>
      <c r="DZ181" s="161">
        <f t="shared" si="232"/>
        <v>0</v>
      </c>
      <c r="EA181" s="161">
        <f t="shared" si="233"/>
        <v>0</v>
      </c>
      <c r="EB181" s="161">
        <f t="shared" si="234"/>
        <v>0</v>
      </c>
      <c r="EC181" s="161">
        <f t="shared" si="235"/>
        <v>0</v>
      </c>
      <c r="ED181" s="161">
        <f t="shared" si="236"/>
        <v>0</v>
      </c>
      <c r="EE181" s="161">
        <f t="shared" si="237"/>
        <v>0</v>
      </c>
      <c r="EF181" s="161">
        <f t="shared" si="238"/>
        <v>0</v>
      </c>
      <c r="EG181" s="161">
        <f t="shared" si="239"/>
        <v>0</v>
      </c>
      <c r="EH181" s="161">
        <f t="shared" si="240"/>
        <v>0</v>
      </c>
      <c r="EI181" s="161">
        <f t="shared" si="241"/>
        <v>0</v>
      </c>
      <c r="EJ181" s="161">
        <f t="shared" si="242"/>
        <v>0</v>
      </c>
      <c r="EK181" s="147">
        <f t="shared" si="174"/>
        <v>99.339430894308947</v>
      </c>
      <c r="EL181" s="149"/>
      <c r="EN181" s="146"/>
      <c r="EO181" s="146"/>
      <c r="EP181" s="139" t="e">
        <f t="shared" si="175"/>
        <v>#VALUE!</v>
      </c>
      <c r="EQ181" s="139" t="e">
        <f t="shared" si="176"/>
        <v>#VALUE!</v>
      </c>
      <c r="ER181" s="139" t="e">
        <f t="shared" si="177"/>
        <v>#VALUE!</v>
      </c>
      <c r="ES181" s="139" t="e">
        <f t="shared" si="178"/>
        <v>#VALUE!</v>
      </c>
      <c r="ET181" s="139" t="e">
        <f t="shared" si="179"/>
        <v>#VALUE!</v>
      </c>
      <c r="EU181" s="139" t="e">
        <f t="shared" si="180"/>
        <v>#VALUE!</v>
      </c>
      <c r="EV181" s="139" t="e">
        <f t="shared" si="181"/>
        <v>#VALUE!</v>
      </c>
      <c r="EW181" s="139" t="e">
        <f t="shared" si="182"/>
        <v>#VALUE!</v>
      </c>
      <c r="EX181" s="139" t="e">
        <f t="shared" si="183"/>
        <v>#VALUE!</v>
      </c>
      <c r="EY181" s="139" t="e">
        <f t="shared" si="184"/>
        <v>#VALUE!</v>
      </c>
      <c r="EZ181" s="139" t="e">
        <f t="shared" si="185"/>
        <v>#VALUE!</v>
      </c>
      <c r="FA181" s="139" t="e">
        <f t="shared" si="186"/>
        <v>#VALUE!</v>
      </c>
      <c r="FB181" s="139" t="e">
        <f t="shared" si="187"/>
        <v>#VALUE!</v>
      </c>
      <c r="FC181" s="139" t="e">
        <f t="shared" si="188"/>
        <v>#VALUE!</v>
      </c>
      <c r="FD181" s="139" t="e">
        <f t="shared" si="189"/>
        <v>#VALUE!</v>
      </c>
      <c r="FE181" s="139" t="e">
        <f t="shared" si="190"/>
        <v>#VALUE!</v>
      </c>
      <c r="FF181" s="139" t="e">
        <f t="shared" si="191"/>
        <v>#VALUE!</v>
      </c>
      <c r="FG181" s="139" t="e">
        <f t="shared" si="192"/>
        <v>#VALUE!</v>
      </c>
      <c r="FH181" s="139" t="e">
        <f t="shared" si="193"/>
        <v>#VALUE!</v>
      </c>
      <c r="FI181" s="139" t="e">
        <f t="shared" si="194"/>
        <v>#VALUE!</v>
      </c>
      <c r="FJ181" s="139" t="e">
        <f t="shared" si="195"/>
        <v>#VALUE!</v>
      </c>
      <c r="FK181" s="139" t="e">
        <f t="shared" si="196"/>
        <v>#VALUE!</v>
      </c>
      <c r="FL181" s="139" t="e">
        <f t="shared" si="197"/>
        <v>#VALUE!</v>
      </c>
      <c r="FM181" s="139" t="e">
        <f t="shared" si="198"/>
        <v>#VALUE!</v>
      </c>
      <c r="FN181" s="139" t="e">
        <f t="shared" si="199"/>
        <v>#VALUE!</v>
      </c>
      <c r="FO181" s="139" t="e">
        <f t="shared" si="200"/>
        <v>#VALUE!</v>
      </c>
      <c r="FP181" s="139" t="e">
        <f t="shared" si="201"/>
        <v>#VALUE!</v>
      </c>
      <c r="FQ181" s="139" t="e">
        <f t="shared" si="202"/>
        <v>#VALUE!</v>
      </c>
      <c r="FR181" s="139" t="e">
        <f t="shared" si="203"/>
        <v>#VALUE!</v>
      </c>
      <c r="FS181" s="139" t="e">
        <f t="shared" si="204"/>
        <v>#VALUE!</v>
      </c>
      <c r="FT181" s="139" t="e">
        <f t="shared" si="205"/>
        <v>#VALUE!</v>
      </c>
      <c r="FU181" s="148" t="e">
        <f t="shared" si="206"/>
        <v>#VALUE!</v>
      </c>
      <c r="FV181" s="149"/>
      <c r="FY181" s="211">
        <v>176</v>
      </c>
      <c r="FZ181">
        <v>169.17470842656024</v>
      </c>
      <c r="GA181">
        <v>114.24909216629591</v>
      </c>
      <c r="GB181">
        <v>25.484592919715681</v>
      </c>
      <c r="GC181">
        <v>7.8025829779917242</v>
      </c>
      <c r="GD181">
        <v>2.7855941600776721</v>
      </c>
      <c r="GE181">
        <v>4.8750913099143052</v>
      </c>
      <c r="GF181">
        <v>27.432883394087106</v>
      </c>
      <c r="GG181">
        <v>39.294730830650032</v>
      </c>
      <c r="GH181">
        <v>28.017969344409984</v>
      </c>
      <c r="GI181">
        <v>80.947650984994794</v>
      </c>
      <c r="GJ181"/>
      <c r="GK181"/>
      <c r="GL181"/>
      <c r="GM181"/>
    </row>
    <row r="182" spans="1:195" s="7" customFormat="1">
      <c r="A182" s="1"/>
      <c r="B182" s="76">
        <f t="shared" ca="1" si="171"/>
        <v>0.97883879980334187</v>
      </c>
      <c r="C182">
        <v>8</v>
      </c>
      <c r="D182">
        <v>39987</v>
      </c>
      <c r="E182">
        <v>0</v>
      </c>
      <c r="F182">
        <v>56.089743589743591</v>
      </c>
      <c r="G182">
        <v>56.089743589743591</v>
      </c>
      <c r="H182">
        <v>112.17948717948718</v>
      </c>
      <c r="I182">
        <v>10.416666666666666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1009.6535594977037</v>
      </c>
      <c r="AO182">
        <v>152.9498359865413</v>
      </c>
      <c r="AP182">
        <v>1167.0253297050883</v>
      </c>
      <c r="AQ182">
        <v>409.53002836755638</v>
      </c>
      <c r="AR182">
        <v>151.99729359583509</v>
      </c>
      <c r="AS182">
        <v>1702.1965680296712</v>
      </c>
      <c r="AT182">
        <v>79.060514129135598</v>
      </c>
      <c r="AU182">
        <v>160.15728236053295</v>
      </c>
      <c r="AV182"/>
      <c r="AW182"/>
      <c r="AX182" s="146"/>
      <c r="AY182" s="76">
        <f t="shared" ca="1" si="172"/>
        <v>0.1089843401804188</v>
      </c>
      <c r="AZ182">
        <v>5</v>
      </c>
      <c r="BA182" s="129">
        <f t="shared" si="248"/>
        <v>39987</v>
      </c>
      <c r="BB182">
        <v>0</v>
      </c>
      <c r="BC182"/>
      <c r="BD182"/>
      <c r="BE182"/>
      <c r="BF182">
        <v>1</v>
      </c>
      <c r="BG182"/>
      <c r="BH182"/>
      <c r="BI182"/>
      <c r="BJ182"/>
      <c r="BK182">
        <v>1</v>
      </c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7"/>
        <v>0.47871871755086803</v>
      </c>
      <c r="CL182" s="179">
        <f t="shared" si="208"/>
        <v>5</v>
      </c>
      <c r="CM182" s="180">
        <f t="shared" si="209"/>
        <v>39987</v>
      </c>
      <c r="CN182">
        <v>0</v>
      </c>
      <c r="CO182">
        <v>1</v>
      </c>
      <c r="CP182">
        <v>1</v>
      </c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10"/>
        <v>9.6000000000000002E-2</v>
      </c>
      <c r="DB182" s="146"/>
      <c r="DC182" s="76">
        <f t="shared" ca="1" si="173"/>
        <v>0.36474037162778972</v>
      </c>
      <c r="DD182">
        <f t="shared" si="211"/>
        <v>5</v>
      </c>
      <c r="DE182" s="129">
        <f t="shared" si="247"/>
        <v>39987</v>
      </c>
      <c r="DF182" s="161">
        <f t="shared" si="212"/>
        <v>0</v>
      </c>
      <c r="DG182" s="161">
        <f t="shared" si="213"/>
        <v>60.763888888888886</v>
      </c>
      <c r="DH182" s="161">
        <f t="shared" si="214"/>
        <v>60.763888888888886</v>
      </c>
      <c r="DI182" s="161">
        <f t="shared" si="215"/>
        <v>0</v>
      </c>
      <c r="DJ182" s="161">
        <f t="shared" si="216"/>
        <v>10.416666666666666</v>
      </c>
      <c r="DK182" s="161">
        <f t="shared" si="217"/>
        <v>0</v>
      </c>
      <c r="DL182" s="161">
        <f t="shared" si="218"/>
        <v>0</v>
      </c>
      <c r="DM182" s="161">
        <f t="shared" si="219"/>
        <v>0</v>
      </c>
      <c r="DN182" s="161">
        <f t="shared" si="220"/>
        <v>0</v>
      </c>
      <c r="DO182" s="161">
        <f t="shared" si="221"/>
        <v>10.416666666666666</v>
      </c>
      <c r="DP182" s="161">
        <f t="shared" si="222"/>
        <v>0</v>
      </c>
      <c r="DQ182" s="161">
        <f t="shared" si="223"/>
        <v>0</v>
      </c>
      <c r="DR182" s="161">
        <f t="shared" si="224"/>
        <v>0</v>
      </c>
      <c r="DS182" s="161">
        <f t="shared" si="225"/>
        <v>0</v>
      </c>
      <c r="DT182" s="161">
        <f t="shared" si="226"/>
        <v>0</v>
      </c>
      <c r="DU182" s="161">
        <f t="shared" si="227"/>
        <v>0</v>
      </c>
      <c r="DV182" s="161">
        <f t="shared" si="228"/>
        <v>0</v>
      </c>
      <c r="DW182" s="161">
        <f t="shared" si="229"/>
        <v>0</v>
      </c>
      <c r="DX182" s="161">
        <f t="shared" si="230"/>
        <v>0</v>
      </c>
      <c r="DY182" s="161">
        <f t="shared" si="231"/>
        <v>0</v>
      </c>
      <c r="DZ182" s="161">
        <f t="shared" si="232"/>
        <v>0</v>
      </c>
      <c r="EA182" s="161">
        <f t="shared" si="233"/>
        <v>0</v>
      </c>
      <c r="EB182" s="161">
        <f t="shared" si="234"/>
        <v>0</v>
      </c>
      <c r="EC182" s="161">
        <f t="shared" si="235"/>
        <v>0</v>
      </c>
      <c r="ED182" s="161">
        <f t="shared" si="236"/>
        <v>0</v>
      </c>
      <c r="EE182" s="161">
        <f t="shared" si="237"/>
        <v>0</v>
      </c>
      <c r="EF182" s="161">
        <f t="shared" si="238"/>
        <v>0</v>
      </c>
      <c r="EG182" s="161">
        <f t="shared" si="239"/>
        <v>0</v>
      </c>
      <c r="EH182" s="161">
        <f t="shared" si="240"/>
        <v>0</v>
      </c>
      <c r="EI182" s="161">
        <f t="shared" si="241"/>
        <v>0</v>
      </c>
      <c r="EJ182" s="161">
        <f t="shared" si="242"/>
        <v>0</v>
      </c>
      <c r="EK182" s="147">
        <f t="shared" si="174"/>
        <v>142.36111111111109</v>
      </c>
      <c r="EL182" s="149"/>
      <c r="EN182" s="146"/>
      <c r="EO182" s="146"/>
      <c r="EP182" s="139" t="e">
        <f t="shared" si="175"/>
        <v>#VALUE!</v>
      </c>
      <c r="EQ182" s="139" t="e">
        <f t="shared" si="176"/>
        <v>#VALUE!</v>
      </c>
      <c r="ER182" s="139" t="e">
        <f t="shared" si="177"/>
        <v>#VALUE!</v>
      </c>
      <c r="ES182" s="139" t="e">
        <f t="shared" si="178"/>
        <v>#VALUE!</v>
      </c>
      <c r="ET182" s="139" t="e">
        <f t="shared" si="179"/>
        <v>#VALUE!</v>
      </c>
      <c r="EU182" s="139" t="e">
        <f t="shared" si="180"/>
        <v>#VALUE!</v>
      </c>
      <c r="EV182" s="139" t="e">
        <f t="shared" si="181"/>
        <v>#VALUE!</v>
      </c>
      <c r="EW182" s="139" t="e">
        <f t="shared" si="182"/>
        <v>#VALUE!</v>
      </c>
      <c r="EX182" s="139" t="e">
        <f t="shared" si="183"/>
        <v>#VALUE!</v>
      </c>
      <c r="EY182" s="139" t="e">
        <f t="shared" si="184"/>
        <v>#VALUE!</v>
      </c>
      <c r="EZ182" s="139" t="e">
        <f t="shared" si="185"/>
        <v>#VALUE!</v>
      </c>
      <c r="FA182" s="139" t="e">
        <f t="shared" si="186"/>
        <v>#VALUE!</v>
      </c>
      <c r="FB182" s="139" t="e">
        <f t="shared" si="187"/>
        <v>#VALUE!</v>
      </c>
      <c r="FC182" s="139" t="e">
        <f t="shared" si="188"/>
        <v>#VALUE!</v>
      </c>
      <c r="FD182" s="139" t="e">
        <f t="shared" si="189"/>
        <v>#VALUE!</v>
      </c>
      <c r="FE182" s="139" t="e">
        <f t="shared" si="190"/>
        <v>#VALUE!</v>
      </c>
      <c r="FF182" s="139" t="e">
        <f t="shared" si="191"/>
        <v>#VALUE!</v>
      </c>
      <c r="FG182" s="139" t="e">
        <f t="shared" si="192"/>
        <v>#VALUE!</v>
      </c>
      <c r="FH182" s="139" t="e">
        <f t="shared" si="193"/>
        <v>#VALUE!</v>
      </c>
      <c r="FI182" s="139" t="e">
        <f t="shared" si="194"/>
        <v>#VALUE!</v>
      </c>
      <c r="FJ182" s="139" t="e">
        <f t="shared" si="195"/>
        <v>#VALUE!</v>
      </c>
      <c r="FK182" s="139" t="e">
        <f t="shared" si="196"/>
        <v>#VALUE!</v>
      </c>
      <c r="FL182" s="139" t="e">
        <f t="shared" si="197"/>
        <v>#VALUE!</v>
      </c>
      <c r="FM182" s="139" t="e">
        <f t="shared" si="198"/>
        <v>#VALUE!</v>
      </c>
      <c r="FN182" s="139" t="e">
        <f t="shared" si="199"/>
        <v>#VALUE!</v>
      </c>
      <c r="FO182" s="139" t="e">
        <f t="shared" si="200"/>
        <v>#VALUE!</v>
      </c>
      <c r="FP182" s="139" t="e">
        <f t="shared" si="201"/>
        <v>#VALUE!</v>
      </c>
      <c r="FQ182" s="139" t="e">
        <f t="shared" si="202"/>
        <v>#VALUE!</v>
      </c>
      <c r="FR182" s="139" t="e">
        <f t="shared" si="203"/>
        <v>#VALUE!</v>
      </c>
      <c r="FS182" s="139" t="e">
        <f t="shared" si="204"/>
        <v>#VALUE!</v>
      </c>
      <c r="FT182" s="139" t="e">
        <f t="shared" si="205"/>
        <v>#VALUE!</v>
      </c>
      <c r="FU182" s="148" t="e">
        <f t="shared" si="206"/>
        <v>#VALUE!</v>
      </c>
      <c r="FV182" s="149"/>
      <c r="FY182" s="211">
        <v>177</v>
      </c>
      <c r="FZ182">
        <v>160.0453978699606</v>
      </c>
      <c r="GA182">
        <v>127.39571420296289</v>
      </c>
      <c r="GB182">
        <v>40.104020117344277</v>
      </c>
      <c r="GC182">
        <v>11.532214142287598</v>
      </c>
      <c r="GD182">
        <v>3.5002332139648851</v>
      </c>
      <c r="GE182">
        <v>5.8740482800350584</v>
      </c>
      <c r="GF182">
        <v>41.083172685061307</v>
      </c>
      <c r="GG182">
        <v>49.851231009725829</v>
      </c>
      <c r="GH182">
        <v>26.36950477322004</v>
      </c>
      <c r="GI182">
        <v>92.989759282810169</v>
      </c>
      <c r="GJ182"/>
      <c r="GK182"/>
      <c r="GL182"/>
      <c r="GM182"/>
    </row>
    <row r="183" spans="1:195" s="7" customFormat="1">
      <c r="A183" s="1"/>
      <c r="B183" s="76">
        <f t="shared" ca="1" si="171"/>
        <v>0.52557842594785686</v>
      </c>
      <c r="C183">
        <v>2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1361.5061994047533</v>
      </c>
      <c r="AO183">
        <v>205.47079537136582</v>
      </c>
      <c r="AP183">
        <v>1794.1415268352703</v>
      </c>
      <c r="AQ183">
        <v>547.12474938180185</v>
      </c>
      <c r="AR183">
        <v>200.39194105191237</v>
      </c>
      <c r="AS183">
        <v>2049.1275198923181</v>
      </c>
      <c r="AT183">
        <v>99.087849699177823</v>
      </c>
      <c r="AU183">
        <v>361.53710412870646</v>
      </c>
      <c r="AV183"/>
      <c r="AW183"/>
      <c r="AX183" s="146"/>
      <c r="AY183" s="76">
        <f t="shared" ca="1" si="172"/>
        <v>0.76563196467681105</v>
      </c>
      <c r="AZ183">
        <v>6</v>
      </c>
      <c r="BA183" s="129">
        <f t="shared" si="248"/>
        <v>39987</v>
      </c>
      <c r="BB183">
        <v>0</v>
      </c>
      <c r="BC183"/>
      <c r="BD183"/>
      <c r="BE183">
        <v>1</v>
      </c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7"/>
        <v>0.6690509518545118</v>
      </c>
      <c r="CL183" s="179">
        <f t="shared" si="208"/>
        <v>6</v>
      </c>
      <c r="CM183" s="180">
        <f t="shared" si="209"/>
        <v>39987</v>
      </c>
      <c r="CN183">
        <v>0</v>
      </c>
      <c r="CO183"/>
      <c r="CP183">
        <v>1</v>
      </c>
      <c r="CQ183">
        <v>2</v>
      </c>
      <c r="CR183">
        <v>4</v>
      </c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10"/>
        <v>9.6000000000000002E-2</v>
      </c>
      <c r="DB183" s="146"/>
      <c r="DC183" s="76">
        <f t="shared" ca="1" si="173"/>
        <v>0.61219798829644356</v>
      </c>
      <c r="DD183">
        <f t="shared" si="211"/>
        <v>6</v>
      </c>
      <c r="DE183" s="129">
        <f t="shared" si="247"/>
        <v>39987</v>
      </c>
      <c r="DF183" s="161">
        <f t="shared" si="212"/>
        <v>0</v>
      </c>
      <c r="DG183" s="161">
        <f t="shared" si="213"/>
        <v>0</v>
      </c>
      <c r="DH183" s="161">
        <f t="shared" si="214"/>
        <v>72.916666666666671</v>
      </c>
      <c r="DI183" s="161">
        <f t="shared" si="215"/>
        <v>156.25</v>
      </c>
      <c r="DJ183" s="161">
        <f t="shared" si="216"/>
        <v>291.66666666666669</v>
      </c>
      <c r="DK183" s="161">
        <f t="shared" si="217"/>
        <v>0</v>
      </c>
      <c r="DL183" s="161">
        <f t="shared" si="218"/>
        <v>0</v>
      </c>
      <c r="DM183" s="161">
        <f t="shared" si="219"/>
        <v>0</v>
      </c>
      <c r="DN183" s="161">
        <f t="shared" si="220"/>
        <v>0</v>
      </c>
      <c r="DO183" s="161">
        <f t="shared" si="221"/>
        <v>0</v>
      </c>
      <c r="DP183" s="161">
        <f t="shared" si="222"/>
        <v>0</v>
      </c>
      <c r="DQ183" s="161">
        <f t="shared" si="223"/>
        <v>0</v>
      </c>
      <c r="DR183" s="161">
        <f t="shared" si="224"/>
        <v>0</v>
      </c>
      <c r="DS183" s="161">
        <f t="shared" si="225"/>
        <v>0</v>
      </c>
      <c r="DT183" s="161">
        <f t="shared" si="226"/>
        <v>0</v>
      </c>
      <c r="DU183" s="161">
        <f t="shared" si="227"/>
        <v>0</v>
      </c>
      <c r="DV183" s="161">
        <f t="shared" si="228"/>
        <v>0</v>
      </c>
      <c r="DW183" s="161">
        <f t="shared" si="229"/>
        <v>0</v>
      </c>
      <c r="DX183" s="161">
        <f t="shared" si="230"/>
        <v>0</v>
      </c>
      <c r="DY183" s="161">
        <f t="shared" si="231"/>
        <v>0</v>
      </c>
      <c r="DZ183" s="161">
        <f t="shared" si="232"/>
        <v>0</v>
      </c>
      <c r="EA183" s="161">
        <f t="shared" si="233"/>
        <v>0</v>
      </c>
      <c r="EB183" s="161">
        <f t="shared" si="234"/>
        <v>0</v>
      </c>
      <c r="EC183" s="161">
        <f t="shared" si="235"/>
        <v>0</v>
      </c>
      <c r="ED183" s="161">
        <f t="shared" si="236"/>
        <v>0</v>
      </c>
      <c r="EE183" s="161">
        <f t="shared" si="237"/>
        <v>0</v>
      </c>
      <c r="EF183" s="161">
        <f t="shared" si="238"/>
        <v>0</v>
      </c>
      <c r="EG183" s="161">
        <f t="shared" si="239"/>
        <v>0</v>
      </c>
      <c r="EH183" s="161">
        <f t="shared" si="240"/>
        <v>0</v>
      </c>
      <c r="EI183" s="161">
        <f t="shared" si="241"/>
        <v>0</v>
      </c>
      <c r="EJ183" s="161">
        <f t="shared" si="242"/>
        <v>0</v>
      </c>
      <c r="EK183" s="147">
        <f t="shared" si="174"/>
        <v>520.83333333333337</v>
      </c>
      <c r="EL183" s="149"/>
      <c r="EN183" s="146"/>
      <c r="EO183" s="146"/>
      <c r="EP183" s="139" t="e">
        <f t="shared" si="175"/>
        <v>#VALUE!</v>
      </c>
      <c r="EQ183" s="139" t="e">
        <f t="shared" si="176"/>
        <v>#VALUE!</v>
      </c>
      <c r="ER183" s="139" t="e">
        <f t="shared" si="177"/>
        <v>#VALUE!</v>
      </c>
      <c r="ES183" s="139" t="e">
        <f t="shared" si="178"/>
        <v>#VALUE!</v>
      </c>
      <c r="ET183" s="139" t="e">
        <f t="shared" si="179"/>
        <v>#VALUE!</v>
      </c>
      <c r="EU183" s="139" t="e">
        <f t="shared" si="180"/>
        <v>#VALUE!</v>
      </c>
      <c r="EV183" s="139" t="e">
        <f t="shared" si="181"/>
        <v>#VALUE!</v>
      </c>
      <c r="EW183" s="139" t="e">
        <f t="shared" si="182"/>
        <v>#VALUE!</v>
      </c>
      <c r="EX183" s="139" t="e">
        <f t="shared" si="183"/>
        <v>#VALUE!</v>
      </c>
      <c r="EY183" s="139" t="e">
        <f t="shared" si="184"/>
        <v>#VALUE!</v>
      </c>
      <c r="EZ183" s="139" t="e">
        <f t="shared" si="185"/>
        <v>#VALUE!</v>
      </c>
      <c r="FA183" s="139" t="e">
        <f t="shared" si="186"/>
        <v>#VALUE!</v>
      </c>
      <c r="FB183" s="139" t="e">
        <f t="shared" si="187"/>
        <v>#VALUE!</v>
      </c>
      <c r="FC183" s="139" t="e">
        <f t="shared" si="188"/>
        <v>#VALUE!</v>
      </c>
      <c r="FD183" s="139" t="e">
        <f t="shared" si="189"/>
        <v>#VALUE!</v>
      </c>
      <c r="FE183" s="139" t="e">
        <f t="shared" si="190"/>
        <v>#VALUE!</v>
      </c>
      <c r="FF183" s="139" t="e">
        <f t="shared" si="191"/>
        <v>#VALUE!</v>
      </c>
      <c r="FG183" s="139" t="e">
        <f t="shared" si="192"/>
        <v>#VALUE!</v>
      </c>
      <c r="FH183" s="139" t="e">
        <f t="shared" si="193"/>
        <v>#VALUE!</v>
      </c>
      <c r="FI183" s="139" t="e">
        <f t="shared" si="194"/>
        <v>#VALUE!</v>
      </c>
      <c r="FJ183" s="139" t="e">
        <f t="shared" si="195"/>
        <v>#VALUE!</v>
      </c>
      <c r="FK183" s="139" t="e">
        <f t="shared" si="196"/>
        <v>#VALUE!</v>
      </c>
      <c r="FL183" s="139" t="e">
        <f t="shared" si="197"/>
        <v>#VALUE!</v>
      </c>
      <c r="FM183" s="139" t="e">
        <f t="shared" si="198"/>
        <v>#VALUE!</v>
      </c>
      <c r="FN183" s="139" t="e">
        <f t="shared" si="199"/>
        <v>#VALUE!</v>
      </c>
      <c r="FO183" s="139" t="e">
        <f t="shared" si="200"/>
        <v>#VALUE!</v>
      </c>
      <c r="FP183" s="139" t="e">
        <f t="shared" si="201"/>
        <v>#VALUE!</v>
      </c>
      <c r="FQ183" s="139" t="e">
        <f t="shared" si="202"/>
        <v>#VALUE!</v>
      </c>
      <c r="FR183" s="139" t="e">
        <f t="shared" si="203"/>
        <v>#VALUE!</v>
      </c>
      <c r="FS183" s="139" t="e">
        <f t="shared" si="204"/>
        <v>#VALUE!</v>
      </c>
      <c r="FT183" s="139" t="e">
        <f t="shared" si="205"/>
        <v>#VALUE!</v>
      </c>
      <c r="FU183" s="148" t="e">
        <f t="shared" si="206"/>
        <v>#VALUE!</v>
      </c>
      <c r="FV183" s="149"/>
      <c r="FY183" s="211">
        <v>178</v>
      </c>
      <c r="FZ183">
        <v>157.83496964758879</v>
      </c>
      <c r="GA183">
        <v>155.91666163303651</v>
      </c>
      <c r="GB183">
        <v>38.269858843450407</v>
      </c>
      <c r="GC183">
        <v>7.367741341828375</v>
      </c>
      <c r="GD183">
        <v>3.101691324387458</v>
      </c>
      <c r="GE183">
        <v>6.9956187400367824</v>
      </c>
      <c r="GF183">
        <v>52.444858560988152</v>
      </c>
      <c r="GG183">
        <v>66.283257187841059</v>
      </c>
      <c r="GH183">
        <v>32.880310253797518</v>
      </c>
      <c r="GI183">
        <v>91.14992452069275</v>
      </c>
      <c r="GJ183"/>
      <c r="GK183"/>
      <c r="GL183"/>
      <c r="GM183"/>
    </row>
    <row r="184" spans="1:195" s="7" customFormat="1">
      <c r="A184" s="1"/>
      <c r="B184" s="76">
        <f t="shared" ref="B184:B207" ca="1" si="249">IF(C184="", "", RAND())</f>
        <v>0.93227666940767429</v>
      </c>
      <c r="C184">
        <v>1</v>
      </c>
      <c r="D184">
        <v>39987</v>
      </c>
      <c r="E184">
        <v>77.570921985815602</v>
      </c>
      <c r="F184">
        <v>0</v>
      </c>
      <c r="G184">
        <v>77.570921985815602</v>
      </c>
      <c r="H184">
        <v>155.1418439716312</v>
      </c>
      <c r="I184">
        <v>77.570921985815602</v>
      </c>
      <c r="J184">
        <v>0</v>
      </c>
      <c r="K184">
        <v>77.570921985815602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1314.0758156018637</v>
      </c>
      <c r="AO184">
        <v>172.09732250054259</v>
      </c>
      <c r="AP184">
        <v>1421.1713293354653</v>
      </c>
      <c r="AQ184">
        <v>558.6181773617493</v>
      </c>
      <c r="AR184">
        <v>171.82240335395244</v>
      </c>
      <c r="AS184">
        <v>1808.1835250003785</v>
      </c>
      <c r="AT184">
        <v>81.441859516773846</v>
      </c>
      <c r="AU184">
        <v>228.12787924698659</v>
      </c>
      <c r="AV184"/>
      <c r="AW184"/>
      <c r="AX184" s="146"/>
      <c r="AY184" s="76">
        <f t="shared" ca="1" si="172"/>
        <v>2.851071129413052E-2</v>
      </c>
      <c r="AZ184">
        <v>7</v>
      </c>
      <c r="BA184" s="129">
        <f t="shared" si="248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7"/>
        <v>0.87403795880292579</v>
      </c>
      <c r="CL184" s="179">
        <f t="shared" si="208"/>
        <v>7</v>
      </c>
      <c r="CM184" s="180">
        <f t="shared" si="209"/>
        <v>39987</v>
      </c>
      <c r="CN184">
        <v>0</v>
      </c>
      <c r="CO184">
        <v>2</v>
      </c>
      <c r="CP184">
        <v>8</v>
      </c>
      <c r="CQ184">
        <v>4</v>
      </c>
      <c r="CR184">
        <v>1</v>
      </c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10"/>
        <v>9.6000000000000002E-2</v>
      </c>
      <c r="DB184" s="146"/>
      <c r="DC184" s="76">
        <f t="shared" ca="1" si="173"/>
        <v>0.76397132744260587</v>
      </c>
      <c r="DD184">
        <f t="shared" si="211"/>
        <v>7</v>
      </c>
      <c r="DE184" s="129">
        <f t="shared" si="247"/>
        <v>39987</v>
      </c>
      <c r="DF184" s="161">
        <f t="shared" si="212"/>
        <v>0</v>
      </c>
      <c r="DG184" s="161">
        <f t="shared" si="213"/>
        <v>142.97385620915031</v>
      </c>
      <c r="DH184" s="161">
        <f t="shared" si="214"/>
        <v>571.89542483660125</v>
      </c>
      <c r="DI184" s="161">
        <f t="shared" si="215"/>
        <v>285.94771241830063</v>
      </c>
      <c r="DJ184" s="161">
        <f t="shared" si="216"/>
        <v>71.486928104575156</v>
      </c>
      <c r="DK184" s="161">
        <f t="shared" si="217"/>
        <v>0</v>
      </c>
      <c r="DL184" s="161">
        <f t="shared" si="218"/>
        <v>0</v>
      </c>
      <c r="DM184" s="161">
        <f t="shared" si="219"/>
        <v>0</v>
      </c>
      <c r="DN184" s="161">
        <f t="shared" si="220"/>
        <v>0</v>
      </c>
      <c r="DO184" s="161">
        <f t="shared" si="221"/>
        <v>0</v>
      </c>
      <c r="DP184" s="161">
        <f t="shared" si="222"/>
        <v>0</v>
      </c>
      <c r="DQ184" s="161">
        <f t="shared" si="223"/>
        <v>0</v>
      </c>
      <c r="DR184" s="161">
        <f t="shared" si="224"/>
        <v>0</v>
      </c>
      <c r="DS184" s="161">
        <f t="shared" si="225"/>
        <v>0</v>
      </c>
      <c r="DT184" s="161">
        <f t="shared" si="226"/>
        <v>0</v>
      </c>
      <c r="DU184" s="161">
        <f t="shared" si="227"/>
        <v>0</v>
      </c>
      <c r="DV184" s="161">
        <f t="shared" si="228"/>
        <v>0</v>
      </c>
      <c r="DW184" s="161">
        <f t="shared" si="229"/>
        <v>0</v>
      </c>
      <c r="DX184" s="161">
        <f t="shared" si="230"/>
        <v>0</v>
      </c>
      <c r="DY184" s="161">
        <f t="shared" si="231"/>
        <v>0</v>
      </c>
      <c r="DZ184" s="161">
        <f t="shared" si="232"/>
        <v>0</v>
      </c>
      <c r="EA184" s="161">
        <f t="shared" si="233"/>
        <v>0</v>
      </c>
      <c r="EB184" s="161">
        <f t="shared" si="234"/>
        <v>0</v>
      </c>
      <c r="EC184" s="161">
        <f t="shared" si="235"/>
        <v>0</v>
      </c>
      <c r="ED184" s="161">
        <f t="shared" si="236"/>
        <v>0</v>
      </c>
      <c r="EE184" s="161">
        <f t="shared" si="237"/>
        <v>0</v>
      </c>
      <c r="EF184" s="161">
        <f t="shared" si="238"/>
        <v>0</v>
      </c>
      <c r="EG184" s="161">
        <f t="shared" si="239"/>
        <v>0</v>
      </c>
      <c r="EH184" s="161">
        <f t="shared" si="240"/>
        <v>0</v>
      </c>
      <c r="EI184" s="161">
        <f t="shared" si="241"/>
        <v>0</v>
      </c>
      <c r="EJ184" s="161">
        <f t="shared" si="242"/>
        <v>0</v>
      </c>
      <c r="EK184" s="147">
        <f t="shared" ref="EK184:EK207" si="250">IF(DF184="", "", SUM(DF184:EJ184))</f>
        <v>1072.3039215686274</v>
      </c>
      <c r="EL184" s="149"/>
      <c r="EN184" s="146"/>
      <c r="EO184" s="146"/>
      <c r="EP184" s="139" t="e">
        <f t="shared" ref="EP184:EP207" si="251">IF(DF184="", "", DF184*G$36)</f>
        <v>#VALUE!</v>
      </c>
      <c r="EQ184" s="139" t="e">
        <f t="shared" ref="EQ184:EQ207" si="252">IF(DG184="", "", DG184*H$36)</f>
        <v>#VALUE!</v>
      </c>
      <c r="ER184" s="139" t="e">
        <f t="shared" ref="ER184:ER207" si="253">IF(DH184="", "", DH184*I$36)</f>
        <v>#VALUE!</v>
      </c>
      <c r="ES184" s="139" t="e">
        <f t="shared" ref="ES184:ES207" si="254">IF(DI184="", "", DI184*J$36)</f>
        <v>#VALUE!</v>
      </c>
      <c r="ET184" s="139" t="e">
        <f t="shared" ref="ET184:ET207" si="255">IF(DJ184="", "", DJ184*K$36)</f>
        <v>#VALUE!</v>
      </c>
      <c r="EU184" s="139" t="e">
        <f t="shared" ref="EU184:EU207" si="256">IF(DK184="", "", DK184*L$36)</f>
        <v>#VALUE!</v>
      </c>
      <c r="EV184" s="139" t="e">
        <f t="shared" ref="EV184:EV207" si="257">IF(DL184="", "", DL184*M$36)</f>
        <v>#VALUE!</v>
      </c>
      <c r="EW184" s="139" t="e">
        <f t="shared" ref="EW184:EW207" si="258">IF(DM184="", "", DM184*N$36)</f>
        <v>#VALUE!</v>
      </c>
      <c r="EX184" s="139" t="e">
        <f t="shared" ref="EX184:EX207" si="259">IF(DN184="", "", DN184*O$36)</f>
        <v>#VALUE!</v>
      </c>
      <c r="EY184" s="139" t="e">
        <f t="shared" ref="EY184:EY207" si="260">IF(DO184="", "", DO184*P$36)</f>
        <v>#VALUE!</v>
      </c>
      <c r="EZ184" s="139" t="e">
        <f t="shared" ref="EZ184:EZ207" si="261">IF(DP184="", "", DP184*Q$36)</f>
        <v>#VALUE!</v>
      </c>
      <c r="FA184" s="139" t="e">
        <f t="shared" ref="FA184:FA207" si="262">IF(DQ184="", "", DQ184*R$36)</f>
        <v>#VALUE!</v>
      </c>
      <c r="FB184" s="139" t="e">
        <f t="shared" ref="FB184:FB207" si="263">IF(DR184="", "", DR184*S$36)</f>
        <v>#VALUE!</v>
      </c>
      <c r="FC184" s="139" t="e">
        <f t="shared" ref="FC184:FC207" si="264">IF(DS184="", "", DS184*T$36)</f>
        <v>#VALUE!</v>
      </c>
      <c r="FD184" s="139" t="e">
        <f t="shared" ref="FD184:FD207" si="265">IF(DT184="", "", DT184*U$36)</f>
        <v>#VALUE!</v>
      </c>
      <c r="FE184" s="139" t="e">
        <f t="shared" ref="FE184:FE207" si="266">IF(DU184="", "", DU184*V$36)</f>
        <v>#VALUE!</v>
      </c>
      <c r="FF184" s="139" t="e">
        <f t="shared" ref="FF184:FF207" si="267">IF(DV184="", "", DV184*W$36)</f>
        <v>#VALUE!</v>
      </c>
      <c r="FG184" s="139" t="e">
        <f t="shared" ref="FG184:FG207" si="268">IF(DW184="", "", DW184*X$36)</f>
        <v>#VALUE!</v>
      </c>
      <c r="FH184" s="139" t="e">
        <f t="shared" ref="FH184:FH207" si="269">IF(DX184="", "", DX184*Y$36)</f>
        <v>#VALUE!</v>
      </c>
      <c r="FI184" s="139" t="e">
        <f t="shared" ref="FI184:FI207" si="270">IF(DY184="", "", DY184*Z$36)</f>
        <v>#VALUE!</v>
      </c>
      <c r="FJ184" s="139" t="e">
        <f t="shared" ref="FJ184:FJ207" si="271">IF(DZ184="", "", DZ184*AA$36)</f>
        <v>#VALUE!</v>
      </c>
      <c r="FK184" s="139" t="e">
        <f t="shared" ref="FK184:FK207" si="272">IF(EA184="", "", EA184*AB$36)</f>
        <v>#VALUE!</v>
      </c>
      <c r="FL184" s="139" t="e">
        <f t="shared" ref="FL184:FL207" si="273">IF(EB184="", "", EB184*AC$36)</f>
        <v>#VALUE!</v>
      </c>
      <c r="FM184" s="139" t="e">
        <f t="shared" ref="FM184:FM207" si="274">IF(EC184="", "", EC184*AD$36)</f>
        <v>#VALUE!</v>
      </c>
      <c r="FN184" s="139" t="e">
        <f t="shared" ref="FN184:FN207" si="275">IF(ED184="", "", ED184*AE$36)</f>
        <v>#VALUE!</v>
      </c>
      <c r="FO184" s="139" t="e">
        <f t="shared" ref="FO184:FO207" si="276">IF(EE184="", "", EE184*AF$36)</f>
        <v>#VALUE!</v>
      </c>
      <c r="FP184" s="139" t="e">
        <f t="shared" ref="FP184:FP207" si="277">IF(EF184="", "", EF184*AG$36)</f>
        <v>#VALUE!</v>
      </c>
      <c r="FQ184" s="139" t="e">
        <f t="shared" ref="FQ184:FQ207" si="278">IF(EG184="", "", EG184*AH$36)</f>
        <v>#VALUE!</v>
      </c>
      <c r="FR184" s="139" t="e">
        <f t="shared" ref="FR184:FR207" si="279">IF(EH184="", "", EH184*AI$36)</f>
        <v>#VALUE!</v>
      </c>
      <c r="FS184" s="139" t="e">
        <f t="shared" ref="FS184:FS207" si="280">IF(EI184="", "", EI184*AJ$36)</f>
        <v>#VALUE!</v>
      </c>
      <c r="FT184" s="139" t="e">
        <f t="shared" ref="FT184:FT207" si="281">IF(EJ184="", "", EJ184*AK$36)</f>
        <v>#VALUE!</v>
      </c>
      <c r="FU184" s="148" t="e">
        <f t="shared" ref="FU184:FU207" si="282">IF(EP184="","",SUM(EP184:FT184))</f>
        <v>#VALUE!</v>
      </c>
      <c r="FV184" s="149"/>
      <c r="FY184" s="211">
        <v>179</v>
      </c>
      <c r="FZ184">
        <v>139.12481819485609</v>
      </c>
      <c r="GA184">
        <v>113.66665216728575</v>
      </c>
      <c r="GB184">
        <v>32.511864621257857</v>
      </c>
      <c r="GC184">
        <v>8.961127286011024</v>
      </c>
      <c r="GD184">
        <v>3.5672572600213739</v>
      </c>
      <c r="GE184">
        <v>6.8972017704229209</v>
      </c>
      <c r="GF184">
        <v>24.613291751050919</v>
      </c>
      <c r="GG184">
        <v>29.393398335849209</v>
      </c>
      <c r="GH184">
        <v>27.112116032989512</v>
      </c>
      <c r="GI184">
        <v>76.64657568992466</v>
      </c>
      <c r="GJ184"/>
      <c r="GK184"/>
      <c r="GL184"/>
      <c r="GM184"/>
    </row>
    <row r="185" spans="1:195" s="7" customFormat="1">
      <c r="A185" s="1"/>
      <c r="B185" s="76">
        <f t="shared" ca="1" si="249"/>
        <v>0.87252928590418866</v>
      </c>
      <c r="C185">
        <v>6</v>
      </c>
      <c r="D185">
        <v>39987</v>
      </c>
      <c r="E185">
        <v>0</v>
      </c>
      <c r="F185">
        <v>0</v>
      </c>
      <c r="G185">
        <v>72.916666666666671</v>
      </c>
      <c r="H185">
        <v>156.25</v>
      </c>
      <c r="I185">
        <v>291.66666666666669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871.4430703591845</v>
      </c>
      <c r="AO185">
        <v>143.43887334546756</v>
      </c>
      <c r="AP185">
        <v>1229.1329865427222</v>
      </c>
      <c r="AQ185">
        <v>302.62143399129587</v>
      </c>
      <c r="AR185">
        <v>140.17990697524178</v>
      </c>
      <c r="AS185">
        <v>1400.514899466094</v>
      </c>
      <c r="AT185">
        <v>72.113517529929197</v>
      </c>
      <c r="AU185">
        <v>174.94116240596605</v>
      </c>
      <c r="AV185"/>
      <c r="AW185"/>
      <c r="AX185" s="146"/>
      <c r="AY185" s="76">
        <f t="shared" ca="1" si="172"/>
        <v>0.22940610453210486</v>
      </c>
      <c r="AZ185">
        <v>8</v>
      </c>
      <c r="BA185" s="129">
        <f t="shared" si="248"/>
        <v>39987</v>
      </c>
      <c r="BB185">
        <v>0</v>
      </c>
      <c r="BC185"/>
      <c r="BD185"/>
      <c r="BE185"/>
      <c r="BF185">
        <v>1</v>
      </c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7"/>
        <v>0.23702531298432417</v>
      </c>
      <c r="CL185" s="179">
        <f t="shared" si="208"/>
        <v>8</v>
      </c>
      <c r="CM185" s="180">
        <f t="shared" si="209"/>
        <v>39987</v>
      </c>
      <c r="CN185">
        <v>0</v>
      </c>
      <c r="CO185">
        <v>1</v>
      </c>
      <c r="CP185">
        <v>1</v>
      </c>
      <c r="CQ185">
        <v>2</v>
      </c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10"/>
        <v>9.6000000000000002E-2</v>
      </c>
      <c r="DB185" s="146"/>
      <c r="DC185" s="76">
        <f t="shared" ca="1" si="173"/>
        <v>0.32750090965591072</v>
      </c>
      <c r="DD185">
        <f t="shared" si="211"/>
        <v>8</v>
      </c>
      <c r="DE185" s="129">
        <f t="shared" si="247"/>
        <v>39987</v>
      </c>
      <c r="DF185" s="161">
        <f t="shared" si="212"/>
        <v>0</v>
      </c>
      <c r="DG185" s="161">
        <f t="shared" si="213"/>
        <v>56.089743589743591</v>
      </c>
      <c r="DH185" s="161">
        <f t="shared" si="214"/>
        <v>56.089743589743591</v>
      </c>
      <c r="DI185" s="161">
        <f t="shared" si="215"/>
        <v>112.17948717948718</v>
      </c>
      <c r="DJ185" s="161">
        <f t="shared" si="216"/>
        <v>10.416666666666666</v>
      </c>
      <c r="DK185" s="161">
        <f t="shared" si="217"/>
        <v>0</v>
      </c>
      <c r="DL185" s="161">
        <f t="shared" si="218"/>
        <v>0</v>
      </c>
      <c r="DM185" s="161">
        <f t="shared" si="219"/>
        <v>0</v>
      </c>
      <c r="DN185" s="161">
        <f t="shared" si="220"/>
        <v>0</v>
      </c>
      <c r="DO185" s="161">
        <f t="shared" si="221"/>
        <v>0</v>
      </c>
      <c r="DP185" s="161">
        <f t="shared" si="222"/>
        <v>0</v>
      </c>
      <c r="DQ185" s="161">
        <f t="shared" si="223"/>
        <v>0</v>
      </c>
      <c r="DR185" s="161">
        <f t="shared" si="224"/>
        <v>0</v>
      </c>
      <c r="DS185" s="161">
        <f t="shared" si="225"/>
        <v>0</v>
      </c>
      <c r="DT185" s="161">
        <f t="shared" si="226"/>
        <v>0</v>
      </c>
      <c r="DU185" s="161">
        <f t="shared" si="227"/>
        <v>0</v>
      </c>
      <c r="DV185" s="161">
        <f t="shared" si="228"/>
        <v>0</v>
      </c>
      <c r="DW185" s="161">
        <f t="shared" si="229"/>
        <v>0</v>
      </c>
      <c r="DX185" s="161">
        <f t="shared" si="230"/>
        <v>0</v>
      </c>
      <c r="DY185" s="161">
        <f t="shared" si="231"/>
        <v>0</v>
      </c>
      <c r="DZ185" s="161">
        <f t="shared" si="232"/>
        <v>0</v>
      </c>
      <c r="EA185" s="161">
        <f t="shared" si="233"/>
        <v>0</v>
      </c>
      <c r="EB185" s="161">
        <f t="shared" si="234"/>
        <v>0</v>
      </c>
      <c r="EC185" s="161">
        <f t="shared" si="235"/>
        <v>0</v>
      </c>
      <c r="ED185" s="161">
        <f t="shared" si="236"/>
        <v>0</v>
      </c>
      <c r="EE185" s="161">
        <f t="shared" si="237"/>
        <v>0</v>
      </c>
      <c r="EF185" s="161">
        <f t="shared" si="238"/>
        <v>0</v>
      </c>
      <c r="EG185" s="161">
        <f t="shared" si="239"/>
        <v>0</v>
      </c>
      <c r="EH185" s="161">
        <f t="shared" si="240"/>
        <v>0</v>
      </c>
      <c r="EI185" s="161">
        <f t="shared" si="241"/>
        <v>0</v>
      </c>
      <c r="EJ185" s="161">
        <f t="shared" si="242"/>
        <v>0</v>
      </c>
      <c r="EK185" s="147">
        <f t="shared" si="250"/>
        <v>234.77564102564102</v>
      </c>
      <c r="EL185" s="149"/>
      <c r="EN185" s="146"/>
      <c r="EO185" s="146"/>
      <c r="EP185" s="139" t="e">
        <f t="shared" si="251"/>
        <v>#VALUE!</v>
      </c>
      <c r="EQ185" s="139" t="e">
        <f t="shared" si="252"/>
        <v>#VALUE!</v>
      </c>
      <c r="ER185" s="139" t="e">
        <f t="shared" si="253"/>
        <v>#VALUE!</v>
      </c>
      <c r="ES185" s="139" t="e">
        <f t="shared" si="254"/>
        <v>#VALUE!</v>
      </c>
      <c r="ET185" s="139" t="e">
        <f t="shared" si="255"/>
        <v>#VALUE!</v>
      </c>
      <c r="EU185" s="139" t="e">
        <f t="shared" si="256"/>
        <v>#VALUE!</v>
      </c>
      <c r="EV185" s="139" t="e">
        <f t="shared" si="257"/>
        <v>#VALUE!</v>
      </c>
      <c r="EW185" s="139" t="e">
        <f t="shared" si="258"/>
        <v>#VALUE!</v>
      </c>
      <c r="EX185" s="139" t="e">
        <f t="shared" si="259"/>
        <v>#VALUE!</v>
      </c>
      <c r="EY185" s="139" t="e">
        <f t="shared" si="260"/>
        <v>#VALUE!</v>
      </c>
      <c r="EZ185" s="139" t="e">
        <f t="shared" si="261"/>
        <v>#VALUE!</v>
      </c>
      <c r="FA185" s="139" t="e">
        <f t="shared" si="262"/>
        <v>#VALUE!</v>
      </c>
      <c r="FB185" s="139" t="e">
        <f t="shared" si="263"/>
        <v>#VALUE!</v>
      </c>
      <c r="FC185" s="139" t="e">
        <f t="shared" si="264"/>
        <v>#VALUE!</v>
      </c>
      <c r="FD185" s="139" t="e">
        <f t="shared" si="265"/>
        <v>#VALUE!</v>
      </c>
      <c r="FE185" s="139" t="e">
        <f t="shared" si="266"/>
        <v>#VALUE!</v>
      </c>
      <c r="FF185" s="139" t="e">
        <f t="shared" si="267"/>
        <v>#VALUE!</v>
      </c>
      <c r="FG185" s="139" t="e">
        <f t="shared" si="268"/>
        <v>#VALUE!</v>
      </c>
      <c r="FH185" s="139" t="e">
        <f t="shared" si="269"/>
        <v>#VALUE!</v>
      </c>
      <c r="FI185" s="139" t="e">
        <f t="shared" si="270"/>
        <v>#VALUE!</v>
      </c>
      <c r="FJ185" s="139" t="e">
        <f t="shared" si="271"/>
        <v>#VALUE!</v>
      </c>
      <c r="FK185" s="139" t="e">
        <f t="shared" si="272"/>
        <v>#VALUE!</v>
      </c>
      <c r="FL185" s="139" t="e">
        <f t="shared" si="273"/>
        <v>#VALUE!</v>
      </c>
      <c r="FM185" s="139" t="e">
        <f t="shared" si="274"/>
        <v>#VALUE!</v>
      </c>
      <c r="FN185" s="139" t="e">
        <f t="shared" si="275"/>
        <v>#VALUE!</v>
      </c>
      <c r="FO185" s="139" t="e">
        <f t="shared" si="276"/>
        <v>#VALUE!</v>
      </c>
      <c r="FP185" s="139" t="e">
        <f t="shared" si="277"/>
        <v>#VALUE!</v>
      </c>
      <c r="FQ185" s="139" t="e">
        <f t="shared" si="278"/>
        <v>#VALUE!</v>
      </c>
      <c r="FR185" s="139" t="e">
        <f t="shared" si="279"/>
        <v>#VALUE!</v>
      </c>
      <c r="FS185" s="139" t="e">
        <f t="shared" si="280"/>
        <v>#VALUE!</v>
      </c>
      <c r="FT185" s="139" t="e">
        <f t="shared" si="281"/>
        <v>#VALUE!</v>
      </c>
      <c r="FU185" s="148" t="e">
        <f t="shared" si="282"/>
        <v>#VALUE!</v>
      </c>
      <c r="FV185" s="149"/>
      <c r="FY185" s="211">
        <v>180</v>
      </c>
      <c r="FZ185">
        <v>132.5072290033836</v>
      </c>
      <c r="GA185">
        <v>77.511730686173493</v>
      </c>
      <c r="GB185">
        <v>22.679453865786922</v>
      </c>
      <c r="GC185">
        <v>7.184175558410363</v>
      </c>
      <c r="GD185">
        <v>3.5339708117811846</v>
      </c>
      <c r="GE185">
        <v>5.3064541006663877</v>
      </c>
      <c r="GF185">
        <v>27.139059426449826</v>
      </c>
      <c r="GG185">
        <v>35.57256439139686</v>
      </c>
      <c r="GH185">
        <v>21.264406074926615</v>
      </c>
      <c r="GI185">
        <v>71.187245098195476</v>
      </c>
      <c r="GJ185"/>
      <c r="GK185"/>
      <c r="GL185"/>
      <c r="GM185"/>
    </row>
    <row r="186" spans="1:195" s="7" customFormat="1">
      <c r="A186" s="1"/>
      <c r="B186" s="76">
        <f t="shared" ca="1" si="249"/>
        <v>0.76464894831024877</v>
      </c>
      <c r="C186">
        <v>9</v>
      </c>
      <c r="D186">
        <v>39987</v>
      </c>
      <c r="E186">
        <v>0</v>
      </c>
      <c r="F186">
        <v>0</v>
      </c>
      <c r="G186">
        <v>10.416666666666666</v>
      </c>
      <c r="H186">
        <v>150.64102564102564</v>
      </c>
      <c r="I186">
        <v>10.416666666666666</v>
      </c>
      <c r="J186">
        <v>10.416666666666666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1139.2705812656145</v>
      </c>
      <c r="AO186">
        <v>185.80666795279245</v>
      </c>
      <c r="AP186">
        <v>1613.4203676888151</v>
      </c>
      <c r="AQ186">
        <v>619.02765704080207</v>
      </c>
      <c r="AR186">
        <v>184.05994547844011</v>
      </c>
      <c r="AS186">
        <v>1884.4710766230576</v>
      </c>
      <c r="AT186">
        <v>95.305504911439286</v>
      </c>
      <c r="AU186">
        <v>-31.745613696669295</v>
      </c>
      <c r="AV186"/>
      <c r="AW186"/>
      <c r="AX186" s="146"/>
      <c r="AY186" s="76">
        <f t="shared" ca="1" si="172"/>
        <v>3.040698969299338E-2</v>
      </c>
      <c r="AZ186">
        <v>9</v>
      </c>
      <c r="BA186" s="129">
        <f t="shared" si="248"/>
        <v>39987</v>
      </c>
      <c r="BB186">
        <v>0</v>
      </c>
      <c r="BC186"/>
      <c r="BD186">
        <v>1</v>
      </c>
      <c r="BE186">
        <v>1</v>
      </c>
      <c r="BF186">
        <v>1</v>
      </c>
      <c r="BG186">
        <v>1</v>
      </c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7"/>
        <v>0.4902167874485428</v>
      </c>
      <c r="CL186" s="179">
        <f t="shared" si="208"/>
        <v>9</v>
      </c>
      <c r="CM186" s="180">
        <f t="shared" si="209"/>
        <v>39987</v>
      </c>
      <c r="CN186">
        <v>0</v>
      </c>
      <c r="CO186"/>
      <c r="CP186"/>
      <c r="CQ186">
        <v>2</v>
      </c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10"/>
        <v>9.6000000000000002E-2</v>
      </c>
      <c r="DB186" s="146"/>
      <c r="DC186" s="76">
        <f t="shared" ca="1" si="173"/>
        <v>0.13256685822374148</v>
      </c>
      <c r="DD186">
        <f t="shared" si="211"/>
        <v>9</v>
      </c>
      <c r="DE186" s="129">
        <f t="shared" si="247"/>
        <v>39987</v>
      </c>
      <c r="DF186" s="161">
        <f t="shared" si="212"/>
        <v>0</v>
      </c>
      <c r="DG186" s="161">
        <f t="shared" si="213"/>
        <v>0</v>
      </c>
      <c r="DH186" s="161">
        <f t="shared" si="214"/>
        <v>10.416666666666666</v>
      </c>
      <c r="DI186" s="161">
        <f t="shared" si="215"/>
        <v>150.64102564102564</v>
      </c>
      <c r="DJ186" s="161">
        <f t="shared" si="216"/>
        <v>10.416666666666666</v>
      </c>
      <c r="DK186" s="161">
        <f t="shared" si="217"/>
        <v>10.416666666666666</v>
      </c>
      <c r="DL186" s="161">
        <f t="shared" si="218"/>
        <v>0</v>
      </c>
      <c r="DM186" s="161">
        <f t="shared" si="219"/>
        <v>0</v>
      </c>
      <c r="DN186" s="161">
        <f t="shared" si="220"/>
        <v>0</v>
      </c>
      <c r="DO186" s="161">
        <f t="shared" si="221"/>
        <v>0</v>
      </c>
      <c r="DP186" s="161">
        <f t="shared" si="222"/>
        <v>0</v>
      </c>
      <c r="DQ186" s="161">
        <f t="shared" si="223"/>
        <v>0</v>
      </c>
      <c r="DR186" s="161">
        <f t="shared" si="224"/>
        <v>0</v>
      </c>
      <c r="DS186" s="161">
        <f t="shared" si="225"/>
        <v>0</v>
      </c>
      <c r="DT186" s="161">
        <f t="shared" si="226"/>
        <v>0</v>
      </c>
      <c r="DU186" s="161">
        <f t="shared" si="227"/>
        <v>0</v>
      </c>
      <c r="DV186" s="161">
        <f t="shared" si="228"/>
        <v>0</v>
      </c>
      <c r="DW186" s="161">
        <f t="shared" si="229"/>
        <v>0</v>
      </c>
      <c r="DX186" s="161">
        <f t="shared" si="230"/>
        <v>0</v>
      </c>
      <c r="DY186" s="161">
        <f t="shared" si="231"/>
        <v>0</v>
      </c>
      <c r="DZ186" s="161">
        <f t="shared" si="232"/>
        <v>0</v>
      </c>
      <c r="EA186" s="161">
        <f t="shared" si="233"/>
        <v>0</v>
      </c>
      <c r="EB186" s="161">
        <f t="shared" si="234"/>
        <v>0</v>
      </c>
      <c r="EC186" s="161">
        <f t="shared" si="235"/>
        <v>0</v>
      </c>
      <c r="ED186" s="161">
        <f t="shared" si="236"/>
        <v>0</v>
      </c>
      <c r="EE186" s="161">
        <f t="shared" si="237"/>
        <v>0</v>
      </c>
      <c r="EF186" s="161">
        <f t="shared" si="238"/>
        <v>0</v>
      </c>
      <c r="EG186" s="161">
        <f t="shared" si="239"/>
        <v>0</v>
      </c>
      <c r="EH186" s="161">
        <f t="shared" si="240"/>
        <v>0</v>
      </c>
      <c r="EI186" s="161">
        <f t="shared" si="241"/>
        <v>0</v>
      </c>
      <c r="EJ186" s="161">
        <f t="shared" si="242"/>
        <v>0</v>
      </c>
      <c r="EK186" s="147">
        <f t="shared" si="250"/>
        <v>181.89102564102561</v>
      </c>
      <c r="EL186" s="149"/>
      <c r="EN186" s="146"/>
      <c r="EO186" s="146"/>
      <c r="EP186" s="139" t="e">
        <f t="shared" si="251"/>
        <v>#VALUE!</v>
      </c>
      <c r="EQ186" s="139" t="e">
        <f t="shared" si="252"/>
        <v>#VALUE!</v>
      </c>
      <c r="ER186" s="139" t="e">
        <f t="shared" si="253"/>
        <v>#VALUE!</v>
      </c>
      <c r="ES186" s="139" t="e">
        <f t="shared" si="254"/>
        <v>#VALUE!</v>
      </c>
      <c r="ET186" s="139" t="e">
        <f t="shared" si="255"/>
        <v>#VALUE!</v>
      </c>
      <c r="EU186" s="139" t="e">
        <f t="shared" si="256"/>
        <v>#VALUE!</v>
      </c>
      <c r="EV186" s="139" t="e">
        <f t="shared" si="257"/>
        <v>#VALUE!</v>
      </c>
      <c r="EW186" s="139" t="e">
        <f t="shared" si="258"/>
        <v>#VALUE!</v>
      </c>
      <c r="EX186" s="139" t="e">
        <f t="shared" si="259"/>
        <v>#VALUE!</v>
      </c>
      <c r="EY186" s="139" t="e">
        <f t="shared" si="260"/>
        <v>#VALUE!</v>
      </c>
      <c r="EZ186" s="139" t="e">
        <f t="shared" si="261"/>
        <v>#VALUE!</v>
      </c>
      <c r="FA186" s="139" t="e">
        <f t="shared" si="262"/>
        <v>#VALUE!</v>
      </c>
      <c r="FB186" s="139" t="e">
        <f t="shared" si="263"/>
        <v>#VALUE!</v>
      </c>
      <c r="FC186" s="139" t="e">
        <f t="shared" si="264"/>
        <v>#VALUE!</v>
      </c>
      <c r="FD186" s="139" t="e">
        <f t="shared" si="265"/>
        <v>#VALUE!</v>
      </c>
      <c r="FE186" s="139" t="e">
        <f t="shared" si="266"/>
        <v>#VALUE!</v>
      </c>
      <c r="FF186" s="139" t="e">
        <f t="shared" si="267"/>
        <v>#VALUE!</v>
      </c>
      <c r="FG186" s="139" t="e">
        <f t="shared" si="268"/>
        <v>#VALUE!</v>
      </c>
      <c r="FH186" s="139" t="e">
        <f t="shared" si="269"/>
        <v>#VALUE!</v>
      </c>
      <c r="FI186" s="139" t="e">
        <f t="shared" si="270"/>
        <v>#VALUE!</v>
      </c>
      <c r="FJ186" s="139" t="e">
        <f t="shared" si="271"/>
        <v>#VALUE!</v>
      </c>
      <c r="FK186" s="139" t="e">
        <f t="shared" si="272"/>
        <v>#VALUE!</v>
      </c>
      <c r="FL186" s="139" t="e">
        <f t="shared" si="273"/>
        <v>#VALUE!</v>
      </c>
      <c r="FM186" s="139" t="e">
        <f t="shared" si="274"/>
        <v>#VALUE!</v>
      </c>
      <c r="FN186" s="139" t="e">
        <f t="shared" si="275"/>
        <v>#VALUE!</v>
      </c>
      <c r="FO186" s="139" t="e">
        <f t="shared" si="276"/>
        <v>#VALUE!</v>
      </c>
      <c r="FP186" s="139" t="e">
        <f t="shared" si="277"/>
        <v>#VALUE!</v>
      </c>
      <c r="FQ186" s="139" t="e">
        <f t="shared" si="278"/>
        <v>#VALUE!</v>
      </c>
      <c r="FR186" s="139" t="e">
        <f t="shared" si="279"/>
        <v>#VALUE!</v>
      </c>
      <c r="FS186" s="139" t="e">
        <f t="shared" si="280"/>
        <v>#VALUE!</v>
      </c>
      <c r="FT186" s="139" t="e">
        <f t="shared" si="281"/>
        <v>#VALUE!</v>
      </c>
      <c r="FU186" s="148" t="e">
        <f t="shared" si="282"/>
        <v>#VALUE!</v>
      </c>
      <c r="FV186" s="149"/>
      <c r="FY186" s="211">
        <v>181</v>
      </c>
      <c r="FZ186">
        <v>126.50543100688843</v>
      </c>
      <c r="GA186">
        <v>135.43491410927982</v>
      </c>
      <c r="GB186">
        <v>39.438243294441307</v>
      </c>
      <c r="GC186">
        <v>7.7790237480828379</v>
      </c>
      <c r="GD186">
        <v>1.752401162589178</v>
      </c>
      <c r="GE186">
        <v>3.5037971721742593</v>
      </c>
      <c r="GF186">
        <v>21.675624117418991</v>
      </c>
      <c r="GG186">
        <v>27.296385092449245</v>
      </c>
      <c r="GH186">
        <v>22.481561838778411</v>
      </c>
      <c r="GI186">
        <v>73.986365653850669</v>
      </c>
      <c r="GJ186"/>
      <c r="GK186"/>
      <c r="GL186"/>
      <c r="GM186"/>
    </row>
    <row r="187" spans="1:195" s="7" customFormat="1">
      <c r="A187" s="1"/>
      <c r="B187" s="76">
        <f t="shared" ca="1" si="249"/>
        <v>0.49026426291436775</v>
      </c>
      <c r="C187">
        <v>4</v>
      </c>
      <c r="D187">
        <v>39987</v>
      </c>
      <c r="E187">
        <v>0</v>
      </c>
      <c r="F187">
        <v>88.922764227642276</v>
      </c>
      <c r="G187">
        <v>0</v>
      </c>
      <c r="H187">
        <v>10.416666666666666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1368.2632656899668</v>
      </c>
      <c r="AO187">
        <v>190.35303378053533</v>
      </c>
      <c r="AP187">
        <v>1510.9321334552471</v>
      </c>
      <c r="AQ187">
        <v>552.50306845400075</v>
      </c>
      <c r="AR187">
        <v>183.81001469342579</v>
      </c>
      <c r="AS187">
        <v>1924.8013927469358</v>
      </c>
      <c r="AT187">
        <v>91.117986729091626</v>
      </c>
      <c r="AU187">
        <v>309.18863094088698</v>
      </c>
      <c r="AV187"/>
      <c r="AW187"/>
      <c r="AX187" s="146"/>
      <c r="AY187" s="76">
        <f t="shared" ca="1" si="172"/>
        <v>2.2727720294286491E-2</v>
      </c>
      <c r="AZ187">
        <v>10</v>
      </c>
      <c r="BA187" s="129">
        <f t="shared" si="248"/>
        <v>39987</v>
      </c>
      <c r="BB187">
        <v>0</v>
      </c>
      <c r="BC187"/>
      <c r="BD187"/>
      <c r="BE187">
        <v>1</v>
      </c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7"/>
        <v>0.6331967968638218</v>
      </c>
      <c r="CL187" s="179">
        <f t="shared" si="208"/>
        <v>10</v>
      </c>
      <c r="CM187" s="180">
        <f t="shared" si="209"/>
        <v>39987</v>
      </c>
      <c r="CN187">
        <v>0</v>
      </c>
      <c r="CO187"/>
      <c r="CP187"/>
      <c r="CQ187">
        <v>1</v>
      </c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10"/>
        <v>9.6000000000000002E-2</v>
      </c>
      <c r="DB187" s="146"/>
      <c r="DC187" s="76">
        <f t="shared" ca="1" si="173"/>
        <v>0.70569871125498429</v>
      </c>
      <c r="DD187">
        <f t="shared" si="211"/>
        <v>10</v>
      </c>
      <c r="DE187" s="129">
        <f t="shared" si="247"/>
        <v>39987</v>
      </c>
      <c r="DF187" s="161">
        <f t="shared" si="212"/>
        <v>0</v>
      </c>
      <c r="DG187" s="161">
        <f t="shared" si="213"/>
        <v>0</v>
      </c>
      <c r="DH187" s="161">
        <f t="shared" si="214"/>
        <v>0</v>
      </c>
      <c r="DI187" s="161">
        <f t="shared" si="215"/>
        <v>60.359589041095887</v>
      </c>
      <c r="DJ187" s="161">
        <f t="shared" si="216"/>
        <v>0</v>
      </c>
      <c r="DK187" s="161">
        <f t="shared" si="217"/>
        <v>0</v>
      </c>
      <c r="DL187" s="161">
        <f t="shared" si="218"/>
        <v>0</v>
      </c>
      <c r="DM187" s="161">
        <f t="shared" si="219"/>
        <v>0</v>
      </c>
      <c r="DN187" s="161">
        <f t="shared" si="220"/>
        <v>0</v>
      </c>
      <c r="DO187" s="161">
        <f t="shared" si="221"/>
        <v>0</v>
      </c>
      <c r="DP187" s="161">
        <f t="shared" si="222"/>
        <v>0</v>
      </c>
      <c r="DQ187" s="161">
        <f t="shared" si="223"/>
        <v>0</v>
      </c>
      <c r="DR187" s="161">
        <f t="shared" si="224"/>
        <v>0</v>
      </c>
      <c r="DS187" s="161">
        <f t="shared" si="225"/>
        <v>0</v>
      </c>
      <c r="DT187" s="161">
        <f t="shared" si="226"/>
        <v>0</v>
      </c>
      <c r="DU187" s="161">
        <f t="shared" si="227"/>
        <v>0</v>
      </c>
      <c r="DV187" s="161">
        <f t="shared" si="228"/>
        <v>0</v>
      </c>
      <c r="DW187" s="161">
        <f t="shared" si="229"/>
        <v>0</v>
      </c>
      <c r="DX187" s="161">
        <f t="shared" si="230"/>
        <v>0</v>
      </c>
      <c r="DY187" s="161">
        <f t="shared" si="231"/>
        <v>0</v>
      </c>
      <c r="DZ187" s="161">
        <f t="shared" si="232"/>
        <v>0</v>
      </c>
      <c r="EA187" s="161">
        <f t="shared" si="233"/>
        <v>0</v>
      </c>
      <c r="EB187" s="161">
        <f t="shared" si="234"/>
        <v>0</v>
      </c>
      <c r="EC187" s="161">
        <f t="shared" si="235"/>
        <v>0</v>
      </c>
      <c r="ED187" s="161">
        <f t="shared" si="236"/>
        <v>0</v>
      </c>
      <c r="EE187" s="161">
        <f t="shared" si="237"/>
        <v>0</v>
      </c>
      <c r="EF187" s="161">
        <f t="shared" si="238"/>
        <v>0</v>
      </c>
      <c r="EG187" s="161">
        <f t="shared" si="239"/>
        <v>0</v>
      </c>
      <c r="EH187" s="161">
        <f t="shared" si="240"/>
        <v>0</v>
      </c>
      <c r="EI187" s="161">
        <f t="shared" si="241"/>
        <v>0</v>
      </c>
      <c r="EJ187" s="161">
        <f t="shared" si="242"/>
        <v>0</v>
      </c>
      <c r="EK187" s="147">
        <f t="shared" si="250"/>
        <v>60.359589041095887</v>
      </c>
      <c r="EL187" s="149"/>
      <c r="EN187" s="146"/>
      <c r="EO187" s="146"/>
      <c r="EP187" s="139" t="e">
        <f t="shared" si="251"/>
        <v>#VALUE!</v>
      </c>
      <c r="EQ187" s="139" t="e">
        <f t="shared" si="252"/>
        <v>#VALUE!</v>
      </c>
      <c r="ER187" s="139" t="e">
        <f t="shared" si="253"/>
        <v>#VALUE!</v>
      </c>
      <c r="ES187" s="139" t="e">
        <f t="shared" si="254"/>
        <v>#VALUE!</v>
      </c>
      <c r="ET187" s="139" t="e">
        <f t="shared" si="255"/>
        <v>#VALUE!</v>
      </c>
      <c r="EU187" s="139" t="e">
        <f t="shared" si="256"/>
        <v>#VALUE!</v>
      </c>
      <c r="EV187" s="139" t="e">
        <f t="shared" si="257"/>
        <v>#VALUE!</v>
      </c>
      <c r="EW187" s="139" t="e">
        <f t="shared" si="258"/>
        <v>#VALUE!</v>
      </c>
      <c r="EX187" s="139" t="e">
        <f t="shared" si="259"/>
        <v>#VALUE!</v>
      </c>
      <c r="EY187" s="139" t="e">
        <f t="shared" si="260"/>
        <v>#VALUE!</v>
      </c>
      <c r="EZ187" s="139" t="e">
        <f t="shared" si="261"/>
        <v>#VALUE!</v>
      </c>
      <c r="FA187" s="139" t="e">
        <f t="shared" si="262"/>
        <v>#VALUE!</v>
      </c>
      <c r="FB187" s="139" t="e">
        <f t="shared" si="263"/>
        <v>#VALUE!</v>
      </c>
      <c r="FC187" s="139" t="e">
        <f t="shared" si="264"/>
        <v>#VALUE!</v>
      </c>
      <c r="FD187" s="139" t="e">
        <f t="shared" si="265"/>
        <v>#VALUE!</v>
      </c>
      <c r="FE187" s="139" t="e">
        <f t="shared" si="266"/>
        <v>#VALUE!</v>
      </c>
      <c r="FF187" s="139" t="e">
        <f t="shared" si="267"/>
        <v>#VALUE!</v>
      </c>
      <c r="FG187" s="139" t="e">
        <f t="shared" si="268"/>
        <v>#VALUE!</v>
      </c>
      <c r="FH187" s="139" t="e">
        <f t="shared" si="269"/>
        <v>#VALUE!</v>
      </c>
      <c r="FI187" s="139" t="e">
        <f t="shared" si="270"/>
        <v>#VALUE!</v>
      </c>
      <c r="FJ187" s="139" t="e">
        <f t="shared" si="271"/>
        <v>#VALUE!</v>
      </c>
      <c r="FK187" s="139" t="e">
        <f t="shared" si="272"/>
        <v>#VALUE!</v>
      </c>
      <c r="FL187" s="139" t="e">
        <f t="shared" si="273"/>
        <v>#VALUE!</v>
      </c>
      <c r="FM187" s="139" t="e">
        <f t="shared" si="274"/>
        <v>#VALUE!</v>
      </c>
      <c r="FN187" s="139" t="e">
        <f t="shared" si="275"/>
        <v>#VALUE!</v>
      </c>
      <c r="FO187" s="139" t="e">
        <f t="shared" si="276"/>
        <v>#VALUE!</v>
      </c>
      <c r="FP187" s="139" t="e">
        <f t="shared" si="277"/>
        <v>#VALUE!</v>
      </c>
      <c r="FQ187" s="139" t="e">
        <f t="shared" si="278"/>
        <v>#VALUE!</v>
      </c>
      <c r="FR187" s="139" t="e">
        <f t="shared" si="279"/>
        <v>#VALUE!</v>
      </c>
      <c r="FS187" s="139" t="e">
        <f t="shared" si="280"/>
        <v>#VALUE!</v>
      </c>
      <c r="FT187" s="139" t="e">
        <f t="shared" si="281"/>
        <v>#VALUE!</v>
      </c>
      <c r="FU187" s="148" t="e">
        <f t="shared" si="282"/>
        <v>#VALUE!</v>
      </c>
      <c r="FV187" s="149"/>
      <c r="FY187" s="211">
        <v>182</v>
      </c>
      <c r="FZ187">
        <v>144.52499750748638</v>
      </c>
      <c r="GA187">
        <v>167.13252064435545</v>
      </c>
      <c r="GB187">
        <v>40.748375446821505</v>
      </c>
      <c r="GC187">
        <v>6.7364088268900915</v>
      </c>
      <c r="GD187">
        <v>3.8403660993480089</v>
      </c>
      <c r="GE187">
        <v>6.5439455238820354</v>
      </c>
      <c r="GF187">
        <v>27.392634477863879</v>
      </c>
      <c r="GG187">
        <v>33.303467619843744</v>
      </c>
      <c r="GH187">
        <v>13.548602179713832</v>
      </c>
      <c r="GI187">
        <v>73.764816370281068</v>
      </c>
      <c r="GJ187"/>
      <c r="GK187"/>
      <c r="GL187"/>
      <c r="GM187"/>
    </row>
    <row r="188" spans="1:195" s="7" customFormat="1">
      <c r="A188" s="128"/>
      <c r="B188" s="76" t="str">
        <f t="shared" ca="1" si="249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1128.2660991042399</v>
      </c>
      <c r="AO188">
        <v>152.88583348890256</v>
      </c>
      <c r="AP188">
        <v>1373.0626639945904</v>
      </c>
      <c r="AQ188">
        <v>602.81361100647143</v>
      </c>
      <c r="AR188">
        <v>149.90223939029917</v>
      </c>
      <c r="AS188">
        <v>1677.0822406262243</v>
      </c>
      <c r="AT188">
        <v>81.979607131067482</v>
      </c>
      <c r="AU188">
        <v>-8.7447270542527633</v>
      </c>
      <c r="AV188"/>
      <c r="AW188"/>
      <c r="AX188" s="128"/>
      <c r="AY188" s="76" t="str">
        <f t="shared" ca="1" si="172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7"/>
        <v/>
      </c>
      <c r="CL188" s="179" t="str">
        <f t="shared" si="208"/>
        <v/>
      </c>
      <c r="CM188" s="180" t="str">
        <f t="shared" si="209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0"/>
        <v/>
      </c>
      <c r="DB188" s="128"/>
      <c r="DC188" s="76" t="str">
        <f t="shared" ca="1" si="173"/>
        <v/>
      </c>
      <c r="DD188" t="str">
        <f t="shared" si="211"/>
        <v/>
      </c>
      <c r="DE188" s="129" t="str">
        <f t="shared" ref="DE188:DE197" si="283">IF((DD188)="", "", $C$14)</f>
        <v/>
      </c>
      <c r="DF188" s="161" t="str">
        <f t="shared" ref="DF188:DF207" si="284">IF($AZ188="", "", ((BB188*$CW188)+(CN188*$CX188))/$CZ188)</f>
        <v/>
      </c>
      <c r="DG188" s="161" t="str">
        <f t="shared" ref="DG188:DG207" si="285">IF($AZ188="", "", ((BC188*$CW188)+(CO188*$CX188))/$CZ188)</f>
        <v/>
      </c>
      <c r="DH188" s="161" t="str">
        <f t="shared" ref="DH188:DH207" si="286">IF($AZ188="", "", ((BD188*$CW188)+(CP188*$CX188))/$CZ188)</f>
        <v/>
      </c>
      <c r="DI188" s="161" t="str">
        <f t="shared" ref="DI188:DI207" si="287">IF($AZ188="", "", ((BE188*$CW188)+(CQ188*$CX188))/$CZ188)</f>
        <v/>
      </c>
      <c r="DJ188" s="161" t="str">
        <f t="shared" ref="DJ188:DJ207" si="288">IF($AZ188="", "", ((BF188*$CW188)+(CR188*$CX188))/$CZ188)</f>
        <v/>
      </c>
      <c r="DK188" s="161" t="str">
        <f t="shared" ref="DK188:DK207" si="289">IF($AZ188="", "", ((BG188*$CW188)+(CS188*$CX188))/$CZ188)</f>
        <v/>
      </c>
      <c r="DL188" s="161" t="str">
        <f t="shared" ref="DL188:DL207" si="290">IF($AZ188="", "", ((BH188*$CW188)+(CT188*$CX188))/$CZ188)</f>
        <v/>
      </c>
      <c r="DM188" s="161" t="str">
        <f t="shared" ref="DM188:DM207" si="291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2">IF($AZ188="", "", (BK187*$CW188)/$CZ188)</f>
        <v/>
      </c>
      <c r="DP188" s="161" t="str">
        <f t="shared" ref="DP188:DP193" si="293">IF($AZ188="", "", (BL187*$CW188)/$CZ188)</f>
        <v/>
      </c>
      <c r="DQ188" s="161" t="str">
        <f t="shared" ref="DQ188:DQ193" si="294">IF($AZ188="", "", (BM187*$CW188)/$CZ188)</f>
        <v/>
      </c>
      <c r="DR188" s="161" t="str">
        <f t="shared" ref="DR188:DR193" si="295">IF($AZ188="", "", (BN187*$CW188)/$CZ188)</f>
        <v/>
      </c>
      <c r="DS188" s="161" t="str">
        <f t="shared" ref="DS188:DS193" si="296">IF($AZ188="", "", (BO187*$CW188)/$CZ188)</f>
        <v/>
      </c>
      <c r="DT188" s="161" t="str">
        <f t="shared" ref="DT188:DT193" si="297">IF($AZ188="", "", (BP187*$CW188)/$CZ188)</f>
        <v/>
      </c>
      <c r="DU188" s="161" t="str">
        <f t="shared" ref="DU188:DU193" si="298">IF($AZ188="", "", (BQ187*$CW188)/$CZ188)</f>
        <v/>
      </c>
      <c r="DV188" s="161" t="str">
        <f t="shared" ref="DV188:DV193" si="299">IF($AZ188="", "", (BR187*$CW188)/$CZ188)</f>
        <v/>
      </c>
      <c r="DW188" s="161" t="str">
        <f t="shared" ref="DW188:DW193" si="300">IF($AZ188="", "", (BS187*$CW188)/$CZ188)</f>
        <v/>
      </c>
      <c r="DX188" s="161" t="str">
        <f t="shared" ref="DX188:DX193" si="301">IF($AZ188="", "", (BT187*$CW188)/$CZ188)</f>
        <v/>
      </c>
      <c r="DY188" s="161" t="str">
        <f t="shared" ref="DY188:DY193" si="302">IF($AZ188="", "", (BU187*$CW188)/$CZ188)</f>
        <v/>
      </c>
      <c r="DZ188" s="161" t="str">
        <f t="shared" ref="DZ188:DZ193" si="303">IF($AZ188="", "", (BV187*$CW188)/$CZ188)</f>
        <v/>
      </c>
      <c r="EA188" s="161" t="str">
        <f t="shared" ref="EA188:EA193" si="304">IF($AZ188="", "", (BW187*$CW188)/$CZ188)</f>
        <v/>
      </c>
      <c r="EB188" s="161" t="str">
        <f t="shared" ref="EB188:EB193" si="305">IF($AZ188="", "", (BX187*$CW188)/$CZ188)</f>
        <v/>
      </c>
      <c r="EC188" s="161" t="str">
        <f t="shared" ref="EC188:EC193" si="306">IF($AZ188="", "", (BY187*$CW188)/$CZ188)</f>
        <v/>
      </c>
      <c r="ED188" s="161" t="str">
        <f t="shared" ref="ED188:ED193" si="307">IF($AZ188="", "", (BZ187*$CW188)/$CZ188)</f>
        <v/>
      </c>
      <c r="EE188" s="161" t="str">
        <f t="shared" ref="EE188:EE193" si="308">IF($AZ188="", "", (CA187*$CW188)/$CZ188)</f>
        <v/>
      </c>
      <c r="EF188" s="161" t="str">
        <f t="shared" ref="EF188:EF193" si="309">IF($AZ188="", "", (CB187*$CW188)/$CZ188)</f>
        <v/>
      </c>
      <c r="EG188" s="161" t="str">
        <f t="shared" ref="EG188:EG193" si="310">IF($AZ188="", "", (CC187*$CW188)/$CZ188)</f>
        <v/>
      </c>
      <c r="EH188" s="161" t="str">
        <f t="shared" ref="EH188:EH193" si="311">IF($AZ188="", "", (CD187*$CW188)/$CZ188)</f>
        <v/>
      </c>
      <c r="EI188" s="161" t="str">
        <f t="shared" ref="EI188:EI193" si="312">IF($AZ188="", "", (CE187*$CW188)/$CZ188)</f>
        <v/>
      </c>
      <c r="EJ188" s="161" t="str">
        <f t="shared" ref="EJ188:EJ193" si="313">IF($AZ188="", "", (CF187*$CW188)/$CZ188)</f>
        <v/>
      </c>
      <c r="EK188" s="147" t="str">
        <f t="shared" si="250"/>
        <v/>
      </c>
      <c r="EL188" s="149"/>
      <c r="EN188" s="146"/>
      <c r="EO188" s="146"/>
      <c r="EP188" s="139" t="str">
        <f t="shared" si="251"/>
        <v/>
      </c>
      <c r="EQ188" s="139" t="str">
        <f t="shared" si="252"/>
        <v/>
      </c>
      <c r="ER188" s="139" t="str">
        <f t="shared" si="253"/>
        <v/>
      </c>
      <c r="ES188" s="139" t="str">
        <f t="shared" si="254"/>
        <v/>
      </c>
      <c r="ET188" s="139" t="str">
        <f t="shared" si="255"/>
        <v/>
      </c>
      <c r="EU188" s="139" t="str">
        <f t="shared" si="256"/>
        <v/>
      </c>
      <c r="EV188" s="139" t="str">
        <f t="shared" si="257"/>
        <v/>
      </c>
      <c r="EW188" s="139" t="str">
        <f t="shared" si="258"/>
        <v/>
      </c>
      <c r="EX188" s="139" t="str">
        <f t="shared" si="259"/>
        <v/>
      </c>
      <c r="EY188" s="139" t="str">
        <f t="shared" si="260"/>
        <v/>
      </c>
      <c r="EZ188" s="139" t="str">
        <f t="shared" si="261"/>
        <v/>
      </c>
      <c r="FA188" s="139" t="str">
        <f t="shared" si="262"/>
        <v/>
      </c>
      <c r="FB188" s="139" t="str">
        <f t="shared" si="263"/>
        <v/>
      </c>
      <c r="FC188" s="139" t="str">
        <f t="shared" si="264"/>
        <v/>
      </c>
      <c r="FD188" s="139" t="str">
        <f t="shared" si="265"/>
        <v/>
      </c>
      <c r="FE188" s="139" t="str">
        <f t="shared" si="266"/>
        <v/>
      </c>
      <c r="FF188" s="139" t="str">
        <f t="shared" si="267"/>
        <v/>
      </c>
      <c r="FG188" s="139" t="str">
        <f t="shared" si="268"/>
        <v/>
      </c>
      <c r="FH188" s="139" t="str">
        <f t="shared" si="269"/>
        <v/>
      </c>
      <c r="FI188" s="139" t="str">
        <f t="shared" si="270"/>
        <v/>
      </c>
      <c r="FJ188" s="139" t="str">
        <f t="shared" si="271"/>
        <v/>
      </c>
      <c r="FK188" s="139" t="str">
        <f t="shared" si="272"/>
        <v/>
      </c>
      <c r="FL188" s="139" t="str">
        <f t="shared" si="273"/>
        <v/>
      </c>
      <c r="FM188" s="139" t="str">
        <f t="shared" si="274"/>
        <v/>
      </c>
      <c r="FN188" s="139" t="str">
        <f t="shared" si="275"/>
        <v/>
      </c>
      <c r="FO188" s="139" t="str">
        <f t="shared" si="276"/>
        <v/>
      </c>
      <c r="FP188" s="139" t="str">
        <f t="shared" si="277"/>
        <v/>
      </c>
      <c r="FQ188" s="139" t="str">
        <f t="shared" si="278"/>
        <v/>
      </c>
      <c r="FR188" s="139" t="str">
        <f t="shared" si="279"/>
        <v/>
      </c>
      <c r="FS188" s="139" t="str">
        <f t="shared" si="280"/>
        <v/>
      </c>
      <c r="FT188" s="139" t="str">
        <f t="shared" si="281"/>
        <v/>
      </c>
      <c r="FU188" s="148" t="str">
        <f t="shared" si="282"/>
        <v/>
      </c>
      <c r="FV188" s="149"/>
      <c r="FY188" s="211">
        <v>183</v>
      </c>
      <c r="FZ188">
        <v>57.598198478681105</v>
      </c>
      <c r="GA188">
        <v>111.34742879506693</v>
      </c>
      <c r="GB188">
        <v>39.53027671962149</v>
      </c>
      <c r="GC188">
        <v>7.6800696919587583</v>
      </c>
      <c r="GD188">
        <v>2.7289667870121681</v>
      </c>
      <c r="GE188">
        <v>4.4286192794465542</v>
      </c>
      <c r="GF188">
        <v>11.962684324567874</v>
      </c>
      <c r="GG188">
        <v>15.518999456134958</v>
      </c>
      <c r="GH188">
        <v>27.15406427677917</v>
      </c>
      <c r="GI188">
        <v>62.655831848496916</v>
      </c>
      <c r="GJ188"/>
      <c r="GK188"/>
      <c r="GL188"/>
      <c r="GM188"/>
    </row>
    <row r="189" spans="1:195" s="7" customFormat="1">
      <c r="A189" s="1"/>
      <c r="B189" s="76" t="str">
        <f t="shared" ca="1" si="249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1309.9595258575366</v>
      </c>
      <c r="AO189">
        <v>199.5631829707049</v>
      </c>
      <c r="AP189">
        <v>1638.2313552400303</v>
      </c>
      <c r="AQ189">
        <v>532.00405493312815</v>
      </c>
      <c r="AR189">
        <v>193.26661514096133</v>
      </c>
      <c r="AS189">
        <v>1978.138611544741</v>
      </c>
      <c r="AT189">
        <v>93.378278408502808</v>
      </c>
      <c r="AU189">
        <v>51.501318795749185</v>
      </c>
      <c r="AV189"/>
      <c r="AW189"/>
      <c r="AX189" s="146"/>
      <c r="AY189" s="76" t="str">
        <f t="shared" ca="1" si="172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7"/>
        <v/>
      </c>
      <c r="CL189" s="179" t="str">
        <f t="shared" si="208"/>
        <v/>
      </c>
      <c r="CM189" s="180" t="str">
        <f t="shared" si="209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0"/>
        <v/>
      </c>
      <c r="DB189" s="146"/>
      <c r="DC189" s="76" t="str">
        <f t="shared" ca="1" si="173"/>
        <v/>
      </c>
      <c r="DD189" t="str">
        <f t="shared" si="211"/>
        <v/>
      </c>
      <c r="DE189" s="129" t="str">
        <f t="shared" si="283"/>
        <v/>
      </c>
      <c r="DF189" s="161" t="str">
        <f t="shared" si="284"/>
        <v/>
      </c>
      <c r="DG189" s="161" t="str">
        <f t="shared" si="285"/>
        <v/>
      </c>
      <c r="DH189" s="161" t="str">
        <f t="shared" si="286"/>
        <v/>
      </c>
      <c r="DI189" s="161" t="str">
        <f t="shared" si="287"/>
        <v/>
      </c>
      <c r="DJ189" s="161" t="str">
        <f t="shared" si="288"/>
        <v/>
      </c>
      <c r="DK189" s="161" t="str">
        <f t="shared" si="289"/>
        <v/>
      </c>
      <c r="DL189" s="161" t="str">
        <f t="shared" si="290"/>
        <v/>
      </c>
      <c r="DM189" s="161" t="str">
        <f t="shared" si="291"/>
        <v/>
      </c>
      <c r="DN189" s="161" t="str">
        <f>IF($AZ189="", "", (BJ189*$CW189)/$CZ189)</f>
        <v/>
      </c>
      <c r="DO189" s="161" t="str">
        <f t="shared" si="292"/>
        <v/>
      </c>
      <c r="DP189" s="161" t="str">
        <f t="shared" si="293"/>
        <v/>
      </c>
      <c r="DQ189" s="161" t="str">
        <f t="shared" si="294"/>
        <v/>
      </c>
      <c r="DR189" s="161" t="str">
        <f t="shared" si="295"/>
        <v/>
      </c>
      <c r="DS189" s="161" t="str">
        <f t="shared" si="296"/>
        <v/>
      </c>
      <c r="DT189" s="161" t="str">
        <f t="shared" si="297"/>
        <v/>
      </c>
      <c r="DU189" s="161" t="str">
        <f t="shared" si="298"/>
        <v/>
      </c>
      <c r="DV189" s="161" t="str">
        <f t="shared" si="299"/>
        <v/>
      </c>
      <c r="DW189" s="161" t="str">
        <f t="shared" si="300"/>
        <v/>
      </c>
      <c r="DX189" s="161" t="str">
        <f t="shared" si="301"/>
        <v/>
      </c>
      <c r="DY189" s="161" t="str">
        <f t="shared" si="302"/>
        <v/>
      </c>
      <c r="DZ189" s="161" t="str">
        <f t="shared" si="303"/>
        <v/>
      </c>
      <c r="EA189" s="161" t="str">
        <f t="shared" si="304"/>
        <v/>
      </c>
      <c r="EB189" s="161" t="str">
        <f t="shared" si="305"/>
        <v/>
      </c>
      <c r="EC189" s="161" t="str">
        <f t="shared" si="306"/>
        <v/>
      </c>
      <c r="ED189" s="161" t="str">
        <f t="shared" si="307"/>
        <v/>
      </c>
      <c r="EE189" s="161" t="str">
        <f t="shared" si="308"/>
        <v/>
      </c>
      <c r="EF189" s="161" t="str">
        <f t="shared" si="309"/>
        <v/>
      </c>
      <c r="EG189" s="161" t="str">
        <f t="shared" si="310"/>
        <v/>
      </c>
      <c r="EH189" s="161" t="str">
        <f t="shared" si="311"/>
        <v/>
      </c>
      <c r="EI189" s="161" t="str">
        <f t="shared" si="312"/>
        <v/>
      </c>
      <c r="EJ189" s="161" t="str">
        <f t="shared" si="313"/>
        <v/>
      </c>
      <c r="EK189" s="147" t="str">
        <f t="shared" si="250"/>
        <v/>
      </c>
      <c r="EL189" s="149"/>
      <c r="EN189" s="146"/>
      <c r="EO189" s="146"/>
      <c r="EP189" s="139" t="str">
        <f t="shared" si="251"/>
        <v/>
      </c>
      <c r="EQ189" s="139" t="str">
        <f t="shared" si="252"/>
        <v/>
      </c>
      <c r="ER189" s="139" t="str">
        <f t="shared" si="253"/>
        <v/>
      </c>
      <c r="ES189" s="139" t="str">
        <f t="shared" si="254"/>
        <v/>
      </c>
      <c r="ET189" s="139" t="str">
        <f t="shared" si="255"/>
        <v/>
      </c>
      <c r="EU189" s="139" t="str">
        <f t="shared" si="256"/>
        <v/>
      </c>
      <c r="EV189" s="139" t="str">
        <f t="shared" si="257"/>
        <v/>
      </c>
      <c r="EW189" s="139" t="str">
        <f t="shared" si="258"/>
        <v/>
      </c>
      <c r="EX189" s="139" t="str">
        <f t="shared" si="259"/>
        <v/>
      </c>
      <c r="EY189" s="139" t="str">
        <f t="shared" si="260"/>
        <v/>
      </c>
      <c r="EZ189" s="139" t="str">
        <f t="shared" si="261"/>
        <v/>
      </c>
      <c r="FA189" s="139" t="str">
        <f t="shared" si="262"/>
        <v/>
      </c>
      <c r="FB189" s="139" t="str">
        <f t="shared" si="263"/>
        <v/>
      </c>
      <c r="FC189" s="139" t="str">
        <f t="shared" si="264"/>
        <v/>
      </c>
      <c r="FD189" s="139" t="str">
        <f t="shared" si="265"/>
        <v/>
      </c>
      <c r="FE189" s="139" t="str">
        <f t="shared" si="266"/>
        <v/>
      </c>
      <c r="FF189" s="139" t="str">
        <f t="shared" si="267"/>
        <v/>
      </c>
      <c r="FG189" s="139" t="str">
        <f t="shared" si="268"/>
        <v/>
      </c>
      <c r="FH189" s="139" t="str">
        <f t="shared" si="269"/>
        <v/>
      </c>
      <c r="FI189" s="139" t="str">
        <f t="shared" si="270"/>
        <v/>
      </c>
      <c r="FJ189" s="139" t="str">
        <f t="shared" si="271"/>
        <v/>
      </c>
      <c r="FK189" s="139" t="str">
        <f t="shared" si="272"/>
        <v/>
      </c>
      <c r="FL189" s="139" t="str">
        <f t="shared" si="273"/>
        <v/>
      </c>
      <c r="FM189" s="139" t="str">
        <f t="shared" si="274"/>
        <v/>
      </c>
      <c r="FN189" s="139" t="str">
        <f t="shared" si="275"/>
        <v/>
      </c>
      <c r="FO189" s="139" t="str">
        <f t="shared" si="276"/>
        <v/>
      </c>
      <c r="FP189" s="139" t="str">
        <f t="shared" si="277"/>
        <v/>
      </c>
      <c r="FQ189" s="139" t="str">
        <f t="shared" si="278"/>
        <v/>
      </c>
      <c r="FR189" s="139" t="str">
        <f t="shared" si="279"/>
        <v/>
      </c>
      <c r="FS189" s="139" t="str">
        <f t="shared" si="280"/>
        <v/>
      </c>
      <c r="FT189" s="139" t="str">
        <f t="shared" si="281"/>
        <v/>
      </c>
      <c r="FU189" s="148" t="str">
        <f t="shared" si="282"/>
        <v/>
      </c>
      <c r="FV189" s="149"/>
      <c r="FY189" s="211">
        <v>184</v>
      </c>
      <c r="FZ189">
        <v>139.32202774472125</v>
      </c>
      <c r="GA189">
        <v>87.951347692611023</v>
      </c>
      <c r="GB189">
        <v>23.797360707336519</v>
      </c>
      <c r="GC189">
        <v>8.1876521969469991</v>
      </c>
      <c r="GD189">
        <v>3.4829130607281984</v>
      </c>
      <c r="GE189">
        <v>5.1989843124631134</v>
      </c>
      <c r="GF189">
        <v>23.7782372380385</v>
      </c>
      <c r="GG189">
        <v>27.826151353826386</v>
      </c>
      <c r="GH189">
        <v>24.324611366717505</v>
      </c>
      <c r="GI189">
        <v>70.762383519277208</v>
      </c>
      <c r="GJ189"/>
      <c r="GK189"/>
      <c r="GL189"/>
      <c r="GM189"/>
    </row>
    <row r="190" spans="1:195" s="7" customFormat="1">
      <c r="A190" s="1"/>
      <c r="B190" s="76" t="str">
        <f t="shared" ca="1" si="249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1190.3037388356086</v>
      </c>
      <c r="AO190">
        <v>182.02828379600749</v>
      </c>
      <c r="AP190">
        <v>1413.0410238767395</v>
      </c>
      <c r="AQ190">
        <v>390.37339256747447</v>
      </c>
      <c r="AR190">
        <v>177.02503264625764</v>
      </c>
      <c r="AS190">
        <v>1886.8481255764148</v>
      </c>
      <c r="AT190">
        <v>81.70560558880149</v>
      </c>
      <c r="AU190">
        <v>328.49969372085621</v>
      </c>
      <c r="AV190"/>
      <c r="AW190"/>
      <c r="AX190" s="146"/>
      <c r="AY190" s="76" t="str">
        <f t="shared" ca="1" si="172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7"/>
        <v/>
      </c>
      <c r="CL190" s="179" t="str">
        <f t="shared" si="208"/>
        <v/>
      </c>
      <c r="CM190" s="180" t="str">
        <f t="shared" si="209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0"/>
        <v/>
      </c>
      <c r="DB190" s="146"/>
      <c r="DC190" s="76" t="str">
        <f t="shared" ca="1" si="173"/>
        <v/>
      </c>
      <c r="DD190" t="str">
        <f t="shared" si="211"/>
        <v/>
      </c>
      <c r="DE190" s="129" t="str">
        <f t="shared" si="283"/>
        <v/>
      </c>
      <c r="DF190" s="161" t="str">
        <f t="shared" si="284"/>
        <v/>
      </c>
      <c r="DG190" s="161" t="str">
        <f t="shared" si="285"/>
        <v/>
      </c>
      <c r="DH190" s="161" t="str">
        <f t="shared" si="286"/>
        <v/>
      </c>
      <c r="DI190" s="161" t="str">
        <f t="shared" si="287"/>
        <v/>
      </c>
      <c r="DJ190" s="161" t="str">
        <f t="shared" si="288"/>
        <v/>
      </c>
      <c r="DK190" s="161" t="str">
        <f t="shared" si="289"/>
        <v/>
      </c>
      <c r="DL190" s="161" t="str">
        <f t="shared" si="290"/>
        <v/>
      </c>
      <c r="DM190" s="161" t="str">
        <f t="shared" si="291"/>
        <v/>
      </c>
      <c r="DN190" s="161" t="str">
        <f>IF($AZ190="", "", (BJ190*$CW190)/$CZ190)</f>
        <v/>
      </c>
      <c r="DO190" s="161" t="str">
        <f t="shared" si="292"/>
        <v/>
      </c>
      <c r="DP190" s="161" t="str">
        <f t="shared" si="293"/>
        <v/>
      </c>
      <c r="DQ190" s="161" t="str">
        <f t="shared" si="294"/>
        <v/>
      </c>
      <c r="DR190" s="161" t="str">
        <f t="shared" si="295"/>
        <v/>
      </c>
      <c r="DS190" s="161" t="str">
        <f t="shared" si="296"/>
        <v/>
      </c>
      <c r="DT190" s="161" t="str">
        <f t="shared" si="297"/>
        <v/>
      </c>
      <c r="DU190" s="161" t="str">
        <f t="shared" si="298"/>
        <v/>
      </c>
      <c r="DV190" s="161" t="str">
        <f t="shared" si="299"/>
        <v/>
      </c>
      <c r="DW190" s="161" t="str">
        <f t="shared" si="300"/>
        <v/>
      </c>
      <c r="DX190" s="161" t="str">
        <f t="shared" si="301"/>
        <v/>
      </c>
      <c r="DY190" s="161" t="str">
        <f t="shared" si="302"/>
        <v/>
      </c>
      <c r="DZ190" s="161" t="str">
        <f t="shared" si="303"/>
        <v/>
      </c>
      <c r="EA190" s="161" t="str">
        <f t="shared" si="304"/>
        <v/>
      </c>
      <c r="EB190" s="161" t="str">
        <f t="shared" si="305"/>
        <v/>
      </c>
      <c r="EC190" s="161" t="str">
        <f t="shared" si="306"/>
        <v/>
      </c>
      <c r="ED190" s="161" t="str">
        <f t="shared" si="307"/>
        <v/>
      </c>
      <c r="EE190" s="161" t="str">
        <f t="shared" si="308"/>
        <v/>
      </c>
      <c r="EF190" s="161" t="str">
        <f t="shared" si="309"/>
        <v/>
      </c>
      <c r="EG190" s="161" t="str">
        <f t="shared" si="310"/>
        <v/>
      </c>
      <c r="EH190" s="161" t="str">
        <f t="shared" si="311"/>
        <v/>
      </c>
      <c r="EI190" s="161" t="str">
        <f t="shared" si="312"/>
        <v/>
      </c>
      <c r="EJ190" s="161" t="str">
        <f t="shared" si="313"/>
        <v/>
      </c>
      <c r="EK190" s="147" t="str">
        <f t="shared" si="250"/>
        <v/>
      </c>
      <c r="EL190" s="149"/>
      <c r="EN190" s="146"/>
      <c r="EO190" s="146"/>
      <c r="EP190" s="139" t="str">
        <f t="shared" si="251"/>
        <v/>
      </c>
      <c r="EQ190" s="139" t="str">
        <f t="shared" si="252"/>
        <v/>
      </c>
      <c r="ER190" s="139" t="str">
        <f t="shared" si="253"/>
        <v/>
      </c>
      <c r="ES190" s="139" t="str">
        <f t="shared" si="254"/>
        <v/>
      </c>
      <c r="ET190" s="139" t="str">
        <f t="shared" si="255"/>
        <v/>
      </c>
      <c r="EU190" s="139" t="str">
        <f t="shared" si="256"/>
        <v/>
      </c>
      <c r="EV190" s="139" t="str">
        <f t="shared" si="257"/>
        <v/>
      </c>
      <c r="EW190" s="139" t="str">
        <f t="shared" si="258"/>
        <v/>
      </c>
      <c r="EX190" s="139" t="str">
        <f t="shared" si="259"/>
        <v/>
      </c>
      <c r="EY190" s="139" t="str">
        <f t="shared" si="260"/>
        <v/>
      </c>
      <c r="EZ190" s="139" t="str">
        <f t="shared" si="261"/>
        <v/>
      </c>
      <c r="FA190" s="139" t="str">
        <f t="shared" si="262"/>
        <v/>
      </c>
      <c r="FB190" s="139" t="str">
        <f t="shared" si="263"/>
        <v/>
      </c>
      <c r="FC190" s="139" t="str">
        <f t="shared" si="264"/>
        <v/>
      </c>
      <c r="FD190" s="139" t="str">
        <f t="shared" si="265"/>
        <v/>
      </c>
      <c r="FE190" s="139" t="str">
        <f t="shared" si="266"/>
        <v/>
      </c>
      <c r="FF190" s="139" t="str">
        <f t="shared" si="267"/>
        <v/>
      </c>
      <c r="FG190" s="139" t="str">
        <f t="shared" si="268"/>
        <v/>
      </c>
      <c r="FH190" s="139" t="str">
        <f t="shared" si="269"/>
        <v/>
      </c>
      <c r="FI190" s="139" t="str">
        <f t="shared" si="270"/>
        <v/>
      </c>
      <c r="FJ190" s="139" t="str">
        <f t="shared" si="271"/>
        <v/>
      </c>
      <c r="FK190" s="139" t="str">
        <f t="shared" si="272"/>
        <v/>
      </c>
      <c r="FL190" s="139" t="str">
        <f t="shared" si="273"/>
        <v/>
      </c>
      <c r="FM190" s="139" t="str">
        <f t="shared" si="274"/>
        <v/>
      </c>
      <c r="FN190" s="139" t="str">
        <f t="shared" si="275"/>
        <v/>
      </c>
      <c r="FO190" s="139" t="str">
        <f t="shared" si="276"/>
        <v/>
      </c>
      <c r="FP190" s="139" t="str">
        <f t="shared" si="277"/>
        <v/>
      </c>
      <c r="FQ190" s="139" t="str">
        <f t="shared" si="278"/>
        <v/>
      </c>
      <c r="FR190" s="139" t="str">
        <f t="shared" si="279"/>
        <v/>
      </c>
      <c r="FS190" s="139" t="str">
        <f t="shared" si="280"/>
        <v/>
      </c>
      <c r="FT190" s="139" t="str">
        <f t="shared" si="281"/>
        <v/>
      </c>
      <c r="FU190" s="148" t="str">
        <f t="shared" si="282"/>
        <v/>
      </c>
      <c r="FV190" s="149"/>
      <c r="FY190" s="211">
        <v>185</v>
      </c>
      <c r="FZ190">
        <v>166.23892881791122</v>
      </c>
      <c r="GA190">
        <v>128.82110835164036</v>
      </c>
      <c r="GB190">
        <v>30.584335440541089</v>
      </c>
      <c r="GC190">
        <v>7.9608273553201805</v>
      </c>
      <c r="GD190">
        <v>2.6566042038241937</v>
      </c>
      <c r="GE190">
        <v>6.0500644102963914</v>
      </c>
      <c r="GF190">
        <v>27.44673375982434</v>
      </c>
      <c r="GG190">
        <v>31.187068235867294</v>
      </c>
      <c r="GH190">
        <v>21.485503294092776</v>
      </c>
      <c r="GI190">
        <v>73.981071634827217</v>
      </c>
      <c r="GJ190"/>
      <c r="GK190"/>
      <c r="GL190"/>
      <c r="GM190"/>
    </row>
    <row r="191" spans="1:195" s="7" customFormat="1">
      <c r="A191" s="1"/>
      <c r="B191" s="76" t="str">
        <f t="shared" ca="1" si="249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1293.9104567574548</v>
      </c>
      <c r="AO191">
        <v>186.11406342135035</v>
      </c>
      <c r="AP191">
        <v>1628.9004479558512</v>
      </c>
      <c r="AQ191">
        <v>457.94193419508196</v>
      </c>
      <c r="AR191">
        <v>179.89164495214646</v>
      </c>
      <c r="AS191">
        <v>1886.7741087804</v>
      </c>
      <c r="AT191">
        <v>83.929769645970794</v>
      </c>
      <c r="AU191">
        <v>220.77584733628345</v>
      </c>
      <c r="AV191"/>
      <c r="AW191"/>
      <c r="AX191" s="146"/>
      <c r="AY191" s="76" t="str">
        <f t="shared" ca="1" si="172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7"/>
        <v/>
      </c>
      <c r="CL191" s="179" t="str">
        <f t="shared" si="208"/>
        <v/>
      </c>
      <c r="CM191" s="180" t="str">
        <f t="shared" si="209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0"/>
        <v/>
      </c>
      <c r="DB191" s="146"/>
      <c r="DC191" s="76" t="str">
        <f t="shared" ca="1" si="173"/>
        <v/>
      </c>
      <c r="DD191" t="str">
        <f t="shared" si="211"/>
        <v/>
      </c>
      <c r="DE191" s="129" t="str">
        <f t="shared" si="283"/>
        <v/>
      </c>
      <c r="DF191" s="161" t="str">
        <f t="shared" si="284"/>
        <v/>
      </c>
      <c r="DG191" s="161" t="str">
        <f t="shared" si="285"/>
        <v/>
      </c>
      <c r="DH191" s="161" t="str">
        <f t="shared" si="286"/>
        <v/>
      </c>
      <c r="DI191" s="161" t="str">
        <f t="shared" si="287"/>
        <v/>
      </c>
      <c r="DJ191" s="161" t="str">
        <f t="shared" si="288"/>
        <v/>
      </c>
      <c r="DK191" s="161" t="str">
        <f t="shared" si="289"/>
        <v/>
      </c>
      <c r="DL191" s="161" t="str">
        <f t="shared" si="290"/>
        <v/>
      </c>
      <c r="DM191" s="161" t="str">
        <f t="shared" si="291"/>
        <v/>
      </c>
      <c r="DN191" s="161" t="str">
        <f>IF($AZ191="", "", (BJ191*$CW191)/$CZ191)</f>
        <v/>
      </c>
      <c r="DO191" s="161" t="str">
        <f t="shared" si="292"/>
        <v/>
      </c>
      <c r="DP191" s="161" t="str">
        <f t="shared" si="293"/>
        <v/>
      </c>
      <c r="DQ191" s="161" t="str">
        <f t="shared" si="294"/>
        <v/>
      </c>
      <c r="DR191" s="161" t="str">
        <f t="shared" si="295"/>
        <v/>
      </c>
      <c r="DS191" s="161" t="str">
        <f t="shared" si="296"/>
        <v/>
      </c>
      <c r="DT191" s="161" t="str">
        <f t="shared" si="297"/>
        <v/>
      </c>
      <c r="DU191" s="161" t="str">
        <f t="shared" si="298"/>
        <v/>
      </c>
      <c r="DV191" s="161" t="str">
        <f t="shared" si="299"/>
        <v/>
      </c>
      <c r="DW191" s="161" t="str">
        <f t="shared" si="300"/>
        <v/>
      </c>
      <c r="DX191" s="161" t="str">
        <f t="shared" si="301"/>
        <v/>
      </c>
      <c r="DY191" s="161" t="str">
        <f t="shared" si="302"/>
        <v/>
      </c>
      <c r="DZ191" s="161" t="str">
        <f t="shared" si="303"/>
        <v/>
      </c>
      <c r="EA191" s="161" t="str">
        <f t="shared" si="304"/>
        <v/>
      </c>
      <c r="EB191" s="161" t="str">
        <f t="shared" si="305"/>
        <v/>
      </c>
      <c r="EC191" s="161" t="str">
        <f t="shared" si="306"/>
        <v/>
      </c>
      <c r="ED191" s="161" t="str">
        <f t="shared" si="307"/>
        <v/>
      </c>
      <c r="EE191" s="161" t="str">
        <f t="shared" si="308"/>
        <v/>
      </c>
      <c r="EF191" s="161" t="str">
        <f t="shared" si="309"/>
        <v/>
      </c>
      <c r="EG191" s="161" t="str">
        <f t="shared" si="310"/>
        <v/>
      </c>
      <c r="EH191" s="161" t="str">
        <f t="shared" si="311"/>
        <v/>
      </c>
      <c r="EI191" s="161" t="str">
        <f t="shared" si="312"/>
        <v/>
      </c>
      <c r="EJ191" s="161" t="str">
        <f t="shared" si="313"/>
        <v/>
      </c>
      <c r="EK191" s="147" t="str">
        <f t="shared" si="250"/>
        <v/>
      </c>
      <c r="EL191" s="149"/>
      <c r="EN191" s="146"/>
      <c r="EO191" s="146"/>
      <c r="EP191" s="139" t="str">
        <f t="shared" si="251"/>
        <v/>
      </c>
      <c r="EQ191" s="139" t="str">
        <f t="shared" si="252"/>
        <v/>
      </c>
      <c r="ER191" s="139" t="str">
        <f t="shared" si="253"/>
        <v/>
      </c>
      <c r="ES191" s="139" t="str">
        <f t="shared" si="254"/>
        <v/>
      </c>
      <c r="ET191" s="139" t="str">
        <f t="shared" si="255"/>
        <v/>
      </c>
      <c r="EU191" s="139" t="str">
        <f t="shared" si="256"/>
        <v/>
      </c>
      <c r="EV191" s="139" t="str">
        <f t="shared" si="257"/>
        <v/>
      </c>
      <c r="EW191" s="139" t="str">
        <f t="shared" si="258"/>
        <v/>
      </c>
      <c r="EX191" s="139" t="str">
        <f t="shared" si="259"/>
        <v/>
      </c>
      <c r="EY191" s="139" t="str">
        <f t="shared" si="260"/>
        <v/>
      </c>
      <c r="EZ191" s="139" t="str">
        <f t="shared" si="261"/>
        <v/>
      </c>
      <c r="FA191" s="139" t="str">
        <f t="shared" si="262"/>
        <v/>
      </c>
      <c r="FB191" s="139" t="str">
        <f t="shared" si="263"/>
        <v/>
      </c>
      <c r="FC191" s="139" t="str">
        <f t="shared" si="264"/>
        <v/>
      </c>
      <c r="FD191" s="139" t="str">
        <f t="shared" si="265"/>
        <v/>
      </c>
      <c r="FE191" s="139" t="str">
        <f t="shared" si="266"/>
        <v/>
      </c>
      <c r="FF191" s="139" t="str">
        <f t="shared" si="267"/>
        <v/>
      </c>
      <c r="FG191" s="139" t="str">
        <f t="shared" si="268"/>
        <v/>
      </c>
      <c r="FH191" s="139" t="str">
        <f t="shared" si="269"/>
        <v/>
      </c>
      <c r="FI191" s="139" t="str">
        <f t="shared" si="270"/>
        <v/>
      </c>
      <c r="FJ191" s="139" t="str">
        <f t="shared" si="271"/>
        <v/>
      </c>
      <c r="FK191" s="139" t="str">
        <f t="shared" si="272"/>
        <v/>
      </c>
      <c r="FL191" s="139" t="str">
        <f t="shared" si="273"/>
        <v/>
      </c>
      <c r="FM191" s="139" t="str">
        <f t="shared" si="274"/>
        <v/>
      </c>
      <c r="FN191" s="139" t="str">
        <f t="shared" si="275"/>
        <v/>
      </c>
      <c r="FO191" s="139" t="str">
        <f t="shared" si="276"/>
        <v/>
      </c>
      <c r="FP191" s="139" t="str">
        <f t="shared" si="277"/>
        <v/>
      </c>
      <c r="FQ191" s="139" t="str">
        <f t="shared" si="278"/>
        <v/>
      </c>
      <c r="FR191" s="139" t="str">
        <f t="shared" si="279"/>
        <v/>
      </c>
      <c r="FS191" s="139" t="str">
        <f t="shared" si="280"/>
        <v/>
      </c>
      <c r="FT191" s="139" t="str">
        <f t="shared" si="281"/>
        <v/>
      </c>
      <c r="FU191" s="148" t="str">
        <f t="shared" si="282"/>
        <v/>
      </c>
      <c r="FV191" s="149"/>
      <c r="FY191" s="211">
        <v>186</v>
      </c>
      <c r="FZ191">
        <v>88.560434521491104</v>
      </c>
      <c r="GA191">
        <v>86.292803645977884</v>
      </c>
      <c r="GB191">
        <v>36.497045817025182</v>
      </c>
      <c r="GC191">
        <v>7.9761360080173329</v>
      </c>
      <c r="GD191">
        <v>2.3304901688549959</v>
      </c>
      <c r="GE191">
        <v>5.5470264179288931</v>
      </c>
      <c r="GF191">
        <v>21.036403736292463</v>
      </c>
      <c r="GG191">
        <v>23.953156712304455</v>
      </c>
      <c r="GH191">
        <v>20.547573597116262</v>
      </c>
      <c r="GI191">
        <v>67.324578841762943</v>
      </c>
      <c r="GJ191"/>
      <c r="GK191"/>
      <c r="GL191"/>
      <c r="GM191"/>
    </row>
    <row r="192" spans="1:195" s="7" customFormat="1">
      <c r="A192" s="1"/>
      <c r="B192" s="76" t="str">
        <f t="shared" ca="1" si="249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1145.3680304688639</v>
      </c>
      <c r="AO192">
        <v>186.22696112123856</v>
      </c>
      <c r="AP192">
        <v>1552.4417023373981</v>
      </c>
      <c r="AQ192">
        <v>500.06489651469747</v>
      </c>
      <c r="AR192">
        <v>180.03647781296826</v>
      </c>
      <c r="AS192">
        <v>1821.5395648592241</v>
      </c>
      <c r="AT192">
        <v>89.520992578490691</v>
      </c>
      <c r="AU192">
        <v>146.50944858691113</v>
      </c>
      <c r="AV192"/>
      <c r="AW192"/>
      <c r="AX192" s="146"/>
      <c r="AY192" s="76" t="str">
        <f t="shared" ca="1" si="172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7"/>
        <v/>
      </c>
      <c r="CL192" s="179" t="str">
        <f t="shared" si="208"/>
        <v/>
      </c>
      <c r="CM192" s="180" t="str">
        <f t="shared" si="209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0"/>
        <v/>
      </c>
      <c r="DB192" s="146"/>
      <c r="DC192" s="76" t="str">
        <f t="shared" ca="1" si="173"/>
        <v/>
      </c>
      <c r="DD192" t="str">
        <f t="shared" si="211"/>
        <v/>
      </c>
      <c r="DE192" s="129" t="str">
        <f t="shared" si="283"/>
        <v/>
      </c>
      <c r="DF192" s="161" t="str">
        <f t="shared" si="284"/>
        <v/>
      </c>
      <c r="DG192" s="161" t="str">
        <f t="shared" si="285"/>
        <v/>
      </c>
      <c r="DH192" s="161" t="str">
        <f t="shared" si="286"/>
        <v/>
      </c>
      <c r="DI192" s="161" t="str">
        <f t="shared" si="287"/>
        <v/>
      </c>
      <c r="DJ192" s="161" t="str">
        <f t="shared" si="288"/>
        <v/>
      </c>
      <c r="DK192" s="161" t="str">
        <f t="shared" si="289"/>
        <v/>
      </c>
      <c r="DL192" s="161" t="str">
        <f t="shared" si="290"/>
        <v/>
      </c>
      <c r="DM192" s="161" t="str">
        <f t="shared" si="291"/>
        <v/>
      </c>
      <c r="DN192" s="161" t="str">
        <f>IF($AZ192="", "", (BJ192*$CW192)/$CZ192)</f>
        <v/>
      </c>
      <c r="DO192" s="161" t="str">
        <f t="shared" si="292"/>
        <v/>
      </c>
      <c r="DP192" s="161" t="str">
        <f t="shared" si="293"/>
        <v/>
      </c>
      <c r="DQ192" s="161" t="str">
        <f t="shared" si="294"/>
        <v/>
      </c>
      <c r="DR192" s="161" t="str">
        <f t="shared" si="295"/>
        <v/>
      </c>
      <c r="DS192" s="161" t="str">
        <f t="shared" si="296"/>
        <v/>
      </c>
      <c r="DT192" s="161" t="str">
        <f t="shared" si="297"/>
        <v/>
      </c>
      <c r="DU192" s="161" t="str">
        <f t="shared" si="298"/>
        <v/>
      </c>
      <c r="DV192" s="161" t="str">
        <f t="shared" si="299"/>
        <v/>
      </c>
      <c r="DW192" s="161" t="str">
        <f t="shared" si="300"/>
        <v/>
      </c>
      <c r="DX192" s="161" t="str">
        <f t="shared" si="301"/>
        <v/>
      </c>
      <c r="DY192" s="161" t="str">
        <f t="shared" si="302"/>
        <v/>
      </c>
      <c r="DZ192" s="161" t="str">
        <f t="shared" si="303"/>
        <v/>
      </c>
      <c r="EA192" s="161" t="str">
        <f t="shared" si="304"/>
        <v/>
      </c>
      <c r="EB192" s="161" t="str">
        <f t="shared" si="305"/>
        <v/>
      </c>
      <c r="EC192" s="161" t="str">
        <f t="shared" si="306"/>
        <v/>
      </c>
      <c r="ED192" s="161" t="str">
        <f t="shared" si="307"/>
        <v/>
      </c>
      <c r="EE192" s="161" t="str">
        <f t="shared" si="308"/>
        <v/>
      </c>
      <c r="EF192" s="161" t="str">
        <f t="shared" si="309"/>
        <v/>
      </c>
      <c r="EG192" s="161" t="str">
        <f t="shared" si="310"/>
        <v/>
      </c>
      <c r="EH192" s="161" t="str">
        <f t="shared" si="311"/>
        <v/>
      </c>
      <c r="EI192" s="161" t="str">
        <f t="shared" si="312"/>
        <v/>
      </c>
      <c r="EJ192" s="161" t="str">
        <f t="shared" si="313"/>
        <v/>
      </c>
      <c r="EK192" s="147" t="str">
        <f t="shared" si="250"/>
        <v/>
      </c>
      <c r="EL192" s="149"/>
      <c r="EN192" s="146"/>
      <c r="EO192" s="146"/>
      <c r="EP192" s="139" t="str">
        <f t="shared" si="251"/>
        <v/>
      </c>
      <c r="EQ192" s="139" t="str">
        <f t="shared" si="252"/>
        <v/>
      </c>
      <c r="ER192" s="139" t="str">
        <f t="shared" si="253"/>
        <v/>
      </c>
      <c r="ES192" s="139" t="str">
        <f t="shared" si="254"/>
        <v/>
      </c>
      <c r="ET192" s="139" t="str">
        <f t="shared" si="255"/>
        <v/>
      </c>
      <c r="EU192" s="139" t="str">
        <f t="shared" si="256"/>
        <v/>
      </c>
      <c r="EV192" s="139" t="str">
        <f t="shared" si="257"/>
        <v/>
      </c>
      <c r="EW192" s="139" t="str">
        <f t="shared" si="258"/>
        <v/>
      </c>
      <c r="EX192" s="139" t="str">
        <f t="shared" si="259"/>
        <v/>
      </c>
      <c r="EY192" s="139" t="str">
        <f t="shared" si="260"/>
        <v/>
      </c>
      <c r="EZ192" s="139" t="str">
        <f t="shared" si="261"/>
        <v/>
      </c>
      <c r="FA192" s="139" t="str">
        <f t="shared" si="262"/>
        <v/>
      </c>
      <c r="FB192" s="139" t="str">
        <f t="shared" si="263"/>
        <v/>
      </c>
      <c r="FC192" s="139" t="str">
        <f t="shared" si="264"/>
        <v/>
      </c>
      <c r="FD192" s="139" t="str">
        <f t="shared" si="265"/>
        <v/>
      </c>
      <c r="FE192" s="139" t="str">
        <f t="shared" si="266"/>
        <v/>
      </c>
      <c r="FF192" s="139" t="str">
        <f t="shared" si="267"/>
        <v/>
      </c>
      <c r="FG192" s="139" t="str">
        <f t="shared" si="268"/>
        <v/>
      </c>
      <c r="FH192" s="139" t="str">
        <f t="shared" si="269"/>
        <v/>
      </c>
      <c r="FI192" s="139" t="str">
        <f t="shared" si="270"/>
        <v/>
      </c>
      <c r="FJ192" s="139" t="str">
        <f t="shared" si="271"/>
        <v/>
      </c>
      <c r="FK192" s="139" t="str">
        <f t="shared" si="272"/>
        <v/>
      </c>
      <c r="FL192" s="139" t="str">
        <f t="shared" si="273"/>
        <v/>
      </c>
      <c r="FM192" s="139" t="str">
        <f t="shared" si="274"/>
        <v/>
      </c>
      <c r="FN192" s="139" t="str">
        <f t="shared" si="275"/>
        <v/>
      </c>
      <c r="FO192" s="139" t="str">
        <f t="shared" si="276"/>
        <v/>
      </c>
      <c r="FP192" s="139" t="str">
        <f t="shared" si="277"/>
        <v/>
      </c>
      <c r="FQ192" s="139" t="str">
        <f t="shared" si="278"/>
        <v/>
      </c>
      <c r="FR192" s="139" t="str">
        <f t="shared" si="279"/>
        <v/>
      </c>
      <c r="FS192" s="139" t="str">
        <f t="shared" si="280"/>
        <v/>
      </c>
      <c r="FT192" s="139" t="str">
        <f t="shared" si="281"/>
        <v/>
      </c>
      <c r="FU192" s="148" t="str">
        <f t="shared" si="282"/>
        <v/>
      </c>
      <c r="FV192" s="149"/>
      <c r="FY192" s="211">
        <v>187</v>
      </c>
      <c r="FZ192">
        <v>90.490658087012264</v>
      </c>
      <c r="GA192">
        <v>71.434068682377699</v>
      </c>
      <c r="GB192">
        <v>32.256849738443357</v>
      </c>
      <c r="GC192">
        <v>8.4814258836107328</v>
      </c>
      <c r="GD192">
        <v>3.845986046348095</v>
      </c>
      <c r="GE192">
        <v>7.0819365814516022</v>
      </c>
      <c r="GF192">
        <v>39.649110565571277</v>
      </c>
      <c r="GG192">
        <v>49.649890190056979</v>
      </c>
      <c r="GH192">
        <v>30.836085615398108</v>
      </c>
      <c r="GI192">
        <v>87.19419383816323</v>
      </c>
      <c r="GJ192"/>
      <c r="GK192"/>
      <c r="GL192"/>
      <c r="GM192"/>
    </row>
    <row r="193" spans="1:195" s="7" customFormat="1">
      <c r="A193" s="1"/>
      <c r="B193" s="76" t="str">
        <f t="shared" ca="1" si="249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1435.0283203302599</v>
      </c>
      <c r="AO193">
        <v>192.524776228706</v>
      </c>
      <c r="AP193">
        <v>1638.6542218074319</v>
      </c>
      <c r="AQ193">
        <v>558.74529557737264</v>
      </c>
      <c r="AR193">
        <v>187.39474799498399</v>
      </c>
      <c r="AS193">
        <v>1933.7880101601334</v>
      </c>
      <c r="AT193">
        <v>86.605159700666476</v>
      </c>
      <c r="AU193">
        <v>168.80917410499904</v>
      </c>
      <c r="AV193"/>
      <c r="AW193"/>
      <c r="AX193" s="146"/>
      <c r="AY193" s="76" t="str">
        <f t="shared" ca="1" si="172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7"/>
        <v/>
      </c>
      <c r="CL193" s="179" t="str">
        <f t="shared" si="208"/>
        <v/>
      </c>
      <c r="CM193" s="180" t="str">
        <f t="shared" si="209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0"/>
        <v/>
      </c>
      <c r="DB193" s="146"/>
      <c r="DC193" s="76" t="str">
        <f t="shared" ca="1" si="173"/>
        <v/>
      </c>
      <c r="DD193" t="str">
        <f t="shared" si="211"/>
        <v/>
      </c>
      <c r="DE193" s="129" t="str">
        <f t="shared" si="283"/>
        <v/>
      </c>
      <c r="DF193" s="161" t="str">
        <f t="shared" si="284"/>
        <v/>
      </c>
      <c r="DG193" s="161" t="str">
        <f t="shared" si="285"/>
        <v/>
      </c>
      <c r="DH193" s="161" t="str">
        <f t="shared" si="286"/>
        <v/>
      </c>
      <c r="DI193" s="161" t="str">
        <f t="shared" si="287"/>
        <v/>
      </c>
      <c r="DJ193" s="161" t="str">
        <f t="shared" si="288"/>
        <v/>
      </c>
      <c r="DK193" s="161" t="str">
        <f t="shared" si="289"/>
        <v/>
      </c>
      <c r="DL193" s="161" t="str">
        <f t="shared" si="290"/>
        <v/>
      </c>
      <c r="DM193" s="161" t="str">
        <f t="shared" si="291"/>
        <v/>
      </c>
      <c r="DN193" s="161" t="str">
        <f t="shared" ref="DN193:DN207" si="314">IF($AZ193="", "", (BJ193*$CW193)/$CZ193)</f>
        <v/>
      </c>
      <c r="DO193" s="161" t="str">
        <f t="shared" si="292"/>
        <v/>
      </c>
      <c r="DP193" s="161" t="str">
        <f t="shared" si="293"/>
        <v/>
      </c>
      <c r="DQ193" s="161" t="str">
        <f t="shared" si="294"/>
        <v/>
      </c>
      <c r="DR193" s="161" t="str">
        <f t="shared" si="295"/>
        <v/>
      </c>
      <c r="DS193" s="161" t="str">
        <f t="shared" si="296"/>
        <v/>
      </c>
      <c r="DT193" s="161" t="str">
        <f t="shared" si="297"/>
        <v/>
      </c>
      <c r="DU193" s="161" t="str">
        <f t="shared" si="298"/>
        <v/>
      </c>
      <c r="DV193" s="161" t="str">
        <f t="shared" si="299"/>
        <v/>
      </c>
      <c r="DW193" s="161" t="str">
        <f t="shared" si="300"/>
        <v/>
      </c>
      <c r="DX193" s="161" t="str">
        <f t="shared" si="301"/>
        <v/>
      </c>
      <c r="DY193" s="161" t="str">
        <f t="shared" si="302"/>
        <v/>
      </c>
      <c r="DZ193" s="161" t="str">
        <f t="shared" si="303"/>
        <v/>
      </c>
      <c r="EA193" s="161" t="str">
        <f t="shared" si="304"/>
        <v/>
      </c>
      <c r="EB193" s="161" t="str">
        <f t="shared" si="305"/>
        <v/>
      </c>
      <c r="EC193" s="161" t="str">
        <f t="shared" si="306"/>
        <v/>
      </c>
      <c r="ED193" s="161" t="str">
        <f t="shared" si="307"/>
        <v/>
      </c>
      <c r="EE193" s="161" t="str">
        <f t="shared" si="308"/>
        <v/>
      </c>
      <c r="EF193" s="161" t="str">
        <f t="shared" si="309"/>
        <v/>
      </c>
      <c r="EG193" s="161" t="str">
        <f t="shared" si="310"/>
        <v/>
      </c>
      <c r="EH193" s="161" t="str">
        <f t="shared" si="311"/>
        <v/>
      </c>
      <c r="EI193" s="161" t="str">
        <f t="shared" si="312"/>
        <v/>
      </c>
      <c r="EJ193" s="161" t="str">
        <f t="shared" si="313"/>
        <v/>
      </c>
      <c r="EK193" s="147" t="str">
        <f t="shared" si="250"/>
        <v/>
      </c>
      <c r="EL193" s="149"/>
      <c r="EN193" s="146"/>
      <c r="EO193" s="146"/>
      <c r="EP193" s="139" t="str">
        <f t="shared" si="251"/>
        <v/>
      </c>
      <c r="EQ193" s="139" t="str">
        <f t="shared" si="252"/>
        <v/>
      </c>
      <c r="ER193" s="139" t="str">
        <f t="shared" si="253"/>
        <v/>
      </c>
      <c r="ES193" s="139" t="str">
        <f t="shared" si="254"/>
        <v/>
      </c>
      <c r="ET193" s="139" t="str">
        <f t="shared" si="255"/>
        <v/>
      </c>
      <c r="EU193" s="139" t="str">
        <f t="shared" si="256"/>
        <v/>
      </c>
      <c r="EV193" s="139" t="str">
        <f t="shared" si="257"/>
        <v/>
      </c>
      <c r="EW193" s="139" t="str">
        <f t="shared" si="258"/>
        <v/>
      </c>
      <c r="EX193" s="139" t="str">
        <f t="shared" si="259"/>
        <v/>
      </c>
      <c r="EY193" s="139" t="str">
        <f t="shared" si="260"/>
        <v/>
      </c>
      <c r="EZ193" s="139" t="str">
        <f t="shared" si="261"/>
        <v/>
      </c>
      <c r="FA193" s="139" t="str">
        <f t="shared" si="262"/>
        <v/>
      </c>
      <c r="FB193" s="139" t="str">
        <f t="shared" si="263"/>
        <v/>
      </c>
      <c r="FC193" s="139" t="str">
        <f t="shared" si="264"/>
        <v/>
      </c>
      <c r="FD193" s="139" t="str">
        <f t="shared" si="265"/>
        <v/>
      </c>
      <c r="FE193" s="139" t="str">
        <f t="shared" si="266"/>
        <v/>
      </c>
      <c r="FF193" s="139" t="str">
        <f t="shared" si="267"/>
        <v/>
      </c>
      <c r="FG193" s="139" t="str">
        <f t="shared" si="268"/>
        <v/>
      </c>
      <c r="FH193" s="139" t="str">
        <f t="shared" si="269"/>
        <v/>
      </c>
      <c r="FI193" s="139" t="str">
        <f t="shared" si="270"/>
        <v/>
      </c>
      <c r="FJ193" s="139" t="str">
        <f t="shared" si="271"/>
        <v/>
      </c>
      <c r="FK193" s="139" t="str">
        <f t="shared" si="272"/>
        <v/>
      </c>
      <c r="FL193" s="139" t="str">
        <f t="shared" si="273"/>
        <v/>
      </c>
      <c r="FM193" s="139" t="str">
        <f t="shared" si="274"/>
        <v/>
      </c>
      <c r="FN193" s="139" t="str">
        <f t="shared" si="275"/>
        <v/>
      </c>
      <c r="FO193" s="139" t="str">
        <f t="shared" si="276"/>
        <v/>
      </c>
      <c r="FP193" s="139" t="str">
        <f t="shared" si="277"/>
        <v/>
      </c>
      <c r="FQ193" s="139" t="str">
        <f t="shared" si="278"/>
        <v/>
      </c>
      <c r="FR193" s="139" t="str">
        <f t="shared" si="279"/>
        <v/>
      </c>
      <c r="FS193" s="139" t="str">
        <f t="shared" si="280"/>
        <v/>
      </c>
      <c r="FT193" s="139" t="str">
        <f t="shared" si="281"/>
        <v/>
      </c>
      <c r="FU193" s="148" t="str">
        <f t="shared" si="282"/>
        <v/>
      </c>
      <c r="FV193" s="149"/>
      <c r="FY193" s="211">
        <v>188</v>
      </c>
      <c r="FZ193">
        <v>101.87772637391824</v>
      </c>
      <c r="GA193">
        <v>146.42728330917473</v>
      </c>
      <c r="GB193">
        <v>50.912572906934251</v>
      </c>
      <c r="GC193">
        <v>8.5406985100175259</v>
      </c>
      <c r="GD193">
        <v>3.2747106815156473</v>
      </c>
      <c r="GE193">
        <v>5.448519560143164</v>
      </c>
      <c r="GF193">
        <v>32.49731900960154</v>
      </c>
      <c r="GG193">
        <v>41.953187965709773</v>
      </c>
      <c r="GH193">
        <v>29.846749821007634</v>
      </c>
      <c r="GI193">
        <v>90.88748433040891</v>
      </c>
      <c r="GJ193"/>
      <c r="GK193"/>
      <c r="GL193"/>
      <c r="GM193"/>
    </row>
    <row r="194" spans="1:195" s="7" customFormat="1">
      <c r="A194" s="1"/>
      <c r="B194" s="76" t="str">
        <f t="shared" ca="1" si="249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1431.1317753391845</v>
      </c>
      <c r="AO194">
        <v>178.92354885474515</v>
      </c>
      <c r="AP194">
        <v>1521.8820475540319</v>
      </c>
      <c r="AQ194">
        <v>612.24489205364773</v>
      </c>
      <c r="AR194">
        <v>172.40859387268367</v>
      </c>
      <c r="AS194">
        <v>1957.0326952997498</v>
      </c>
      <c r="AT194">
        <v>83.469620082525537</v>
      </c>
      <c r="AU194">
        <v>252.71403909805875</v>
      </c>
      <c r="AV194"/>
      <c r="AW194"/>
      <c r="AX194" s="146"/>
      <c r="AY194" s="76" t="str">
        <f t="shared" ca="1" si="172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7"/>
        <v/>
      </c>
      <c r="CL194" s="179" t="str">
        <f t="shared" si="208"/>
        <v/>
      </c>
      <c r="CM194" s="180" t="str">
        <f t="shared" si="209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0"/>
        <v/>
      </c>
      <c r="DB194" s="146"/>
      <c r="DC194" s="76" t="str">
        <f t="shared" ca="1" si="173"/>
        <v/>
      </c>
      <c r="DD194" t="str">
        <f t="shared" si="211"/>
        <v/>
      </c>
      <c r="DE194" s="129" t="str">
        <f t="shared" si="283"/>
        <v/>
      </c>
      <c r="DF194" s="161" t="str">
        <f t="shared" si="284"/>
        <v/>
      </c>
      <c r="DG194" s="161" t="str">
        <f t="shared" si="285"/>
        <v/>
      </c>
      <c r="DH194" s="161" t="str">
        <f t="shared" si="286"/>
        <v/>
      </c>
      <c r="DI194" s="161" t="str">
        <f t="shared" si="287"/>
        <v/>
      </c>
      <c r="DJ194" s="161" t="str">
        <f t="shared" si="288"/>
        <v/>
      </c>
      <c r="DK194" s="161" t="str">
        <f t="shared" si="289"/>
        <v/>
      </c>
      <c r="DL194" s="161" t="str">
        <f t="shared" si="290"/>
        <v/>
      </c>
      <c r="DM194" s="161" t="str">
        <f t="shared" si="291"/>
        <v/>
      </c>
      <c r="DN194" s="161" t="str">
        <f t="shared" si="314"/>
        <v/>
      </c>
      <c r="DO194" s="161" t="str">
        <f t="shared" ref="DO194:DO206" si="315">IF($AZ194="", "", (BK193*$CW194)/$CZ194)</f>
        <v/>
      </c>
      <c r="DP194" s="161" t="str">
        <f t="shared" ref="DP194:DP206" si="316">IF($AZ194="", "", (BL193*$CW194)/$CZ194)</f>
        <v/>
      </c>
      <c r="DQ194" s="161" t="str">
        <f t="shared" ref="DQ194:DQ206" si="317">IF($AZ194="", "", (BM193*$CW194)/$CZ194)</f>
        <v/>
      </c>
      <c r="DR194" s="161" t="str">
        <f t="shared" ref="DR194:DR206" si="318">IF($AZ194="", "", (BN193*$CW194)/$CZ194)</f>
        <v/>
      </c>
      <c r="DS194" s="161" t="str">
        <f t="shared" ref="DS194:DS206" si="319">IF($AZ194="", "", (BO193*$CW194)/$CZ194)</f>
        <v/>
      </c>
      <c r="DT194" s="161" t="str">
        <f t="shared" ref="DT194:DT206" si="320">IF($AZ194="", "", (BP193*$CW194)/$CZ194)</f>
        <v/>
      </c>
      <c r="DU194" s="161" t="str">
        <f t="shared" ref="DU194:DU206" si="321">IF($AZ194="", "", (BQ193*$CW194)/$CZ194)</f>
        <v/>
      </c>
      <c r="DV194" s="161" t="str">
        <f t="shared" ref="DV194:DV206" si="322">IF($AZ194="", "", (BR193*$CW194)/$CZ194)</f>
        <v/>
      </c>
      <c r="DW194" s="161" t="str">
        <f t="shared" ref="DW194:DW206" si="323">IF($AZ194="", "", (BS193*$CW194)/$CZ194)</f>
        <v/>
      </c>
      <c r="DX194" s="161" t="str">
        <f t="shared" ref="DX194:DX206" si="324">IF($AZ194="", "", (BT193*$CW194)/$CZ194)</f>
        <v/>
      </c>
      <c r="DY194" s="161" t="str">
        <f t="shared" ref="DY194:DY206" si="325">IF($AZ194="", "", (BU193*$CW194)/$CZ194)</f>
        <v/>
      </c>
      <c r="DZ194" s="161" t="str">
        <f t="shared" ref="DZ194:DZ206" si="326">IF($AZ194="", "", (BV193*$CW194)/$CZ194)</f>
        <v/>
      </c>
      <c r="EA194" s="161" t="str">
        <f t="shared" ref="EA194:EA206" si="327">IF($AZ194="", "", (BW193*$CW194)/$CZ194)</f>
        <v/>
      </c>
      <c r="EB194" s="161" t="str">
        <f t="shared" ref="EB194:EB206" si="328">IF($AZ194="", "", (BX193*$CW194)/$CZ194)</f>
        <v/>
      </c>
      <c r="EC194" s="161" t="str">
        <f t="shared" ref="EC194:EC206" si="329">IF($AZ194="", "", (BY193*$CW194)/$CZ194)</f>
        <v/>
      </c>
      <c r="ED194" s="161" t="str">
        <f t="shared" ref="ED194:ED206" si="330">IF($AZ194="", "", (BZ193*$CW194)/$CZ194)</f>
        <v/>
      </c>
      <c r="EE194" s="161" t="str">
        <f t="shared" ref="EE194:EE206" si="331">IF($AZ194="", "", (CA193*$CW194)/$CZ194)</f>
        <v/>
      </c>
      <c r="EF194" s="161" t="str">
        <f t="shared" ref="EF194:EF206" si="332">IF($AZ194="", "", (CB193*$CW194)/$CZ194)</f>
        <v/>
      </c>
      <c r="EG194" s="161" t="str">
        <f t="shared" ref="EG194:EG206" si="333">IF($AZ194="", "", (CC193*$CW194)/$CZ194)</f>
        <v/>
      </c>
      <c r="EH194" s="161" t="str">
        <f t="shared" ref="EH194:EH206" si="334">IF($AZ194="", "", (CD193*$CW194)/$CZ194)</f>
        <v/>
      </c>
      <c r="EI194" s="161" t="str">
        <f t="shared" ref="EI194:EI206" si="335">IF($AZ194="", "", (CE193*$CW194)/$CZ194)</f>
        <v/>
      </c>
      <c r="EJ194" s="161" t="str">
        <f t="shared" ref="EJ194:EJ206" si="336">IF($AZ194="", "", (CF193*$CW194)/$CZ194)</f>
        <v/>
      </c>
      <c r="EK194" s="147" t="str">
        <f t="shared" si="250"/>
        <v/>
      </c>
      <c r="EL194" s="149"/>
      <c r="EN194" s="146"/>
      <c r="EO194" s="146"/>
      <c r="EP194" s="139" t="str">
        <f t="shared" si="251"/>
        <v/>
      </c>
      <c r="EQ194" s="139" t="str">
        <f t="shared" si="252"/>
        <v/>
      </c>
      <c r="ER194" s="139" t="str">
        <f t="shared" si="253"/>
        <v/>
      </c>
      <c r="ES194" s="139" t="str">
        <f t="shared" si="254"/>
        <v/>
      </c>
      <c r="ET194" s="139" t="str">
        <f t="shared" si="255"/>
        <v/>
      </c>
      <c r="EU194" s="139" t="str">
        <f t="shared" si="256"/>
        <v/>
      </c>
      <c r="EV194" s="139" t="str">
        <f t="shared" si="257"/>
        <v/>
      </c>
      <c r="EW194" s="139" t="str">
        <f t="shared" si="258"/>
        <v/>
      </c>
      <c r="EX194" s="139" t="str">
        <f t="shared" si="259"/>
        <v/>
      </c>
      <c r="EY194" s="139" t="str">
        <f t="shared" si="260"/>
        <v/>
      </c>
      <c r="EZ194" s="139" t="str">
        <f t="shared" si="261"/>
        <v/>
      </c>
      <c r="FA194" s="139" t="str">
        <f t="shared" si="262"/>
        <v/>
      </c>
      <c r="FB194" s="139" t="str">
        <f t="shared" si="263"/>
        <v/>
      </c>
      <c r="FC194" s="139" t="str">
        <f t="shared" si="264"/>
        <v/>
      </c>
      <c r="FD194" s="139" t="str">
        <f t="shared" si="265"/>
        <v/>
      </c>
      <c r="FE194" s="139" t="str">
        <f t="shared" si="266"/>
        <v/>
      </c>
      <c r="FF194" s="139" t="str">
        <f t="shared" si="267"/>
        <v/>
      </c>
      <c r="FG194" s="139" t="str">
        <f t="shared" si="268"/>
        <v/>
      </c>
      <c r="FH194" s="139" t="str">
        <f t="shared" si="269"/>
        <v/>
      </c>
      <c r="FI194" s="139" t="str">
        <f t="shared" si="270"/>
        <v/>
      </c>
      <c r="FJ194" s="139" t="str">
        <f t="shared" si="271"/>
        <v/>
      </c>
      <c r="FK194" s="139" t="str">
        <f t="shared" si="272"/>
        <v/>
      </c>
      <c r="FL194" s="139" t="str">
        <f t="shared" si="273"/>
        <v/>
      </c>
      <c r="FM194" s="139" t="str">
        <f t="shared" si="274"/>
        <v/>
      </c>
      <c r="FN194" s="139" t="str">
        <f t="shared" si="275"/>
        <v/>
      </c>
      <c r="FO194" s="139" t="str">
        <f t="shared" si="276"/>
        <v/>
      </c>
      <c r="FP194" s="139" t="str">
        <f t="shared" si="277"/>
        <v/>
      </c>
      <c r="FQ194" s="139" t="str">
        <f t="shared" si="278"/>
        <v/>
      </c>
      <c r="FR194" s="139" t="str">
        <f t="shared" si="279"/>
        <v/>
      </c>
      <c r="FS194" s="139" t="str">
        <f t="shared" si="280"/>
        <v/>
      </c>
      <c r="FT194" s="139" t="str">
        <f t="shared" si="281"/>
        <v/>
      </c>
      <c r="FU194" s="148" t="str">
        <f t="shared" si="282"/>
        <v/>
      </c>
      <c r="FV194" s="149"/>
      <c r="FY194" s="211">
        <v>189</v>
      </c>
      <c r="FZ194">
        <v>120.63423103502863</v>
      </c>
      <c r="GA194">
        <v>103.65013452929777</v>
      </c>
      <c r="GB194">
        <v>31.689874939502236</v>
      </c>
      <c r="GC194">
        <v>10.237461896283255</v>
      </c>
      <c r="GD194">
        <v>3.4131800317888112</v>
      </c>
      <c r="GE194">
        <v>6.4672699075307012</v>
      </c>
      <c r="GF194">
        <v>24.171326090780646</v>
      </c>
      <c r="GG194">
        <v>29.496890827856749</v>
      </c>
      <c r="GH194">
        <v>37.094069205643791</v>
      </c>
      <c r="GI194">
        <v>77.499340257862457</v>
      </c>
      <c r="GJ194"/>
      <c r="GK194"/>
      <c r="GL194"/>
      <c r="GM194"/>
    </row>
    <row r="195" spans="1:195" s="7" customFormat="1">
      <c r="A195" s="1"/>
      <c r="B195" s="76" t="str">
        <f t="shared" ca="1" si="249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1176.897660448356</v>
      </c>
      <c r="AO195">
        <v>177.30479350136062</v>
      </c>
      <c r="AP195">
        <v>1483.434132467587</v>
      </c>
      <c r="AQ195">
        <v>462.49430310966926</v>
      </c>
      <c r="AR195">
        <v>172.27200228570513</v>
      </c>
      <c r="AS195">
        <v>1743.6183768063725</v>
      </c>
      <c r="AT195">
        <v>87.63484579918817</v>
      </c>
      <c r="AU195">
        <v>222.96874694426452</v>
      </c>
      <c r="AV195"/>
      <c r="AW195"/>
      <c r="AX195" s="146"/>
      <c r="AY195" s="76" t="str">
        <f t="shared" ca="1" si="172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7"/>
        <v/>
      </c>
      <c r="CL195" s="179" t="str">
        <f t="shared" si="208"/>
        <v/>
      </c>
      <c r="CM195" s="180" t="str">
        <f t="shared" si="209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0"/>
        <v/>
      </c>
      <c r="DB195" s="146"/>
      <c r="DC195" s="76" t="str">
        <f t="shared" ca="1" si="173"/>
        <v/>
      </c>
      <c r="DD195" t="str">
        <f t="shared" si="211"/>
        <v/>
      </c>
      <c r="DE195" s="129" t="str">
        <f t="shared" si="283"/>
        <v/>
      </c>
      <c r="DF195" s="161" t="str">
        <f t="shared" si="284"/>
        <v/>
      </c>
      <c r="DG195" s="161" t="str">
        <f t="shared" si="285"/>
        <v/>
      </c>
      <c r="DH195" s="161" t="str">
        <f t="shared" si="286"/>
        <v/>
      </c>
      <c r="DI195" s="161" t="str">
        <f t="shared" si="287"/>
        <v/>
      </c>
      <c r="DJ195" s="161" t="str">
        <f t="shared" si="288"/>
        <v/>
      </c>
      <c r="DK195" s="161" t="str">
        <f t="shared" si="289"/>
        <v/>
      </c>
      <c r="DL195" s="161" t="str">
        <f t="shared" si="290"/>
        <v/>
      </c>
      <c r="DM195" s="161" t="str">
        <f t="shared" si="291"/>
        <v/>
      </c>
      <c r="DN195" s="161" t="str">
        <f t="shared" si="314"/>
        <v/>
      </c>
      <c r="DO195" s="161" t="str">
        <f t="shared" si="315"/>
        <v/>
      </c>
      <c r="DP195" s="161" t="str">
        <f t="shared" si="316"/>
        <v/>
      </c>
      <c r="DQ195" s="161" t="str">
        <f t="shared" si="317"/>
        <v/>
      </c>
      <c r="DR195" s="161" t="str">
        <f t="shared" si="318"/>
        <v/>
      </c>
      <c r="DS195" s="161" t="str">
        <f t="shared" si="319"/>
        <v/>
      </c>
      <c r="DT195" s="161" t="str">
        <f t="shared" si="320"/>
        <v/>
      </c>
      <c r="DU195" s="161" t="str">
        <f t="shared" si="321"/>
        <v/>
      </c>
      <c r="DV195" s="161" t="str">
        <f t="shared" si="322"/>
        <v/>
      </c>
      <c r="DW195" s="161" t="str">
        <f t="shared" si="323"/>
        <v/>
      </c>
      <c r="DX195" s="161" t="str">
        <f t="shared" si="324"/>
        <v/>
      </c>
      <c r="DY195" s="161" t="str">
        <f t="shared" si="325"/>
        <v/>
      </c>
      <c r="DZ195" s="161" t="str">
        <f t="shared" si="326"/>
        <v/>
      </c>
      <c r="EA195" s="161" t="str">
        <f t="shared" si="327"/>
        <v/>
      </c>
      <c r="EB195" s="161" t="str">
        <f t="shared" si="328"/>
        <v/>
      </c>
      <c r="EC195" s="161" t="str">
        <f t="shared" si="329"/>
        <v/>
      </c>
      <c r="ED195" s="161" t="str">
        <f t="shared" si="330"/>
        <v/>
      </c>
      <c r="EE195" s="161" t="str">
        <f t="shared" si="331"/>
        <v/>
      </c>
      <c r="EF195" s="161" t="str">
        <f t="shared" si="332"/>
        <v/>
      </c>
      <c r="EG195" s="161" t="str">
        <f t="shared" si="333"/>
        <v/>
      </c>
      <c r="EH195" s="161" t="str">
        <f t="shared" si="334"/>
        <v/>
      </c>
      <c r="EI195" s="161" t="str">
        <f t="shared" si="335"/>
        <v/>
      </c>
      <c r="EJ195" s="161" t="str">
        <f t="shared" si="336"/>
        <v/>
      </c>
      <c r="EK195" s="147" t="str">
        <f t="shared" si="250"/>
        <v/>
      </c>
      <c r="EL195" s="149"/>
      <c r="EN195" s="146"/>
      <c r="EO195" s="146"/>
      <c r="EP195" s="139" t="str">
        <f t="shared" si="251"/>
        <v/>
      </c>
      <c r="EQ195" s="139" t="str">
        <f t="shared" si="252"/>
        <v/>
      </c>
      <c r="ER195" s="139" t="str">
        <f t="shared" si="253"/>
        <v/>
      </c>
      <c r="ES195" s="139" t="str">
        <f t="shared" si="254"/>
        <v/>
      </c>
      <c r="ET195" s="139" t="str">
        <f t="shared" si="255"/>
        <v/>
      </c>
      <c r="EU195" s="139" t="str">
        <f t="shared" si="256"/>
        <v/>
      </c>
      <c r="EV195" s="139" t="str">
        <f t="shared" si="257"/>
        <v/>
      </c>
      <c r="EW195" s="139" t="str">
        <f t="shared" si="258"/>
        <v/>
      </c>
      <c r="EX195" s="139" t="str">
        <f t="shared" si="259"/>
        <v/>
      </c>
      <c r="EY195" s="139" t="str">
        <f t="shared" si="260"/>
        <v/>
      </c>
      <c r="EZ195" s="139" t="str">
        <f t="shared" si="261"/>
        <v/>
      </c>
      <c r="FA195" s="139" t="str">
        <f t="shared" si="262"/>
        <v/>
      </c>
      <c r="FB195" s="139" t="str">
        <f t="shared" si="263"/>
        <v/>
      </c>
      <c r="FC195" s="139" t="str">
        <f t="shared" si="264"/>
        <v/>
      </c>
      <c r="FD195" s="139" t="str">
        <f t="shared" si="265"/>
        <v/>
      </c>
      <c r="FE195" s="139" t="str">
        <f t="shared" si="266"/>
        <v/>
      </c>
      <c r="FF195" s="139" t="str">
        <f t="shared" si="267"/>
        <v/>
      </c>
      <c r="FG195" s="139" t="str">
        <f t="shared" si="268"/>
        <v/>
      </c>
      <c r="FH195" s="139" t="str">
        <f t="shared" si="269"/>
        <v/>
      </c>
      <c r="FI195" s="139" t="str">
        <f t="shared" si="270"/>
        <v/>
      </c>
      <c r="FJ195" s="139" t="str">
        <f t="shared" si="271"/>
        <v/>
      </c>
      <c r="FK195" s="139" t="str">
        <f t="shared" si="272"/>
        <v/>
      </c>
      <c r="FL195" s="139" t="str">
        <f t="shared" si="273"/>
        <v/>
      </c>
      <c r="FM195" s="139" t="str">
        <f t="shared" si="274"/>
        <v/>
      </c>
      <c r="FN195" s="139" t="str">
        <f t="shared" si="275"/>
        <v/>
      </c>
      <c r="FO195" s="139" t="str">
        <f t="shared" si="276"/>
        <v/>
      </c>
      <c r="FP195" s="139" t="str">
        <f t="shared" si="277"/>
        <v/>
      </c>
      <c r="FQ195" s="139" t="str">
        <f t="shared" si="278"/>
        <v/>
      </c>
      <c r="FR195" s="139" t="str">
        <f t="shared" si="279"/>
        <v/>
      </c>
      <c r="FS195" s="139" t="str">
        <f t="shared" si="280"/>
        <v/>
      </c>
      <c r="FT195" s="139" t="str">
        <f t="shared" si="281"/>
        <v/>
      </c>
      <c r="FU195" s="148" t="str">
        <f t="shared" si="282"/>
        <v/>
      </c>
      <c r="FV195" s="149"/>
      <c r="FY195" s="211">
        <v>190</v>
      </c>
      <c r="FZ195">
        <v>79.676644933035575</v>
      </c>
      <c r="GA195">
        <v>102.7208390924562</v>
      </c>
      <c r="GB195">
        <v>41.850624780965965</v>
      </c>
      <c r="GC195">
        <v>10.975035892969666</v>
      </c>
      <c r="GD195">
        <v>3.5704510767136748</v>
      </c>
      <c r="GE195">
        <v>6.0524077694561846</v>
      </c>
      <c r="GF195">
        <v>39.474867371313152</v>
      </c>
      <c r="GG195">
        <v>45.175195702061629</v>
      </c>
      <c r="GH195">
        <v>26.601288788559156</v>
      </c>
      <c r="GI195">
        <v>78.745223255085818</v>
      </c>
      <c r="GJ195"/>
      <c r="GK195"/>
      <c r="GL195"/>
      <c r="GM195"/>
    </row>
    <row r="196" spans="1:195" s="7" customFormat="1">
      <c r="A196" s="1"/>
      <c r="B196" s="76" t="str">
        <f t="shared" ca="1" si="249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1039.8874925894381</v>
      </c>
      <c r="AO196">
        <v>150.92913246317391</v>
      </c>
      <c r="AP196">
        <v>1209.4976316791481</v>
      </c>
      <c r="AQ196">
        <v>403.88628901717078</v>
      </c>
      <c r="AR196">
        <v>147.4104418233108</v>
      </c>
      <c r="AS196">
        <v>1584.3663276190732</v>
      </c>
      <c r="AT196">
        <v>71.775800443431322</v>
      </c>
      <c r="AU196">
        <v>170.6232793938662</v>
      </c>
      <c r="AV196"/>
      <c r="AW196"/>
      <c r="AX196" s="146"/>
      <c r="AY196" s="76" t="str">
        <f t="shared" ca="1" si="172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7"/>
        <v/>
      </c>
      <c r="CL196" s="179" t="str">
        <f t="shared" si="208"/>
        <v/>
      </c>
      <c r="CM196" s="180" t="str">
        <f t="shared" si="209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0"/>
        <v/>
      </c>
      <c r="DB196" s="146"/>
      <c r="DC196" s="76" t="str">
        <f t="shared" ca="1" si="173"/>
        <v/>
      </c>
      <c r="DD196" t="str">
        <f t="shared" si="211"/>
        <v/>
      </c>
      <c r="DE196" s="129" t="str">
        <f t="shared" si="283"/>
        <v/>
      </c>
      <c r="DF196" s="161" t="str">
        <f t="shared" si="284"/>
        <v/>
      </c>
      <c r="DG196" s="161" t="str">
        <f t="shared" si="285"/>
        <v/>
      </c>
      <c r="DH196" s="161" t="str">
        <f t="shared" si="286"/>
        <v/>
      </c>
      <c r="DI196" s="161" t="str">
        <f t="shared" si="287"/>
        <v/>
      </c>
      <c r="DJ196" s="161" t="str">
        <f t="shared" si="288"/>
        <v/>
      </c>
      <c r="DK196" s="161" t="str">
        <f t="shared" si="289"/>
        <v/>
      </c>
      <c r="DL196" s="161" t="str">
        <f t="shared" si="290"/>
        <v/>
      </c>
      <c r="DM196" s="161" t="str">
        <f t="shared" si="291"/>
        <v/>
      </c>
      <c r="DN196" s="161" t="str">
        <f t="shared" si="314"/>
        <v/>
      </c>
      <c r="DO196" s="161" t="str">
        <f t="shared" si="315"/>
        <v/>
      </c>
      <c r="DP196" s="161" t="str">
        <f t="shared" si="316"/>
        <v/>
      </c>
      <c r="DQ196" s="161" t="str">
        <f t="shared" si="317"/>
        <v/>
      </c>
      <c r="DR196" s="161" t="str">
        <f t="shared" si="318"/>
        <v/>
      </c>
      <c r="DS196" s="161" t="str">
        <f t="shared" si="319"/>
        <v/>
      </c>
      <c r="DT196" s="161" t="str">
        <f t="shared" si="320"/>
        <v/>
      </c>
      <c r="DU196" s="161" t="str">
        <f t="shared" si="321"/>
        <v/>
      </c>
      <c r="DV196" s="161" t="str">
        <f t="shared" si="322"/>
        <v/>
      </c>
      <c r="DW196" s="161" t="str">
        <f t="shared" si="323"/>
        <v/>
      </c>
      <c r="DX196" s="161" t="str">
        <f t="shared" si="324"/>
        <v/>
      </c>
      <c r="DY196" s="161" t="str">
        <f t="shared" si="325"/>
        <v/>
      </c>
      <c r="DZ196" s="161" t="str">
        <f t="shared" si="326"/>
        <v/>
      </c>
      <c r="EA196" s="161" t="str">
        <f t="shared" si="327"/>
        <v/>
      </c>
      <c r="EB196" s="161" t="str">
        <f t="shared" si="328"/>
        <v/>
      </c>
      <c r="EC196" s="161" t="str">
        <f t="shared" si="329"/>
        <v/>
      </c>
      <c r="ED196" s="161" t="str">
        <f t="shared" si="330"/>
        <v/>
      </c>
      <c r="EE196" s="161" t="str">
        <f t="shared" si="331"/>
        <v/>
      </c>
      <c r="EF196" s="161" t="str">
        <f t="shared" si="332"/>
        <v/>
      </c>
      <c r="EG196" s="161" t="str">
        <f t="shared" si="333"/>
        <v/>
      </c>
      <c r="EH196" s="161" t="str">
        <f t="shared" si="334"/>
        <v/>
      </c>
      <c r="EI196" s="161" t="str">
        <f t="shared" si="335"/>
        <v/>
      </c>
      <c r="EJ196" s="161" t="str">
        <f t="shared" si="336"/>
        <v/>
      </c>
      <c r="EK196" s="147" t="str">
        <f t="shared" si="250"/>
        <v/>
      </c>
      <c r="EL196" s="149"/>
      <c r="EN196" s="146"/>
      <c r="EO196" s="146"/>
      <c r="EP196" s="139" t="str">
        <f t="shared" si="251"/>
        <v/>
      </c>
      <c r="EQ196" s="139" t="str">
        <f t="shared" si="252"/>
        <v/>
      </c>
      <c r="ER196" s="139" t="str">
        <f t="shared" si="253"/>
        <v/>
      </c>
      <c r="ES196" s="139" t="str">
        <f t="shared" si="254"/>
        <v/>
      </c>
      <c r="ET196" s="139" t="str">
        <f t="shared" si="255"/>
        <v/>
      </c>
      <c r="EU196" s="139" t="str">
        <f t="shared" si="256"/>
        <v/>
      </c>
      <c r="EV196" s="139" t="str">
        <f t="shared" si="257"/>
        <v/>
      </c>
      <c r="EW196" s="139" t="str">
        <f t="shared" si="258"/>
        <v/>
      </c>
      <c r="EX196" s="139" t="str">
        <f t="shared" si="259"/>
        <v/>
      </c>
      <c r="EY196" s="139" t="str">
        <f t="shared" si="260"/>
        <v/>
      </c>
      <c r="EZ196" s="139" t="str">
        <f t="shared" si="261"/>
        <v/>
      </c>
      <c r="FA196" s="139" t="str">
        <f t="shared" si="262"/>
        <v/>
      </c>
      <c r="FB196" s="139" t="str">
        <f t="shared" si="263"/>
        <v/>
      </c>
      <c r="FC196" s="139" t="str">
        <f t="shared" si="264"/>
        <v/>
      </c>
      <c r="FD196" s="139" t="str">
        <f t="shared" si="265"/>
        <v/>
      </c>
      <c r="FE196" s="139" t="str">
        <f t="shared" si="266"/>
        <v/>
      </c>
      <c r="FF196" s="139" t="str">
        <f t="shared" si="267"/>
        <v/>
      </c>
      <c r="FG196" s="139" t="str">
        <f t="shared" si="268"/>
        <v/>
      </c>
      <c r="FH196" s="139" t="str">
        <f t="shared" si="269"/>
        <v/>
      </c>
      <c r="FI196" s="139" t="str">
        <f t="shared" si="270"/>
        <v/>
      </c>
      <c r="FJ196" s="139" t="str">
        <f t="shared" si="271"/>
        <v/>
      </c>
      <c r="FK196" s="139" t="str">
        <f t="shared" si="272"/>
        <v/>
      </c>
      <c r="FL196" s="139" t="str">
        <f t="shared" si="273"/>
        <v/>
      </c>
      <c r="FM196" s="139" t="str">
        <f t="shared" si="274"/>
        <v/>
      </c>
      <c r="FN196" s="139" t="str">
        <f t="shared" si="275"/>
        <v/>
      </c>
      <c r="FO196" s="139" t="str">
        <f t="shared" si="276"/>
        <v/>
      </c>
      <c r="FP196" s="139" t="str">
        <f t="shared" si="277"/>
        <v/>
      </c>
      <c r="FQ196" s="139" t="str">
        <f t="shared" si="278"/>
        <v/>
      </c>
      <c r="FR196" s="139" t="str">
        <f t="shared" si="279"/>
        <v/>
      </c>
      <c r="FS196" s="139" t="str">
        <f t="shared" si="280"/>
        <v/>
      </c>
      <c r="FT196" s="139" t="str">
        <f t="shared" si="281"/>
        <v/>
      </c>
      <c r="FU196" s="148" t="str">
        <f t="shared" si="282"/>
        <v/>
      </c>
      <c r="FV196" s="149"/>
      <c r="FY196" s="211">
        <v>191</v>
      </c>
      <c r="FZ196">
        <v>80.3752735899659</v>
      </c>
      <c r="GA196">
        <v>47.237443497463119</v>
      </c>
      <c r="GB196">
        <v>20.609833115685255</v>
      </c>
      <c r="GC196">
        <v>8.185299309902403</v>
      </c>
      <c r="GD196">
        <v>4.6332788595599919</v>
      </c>
      <c r="GE196">
        <v>6.5526533557887685</v>
      </c>
      <c r="GF196">
        <v>60.368477360784865</v>
      </c>
      <c r="GG196">
        <v>74.918072640313</v>
      </c>
      <c r="GH196">
        <v>17.542848641123154</v>
      </c>
      <c r="GI196">
        <v>84.77755709125222</v>
      </c>
      <c r="GJ196"/>
      <c r="GK196"/>
      <c r="GL196"/>
      <c r="GM196"/>
    </row>
    <row r="197" spans="1:195" s="7" customFormat="1">
      <c r="A197" s="1"/>
      <c r="B197" s="76" t="str">
        <f t="shared" ca="1" si="249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1068.5569366065829</v>
      </c>
      <c r="AO197">
        <v>151.85660896565599</v>
      </c>
      <c r="AP197">
        <v>1358.9012650211098</v>
      </c>
      <c r="AQ197">
        <v>459.85374719595319</v>
      </c>
      <c r="AR197">
        <v>148.69480157963946</v>
      </c>
      <c r="AS197">
        <v>1640.2708061394273</v>
      </c>
      <c r="AT197">
        <v>75.608257398166444</v>
      </c>
      <c r="AU197">
        <v>160.06348557037745</v>
      </c>
      <c r="AV197"/>
      <c r="AW197"/>
      <c r="AX197" s="146"/>
      <c r="AY197" s="76" t="str">
        <f t="shared" ca="1" si="172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7"/>
        <v/>
      </c>
      <c r="CL197" s="179" t="str">
        <f t="shared" si="208"/>
        <v/>
      </c>
      <c r="CM197" s="180" t="str">
        <f t="shared" si="209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0"/>
        <v/>
      </c>
      <c r="DB197" s="146"/>
      <c r="DC197" s="76" t="str">
        <f t="shared" ca="1" si="173"/>
        <v/>
      </c>
      <c r="DD197" t="str">
        <f t="shared" si="211"/>
        <v/>
      </c>
      <c r="DE197" s="129" t="str">
        <f t="shared" si="283"/>
        <v/>
      </c>
      <c r="DF197" s="161" t="str">
        <f t="shared" si="284"/>
        <v/>
      </c>
      <c r="DG197" s="161" t="str">
        <f t="shared" si="285"/>
        <v/>
      </c>
      <c r="DH197" s="161" t="str">
        <f t="shared" si="286"/>
        <v/>
      </c>
      <c r="DI197" s="161" t="str">
        <f t="shared" si="287"/>
        <v/>
      </c>
      <c r="DJ197" s="161" t="str">
        <f t="shared" si="288"/>
        <v/>
      </c>
      <c r="DK197" s="161" t="str">
        <f t="shared" si="289"/>
        <v/>
      </c>
      <c r="DL197" s="161" t="str">
        <f t="shared" si="290"/>
        <v/>
      </c>
      <c r="DM197" s="161" t="str">
        <f t="shared" si="291"/>
        <v/>
      </c>
      <c r="DN197" s="161" t="str">
        <f t="shared" si="314"/>
        <v/>
      </c>
      <c r="DO197" s="161" t="str">
        <f t="shared" si="315"/>
        <v/>
      </c>
      <c r="DP197" s="161" t="str">
        <f t="shared" si="316"/>
        <v/>
      </c>
      <c r="DQ197" s="161" t="str">
        <f t="shared" si="317"/>
        <v/>
      </c>
      <c r="DR197" s="161" t="str">
        <f t="shared" si="318"/>
        <v/>
      </c>
      <c r="DS197" s="161" t="str">
        <f t="shared" si="319"/>
        <v/>
      </c>
      <c r="DT197" s="161" t="str">
        <f t="shared" si="320"/>
        <v/>
      </c>
      <c r="DU197" s="161" t="str">
        <f t="shared" si="321"/>
        <v/>
      </c>
      <c r="DV197" s="161" t="str">
        <f t="shared" si="322"/>
        <v/>
      </c>
      <c r="DW197" s="161" t="str">
        <f t="shared" si="323"/>
        <v/>
      </c>
      <c r="DX197" s="161" t="str">
        <f t="shared" si="324"/>
        <v/>
      </c>
      <c r="DY197" s="161" t="str">
        <f t="shared" si="325"/>
        <v/>
      </c>
      <c r="DZ197" s="161" t="str">
        <f t="shared" si="326"/>
        <v/>
      </c>
      <c r="EA197" s="161" t="str">
        <f t="shared" si="327"/>
        <v/>
      </c>
      <c r="EB197" s="161" t="str">
        <f t="shared" si="328"/>
        <v/>
      </c>
      <c r="EC197" s="161" t="str">
        <f t="shared" si="329"/>
        <v/>
      </c>
      <c r="ED197" s="161" t="str">
        <f t="shared" si="330"/>
        <v/>
      </c>
      <c r="EE197" s="161" t="str">
        <f t="shared" si="331"/>
        <v/>
      </c>
      <c r="EF197" s="161" t="str">
        <f t="shared" si="332"/>
        <v/>
      </c>
      <c r="EG197" s="161" t="str">
        <f t="shared" si="333"/>
        <v/>
      </c>
      <c r="EH197" s="161" t="str">
        <f t="shared" si="334"/>
        <v/>
      </c>
      <c r="EI197" s="161" t="str">
        <f t="shared" si="335"/>
        <v/>
      </c>
      <c r="EJ197" s="161" t="str">
        <f t="shared" si="336"/>
        <v/>
      </c>
      <c r="EK197" s="147" t="str">
        <f t="shared" si="250"/>
        <v/>
      </c>
      <c r="EL197" s="149"/>
      <c r="EN197" s="146"/>
      <c r="EO197" s="146"/>
      <c r="EP197" s="139" t="str">
        <f t="shared" si="251"/>
        <v/>
      </c>
      <c r="EQ197" s="139" t="str">
        <f t="shared" si="252"/>
        <v/>
      </c>
      <c r="ER197" s="139" t="str">
        <f t="shared" si="253"/>
        <v/>
      </c>
      <c r="ES197" s="139" t="str">
        <f t="shared" si="254"/>
        <v/>
      </c>
      <c r="ET197" s="139" t="str">
        <f t="shared" si="255"/>
        <v/>
      </c>
      <c r="EU197" s="139" t="str">
        <f t="shared" si="256"/>
        <v/>
      </c>
      <c r="EV197" s="139" t="str">
        <f t="shared" si="257"/>
        <v/>
      </c>
      <c r="EW197" s="139" t="str">
        <f t="shared" si="258"/>
        <v/>
      </c>
      <c r="EX197" s="139" t="str">
        <f t="shared" si="259"/>
        <v/>
      </c>
      <c r="EY197" s="139" t="str">
        <f t="shared" si="260"/>
        <v/>
      </c>
      <c r="EZ197" s="139" t="str">
        <f t="shared" si="261"/>
        <v/>
      </c>
      <c r="FA197" s="139" t="str">
        <f t="shared" si="262"/>
        <v/>
      </c>
      <c r="FB197" s="139" t="str">
        <f t="shared" si="263"/>
        <v/>
      </c>
      <c r="FC197" s="139" t="str">
        <f t="shared" si="264"/>
        <v/>
      </c>
      <c r="FD197" s="139" t="str">
        <f t="shared" si="265"/>
        <v/>
      </c>
      <c r="FE197" s="139" t="str">
        <f t="shared" si="266"/>
        <v/>
      </c>
      <c r="FF197" s="139" t="str">
        <f t="shared" si="267"/>
        <v/>
      </c>
      <c r="FG197" s="139" t="str">
        <f t="shared" si="268"/>
        <v/>
      </c>
      <c r="FH197" s="139" t="str">
        <f t="shared" si="269"/>
        <v/>
      </c>
      <c r="FI197" s="139" t="str">
        <f t="shared" si="270"/>
        <v/>
      </c>
      <c r="FJ197" s="139" t="str">
        <f t="shared" si="271"/>
        <v/>
      </c>
      <c r="FK197" s="139" t="str">
        <f t="shared" si="272"/>
        <v/>
      </c>
      <c r="FL197" s="139" t="str">
        <f t="shared" si="273"/>
        <v/>
      </c>
      <c r="FM197" s="139" t="str">
        <f t="shared" si="274"/>
        <v/>
      </c>
      <c r="FN197" s="139" t="str">
        <f t="shared" si="275"/>
        <v/>
      </c>
      <c r="FO197" s="139" t="str">
        <f t="shared" si="276"/>
        <v/>
      </c>
      <c r="FP197" s="139" t="str">
        <f t="shared" si="277"/>
        <v/>
      </c>
      <c r="FQ197" s="139" t="str">
        <f t="shared" si="278"/>
        <v/>
      </c>
      <c r="FR197" s="139" t="str">
        <f t="shared" si="279"/>
        <v/>
      </c>
      <c r="FS197" s="139" t="str">
        <f t="shared" si="280"/>
        <v/>
      </c>
      <c r="FT197" s="139" t="str">
        <f t="shared" si="281"/>
        <v/>
      </c>
      <c r="FU197" s="148" t="str">
        <f t="shared" si="282"/>
        <v/>
      </c>
      <c r="FV197" s="149"/>
      <c r="FY197" s="211">
        <v>192</v>
      </c>
      <c r="FZ197">
        <v>117.15884793524137</v>
      </c>
      <c r="GA197">
        <v>86.07231762382176</v>
      </c>
      <c r="GB197">
        <v>25.424266852133595</v>
      </c>
      <c r="GC197">
        <v>8.0958771476752869</v>
      </c>
      <c r="GD197">
        <v>4.3954740531441132</v>
      </c>
      <c r="GE197">
        <v>5.7833591875978332</v>
      </c>
      <c r="GF197">
        <v>16.093579715273968</v>
      </c>
      <c r="GG197">
        <v>19.32198855281246</v>
      </c>
      <c r="GH197">
        <v>26.426359543294755</v>
      </c>
      <c r="GI197">
        <v>69.580248334137138</v>
      </c>
      <c r="GJ197"/>
      <c r="GK197"/>
      <c r="GL197"/>
      <c r="GM197"/>
    </row>
    <row r="198" spans="1:195" s="7" customFormat="1">
      <c r="A198" s="128"/>
      <c r="B198" s="76" t="str">
        <f t="shared" ca="1" si="249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1179.1356247684673</v>
      </c>
      <c r="AO198">
        <v>143.14816184519708</v>
      </c>
      <c r="AP198">
        <v>1165.835360277634</v>
      </c>
      <c r="AQ198">
        <v>517.53613469648599</v>
      </c>
      <c r="AR198">
        <v>142.28937606234149</v>
      </c>
      <c r="AS198">
        <v>1512.1957173431979</v>
      </c>
      <c r="AT198">
        <v>67.024105851471973</v>
      </c>
      <c r="AU198">
        <v>141.78881935736462</v>
      </c>
      <c r="AV198"/>
      <c r="AW198"/>
      <c r="AX198" s="128"/>
      <c r="AY198" s="76" t="str">
        <f t="shared" ca="1" si="172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7"/>
        <v/>
      </c>
      <c r="CL198" s="179" t="str">
        <f t="shared" si="208"/>
        <v/>
      </c>
      <c r="CM198" s="180" t="str">
        <f t="shared" si="209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0"/>
        <v/>
      </c>
      <c r="DB198" s="128"/>
      <c r="DC198" s="76" t="str">
        <f t="shared" ca="1" si="173"/>
        <v/>
      </c>
      <c r="DD198" t="str">
        <f t="shared" si="211"/>
        <v/>
      </c>
      <c r="DE198" s="129" t="str">
        <f t="shared" ref="DE198:DE207" si="337">IF((DD198)="", "", $C$15)</f>
        <v/>
      </c>
      <c r="DF198" s="161" t="str">
        <f t="shared" si="284"/>
        <v/>
      </c>
      <c r="DG198" s="161" t="str">
        <f t="shared" si="285"/>
        <v/>
      </c>
      <c r="DH198" s="161" t="str">
        <f t="shared" si="286"/>
        <v/>
      </c>
      <c r="DI198" s="161" t="str">
        <f t="shared" si="287"/>
        <v/>
      </c>
      <c r="DJ198" s="161" t="str">
        <f t="shared" si="288"/>
        <v/>
      </c>
      <c r="DK198" s="161" t="str">
        <f t="shared" si="289"/>
        <v/>
      </c>
      <c r="DL198" s="161" t="str">
        <f t="shared" si="290"/>
        <v/>
      </c>
      <c r="DM198" s="161" t="str">
        <f t="shared" si="291"/>
        <v/>
      </c>
      <c r="DN198" s="161" t="str">
        <f t="shared" si="314"/>
        <v/>
      </c>
      <c r="DO198" s="161" t="str">
        <f t="shared" si="315"/>
        <v/>
      </c>
      <c r="DP198" s="161" t="str">
        <f t="shared" si="316"/>
        <v/>
      </c>
      <c r="DQ198" s="161" t="str">
        <f t="shared" si="317"/>
        <v/>
      </c>
      <c r="DR198" s="161" t="str">
        <f t="shared" si="318"/>
        <v/>
      </c>
      <c r="DS198" s="161" t="str">
        <f t="shared" si="319"/>
        <v/>
      </c>
      <c r="DT198" s="161" t="str">
        <f t="shared" si="320"/>
        <v/>
      </c>
      <c r="DU198" s="161" t="str">
        <f t="shared" si="321"/>
        <v/>
      </c>
      <c r="DV198" s="161" t="str">
        <f t="shared" si="322"/>
        <v/>
      </c>
      <c r="DW198" s="161" t="str">
        <f t="shared" si="323"/>
        <v/>
      </c>
      <c r="DX198" s="161" t="str">
        <f t="shared" si="324"/>
        <v/>
      </c>
      <c r="DY198" s="161" t="str">
        <f t="shared" si="325"/>
        <v/>
      </c>
      <c r="DZ198" s="161" t="str">
        <f t="shared" si="326"/>
        <v/>
      </c>
      <c r="EA198" s="161" t="str">
        <f t="shared" si="327"/>
        <v/>
      </c>
      <c r="EB198" s="161" t="str">
        <f t="shared" si="328"/>
        <v/>
      </c>
      <c r="EC198" s="161" t="str">
        <f t="shared" si="329"/>
        <v/>
      </c>
      <c r="ED198" s="161" t="str">
        <f t="shared" si="330"/>
        <v/>
      </c>
      <c r="EE198" s="161" t="str">
        <f t="shared" si="331"/>
        <v/>
      </c>
      <c r="EF198" s="161" t="str">
        <f t="shared" si="332"/>
        <v/>
      </c>
      <c r="EG198" s="161" t="str">
        <f t="shared" si="333"/>
        <v/>
      </c>
      <c r="EH198" s="161" t="str">
        <f t="shared" si="334"/>
        <v/>
      </c>
      <c r="EI198" s="161" t="str">
        <f t="shared" si="335"/>
        <v/>
      </c>
      <c r="EJ198" s="161" t="str">
        <f t="shared" si="336"/>
        <v/>
      </c>
      <c r="EK198" s="147" t="str">
        <f t="shared" si="250"/>
        <v/>
      </c>
      <c r="EL198" s="149"/>
      <c r="EN198" s="146"/>
      <c r="EO198" s="146"/>
      <c r="EP198" s="139" t="str">
        <f t="shared" si="251"/>
        <v/>
      </c>
      <c r="EQ198" s="139" t="str">
        <f t="shared" si="252"/>
        <v/>
      </c>
      <c r="ER198" s="139" t="str">
        <f t="shared" si="253"/>
        <v/>
      </c>
      <c r="ES198" s="139" t="str">
        <f t="shared" si="254"/>
        <v/>
      </c>
      <c r="ET198" s="139" t="str">
        <f t="shared" si="255"/>
        <v/>
      </c>
      <c r="EU198" s="139" t="str">
        <f t="shared" si="256"/>
        <v/>
      </c>
      <c r="EV198" s="139" t="str">
        <f t="shared" si="257"/>
        <v/>
      </c>
      <c r="EW198" s="139" t="str">
        <f t="shared" si="258"/>
        <v/>
      </c>
      <c r="EX198" s="139" t="str">
        <f t="shared" si="259"/>
        <v/>
      </c>
      <c r="EY198" s="139" t="str">
        <f t="shared" si="260"/>
        <v/>
      </c>
      <c r="EZ198" s="139" t="str">
        <f t="shared" si="261"/>
        <v/>
      </c>
      <c r="FA198" s="139" t="str">
        <f t="shared" si="262"/>
        <v/>
      </c>
      <c r="FB198" s="139" t="str">
        <f t="shared" si="263"/>
        <v/>
      </c>
      <c r="FC198" s="139" t="str">
        <f t="shared" si="264"/>
        <v/>
      </c>
      <c r="FD198" s="139" t="str">
        <f t="shared" si="265"/>
        <v/>
      </c>
      <c r="FE198" s="139" t="str">
        <f t="shared" si="266"/>
        <v/>
      </c>
      <c r="FF198" s="139" t="str">
        <f t="shared" si="267"/>
        <v/>
      </c>
      <c r="FG198" s="139" t="str">
        <f t="shared" si="268"/>
        <v/>
      </c>
      <c r="FH198" s="139" t="str">
        <f t="shared" si="269"/>
        <v/>
      </c>
      <c r="FI198" s="139" t="str">
        <f t="shared" si="270"/>
        <v/>
      </c>
      <c r="FJ198" s="139" t="str">
        <f t="shared" si="271"/>
        <v/>
      </c>
      <c r="FK198" s="139" t="str">
        <f t="shared" si="272"/>
        <v/>
      </c>
      <c r="FL198" s="139" t="str">
        <f t="shared" si="273"/>
        <v/>
      </c>
      <c r="FM198" s="139" t="str">
        <f t="shared" si="274"/>
        <v/>
      </c>
      <c r="FN198" s="139" t="str">
        <f t="shared" si="275"/>
        <v/>
      </c>
      <c r="FO198" s="139" t="str">
        <f t="shared" si="276"/>
        <v/>
      </c>
      <c r="FP198" s="139" t="str">
        <f t="shared" si="277"/>
        <v/>
      </c>
      <c r="FQ198" s="139" t="str">
        <f t="shared" si="278"/>
        <v/>
      </c>
      <c r="FR198" s="139" t="str">
        <f t="shared" si="279"/>
        <v/>
      </c>
      <c r="FS198" s="139" t="str">
        <f t="shared" si="280"/>
        <v/>
      </c>
      <c r="FT198" s="139" t="str">
        <f t="shared" si="281"/>
        <v/>
      </c>
      <c r="FU198" s="148" t="str">
        <f t="shared" si="282"/>
        <v/>
      </c>
      <c r="FV198" s="149"/>
      <c r="FY198" s="211">
        <v>193</v>
      </c>
      <c r="FZ198">
        <v>78.317883105484555</v>
      </c>
      <c r="GA198">
        <v>70.2174564159738</v>
      </c>
      <c r="GB198">
        <v>23.627111214285296</v>
      </c>
      <c r="GC198">
        <v>6.1765927314183937</v>
      </c>
      <c r="GD198">
        <v>2.5437941251725213</v>
      </c>
      <c r="GE198">
        <v>4.7913029767608464</v>
      </c>
      <c r="GF198">
        <v>35.509714316313939</v>
      </c>
      <c r="GG198">
        <v>46.6611816829734</v>
      </c>
      <c r="GH198">
        <v>25.785901952779728</v>
      </c>
      <c r="GI198">
        <v>66.455115673595301</v>
      </c>
      <c r="GJ198"/>
      <c r="GK198"/>
      <c r="GL198"/>
      <c r="GM198"/>
    </row>
    <row r="199" spans="1:195" s="7" customFormat="1">
      <c r="A199" s="1"/>
      <c r="B199" s="76" t="str">
        <f t="shared" ca="1" si="249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966.12458260546225</v>
      </c>
      <c r="AO199">
        <v>140.43584723012333</v>
      </c>
      <c r="AP199">
        <v>1102.379097291551</v>
      </c>
      <c r="AQ199">
        <v>340.60513965776596</v>
      </c>
      <c r="AR199">
        <v>134.05573228219728</v>
      </c>
      <c r="AS199">
        <v>1454.2043740425199</v>
      </c>
      <c r="AT199">
        <v>62.213000435112207</v>
      </c>
      <c r="AU199">
        <v>90.198711804534696</v>
      </c>
      <c r="AV199"/>
      <c r="AW199"/>
      <c r="AX199" s="146"/>
      <c r="AY199" s="76" t="str">
        <f t="shared" ca="1" si="172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7"/>
        <v/>
      </c>
      <c r="CL199" s="179" t="str">
        <f t="shared" si="208"/>
        <v/>
      </c>
      <c r="CM199" s="180" t="str">
        <f t="shared" si="209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0"/>
        <v/>
      </c>
      <c r="DB199" s="146"/>
      <c r="DC199" s="76" t="str">
        <f t="shared" ca="1" si="173"/>
        <v/>
      </c>
      <c r="DD199" t="str">
        <f t="shared" si="211"/>
        <v/>
      </c>
      <c r="DE199" s="129" t="str">
        <f t="shared" si="337"/>
        <v/>
      </c>
      <c r="DF199" s="161" t="str">
        <f t="shared" si="284"/>
        <v/>
      </c>
      <c r="DG199" s="161" t="str">
        <f t="shared" si="285"/>
        <v/>
      </c>
      <c r="DH199" s="161" t="str">
        <f t="shared" si="286"/>
        <v/>
      </c>
      <c r="DI199" s="161" t="str">
        <f t="shared" si="287"/>
        <v/>
      </c>
      <c r="DJ199" s="161" t="str">
        <f t="shared" si="288"/>
        <v/>
      </c>
      <c r="DK199" s="161" t="str">
        <f t="shared" si="289"/>
        <v/>
      </c>
      <c r="DL199" s="161" t="str">
        <f t="shared" si="290"/>
        <v/>
      </c>
      <c r="DM199" s="161" t="str">
        <f t="shared" si="291"/>
        <v/>
      </c>
      <c r="DN199" s="161" t="str">
        <f t="shared" si="314"/>
        <v/>
      </c>
      <c r="DO199" s="161" t="str">
        <f t="shared" si="315"/>
        <v/>
      </c>
      <c r="DP199" s="161" t="str">
        <f t="shared" si="316"/>
        <v/>
      </c>
      <c r="DQ199" s="161" t="str">
        <f t="shared" si="317"/>
        <v/>
      </c>
      <c r="DR199" s="161" t="str">
        <f t="shared" si="318"/>
        <v/>
      </c>
      <c r="DS199" s="161" t="str">
        <f t="shared" si="319"/>
        <v/>
      </c>
      <c r="DT199" s="161" t="str">
        <f t="shared" si="320"/>
        <v/>
      </c>
      <c r="DU199" s="161" t="str">
        <f t="shared" si="321"/>
        <v/>
      </c>
      <c r="DV199" s="161" t="str">
        <f t="shared" si="322"/>
        <v/>
      </c>
      <c r="DW199" s="161" t="str">
        <f t="shared" si="323"/>
        <v/>
      </c>
      <c r="DX199" s="161" t="str">
        <f t="shared" si="324"/>
        <v/>
      </c>
      <c r="DY199" s="161" t="str">
        <f t="shared" si="325"/>
        <v/>
      </c>
      <c r="DZ199" s="161" t="str">
        <f t="shared" si="326"/>
        <v/>
      </c>
      <c r="EA199" s="161" t="str">
        <f t="shared" si="327"/>
        <v/>
      </c>
      <c r="EB199" s="161" t="str">
        <f t="shared" si="328"/>
        <v/>
      </c>
      <c r="EC199" s="161" t="str">
        <f t="shared" si="329"/>
        <v/>
      </c>
      <c r="ED199" s="161" t="str">
        <f t="shared" si="330"/>
        <v/>
      </c>
      <c r="EE199" s="161" t="str">
        <f t="shared" si="331"/>
        <v/>
      </c>
      <c r="EF199" s="161" t="str">
        <f t="shared" si="332"/>
        <v/>
      </c>
      <c r="EG199" s="161" t="str">
        <f t="shared" si="333"/>
        <v/>
      </c>
      <c r="EH199" s="161" t="str">
        <f t="shared" si="334"/>
        <v/>
      </c>
      <c r="EI199" s="161" t="str">
        <f t="shared" si="335"/>
        <v/>
      </c>
      <c r="EJ199" s="161" t="str">
        <f t="shared" si="336"/>
        <v/>
      </c>
      <c r="EK199" s="147" t="str">
        <f t="shared" si="250"/>
        <v/>
      </c>
      <c r="EL199" s="149"/>
      <c r="EN199" s="146"/>
      <c r="EO199" s="146"/>
      <c r="EP199" s="139" t="str">
        <f t="shared" si="251"/>
        <v/>
      </c>
      <c r="EQ199" s="139" t="str">
        <f t="shared" si="252"/>
        <v/>
      </c>
      <c r="ER199" s="139" t="str">
        <f t="shared" si="253"/>
        <v/>
      </c>
      <c r="ES199" s="139" t="str">
        <f t="shared" si="254"/>
        <v/>
      </c>
      <c r="ET199" s="139" t="str">
        <f t="shared" si="255"/>
        <v/>
      </c>
      <c r="EU199" s="139" t="str">
        <f t="shared" si="256"/>
        <v/>
      </c>
      <c r="EV199" s="139" t="str">
        <f t="shared" si="257"/>
        <v/>
      </c>
      <c r="EW199" s="139" t="str">
        <f t="shared" si="258"/>
        <v/>
      </c>
      <c r="EX199" s="139" t="str">
        <f t="shared" si="259"/>
        <v/>
      </c>
      <c r="EY199" s="139" t="str">
        <f t="shared" si="260"/>
        <v/>
      </c>
      <c r="EZ199" s="139" t="str">
        <f t="shared" si="261"/>
        <v/>
      </c>
      <c r="FA199" s="139" t="str">
        <f t="shared" si="262"/>
        <v/>
      </c>
      <c r="FB199" s="139" t="str">
        <f t="shared" si="263"/>
        <v/>
      </c>
      <c r="FC199" s="139" t="str">
        <f t="shared" si="264"/>
        <v/>
      </c>
      <c r="FD199" s="139" t="str">
        <f t="shared" si="265"/>
        <v/>
      </c>
      <c r="FE199" s="139" t="str">
        <f t="shared" si="266"/>
        <v/>
      </c>
      <c r="FF199" s="139" t="str">
        <f t="shared" si="267"/>
        <v/>
      </c>
      <c r="FG199" s="139" t="str">
        <f t="shared" si="268"/>
        <v/>
      </c>
      <c r="FH199" s="139" t="str">
        <f t="shared" si="269"/>
        <v/>
      </c>
      <c r="FI199" s="139" t="str">
        <f t="shared" si="270"/>
        <v/>
      </c>
      <c r="FJ199" s="139" t="str">
        <f t="shared" si="271"/>
        <v/>
      </c>
      <c r="FK199" s="139" t="str">
        <f t="shared" si="272"/>
        <v/>
      </c>
      <c r="FL199" s="139" t="str">
        <f t="shared" si="273"/>
        <v/>
      </c>
      <c r="FM199" s="139" t="str">
        <f t="shared" si="274"/>
        <v/>
      </c>
      <c r="FN199" s="139" t="str">
        <f t="shared" si="275"/>
        <v/>
      </c>
      <c r="FO199" s="139" t="str">
        <f t="shared" si="276"/>
        <v/>
      </c>
      <c r="FP199" s="139" t="str">
        <f t="shared" si="277"/>
        <v/>
      </c>
      <c r="FQ199" s="139" t="str">
        <f t="shared" si="278"/>
        <v/>
      </c>
      <c r="FR199" s="139" t="str">
        <f t="shared" si="279"/>
        <v/>
      </c>
      <c r="FS199" s="139" t="str">
        <f t="shared" si="280"/>
        <v/>
      </c>
      <c r="FT199" s="139" t="str">
        <f t="shared" si="281"/>
        <v/>
      </c>
      <c r="FU199" s="148" t="str">
        <f t="shared" si="282"/>
        <v/>
      </c>
      <c r="FV199" s="149"/>
      <c r="FY199" s="211">
        <v>194</v>
      </c>
      <c r="FZ199">
        <v>126.91197031154097</v>
      </c>
      <c r="GA199">
        <v>77.702840076063907</v>
      </c>
      <c r="GB199">
        <v>27.327228265071511</v>
      </c>
      <c r="GC199">
        <v>8.9865060789585538</v>
      </c>
      <c r="GD199">
        <v>3.6428948885928492</v>
      </c>
      <c r="GE199">
        <v>6.2478422868855681</v>
      </c>
      <c r="GF199">
        <v>44.188563103586375</v>
      </c>
      <c r="GG199">
        <v>49.558907364213958</v>
      </c>
      <c r="GH199">
        <v>15.706986128976355</v>
      </c>
      <c r="GI199">
        <v>80.293207974987268</v>
      </c>
      <c r="GJ199"/>
      <c r="GK199"/>
      <c r="GL199"/>
      <c r="GM199"/>
    </row>
    <row r="200" spans="1:195" s="7" customFormat="1">
      <c r="A200" s="1"/>
      <c r="B200" s="76" t="str">
        <f t="shared" ca="1" si="249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1036.3699527867968</v>
      </c>
      <c r="AO200">
        <v>168.20022838258015</v>
      </c>
      <c r="AP200">
        <v>1434.8255854236154</v>
      </c>
      <c r="AQ200">
        <v>414.63166919266672</v>
      </c>
      <c r="AR200">
        <v>164.38130987121207</v>
      </c>
      <c r="AS200">
        <v>1668.0544206857196</v>
      </c>
      <c r="AT200">
        <v>77.041570039851266</v>
      </c>
      <c r="AU200">
        <v>190.56417831229393</v>
      </c>
      <c r="AV200"/>
      <c r="AW200"/>
      <c r="AX200" s="146"/>
      <c r="AY200" s="76" t="str">
        <f t="shared" ca="1" si="172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7"/>
        <v/>
      </c>
      <c r="CL200" s="179" t="str">
        <f t="shared" si="208"/>
        <v/>
      </c>
      <c r="CM200" s="180" t="str">
        <f t="shared" si="209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0"/>
        <v/>
      </c>
      <c r="DB200" s="146"/>
      <c r="DC200" s="76" t="str">
        <f t="shared" ca="1" si="173"/>
        <v/>
      </c>
      <c r="DD200" t="str">
        <f t="shared" si="211"/>
        <v/>
      </c>
      <c r="DE200" s="129" t="str">
        <f t="shared" si="337"/>
        <v/>
      </c>
      <c r="DF200" s="161" t="str">
        <f t="shared" si="284"/>
        <v/>
      </c>
      <c r="DG200" s="161" t="str">
        <f t="shared" si="285"/>
        <v/>
      </c>
      <c r="DH200" s="161" t="str">
        <f t="shared" si="286"/>
        <v/>
      </c>
      <c r="DI200" s="161" t="str">
        <f t="shared" si="287"/>
        <v/>
      </c>
      <c r="DJ200" s="161" t="str">
        <f t="shared" si="288"/>
        <v/>
      </c>
      <c r="DK200" s="161" t="str">
        <f t="shared" si="289"/>
        <v/>
      </c>
      <c r="DL200" s="161" t="str">
        <f t="shared" si="290"/>
        <v/>
      </c>
      <c r="DM200" s="161" t="str">
        <f t="shared" si="291"/>
        <v/>
      </c>
      <c r="DN200" s="161" t="str">
        <f t="shared" si="314"/>
        <v/>
      </c>
      <c r="DO200" s="161" t="str">
        <f t="shared" si="315"/>
        <v/>
      </c>
      <c r="DP200" s="161" t="str">
        <f t="shared" si="316"/>
        <v/>
      </c>
      <c r="DQ200" s="161" t="str">
        <f t="shared" si="317"/>
        <v/>
      </c>
      <c r="DR200" s="161" t="str">
        <f t="shared" si="318"/>
        <v/>
      </c>
      <c r="DS200" s="161" t="str">
        <f t="shared" si="319"/>
        <v/>
      </c>
      <c r="DT200" s="161" t="str">
        <f t="shared" si="320"/>
        <v/>
      </c>
      <c r="DU200" s="161" t="str">
        <f t="shared" si="321"/>
        <v/>
      </c>
      <c r="DV200" s="161" t="str">
        <f t="shared" si="322"/>
        <v/>
      </c>
      <c r="DW200" s="161" t="str">
        <f t="shared" si="323"/>
        <v/>
      </c>
      <c r="DX200" s="161" t="str">
        <f t="shared" si="324"/>
        <v/>
      </c>
      <c r="DY200" s="161" t="str">
        <f t="shared" si="325"/>
        <v/>
      </c>
      <c r="DZ200" s="161" t="str">
        <f t="shared" si="326"/>
        <v/>
      </c>
      <c r="EA200" s="161" t="str">
        <f t="shared" si="327"/>
        <v/>
      </c>
      <c r="EB200" s="161" t="str">
        <f t="shared" si="328"/>
        <v/>
      </c>
      <c r="EC200" s="161" t="str">
        <f t="shared" si="329"/>
        <v/>
      </c>
      <c r="ED200" s="161" t="str">
        <f t="shared" si="330"/>
        <v/>
      </c>
      <c r="EE200" s="161" t="str">
        <f t="shared" si="331"/>
        <v/>
      </c>
      <c r="EF200" s="161" t="str">
        <f t="shared" si="332"/>
        <v/>
      </c>
      <c r="EG200" s="161" t="str">
        <f t="shared" si="333"/>
        <v/>
      </c>
      <c r="EH200" s="161" t="str">
        <f t="shared" si="334"/>
        <v/>
      </c>
      <c r="EI200" s="161" t="str">
        <f t="shared" si="335"/>
        <v/>
      </c>
      <c r="EJ200" s="161" t="str">
        <f t="shared" si="336"/>
        <v/>
      </c>
      <c r="EK200" s="147" t="str">
        <f t="shared" si="250"/>
        <v/>
      </c>
      <c r="EL200" s="149"/>
      <c r="EN200" s="146"/>
      <c r="EO200" s="146"/>
      <c r="EP200" s="139" t="str">
        <f t="shared" si="251"/>
        <v/>
      </c>
      <c r="EQ200" s="139" t="str">
        <f t="shared" si="252"/>
        <v/>
      </c>
      <c r="ER200" s="139" t="str">
        <f t="shared" si="253"/>
        <v/>
      </c>
      <c r="ES200" s="139" t="str">
        <f t="shared" si="254"/>
        <v/>
      </c>
      <c r="ET200" s="139" t="str">
        <f t="shared" si="255"/>
        <v/>
      </c>
      <c r="EU200" s="139" t="str">
        <f t="shared" si="256"/>
        <v/>
      </c>
      <c r="EV200" s="139" t="str">
        <f t="shared" si="257"/>
        <v/>
      </c>
      <c r="EW200" s="139" t="str">
        <f t="shared" si="258"/>
        <v/>
      </c>
      <c r="EX200" s="139" t="str">
        <f t="shared" si="259"/>
        <v/>
      </c>
      <c r="EY200" s="139" t="str">
        <f t="shared" si="260"/>
        <v/>
      </c>
      <c r="EZ200" s="139" t="str">
        <f t="shared" si="261"/>
        <v/>
      </c>
      <c r="FA200" s="139" t="str">
        <f t="shared" si="262"/>
        <v/>
      </c>
      <c r="FB200" s="139" t="str">
        <f t="shared" si="263"/>
        <v/>
      </c>
      <c r="FC200" s="139" t="str">
        <f t="shared" si="264"/>
        <v/>
      </c>
      <c r="FD200" s="139" t="str">
        <f t="shared" si="265"/>
        <v/>
      </c>
      <c r="FE200" s="139" t="str">
        <f t="shared" si="266"/>
        <v/>
      </c>
      <c r="FF200" s="139" t="str">
        <f t="shared" si="267"/>
        <v/>
      </c>
      <c r="FG200" s="139" t="str">
        <f t="shared" si="268"/>
        <v/>
      </c>
      <c r="FH200" s="139" t="str">
        <f t="shared" si="269"/>
        <v/>
      </c>
      <c r="FI200" s="139" t="str">
        <f t="shared" si="270"/>
        <v/>
      </c>
      <c r="FJ200" s="139" t="str">
        <f t="shared" si="271"/>
        <v/>
      </c>
      <c r="FK200" s="139" t="str">
        <f t="shared" si="272"/>
        <v/>
      </c>
      <c r="FL200" s="139" t="str">
        <f t="shared" si="273"/>
        <v/>
      </c>
      <c r="FM200" s="139" t="str">
        <f t="shared" si="274"/>
        <v/>
      </c>
      <c r="FN200" s="139" t="str">
        <f t="shared" si="275"/>
        <v/>
      </c>
      <c r="FO200" s="139" t="str">
        <f t="shared" si="276"/>
        <v/>
      </c>
      <c r="FP200" s="139" t="str">
        <f t="shared" si="277"/>
        <v/>
      </c>
      <c r="FQ200" s="139" t="str">
        <f t="shared" si="278"/>
        <v/>
      </c>
      <c r="FR200" s="139" t="str">
        <f t="shared" si="279"/>
        <v/>
      </c>
      <c r="FS200" s="139" t="str">
        <f t="shared" si="280"/>
        <v/>
      </c>
      <c r="FT200" s="139" t="str">
        <f t="shared" si="281"/>
        <v/>
      </c>
      <c r="FU200" s="148" t="str">
        <f t="shared" si="282"/>
        <v/>
      </c>
      <c r="FV200" s="149"/>
      <c r="FY200" s="211">
        <v>195</v>
      </c>
      <c r="FZ200">
        <v>106.88686164093592</v>
      </c>
      <c r="GA200">
        <v>86.572360617958452</v>
      </c>
      <c r="GB200">
        <v>30.713471415247785</v>
      </c>
      <c r="GC200">
        <v>8.6601295346637031</v>
      </c>
      <c r="GD200">
        <v>3.8644678521290832</v>
      </c>
      <c r="GE200">
        <v>4.8809470744581187</v>
      </c>
      <c r="GF200">
        <v>37.134634408583807</v>
      </c>
      <c r="GG200">
        <v>49.160167598317358</v>
      </c>
      <c r="GH200">
        <v>34.343954653228181</v>
      </c>
      <c r="GI200">
        <v>83.846066457808021</v>
      </c>
      <c r="GJ200"/>
      <c r="GK200"/>
      <c r="GL200"/>
      <c r="GM200"/>
    </row>
    <row r="201" spans="1:195" s="7" customFormat="1">
      <c r="A201" s="1"/>
      <c r="B201" s="76" t="str">
        <f t="shared" ca="1" si="249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1101.8180072436967</v>
      </c>
      <c r="AO201">
        <v>162.79378320826291</v>
      </c>
      <c r="AP201">
        <v>1353.8068634877882</v>
      </c>
      <c r="AQ201">
        <v>496.41224550414512</v>
      </c>
      <c r="AR201">
        <v>158.16286383946436</v>
      </c>
      <c r="AS201">
        <v>1694.9344116511813</v>
      </c>
      <c r="AT201">
        <v>79.081019697343493</v>
      </c>
      <c r="AU201">
        <v>179.42883960865186</v>
      </c>
      <c r="AV201"/>
      <c r="AW201"/>
      <c r="AX201" s="146"/>
      <c r="AY201" s="76" t="str">
        <f t="shared" ca="1" si="172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7"/>
        <v/>
      </c>
      <c r="CL201" s="179" t="str">
        <f t="shared" si="208"/>
        <v/>
      </c>
      <c r="CM201" s="180" t="str">
        <f t="shared" si="209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0"/>
        <v/>
      </c>
      <c r="DB201" s="146"/>
      <c r="DC201" s="76" t="str">
        <f t="shared" ca="1" si="173"/>
        <v/>
      </c>
      <c r="DD201" t="str">
        <f t="shared" si="211"/>
        <v/>
      </c>
      <c r="DE201" s="129" t="str">
        <f t="shared" si="337"/>
        <v/>
      </c>
      <c r="DF201" s="161" t="str">
        <f t="shared" si="284"/>
        <v/>
      </c>
      <c r="DG201" s="161" t="str">
        <f t="shared" si="285"/>
        <v/>
      </c>
      <c r="DH201" s="161" t="str">
        <f t="shared" si="286"/>
        <v/>
      </c>
      <c r="DI201" s="161" t="str">
        <f t="shared" si="287"/>
        <v/>
      </c>
      <c r="DJ201" s="161" t="str">
        <f t="shared" si="288"/>
        <v/>
      </c>
      <c r="DK201" s="161" t="str">
        <f t="shared" si="289"/>
        <v/>
      </c>
      <c r="DL201" s="161" t="str">
        <f t="shared" si="290"/>
        <v/>
      </c>
      <c r="DM201" s="161" t="str">
        <f t="shared" si="291"/>
        <v/>
      </c>
      <c r="DN201" s="161" t="str">
        <f t="shared" si="314"/>
        <v/>
      </c>
      <c r="DO201" s="161" t="str">
        <f t="shared" si="315"/>
        <v/>
      </c>
      <c r="DP201" s="161" t="str">
        <f t="shared" si="316"/>
        <v/>
      </c>
      <c r="DQ201" s="161" t="str">
        <f t="shared" si="317"/>
        <v/>
      </c>
      <c r="DR201" s="161" t="str">
        <f t="shared" si="318"/>
        <v/>
      </c>
      <c r="DS201" s="161" t="str">
        <f t="shared" si="319"/>
        <v/>
      </c>
      <c r="DT201" s="161" t="str">
        <f t="shared" si="320"/>
        <v/>
      </c>
      <c r="DU201" s="161" t="str">
        <f t="shared" si="321"/>
        <v/>
      </c>
      <c r="DV201" s="161" t="str">
        <f t="shared" si="322"/>
        <v/>
      </c>
      <c r="DW201" s="161" t="str">
        <f t="shared" si="323"/>
        <v/>
      </c>
      <c r="DX201" s="161" t="str">
        <f t="shared" si="324"/>
        <v/>
      </c>
      <c r="DY201" s="161" t="str">
        <f t="shared" si="325"/>
        <v/>
      </c>
      <c r="DZ201" s="161" t="str">
        <f t="shared" si="326"/>
        <v/>
      </c>
      <c r="EA201" s="161" t="str">
        <f t="shared" si="327"/>
        <v/>
      </c>
      <c r="EB201" s="161" t="str">
        <f t="shared" si="328"/>
        <v/>
      </c>
      <c r="EC201" s="161" t="str">
        <f t="shared" si="329"/>
        <v/>
      </c>
      <c r="ED201" s="161" t="str">
        <f t="shared" si="330"/>
        <v/>
      </c>
      <c r="EE201" s="161" t="str">
        <f t="shared" si="331"/>
        <v/>
      </c>
      <c r="EF201" s="161" t="str">
        <f t="shared" si="332"/>
        <v/>
      </c>
      <c r="EG201" s="161" t="str">
        <f t="shared" si="333"/>
        <v/>
      </c>
      <c r="EH201" s="161" t="str">
        <f t="shared" si="334"/>
        <v/>
      </c>
      <c r="EI201" s="161" t="str">
        <f t="shared" si="335"/>
        <v/>
      </c>
      <c r="EJ201" s="161" t="str">
        <f t="shared" si="336"/>
        <v/>
      </c>
      <c r="EK201" s="147" t="str">
        <f t="shared" si="250"/>
        <v/>
      </c>
      <c r="EL201" s="149"/>
      <c r="EN201" s="146"/>
      <c r="EO201" s="146"/>
      <c r="EP201" s="139" t="str">
        <f t="shared" si="251"/>
        <v/>
      </c>
      <c r="EQ201" s="139" t="str">
        <f t="shared" si="252"/>
        <v/>
      </c>
      <c r="ER201" s="139" t="str">
        <f t="shared" si="253"/>
        <v/>
      </c>
      <c r="ES201" s="139" t="str">
        <f t="shared" si="254"/>
        <v/>
      </c>
      <c r="ET201" s="139" t="str">
        <f t="shared" si="255"/>
        <v/>
      </c>
      <c r="EU201" s="139" t="str">
        <f t="shared" si="256"/>
        <v/>
      </c>
      <c r="EV201" s="139" t="str">
        <f t="shared" si="257"/>
        <v/>
      </c>
      <c r="EW201" s="139" t="str">
        <f t="shared" si="258"/>
        <v/>
      </c>
      <c r="EX201" s="139" t="str">
        <f t="shared" si="259"/>
        <v/>
      </c>
      <c r="EY201" s="139" t="str">
        <f t="shared" si="260"/>
        <v/>
      </c>
      <c r="EZ201" s="139" t="str">
        <f t="shared" si="261"/>
        <v/>
      </c>
      <c r="FA201" s="139" t="str">
        <f t="shared" si="262"/>
        <v/>
      </c>
      <c r="FB201" s="139" t="str">
        <f t="shared" si="263"/>
        <v/>
      </c>
      <c r="FC201" s="139" t="str">
        <f t="shared" si="264"/>
        <v/>
      </c>
      <c r="FD201" s="139" t="str">
        <f t="shared" si="265"/>
        <v/>
      </c>
      <c r="FE201" s="139" t="str">
        <f t="shared" si="266"/>
        <v/>
      </c>
      <c r="FF201" s="139" t="str">
        <f t="shared" si="267"/>
        <v/>
      </c>
      <c r="FG201" s="139" t="str">
        <f t="shared" si="268"/>
        <v/>
      </c>
      <c r="FH201" s="139" t="str">
        <f t="shared" si="269"/>
        <v/>
      </c>
      <c r="FI201" s="139" t="str">
        <f t="shared" si="270"/>
        <v/>
      </c>
      <c r="FJ201" s="139" t="str">
        <f t="shared" si="271"/>
        <v/>
      </c>
      <c r="FK201" s="139" t="str">
        <f t="shared" si="272"/>
        <v/>
      </c>
      <c r="FL201" s="139" t="str">
        <f t="shared" si="273"/>
        <v/>
      </c>
      <c r="FM201" s="139" t="str">
        <f t="shared" si="274"/>
        <v/>
      </c>
      <c r="FN201" s="139" t="str">
        <f t="shared" si="275"/>
        <v/>
      </c>
      <c r="FO201" s="139" t="str">
        <f t="shared" si="276"/>
        <v/>
      </c>
      <c r="FP201" s="139" t="str">
        <f t="shared" si="277"/>
        <v/>
      </c>
      <c r="FQ201" s="139" t="str">
        <f t="shared" si="278"/>
        <v/>
      </c>
      <c r="FR201" s="139" t="str">
        <f t="shared" si="279"/>
        <v/>
      </c>
      <c r="FS201" s="139" t="str">
        <f t="shared" si="280"/>
        <v/>
      </c>
      <c r="FT201" s="139" t="str">
        <f t="shared" si="281"/>
        <v/>
      </c>
      <c r="FU201" s="148" t="str">
        <f t="shared" si="282"/>
        <v/>
      </c>
      <c r="FV201" s="149"/>
      <c r="FY201" s="211">
        <v>196</v>
      </c>
      <c r="FZ201">
        <v>180.13276101899831</v>
      </c>
      <c r="GA201">
        <v>78.314364536197019</v>
      </c>
      <c r="GB201">
        <v>21.151336420604164</v>
      </c>
      <c r="GC201">
        <v>7.0996507124497512</v>
      </c>
      <c r="GD201">
        <v>3.0294042428723102</v>
      </c>
      <c r="GE201">
        <v>6.1092244603899264</v>
      </c>
      <c r="GF201">
        <v>14.738730462527325</v>
      </c>
      <c r="GG201">
        <v>18.933792407146729</v>
      </c>
      <c r="GH201">
        <v>18.919090749858789</v>
      </c>
      <c r="GI201">
        <v>62.298251205234529</v>
      </c>
      <c r="GJ201"/>
      <c r="GK201"/>
      <c r="GL201"/>
      <c r="GM201"/>
    </row>
    <row r="202" spans="1:195" s="7" customFormat="1">
      <c r="A202" s="1"/>
      <c r="B202" s="76" t="str">
        <f t="shared" ca="1" si="249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1028.2520688334284</v>
      </c>
      <c r="AO202">
        <v>152.64810272615884</v>
      </c>
      <c r="AP202">
        <v>1252.8547225856369</v>
      </c>
      <c r="AQ202">
        <v>360.0656494667715</v>
      </c>
      <c r="AR202">
        <v>146.25546051629317</v>
      </c>
      <c r="AS202">
        <v>1500.0384762879935</v>
      </c>
      <c r="AT202">
        <v>67.476086492064397</v>
      </c>
      <c r="AU202">
        <v>197.43764513897256</v>
      </c>
      <c r="AV202"/>
      <c r="AW202"/>
      <c r="AX202" s="146"/>
      <c r="AY202" s="76" t="str">
        <f t="shared" ca="1" si="172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7"/>
        <v/>
      </c>
      <c r="CL202" s="179" t="str">
        <f t="shared" si="208"/>
        <v/>
      </c>
      <c r="CM202" s="180" t="str">
        <f t="shared" si="209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0"/>
        <v/>
      </c>
      <c r="DB202" s="146"/>
      <c r="DC202" s="76" t="str">
        <f t="shared" ca="1" si="173"/>
        <v/>
      </c>
      <c r="DD202" t="str">
        <f t="shared" si="211"/>
        <v/>
      </c>
      <c r="DE202" s="129" t="str">
        <f t="shared" si="337"/>
        <v/>
      </c>
      <c r="DF202" s="161" t="str">
        <f t="shared" si="284"/>
        <v/>
      </c>
      <c r="DG202" s="161" t="str">
        <f t="shared" si="285"/>
        <v/>
      </c>
      <c r="DH202" s="161" t="str">
        <f t="shared" si="286"/>
        <v/>
      </c>
      <c r="DI202" s="161" t="str">
        <f t="shared" si="287"/>
        <v/>
      </c>
      <c r="DJ202" s="161" t="str">
        <f t="shared" si="288"/>
        <v/>
      </c>
      <c r="DK202" s="161" t="str">
        <f t="shared" si="289"/>
        <v/>
      </c>
      <c r="DL202" s="161" t="str">
        <f t="shared" si="290"/>
        <v/>
      </c>
      <c r="DM202" s="161" t="str">
        <f t="shared" si="291"/>
        <v/>
      </c>
      <c r="DN202" s="161" t="str">
        <f t="shared" si="314"/>
        <v/>
      </c>
      <c r="DO202" s="161" t="str">
        <f t="shared" si="315"/>
        <v/>
      </c>
      <c r="DP202" s="161" t="str">
        <f t="shared" si="316"/>
        <v/>
      </c>
      <c r="DQ202" s="161" t="str">
        <f t="shared" si="317"/>
        <v/>
      </c>
      <c r="DR202" s="161" t="str">
        <f t="shared" si="318"/>
        <v/>
      </c>
      <c r="DS202" s="161" t="str">
        <f t="shared" si="319"/>
        <v/>
      </c>
      <c r="DT202" s="161" t="str">
        <f t="shared" si="320"/>
        <v/>
      </c>
      <c r="DU202" s="161" t="str">
        <f t="shared" si="321"/>
        <v/>
      </c>
      <c r="DV202" s="161" t="str">
        <f t="shared" si="322"/>
        <v/>
      </c>
      <c r="DW202" s="161" t="str">
        <f t="shared" si="323"/>
        <v/>
      </c>
      <c r="DX202" s="161" t="str">
        <f t="shared" si="324"/>
        <v/>
      </c>
      <c r="DY202" s="161" t="str">
        <f t="shared" si="325"/>
        <v/>
      </c>
      <c r="DZ202" s="161" t="str">
        <f t="shared" si="326"/>
        <v/>
      </c>
      <c r="EA202" s="161" t="str">
        <f t="shared" si="327"/>
        <v/>
      </c>
      <c r="EB202" s="161" t="str">
        <f t="shared" si="328"/>
        <v/>
      </c>
      <c r="EC202" s="161" t="str">
        <f t="shared" si="329"/>
        <v/>
      </c>
      <c r="ED202" s="161" t="str">
        <f t="shared" si="330"/>
        <v/>
      </c>
      <c r="EE202" s="161" t="str">
        <f t="shared" si="331"/>
        <v/>
      </c>
      <c r="EF202" s="161" t="str">
        <f t="shared" si="332"/>
        <v/>
      </c>
      <c r="EG202" s="161" t="str">
        <f t="shared" si="333"/>
        <v/>
      </c>
      <c r="EH202" s="161" t="str">
        <f t="shared" si="334"/>
        <v/>
      </c>
      <c r="EI202" s="161" t="str">
        <f t="shared" si="335"/>
        <v/>
      </c>
      <c r="EJ202" s="161" t="str">
        <f t="shared" si="336"/>
        <v/>
      </c>
      <c r="EK202" s="147" t="str">
        <f t="shared" si="250"/>
        <v/>
      </c>
      <c r="EL202" s="149"/>
      <c r="EN202" s="146"/>
      <c r="EO202" s="146"/>
      <c r="EP202" s="139" t="str">
        <f t="shared" si="251"/>
        <v/>
      </c>
      <c r="EQ202" s="139" t="str">
        <f t="shared" si="252"/>
        <v/>
      </c>
      <c r="ER202" s="139" t="str">
        <f t="shared" si="253"/>
        <v/>
      </c>
      <c r="ES202" s="139" t="str">
        <f t="shared" si="254"/>
        <v/>
      </c>
      <c r="ET202" s="139" t="str">
        <f t="shared" si="255"/>
        <v/>
      </c>
      <c r="EU202" s="139" t="str">
        <f t="shared" si="256"/>
        <v/>
      </c>
      <c r="EV202" s="139" t="str">
        <f t="shared" si="257"/>
        <v/>
      </c>
      <c r="EW202" s="139" t="str">
        <f t="shared" si="258"/>
        <v/>
      </c>
      <c r="EX202" s="139" t="str">
        <f t="shared" si="259"/>
        <v/>
      </c>
      <c r="EY202" s="139" t="str">
        <f t="shared" si="260"/>
        <v/>
      </c>
      <c r="EZ202" s="139" t="str">
        <f t="shared" si="261"/>
        <v/>
      </c>
      <c r="FA202" s="139" t="str">
        <f t="shared" si="262"/>
        <v/>
      </c>
      <c r="FB202" s="139" t="str">
        <f t="shared" si="263"/>
        <v/>
      </c>
      <c r="FC202" s="139" t="str">
        <f t="shared" si="264"/>
        <v/>
      </c>
      <c r="FD202" s="139" t="str">
        <f t="shared" si="265"/>
        <v/>
      </c>
      <c r="FE202" s="139" t="str">
        <f t="shared" si="266"/>
        <v/>
      </c>
      <c r="FF202" s="139" t="str">
        <f t="shared" si="267"/>
        <v/>
      </c>
      <c r="FG202" s="139" t="str">
        <f t="shared" si="268"/>
        <v/>
      </c>
      <c r="FH202" s="139" t="str">
        <f t="shared" si="269"/>
        <v/>
      </c>
      <c r="FI202" s="139" t="str">
        <f t="shared" si="270"/>
        <v/>
      </c>
      <c r="FJ202" s="139" t="str">
        <f t="shared" si="271"/>
        <v/>
      </c>
      <c r="FK202" s="139" t="str">
        <f t="shared" si="272"/>
        <v/>
      </c>
      <c r="FL202" s="139" t="str">
        <f t="shared" si="273"/>
        <v/>
      </c>
      <c r="FM202" s="139" t="str">
        <f t="shared" si="274"/>
        <v/>
      </c>
      <c r="FN202" s="139" t="str">
        <f t="shared" si="275"/>
        <v/>
      </c>
      <c r="FO202" s="139" t="str">
        <f t="shared" si="276"/>
        <v/>
      </c>
      <c r="FP202" s="139" t="str">
        <f t="shared" si="277"/>
        <v/>
      </c>
      <c r="FQ202" s="139" t="str">
        <f t="shared" si="278"/>
        <v/>
      </c>
      <c r="FR202" s="139" t="str">
        <f t="shared" si="279"/>
        <v/>
      </c>
      <c r="FS202" s="139" t="str">
        <f t="shared" si="280"/>
        <v/>
      </c>
      <c r="FT202" s="139" t="str">
        <f t="shared" si="281"/>
        <v/>
      </c>
      <c r="FU202" s="148" t="str">
        <f t="shared" si="282"/>
        <v/>
      </c>
      <c r="FV202" s="149"/>
      <c r="FY202" s="211">
        <v>197</v>
      </c>
      <c r="FZ202">
        <v>166.63611204148708</v>
      </c>
      <c r="GA202">
        <v>93.404861985042373</v>
      </c>
      <c r="GB202">
        <v>27.834090952274138</v>
      </c>
      <c r="GC202">
        <v>11.663142585997765</v>
      </c>
      <c r="GD202">
        <v>4.5147477288471292</v>
      </c>
      <c r="GE202">
        <v>5.009435838698856</v>
      </c>
      <c r="GF202">
        <v>28.713553450831725</v>
      </c>
      <c r="GG202">
        <v>38.255001368028751</v>
      </c>
      <c r="GH202">
        <v>33.225214539012413</v>
      </c>
      <c r="GI202">
        <v>81.131598051327629</v>
      </c>
      <c r="GJ202"/>
      <c r="GK202"/>
      <c r="GL202"/>
      <c r="GM202"/>
    </row>
    <row r="203" spans="1:195" s="7" customFormat="1">
      <c r="A203" s="1"/>
      <c r="B203" s="76" t="str">
        <f t="shared" ca="1" si="249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1304.4707594996235</v>
      </c>
      <c r="AO203">
        <v>198.21702625628495</v>
      </c>
      <c r="AP203">
        <v>1620.9904653047943</v>
      </c>
      <c r="AQ203">
        <v>420.92020522843336</v>
      </c>
      <c r="AR203">
        <v>191.58559795183669</v>
      </c>
      <c r="AS203">
        <v>2053.224718350416</v>
      </c>
      <c r="AT203">
        <v>95.552665292673581</v>
      </c>
      <c r="AU203">
        <v>462.93141886973763</v>
      </c>
      <c r="AV203"/>
      <c r="AW203"/>
      <c r="AX203" s="146"/>
      <c r="AY203" s="76" t="str">
        <f t="shared" ca="1" si="172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7"/>
        <v/>
      </c>
      <c r="CL203" s="179" t="str">
        <f t="shared" si="208"/>
        <v/>
      </c>
      <c r="CM203" s="180" t="str">
        <f t="shared" si="209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0"/>
        <v/>
      </c>
      <c r="DB203" s="146"/>
      <c r="DC203" s="76" t="str">
        <f t="shared" ca="1" si="173"/>
        <v/>
      </c>
      <c r="DD203" t="str">
        <f t="shared" si="211"/>
        <v/>
      </c>
      <c r="DE203" s="129" t="str">
        <f t="shared" si="337"/>
        <v/>
      </c>
      <c r="DF203" s="161" t="str">
        <f t="shared" si="284"/>
        <v/>
      </c>
      <c r="DG203" s="161" t="str">
        <f t="shared" si="285"/>
        <v/>
      </c>
      <c r="DH203" s="161" t="str">
        <f t="shared" si="286"/>
        <v/>
      </c>
      <c r="DI203" s="161" t="str">
        <f t="shared" si="287"/>
        <v/>
      </c>
      <c r="DJ203" s="161" t="str">
        <f t="shared" si="288"/>
        <v/>
      </c>
      <c r="DK203" s="161" t="str">
        <f t="shared" si="289"/>
        <v/>
      </c>
      <c r="DL203" s="161" t="str">
        <f t="shared" si="290"/>
        <v/>
      </c>
      <c r="DM203" s="161" t="str">
        <f t="shared" si="291"/>
        <v/>
      </c>
      <c r="DN203" s="161" t="str">
        <f t="shared" si="314"/>
        <v/>
      </c>
      <c r="DO203" s="161" t="str">
        <f t="shared" si="315"/>
        <v/>
      </c>
      <c r="DP203" s="161" t="str">
        <f t="shared" si="316"/>
        <v/>
      </c>
      <c r="DQ203" s="161" t="str">
        <f t="shared" si="317"/>
        <v/>
      </c>
      <c r="DR203" s="161" t="str">
        <f t="shared" si="318"/>
        <v/>
      </c>
      <c r="DS203" s="161" t="str">
        <f t="shared" si="319"/>
        <v/>
      </c>
      <c r="DT203" s="161" t="str">
        <f t="shared" si="320"/>
        <v/>
      </c>
      <c r="DU203" s="161" t="str">
        <f t="shared" si="321"/>
        <v/>
      </c>
      <c r="DV203" s="161" t="str">
        <f t="shared" si="322"/>
        <v/>
      </c>
      <c r="DW203" s="161" t="str">
        <f t="shared" si="323"/>
        <v/>
      </c>
      <c r="DX203" s="161" t="str">
        <f t="shared" si="324"/>
        <v/>
      </c>
      <c r="DY203" s="161" t="str">
        <f t="shared" si="325"/>
        <v/>
      </c>
      <c r="DZ203" s="161" t="str">
        <f t="shared" si="326"/>
        <v/>
      </c>
      <c r="EA203" s="161" t="str">
        <f t="shared" si="327"/>
        <v/>
      </c>
      <c r="EB203" s="161" t="str">
        <f t="shared" si="328"/>
        <v/>
      </c>
      <c r="EC203" s="161" t="str">
        <f t="shared" si="329"/>
        <v/>
      </c>
      <c r="ED203" s="161" t="str">
        <f t="shared" si="330"/>
        <v/>
      </c>
      <c r="EE203" s="161" t="str">
        <f t="shared" si="331"/>
        <v/>
      </c>
      <c r="EF203" s="161" t="str">
        <f t="shared" si="332"/>
        <v/>
      </c>
      <c r="EG203" s="161" t="str">
        <f t="shared" si="333"/>
        <v/>
      </c>
      <c r="EH203" s="161" t="str">
        <f t="shared" si="334"/>
        <v/>
      </c>
      <c r="EI203" s="161" t="str">
        <f t="shared" si="335"/>
        <v/>
      </c>
      <c r="EJ203" s="161" t="str">
        <f t="shared" si="336"/>
        <v/>
      </c>
      <c r="EK203" s="147" t="str">
        <f t="shared" si="250"/>
        <v/>
      </c>
      <c r="EL203" s="149"/>
      <c r="EN203" s="146"/>
      <c r="EO203" s="146"/>
      <c r="EP203" s="139" t="str">
        <f t="shared" si="251"/>
        <v/>
      </c>
      <c r="EQ203" s="139" t="str">
        <f t="shared" si="252"/>
        <v/>
      </c>
      <c r="ER203" s="139" t="str">
        <f t="shared" si="253"/>
        <v/>
      </c>
      <c r="ES203" s="139" t="str">
        <f t="shared" si="254"/>
        <v/>
      </c>
      <c r="ET203" s="139" t="str">
        <f t="shared" si="255"/>
        <v/>
      </c>
      <c r="EU203" s="139" t="str">
        <f t="shared" si="256"/>
        <v/>
      </c>
      <c r="EV203" s="139" t="str">
        <f t="shared" si="257"/>
        <v/>
      </c>
      <c r="EW203" s="139" t="str">
        <f t="shared" si="258"/>
        <v/>
      </c>
      <c r="EX203" s="139" t="str">
        <f t="shared" si="259"/>
        <v/>
      </c>
      <c r="EY203" s="139" t="str">
        <f t="shared" si="260"/>
        <v/>
      </c>
      <c r="EZ203" s="139" t="str">
        <f t="shared" si="261"/>
        <v/>
      </c>
      <c r="FA203" s="139" t="str">
        <f t="shared" si="262"/>
        <v/>
      </c>
      <c r="FB203" s="139" t="str">
        <f t="shared" si="263"/>
        <v/>
      </c>
      <c r="FC203" s="139" t="str">
        <f t="shared" si="264"/>
        <v/>
      </c>
      <c r="FD203" s="139" t="str">
        <f t="shared" si="265"/>
        <v/>
      </c>
      <c r="FE203" s="139" t="str">
        <f t="shared" si="266"/>
        <v/>
      </c>
      <c r="FF203" s="139" t="str">
        <f t="shared" si="267"/>
        <v/>
      </c>
      <c r="FG203" s="139" t="str">
        <f t="shared" si="268"/>
        <v/>
      </c>
      <c r="FH203" s="139" t="str">
        <f t="shared" si="269"/>
        <v/>
      </c>
      <c r="FI203" s="139" t="str">
        <f t="shared" si="270"/>
        <v/>
      </c>
      <c r="FJ203" s="139" t="str">
        <f t="shared" si="271"/>
        <v/>
      </c>
      <c r="FK203" s="139" t="str">
        <f t="shared" si="272"/>
        <v/>
      </c>
      <c r="FL203" s="139" t="str">
        <f t="shared" si="273"/>
        <v/>
      </c>
      <c r="FM203" s="139" t="str">
        <f t="shared" si="274"/>
        <v/>
      </c>
      <c r="FN203" s="139" t="str">
        <f t="shared" si="275"/>
        <v/>
      </c>
      <c r="FO203" s="139" t="str">
        <f t="shared" si="276"/>
        <v/>
      </c>
      <c r="FP203" s="139" t="str">
        <f t="shared" si="277"/>
        <v/>
      </c>
      <c r="FQ203" s="139" t="str">
        <f t="shared" si="278"/>
        <v/>
      </c>
      <c r="FR203" s="139" t="str">
        <f t="shared" si="279"/>
        <v/>
      </c>
      <c r="FS203" s="139" t="str">
        <f t="shared" si="280"/>
        <v/>
      </c>
      <c r="FT203" s="139" t="str">
        <f t="shared" si="281"/>
        <v/>
      </c>
      <c r="FU203" s="148" t="str">
        <f t="shared" si="282"/>
        <v/>
      </c>
      <c r="FV203" s="149"/>
      <c r="FY203" s="211">
        <v>198</v>
      </c>
      <c r="FZ203">
        <v>161.51167122229157</v>
      </c>
      <c r="GA203">
        <v>107.46549541615559</v>
      </c>
      <c r="GB203">
        <v>31.035339326327488</v>
      </c>
      <c r="GC203">
        <v>6.7429598754192472</v>
      </c>
      <c r="GD203">
        <v>2.0026855292310608</v>
      </c>
      <c r="GE203">
        <v>4.84634540584163</v>
      </c>
      <c r="GF203">
        <v>8.9745103379903668</v>
      </c>
      <c r="GG203">
        <v>12.1900430879969</v>
      </c>
      <c r="GH203">
        <v>33.850697623396485</v>
      </c>
      <c r="GI203">
        <v>63.416070333959787</v>
      </c>
      <c r="GJ203"/>
      <c r="GK203"/>
      <c r="GL203"/>
      <c r="GM203"/>
    </row>
    <row r="204" spans="1:195" s="7" customFormat="1">
      <c r="A204" s="1"/>
      <c r="B204" s="76" t="str">
        <f t="shared" ca="1" si="249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1413.0959852421563</v>
      </c>
      <c r="AO204">
        <v>207.5315274511384</v>
      </c>
      <c r="AP204">
        <v>1797.2715976103839</v>
      </c>
      <c r="AQ204">
        <v>511.66625246843148</v>
      </c>
      <c r="AR204">
        <v>200.48663258058582</v>
      </c>
      <c r="AS204">
        <v>2209.0359819722266</v>
      </c>
      <c r="AT204">
        <v>99.699610697009589</v>
      </c>
      <c r="AU204">
        <v>303.76669077481574</v>
      </c>
      <c r="AV204"/>
      <c r="AW204"/>
      <c r="AX204" s="146"/>
      <c r="AY204" s="76" t="str">
        <f t="shared" ca="1" si="172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7"/>
        <v/>
      </c>
      <c r="CL204" s="179" t="str">
        <f t="shared" si="208"/>
        <v/>
      </c>
      <c r="CM204" s="180" t="str">
        <f t="shared" si="209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0"/>
        <v/>
      </c>
      <c r="DB204" s="146"/>
      <c r="DC204" s="76" t="str">
        <f t="shared" ca="1" si="173"/>
        <v/>
      </c>
      <c r="DD204" t="str">
        <f t="shared" si="211"/>
        <v/>
      </c>
      <c r="DE204" s="129" t="str">
        <f t="shared" si="337"/>
        <v/>
      </c>
      <c r="DF204" s="161" t="str">
        <f t="shared" si="284"/>
        <v/>
      </c>
      <c r="DG204" s="161" t="str">
        <f t="shared" si="285"/>
        <v/>
      </c>
      <c r="DH204" s="161" t="str">
        <f t="shared" si="286"/>
        <v/>
      </c>
      <c r="DI204" s="161" t="str">
        <f t="shared" si="287"/>
        <v/>
      </c>
      <c r="DJ204" s="161" t="str">
        <f t="shared" si="288"/>
        <v/>
      </c>
      <c r="DK204" s="161" t="str">
        <f t="shared" si="289"/>
        <v/>
      </c>
      <c r="DL204" s="161" t="str">
        <f t="shared" si="290"/>
        <v/>
      </c>
      <c r="DM204" s="161" t="str">
        <f t="shared" si="291"/>
        <v/>
      </c>
      <c r="DN204" s="161" t="str">
        <f t="shared" si="314"/>
        <v/>
      </c>
      <c r="DO204" s="161" t="str">
        <f t="shared" si="315"/>
        <v/>
      </c>
      <c r="DP204" s="161" t="str">
        <f t="shared" si="316"/>
        <v/>
      </c>
      <c r="DQ204" s="161" t="str">
        <f t="shared" si="317"/>
        <v/>
      </c>
      <c r="DR204" s="161" t="str">
        <f t="shared" si="318"/>
        <v/>
      </c>
      <c r="DS204" s="161" t="str">
        <f t="shared" si="319"/>
        <v/>
      </c>
      <c r="DT204" s="161" t="str">
        <f t="shared" si="320"/>
        <v/>
      </c>
      <c r="DU204" s="161" t="str">
        <f t="shared" si="321"/>
        <v/>
      </c>
      <c r="DV204" s="161" t="str">
        <f t="shared" si="322"/>
        <v/>
      </c>
      <c r="DW204" s="161" t="str">
        <f t="shared" si="323"/>
        <v/>
      </c>
      <c r="DX204" s="161" t="str">
        <f t="shared" si="324"/>
        <v/>
      </c>
      <c r="DY204" s="161" t="str">
        <f t="shared" si="325"/>
        <v/>
      </c>
      <c r="DZ204" s="161" t="str">
        <f t="shared" si="326"/>
        <v/>
      </c>
      <c r="EA204" s="161" t="str">
        <f t="shared" si="327"/>
        <v/>
      </c>
      <c r="EB204" s="161" t="str">
        <f t="shared" si="328"/>
        <v/>
      </c>
      <c r="EC204" s="161" t="str">
        <f t="shared" si="329"/>
        <v/>
      </c>
      <c r="ED204" s="161" t="str">
        <f t="shared" si="330"/>
        <v/>
      </c>
      <c r="EE204" s="161" t="str">
        <f t="shared" si="331"/>
        <v/>
      </c>
      <c r="EF204" s="161" t="str">
        <f t="shared" si="332"/>
        <v/>
      </c>
      <c r="EG204" s="161" t="str">
        <f t="shared" si="333"/>
        <v/>
      </c>
      <c r="EH204" s="161" t="str">
        <f t="shared" si="334"/>
        <v/>
      </c>
      <c r="EI204" s="161" t="str">
        <f t="shared" si="335"/>
        <v/>
      </c>
      <c r="EJ204" s="161" t="str">
        <f t="shared" si="336"/>
        <v/>
      </c>
      <c r="EK204" s="147" t="str">
        <f t="shared" si="250"/>
        <v/>
      </c>
      <c r="EL204" s="149"/>
      <c r="EN204" s="146"/>
      <c r="EO204" s="146"/>
      <c r="EP204" s="139" t="str">
        <f t="shared" si="251"/>
        <v/>
      </c>
      <c r="EQ204" s="139" t="str">
        <f t="shared" si="252"/>
        <v/>
      </c>
      <c r="ER204" s="139" t="str">
        <f t="shared" si="253"/>
        <v/>
      </c>
      <c r="ES204" s="139" t="str">
        <f t="shared" si="254"/>
        <v/>
      </c>
      <c r="ET204" s="139" t="str">
        <f t="shared" si="255"/>
        <v/>
      </c>
      <c r="EU204" s="139" t="str">
        <f t="shared" si="256"/>
        <v/>
      </c>
      <c r="EV204" s="139" t="str">
        <f t="shared" si="257"/>
        <v/>
      </c>
      <c r="EW204" s="139" t="str">
        <f t="shared" si="258"/>
        <v/>
      </c>
      <c r="EX204" s="139" t="str">
        <f t="shared" si="259"/>
        <v/>
      </c>
      <c r="EY204" s="139" t="str">
        <f t="shared" si="260"/>
        <v/>
      </c>
      <c r="EZ204" s="139" t="str">
        <f t="shared" si="261"/>
        <v/>
      </c>
      <c r="FA204" s="139" t="str">
        <f t="shared" si="262"/>
        <v/>
      </c>
      <c r="FB204" s="139" t="str">
        <f t="shared" si="263"/>
        <v/>
      </c>
      <c r="FC204" s="139" t="str">
        <f t="shared" si="264"/>
        <v/>
      </c>
      <c r="FD204" s="139" t="str">
        <f t="shared" si="265"/>
        <v/>
      </c>
      <c r="FE204" s="139" t="str">
        <f t="shared" si="266"/>
        <v/>
      </c>
      <c r="FF204" s="139" t="str">
        <f t="shared" si="267"/>
        <v/>
      </c>
      <c r="FG204" s="139" t="str">
        <f t="shared" si="268"/>
        <v/>
      </c>
      <c r="FH204" s="139" t="str">
        <f t="shared" si="269"/>
        <v/>
      </c>
      <c r="FI204" s="139" t="str">
        <f t="shared" si="270"/>
        <v/>
      </c>
      <c r="FJ204" s="139" t="str">
        <f t="shared" si="271"/>
        <v/>
      </c>
      <c r="FK204" s="139" t="str">
        <f t="shared" si="272"/>
        <v/>
      </c>
      <c r="FL204" s="139" t="str">
        <f t="shared" si="273"/>
        <v/>
      </c>
      <c r="FM204" s="139" t="str">
        <f t="shared" si="274"/>
        <v/>
      </c>
      <c r="FN204" s="139" t="str">
        <f t="shared" si="275"/>
        <v/>
      </c>
      <c r="FO204" s="139" t="str">
        <f t="shared" si="276"/>
        <v/>
      </c>
      <c r="FP204" s="139" t="str">
        <f t="shared" si="277"/>
        <v/>
      </c>
      <c r="FQ204" s="139" t="str">
        <f t="shared" si="278"/>
        <v/>
      </c>
      <c r="FR204" s="139" t="str">
        <f t="shared" si="279"/>
        <v/>
      </c>
      <c r="FS204" s="139" t="str">
        <f t="shared" si="280"/>
        <v/>
      </c>
      <c r="FT204" s="139" t="str">
        <f t="shared" si="281"/>
        <v/>
      </c>
      <c r="FU204" s="148" t="str">
        <f t="shared" si="282"/>
        <v/>
      </c>
      <c r="FV204" s="149"/>
      <c r="FY204" s="211">
        <v>199</v>
      </c>
      <c r="FZ204">
        <v>127.53797474717059</v>
      </c>
      <c r="GA204">
        <v>87.624677195579622</v>
      </c>
      <c r="GB204">
        <v>32.251901926703518</v>
      </c>
      <c r="GC204">
        <v>8.7426707108887065</v>
      </c>
      <c r="GD204">
        <v>2.9763834647809011</v>
      </c>
      <c r="GE204">
        <v>5.0416634870208261</v>
      </c>
      <c r="GF204">
        <v>21.536943960646902</v>
      </c>
      <c r="GG204">
        <v>26.819102335145715</v>
      </c>
      <c r="GH204">
        <v>23.21284803494764</v>
      </c>
      <c r="GI204">
        <v>73.509622125678192</v>
      </c>
      <c r="GJ204"/>
      <c r="GK204"/>
      <c r="GL204"/>
      <c r="GM204"/>
    </row>
    <row r="205" spans="1:195" s="7" customFormat="1">
      <c r="A205" s="1"/>
      <c r="B205" s="76" t="str">
        <f t="shared" ca="1" si="249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1158.2055748402051</v>
      </c>
      <c r="AO205">
        <v>167.15030275356963</v>
      </c>
      <c r="AP205">
        <v>1478.7433538780301</v>
      </c>
      <c r="AQ205">
        <v>444.35377872157505</v>
      </c>
      <c r="AR205">
        <v>162.82678295194026</v>
      </c>
      <c r="AS205">
        <v>1676.9443378852409</v>
      </c>
      <c r="AT205">
        <v>77.020151322486356</v>
      </c>
      <c r="AU205">
        <v>80.597358515648949</v>
      </c>
      <c r="AV205"/>
      <c r="AW205"/>
      <c r="AX205" s="146"/>
      <c r="AY205" s="76" t="str">
        <f t="shared" ca="1" si="172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7"/>
        <v/>
      </c>
      <c r="CL205" s="179" t="str">
        <f t="shared" si="208"/>
        <v/>
      </c>
      <c r="CM205" s="180" t="str">
        <f t="shared" si="209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0"/>
        <v/>
      </c>
      <c r="DB205" s="146"/>
      <c r="DC205" s="76" t="str">
        <f t="shared" ca="1" si="173"/>
        <v/>
      </c>
      <c r="DD205" t="str">
        <f t="shared" si="211"/>
        <v/>
      </c>
      <c r="DE205" s="129" t="str">
        <f t="shared" si="337"/>
        <v/>
      </c>
      <c r="DF205" s="161" t="str">
        <f t="shared" si="284"/>
        <v/>
      </c>
      <c r="DG205" s="161" t="str">
        <f t="shared" si="285"/>
        <v/>
      </c>
      <c r="DH205" s="161" t="str">
        <f t="shared" si="286"/>
        <v/>
      </c>
      <c r="DI205" s="161" t="str">
        <f t="shared" si="287"/>
        <v/>
      </c>
      <c r="DJ205" s="161" t="str">
        <f t="shared" si="288"/>
        <v/>
      </c>
      <c r="DK205" s="161" t="str">
        <f t="shared" si="289"/>
        <v/>
      </c>
      <c r="DL205" s="161" t="str">
        <f t="shared" si="290"/>
        <v/>
      </c>
      <c r="DM205" s="161" t="str">
        <f t="shared" si="291"/>
        <v/>
      </c>
      <c r="DN205" s="161" t="str">
        <f t="shared" si="314"/>
        <v/>
      </c>
      <c r="DO205" s="161" t="str">
        <f t="shared" si="315"/>
        <v/>
      </c>
      <c r="DP205" s="161" t="str">
        <f t="shared" si="316"/>
        <v/>
      </c>
      <c r="DQ205" s="161" t="str">
        <f t="shared" si="317"/>
        <v/>
      </c>
      <c r="DR205" s="161" t="str">
        <f t="shared" si="318"/>
        <v/>
      </c>
      <c r="DS205" s="161" t="str">
        <f t="shared" si="319"/>
        <v/>
      </c>
      <c r="DT205" s="161" t="str">
        <f t="shared" si="320"/>
        <v/>
      </c>
      <c r="DU205" s="161" t="str">
        <f t="shared" si="321"/>
        <v/>
      </c>
      <c r="DV205" s="161" t="str">
        <f t="shared" si="322"/>
        <v/>
      </c>
      <c r="DW205" s="161" t="str">
        <f t="shared" si="323"/>
        <v/>
      </c>
      <c r="DX205" s="161" t="str">
        <f t="shared" si="324"/>
        <v/>
      </c>
      <c r="DY205" s="161" t="str">
        <f t="shared" si="325"/>
        <v/>
      </c>
      <c r="DZ205" s="161" t="str">
        <f t="shared" si="326"/>
        <v/>
      </c>
      <c r="EA205" s="161" t="str">
        <f t="shared" si="327"/>
        <v/>
      </c>
      <c r="EB205" s="161" t="str">
        <f t="shared" si="328"/>
        <v/>
      </c>
      <c r="EC205" s="161" t="str">
        <f t="shared" si="329"/>
        <v/>
      </c>
      <c r="ED205" s="161" t="str">
        <f t="shared" si="330"/>
        <v/>
      </c>
      <c r="EE205" s="161" t="str">
        <f t="shared" si="331"/>
        <v/>
      </c>
      <c r="EF205" s="161" t="str">
        <f t="shared" si="332"/>
        <v/>
      </c>
      <c r="EG205" s="161" t="str">
        <f t="shared" si="333"/>
        <v/>
      </c>
      <c r="EH205" s="161" t="str">
        <f t="shared" si="334"/>
        <v/>
      </c>
      <c r="EI205" s="161" t="str">
        <f t="shared" si="335"/>
        <v/>
      </c>
      <c r="EJ205" s="161" t="str">
        <f t="shared" si="336"/>
        <v/>
      </c>
      <c r="EK205" s="147" t="str">
        <f t="shared" si="250"/>
        <v/>
      </c>
      <c r="EL205" s="149"/>
      <c r="EN205" s="146"/>
      <c r="EO205" s="146"/>
      <c r="EP205" s="139" t="str">
        <f t="shared" si="251"/>
        <v/>
      </c>
      <c r="EQ205" s="139" t="str">
        <f t="shared" si="252"/>
        <v/>
      </c>
      <c r="ER205" s="139" t="str">
        <f t="shared" si="253"/>
        <v/>
      </c>
      <c r="ES205" s="139" t="str">
        <f t="shared" si="254"/>
        <v/>
      </c>
      <c r="ET205" s="139" t="str">
        <f t="shared" si="255"/>
        <v/>
      </c>
      <c r="EU205" s="139" t="str">
        <f t="shared" si="256"/>
        <v/>
      </c>
      <c r="EV205" s="139" t="str">
        <f t="shared" si="257"/>
        <v/>
      </c>
      <c r="EW205" s="139" t="str">
        <f t="shared" si="258"/>
        <v/>
      </c>
      <c r="EX205" s="139" t="str">
        <f t="shared" si="259"/>
        <v/>
      </c>
      <c r="EY205" s="139" t="str">
        <f t="shared" si="260"/>
        <v/>
      </c>
      <c r="EZ205" s="139" t="str">
        <f t="shared" si="261"/>
        <v/>
      </c>
      <c r="FA205" s="139" t="str">
        <f t="shared" si="262"/>
        <v/>
      </c>
      <c r="FB205" s="139" t="str">
        <f t="shared" si="263"/>
        <v/>
      </c>
      <c r="FC205" s="139" t="str">
        <f t="shared" si="264"/>
        <v/>
      </c>
      <c r="FD205" s="139" t="str">
        <f t="shared" si="265"/>
        <v/>
      </c>
      <c r="FE205" s="139" t="str">
        <f t="shared" si="266"/>
        <v/>
      </c>
      <c r="FF205" s="139" t="str">
        <f t="shared" si="267"/>
        <v/>
      </c>
      <c r="FG205" s="139" t="str">
        <f t="shared" si="268"/>
        <v/>
      </c>
      <c r="FH205" s="139" t="str">
        <f t="shared" si="269"/>
        <v/>
      </c>
      <c r="FI205" s="139" t="str">
        <f t="shared" si="270"/>
        <v/>
      </c>
      <c r="FJ205" s="139" t="str">
        <f t="shared" si="271"/>
        <v/>
      </c>
      <c r="FK205" s="139" t="str">
        <f t="shared" si="272"/>
        <v/>
      </c>
      <c r="FL205" s="139" t="str">
        <f t="shared" si="273"/>
        <v/>
      </c>
      <c r="FM205" s="139" t="str">
        <f t="shared" si="274"/>
        <v/>
      </c>
      <c r="FN205" s="139" t="str">
        <f t="shared" si="275"/>
        <v/>
      </c>
      <c r="FO205" s="139" t="str">
        <f t="shared" si="276"/>
        <v/>
      </c>
      <c r="FP205" s="139" t="str">
        <f t="shared" si="277"/>
        <v/>
      </c>
      <c r="FQ205" s="139" t="str">
        <f t="shared" si="278"/>
        <v/>
      </c>
      <c r="FR205" s="139" t="str">
        <f t="shared" si="279"/>
        <v/>
      </c>
      <c r="FS205" s="139" t="str">
        <f t="shared" si="280"/>
        <v/>
      </c>
      <c r="FT205" s="139" t="str">
        <f t="shared" si="281"/>
        <v/>
      </c>
      <c r="FU205" s="148" t="str">
        <f t="shared" si="282"/>
        <v/>
      </c>
      <c r="FV205" s="149"/>
      <c r="FY205" s="211">
        <v>200</v>
      </c>
      <c r="FZ205">
        <v>187.82177040184783</v>
      </c>
      <c r="GA205">
        <v>142.72729641627129</v>
      </c>
      <c r="GB205">
        <v>26.514416348594924</v>
      </c>
      <c r="GC205">
        <v>7.1179853838616891</v>
      </c>
      <c r="GD205">
        <v>1.9124537552045391</v>
      </c>
      <c r="GE205">
        <v>3.0103613429723435</v>
      </c>
      <c r="GF205">
        <v>35.650678078262601</v>
      </c>
      <c r="GG205">
        <v>44.816944226821612</v>
      </c>
      <c r="GH205">
        <v>18.854592242226566</v>
      </c>
      <c r="GI205">
        <v>72.74306141846786</v>
      </c>
      <c r="GJ205"/>
      <c r="GK205"/>
      <c r="GL205"/>
      <c r="GM205"/>
    </row>
    <row r="206" spans="1:195" s="7" customFormat="1">
      <c r="A206" s="1"/>
      <c r="B206" s="76" t="str">
        <f t="shared" ca="1" si="249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1276.9401533214102</v>
      </c>
      <c r="AO206">
        <v>143.68168264087316</v>
      </c>
      <c r="AP206">
        <v>1204.1894068681322</v>
      </c>
      <c r="AQ206">
        <v>434.84257866261703</v>
      </c>
      <c r="AR206">
        <v>139.14646757356763</v>
      </c>
      <c r="AS206">
        <v>1586.9053401800381</v>
      </c>
      <c r="AT206">
        <v>67.252808966964409</v>
      </c>
      <c r="AU206">
        <v>265.14851718946596</v>
      </c>
      <c r="AV206"/>
      <c r="AW206"/>
      <c r="AX206" s="146"/>
      <c r="AY206" s="76" t="str">
        <f t="shared" ca="1" si="172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7"/>
        <v/>
      </c>
      <c r="CL206" s="179" t="str">
        <f t="shared" si="208"/>
        <v/>
      </c>
      <c r="CM206" s="180" t="str">
        <f t="shared" si="209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0"/>
        <v/>
      </c>
      <c r="DB206" s="146"/>
      <c r="DC206" s="76" t="str">
        <f t="shared" ca="1" si="173"/>
        <v/>
      </c>
      <c r="DD206" t="str">
        <f t="shared" si="211"/>
        <v/>
      </c>
      <c r="DE206" s="129" t="str">
        <f t="shared" si="337"/>
        <v/>
      </c>
      <c r="DF206" s="161" t="str">
        <f t="shared" si="284"/>
        <v/>
      </c>
      <c r="DG206" s="161" t="str">
        <f t="shared" si="285"/>
        <v/>
      </c>
      <c r="DH206" s="161" t="str">
        <f t="shared" si="286"/>
        <v/>
      </c>
      <c r="DI206" s="161" t="str">
        <f t="shared" si="287"/>
        <v/>
      </c>
      <c r="DJ206" s="161" t="str">
        <f t="shared" si="288"/>
        <v/>
      </c>
      <c r="DK206" s="161" t="str">
        <f t="shared" si="289"/>
        <v/>
      </c>
      <c r="DL206" s="161" t="str">
        <f t="shared" si="290"/>
        <v/>
      </c>
      <c r="DM206" s="161" t="str">
        <f t="shared" si="291"/>
        <v/>
      </c>
      <c r="DN206" s="161" t="str">
        <f t="shared" si="314"/>
        <v/>
      </c>
      <c r="DO206" s="161" t="str">
        <f t="shared" si="315"/>
        <v/>
      </c>
      <c r="DP206" s="161" t="str">
        <f t="shared" si="316"/>
        <v/>
      </c>
      <c r="DQ206" s="161" t="str">
        <f t="shared" si="317"/>
        <v/>
      </c>
      <c r="DR206" s="161" t="str">
        <f t="shared" si="318"/>
        <v/>
      </c>
      <c r="DS206" s="161" t="str">
        <f t="shared" si="319"/>
        <v/>
      </c>
      <c r="DT206" s="161" t="str">
        <f t="shared" si="320"/>
        <v/>
      </c>
      <c r="DU206" s="161" t="str">
        <f t="shared" si="321"/>
        <v/>
      </c>
      <c r="DV206" s="161" t="str">
        <f t="shared" si="322"/>
        <v/>
      </c>
      <c r="DW206" s="161" t="str">
        <f t="shared" si="323"/>
        <v/>
      </c>
      <c r="DX206" s="161" t="str">
        <f t="shared" si="324"/>
        <v/>
      </c>
      <c r="DY206" s="161" t="str">
        <f t="shared" si="325"/>
        <v/>
      </c>
      <c r="DZ206" s="161" t="str">
        <f t="shared" si="326"/>
        <v/>
      </c>
      <c r="EA206" s="161" t="str">
        <f t="shared" si="327"/>
        <v/>
      </c>
      <c r="EB206" s="161" t="str">
        <f t="shared" si="328"/>
        <v/>
      </c>
      <c r="EC206" s="161" t="str">
        <f t="shared" si="329"/>
        <v/>
      </c>
      <c r="ED206" s="161" t="str">
        <f t="shared" si="330"/>
        <v/>
      </c>
      <c r="EE206" s="161" t="str">
        <f t="shared" si="331"/>
        <v/>
      </c>
      <c r="EF206" s="161" t="str">
        <f t="shared" si="332"/>
        <v/>
      </c>
      <c r="EG206" s="161" t="str">
        <f t="shared" si="333"/>
        <v/>
      </c>
      <c r="EH206" s="161" t="str">
        <f t="shared" si="334"/>
        <v/>
      </c>
      <c r="EI206" s="161" t="str">
        <f t="shared" si="335"/>
        <v/>
      </c>
      <c r="EJ206" s="161" t="str">
        <f t="shared" si="336"/>
        <v/>
      </c>
      <c r="EK206" s="147" t="str">
        <f t="shared" si="250"/>
        <v/>
      </c>
      <c r="EL206" s="149"/>
      <c r="EN206" s="146"/>
      <c r="EO206" s="146"/>
      <c r="EP206" s="139" t="str">
        <f t="shared" si="251"/>
        <v/>
      </c>
      <c r="EQ206" s="139" t="str">
        <f t="shared" si="252"/>
        <v/>
      </c>
      <c r="ER206" s="139" t="str">
        <f t="shared" si="253"/>
        <v/>
      </c>
      <c r="ES206" s="139" t="str">
        <f t="shared" si="254"/>
        <v/>
      </c>
      <c r="ET206" s="139" t="str">
        <f t="shared" si="255"/>
        <v/>
      </c>
      <c r="EU206" s="139" t="str">
        <f t="shared" si="256"/>
        <v/>
      </c>
      <c r="EV206" s="139" t="str">
        <f t="shared" si="257"/>
        <v/>
      </c>
      <c r="EW206" s="139" t="str">
        <f t="shared" si="258"/>
        <v/>
      </c>
      <c r="EX206" s="139" t="str">
        <f t="shared" si="259"/>
        <v/>
      </c>
      <c r="EY206" s="139" t="str">
        <f t="shared" si="260"/>
        <v/>
      </c>
      <c r="EZ206" s="139" t="str">
        <f t="shared" si="261"/>
        <v/>
      </c>
      <c r="FA206" s="139" t="str">
        <f t="shared" si="262"/>
        <v/>
      </c>
      <c r="FB206" s="139" t="str">
        <f t="shared" si="263"/>
        <v/>
      </c>
      <c r="FC206" s="139" t="str">
        <f t="shared" si="264"/>
        <v/>
      </c>
      <c r="FD206" s="139" t="str">
        <f t="shared" si="265"/>
        <v/>
      </c>
      <c r="FE206" s="139" t="str">
        <f t="shared" si="266"/>
        <v/>
      </c>
      <c r="FF206" s="139" t="str">
        <f t="shared" si="267"/>
        <v/>
      </c>
      <c r="FG206" s="139" t="str">
        <f t="shared" si="268"/>
        <v/>
      </c>
      <c r="FH206" s="139" t="str">
        <f t="shared" si="269"/>
        <v/>
      </c>
      <c r="FI206" s="139" t="str">
        <f t="shared" si="270"/>
        <v/>
      </c>
      <c r="FJ206" s="139" t="str">
        <f t="shared" si="271"/>
        <v/>
      </c>
      <c r="FK206" s="139" t="str">
        <f t="shared" si="272"/>
        <v/>
      </c>
      <c r="FL206" s="139" t="str">
        <f t="shared" si="273"/>
        <v/>
      </c>
      <c r="FM206" s="139" t="str">
        <f t="shared" si="274"/>
        <v/>
      </c>
      <c r="FN206" s="139" t="str">
        <f t="shared" si="275"/>
        <v/>
      </c>
      <c r="FO206" s="139" t="str">
        <f t="shared" si="276"/>
        <v/>
      </c>
      <c r="FP206" s="139" t="str">
        <f t="shared" si="277"/>
        <v/>
      </c>
      <c r="FQ206" s="139" t="str">
        <f t="shared" si="278"/>
        <v/>
      </c>
      <c r="FR206" s="139" t="str">
        <f t="shared" si="279"/>
        <v/>
      </c>
      <c r="FS206" s="139" t="str">
        <f t="shared" si="280"/>
        <v/>
      </c>
      <c r="FT206" s="139" t="str">
        <f t="shared" si="281"/>
        <v/>
      </c>
      <c r="FU206" s="148" t="str">
        <f t="shared" si="282"/>
        <v/>
      </c>
      <c r="FV206" s="149"/>
      <c r="FY206" s="211">
        <v>201</v>
      </c>
      <c r="FZ206">
        <v>83.723363319339384</v>
      </c>
      <c r="GA206">
        <v>108.96737770187271</v>
      </c>
      <c r="GB206">
        <v>37.712695656132503</v>
      </c>
      <c r="GC206">
        <v>8.8927581918999081</v>
      </c>
      <c r="GD206">
        <v>3.7514296254968507</v>
      </c>
      <c r="GE206">
        <v>7.278247340296697</v>
      </c>
      <c r="GF206">
        <v>40.473445554619829</v>
      </c>
      <c r="GG206">
        <v>48.348299724839123</v>
      </c>
      <c r="GH206">
        <v>16.442594176274365</v>
      </c>
      <c r="GI206">
        <v>76.403314201519194</v>
      </c>
      <c r="GJ206"/>
      <c r="GK206"/>
      <c r="GL206"/>
      <c r="GM206"/>
    </row>
    <row r="207" spans="1:195" s="7" customFormat="1">
      <c r="A207" s="1"/>
      <c r="B207" s="76" t="str">
        <f t="shared" ca="1" si="249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1359.3176856565174</v>
      </c>
      <c r="AO207">
        <v>177.60875552079656</v>
      </c>
      <c r="AP207">
        <v>1402.4489905631942</v>
      </c>
      <c r="AQ207">
        <v>405.20073746183874</v>
      </c>
      <c r="AR207">
        <v>173.92432206948277</v>
      </c>
      <c r="AS207">
        <v>1869.795608965919</v>
      </c>
      <c r="AT207">
        <v>76.56573986250207</v>
      </c>
      <c r="AU207">
        <v>445.88030808638905</v>
      </c>
      <c r="AV207"/>
      <c r="AW207"/>
      <c r="AX207" s="146"/>
      <c r="AY207" s="76" t="str">
        <f t="shared" ca="1" si="172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7"/>
        <v/>
      </c>
      <c r="CL207" s="179" t="str">
        <f t="shared" si="208"/>
        <v/>
      </c>
      <c r="CM207" s="180" t="str">
        <f t="shared" si="209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0"/>
        <v/>
      </c>
      <c r="DB207" s="146"/>
      <c r="DC207" s="76" t="str">
        <f t="shared" ca="1" si="173"/>
        <v/>
      </c>
      <c r="DD207" t="str">
        <f t="shared" si="211"/>
        <v/>
      </c>
      <c r="DE207" s="129" t="str">
        <f t="shared" si="337"/>
        <v/>
      </c>
      <c r="DF207" s="161" t="str">
        <f t="shared" si="284"/>
        <v/>
      </c>
      <c r="DG207" s="161" t="str">
        <f t="shared" si="285"/>
        <v/>
      </c>
      <c r="DH207" s="161" t="str">
        <f t="shared" si="286"/>
        <v/>
      </c>
      <c r="DI207" s="161" t="str">
        <f t="shared" si="287"/>
        <v/>
      </c>
      <c r="DJ207" s="161" t="str">
        <f t="shared" si="288"/>
        <v/>
      </c>
      <c r="DK207" s="161" t="str">
        <f t="shared" si="289"/>
        <v/>
      </c>
      <c r="DL207" s="161" t="str">
        <f t="shared" si="290"/>
        <v/>
      </c>
      <c r="DM207" s="161" t="str">
        <f t="shared" si="291"/>
        <v/>
      </c>
      <c r="DN207" s="161" t="str">
        <f t="shared" si="314"/>
        <v/>
      </c>
      <c r="DO207" s="161" t="str">
        <f t="shared" ref="DO207:EJ207" si="338">IF($AZ207="", "", (BK207*$CW207)/$CZ207)</f>
        <v/>
      </c>
      <c r="DP207" s="161" t="str">
        <f t="shared" si="338"/>
        <v/>
      </c>
      <c r="DQ207" s="161" t="str">
        <f t="shared" si="338"/>
        <v/>
      </c>
      <c r="DR207" s="161" t="str">
        <f t="shared" si="338"/>
        <v/>
      </c>
      <c r="DS207" s="161" t="str">
        <f t="shared" si="338"/>
        <v/>
      </c>
      <c r="DT207" s="161" t="str">
        <f t="shared" si="338"/>
        <v/>
      </c>
      <c r="DU207" s="161" t="str">
        <f t="shared" si="338"/>
        <v/>
      </c>
      <c r="DV207" s="161" t="str">
        <f t="shared" si="338"/>
        <v/>
      </c>
      <c r="DW207" s="161" t="str">
        <f t="shared" si="338"/>
        <v/>
      </c>
      <c r="DX207" s="161" t="str">
        <f t="shared" si="338"/>
        <v/>
      </c>
      <c r="DY207" s="161" t="str">
        <f t="shared" si="338"/>
        <v/>
      </c>
      <c r="DZ207" s="161" t="str">
        <f t="shared" si="338"/>
        <v/>
      </c>
      <c r="EA207" s="161" t="str">
        <f t="shared" si="338"/>
        <v/>
      </c>
      <c r="EB207" s="161" t="str">
        <f t="shared" si="338"/>
        <v/>
      </c>
      <c r="EC207" s="161" t="str">
        <f t="shared" si="338"/>
        <v/>
      </c>
      <c r="ED207" s="161" t="str">
        <f t="shared" si="338"/>
        <v/>
      </c>
      <c r="EE207" s="161" t="str">
        <f t="shared" si="338"/>
        <v/>
      </c>
      <c r="EF207" s="161" t="str">
        <f t="shared" si="338"/>
        <v/>
      </c>
      <c r="EG207" s="161" t="str">
        <f t="shared" si="338"/>
        <v/>
      </c>
      <c r="EH207" s="161" t="str">
        <f t="shared" si="338"/>
        <v/>
      </c>
      <c r="EI207" s="161" t="str">
        <f t="shared" si="338"/>
        <v/>
      </c>
      <c r="EJ207" s="161" t="str">
        <f t="shared" si="338"/>
        <v/>
      </c>
      <c r="EK207" s="147" t="str">
        <f t="shared" si="250"/>
        <v/>
      </c>
      <c r="EL207" s="149"/>
      <c r="EN207" s="146"/>
      <c r="EO207" s="146"/>
      <c r="EP207" s="139" t="str">
        <f t="shared" si="251"/>
        <v/>
      </c>
      <c r="EQ207" s="139" t="str">
        <f t="shared" si="252"/>
        <v/>
      </c>
      <c r="ER207" s="139" t="str">
        <f t="shared" si="253"/>
        <v/>
      </c>
      <c r="ES207" s="139" t="str">
        <f t="shared" si="254"/>
        <v/>
      </c>
      <c r="ET207" s="139" t="str">
        <f t="shared" si="255"/>
        <v/>
      </c>
      <c r="EU207" s="139" t="str">
        <f t="shared" si="256"/>
        <v/>
      </c>
      <c r="EV207" s="139" t="str">
        <f t="shared" si="257"/>
        <v/>
      </c>
      <c r="EW207" s="139" t="str">
        <f t="shared" si="258"/>
        <v/>
      </c>
      <c r="EX207" s="139" t="str">
        <f t="shared" si="259"/>
        <v/>
      </c>
      <c r="EY207" s="139" t="str">
        <f t="shared" si="260"/>
        <v/>
      </c>
      <c r="EZ207" s="139" t="str">
        <f t="shared" si="261"/>
        <v/>
      </c>
      <c r="FA207" s="139" t="str">
        <f t="shared" si="262"/>
        <v/>
      </c>
      <c r="FB207" s="139" t="str">
        <f t="shared" si="263"/>
        <v/>
      </c>
      <c r="FC207" s="139" t="str">
        <f t="shared" si="264"/>
        <v/>
      </c>
      <c r="FD207" s="139" t="str">
        <f t="shared" si="265"/>
        <v/>
      </c>
      <c r="FE207" s="139" t="str">
        <f t="shared" si="266"/>
        <v/>
      </c>
      <c r="FF207" s="139" t="str">
        <f t="shared" si="267"/>
        <v/>
      </c>
      <c r="FG207" s="139" t="str">
        <f t="shared" si="268"/>
        <v/>
      </c>
      <c r="FH207" s="139" t="str">
        <f t="shared" si="269"/>
        <v/>
      </c>
      <c r="FI207" s="139" t="str">
        <f t="shared" si="270"/>
        <v/>
      </c>
      <c r="FJ207" s="139" t="str">
        <f t="shared" si="271"/>
        <v/>
      </c>
      <c r="FK207" s="139" t="str">
        <f t="shared" si="272"/>
        <v/>
      </c>
      <c r="FL207" s="139" t="str">
        <f t="shared" si="273"/>
        <v/>
      </c>
      <c r="FM207" s="139" t="str">
        <f t="shared" si="274"/>
        <v/>
      </c>
      <c r="FN207" s="139" t="str">
        <f t="shared" si="275"/>
        <v/>
      </c>
      <c r="FO207" s="139" t="str">
        <f t="shared" si="276"/>
        <v/>
      </c>
      <c r="FP207" s="139" t="str">
        <f t="shared" si="277"/>
        <v/>
      </c>
      <c r="FQ207" s="139" t="str">
        <f t="shared" si="278"/>
        <v/>
      </c>
      <c r="FR207" s="139" t="str">
        <f t="shared" si="279"/>
        <v/>
      </c>
      <c r="FS207" s="139" t="str">
        <f t="shared" si="280"/>
        <v/>
      </c>
      <c r="FT207" s="139" t="str">
        <f t="shared" si="281"/>
        <v/>
      </c>
      <c r="FU207" s="148" t="str">
        <f t="shared" si="282"/>
        <v/>
      </c>
      <c r="FV207" s="149"/>
      <c r="FY207" s="211">
        <v>202</v>
      </c>
      <c r="FZ207">
        <v>65.588829642937299</v>
      </c>
      <c r="GA207">
        <v>52.664550176970891</v>
      </c>
      <c r="GB207">
        <v>20.489190068322667</v>
      </c>
      <c r="GC207">
        <v>7.5455340286900707</v>
      </c>
      <c r="GD207">
        <v>2.0803202249938084</v>
      </c>
      <c r="GE207">
        <v>4.7838107940322274</v>
      </c>
      <c r="GF207">
        <v>27.746510205722966</v>
      </c>
      <c r="GG207">
        <v>32.387570005973942</v>
      </c>
      <c r="GH207">
        <v>28.048259194395701</v>
      </c>
      <c r="GI207">
        <v>63.879213887431156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1005.2856303823379</v>
      </c>
      <c r="AO208">
        <v>154.17279759564465</v>
      </c>
      <c r="AP208">
        <v>1190.9686795213795</v>
      </c>
      <c r="AQ208">
        <v>378.35231894513231</v>
      </c>
      <c r="AR208">
        <v>149.58145266202436</v>
      </c>
      <c r="AS208">
        <v>1571.5829131346236</v>
      </c>
      <c r="AT208">
        <v>72.886145946644291</v>
      </c>
      <c r="AU208">
        <v>119.82362418794922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72.760344882638734</v>
      </c>
      <c r="GA208">
        <v>133.39566129683936</v>
      </c>
      <c r="GB208">
        <v>48.321678085957245</v>
      </c>
      <c r="GC208">
        <v>8.6618827751198069</v>
      </c>
      <c r="GD208">
        <v>4.3505780812342607</v>
      </c>
      <c r="GE208">
        <v>8.3964572521922332</v>
      </c>
      <c r="GF208">
        <v>20.045146750310057</v>
      </c>
      <c r="GG208">
        <v>24.08434346694062</v>
      </c>
      <c r="GH208">
        <v>24.862483220987677</v>
      </c>
      <c r="GI208">
        <v>76.238725071063897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1039.4487477545911</v>
      </c>
      <c r="AO209">
        <v>155.31259580872273</v>
      </c>
      <c r="AP209">
        <v>1371.6964286415871</v>
      </c>
      <c r="AQ209">
        <v>360.08605419475776</v>
      </c>
      <c r="AR209">
        <v>151.40647687844461</v>
      </c>
      <c r="AS209">
        <v>1590.3012751735562</v>
      </c>
      <c r="AT209">
        <v>71.247784093721364</v>
      </c>
      <c r="AU209">
        <v>291.09992085141414</v>
      </c>
      <c r="AV209"/>
      <c r="AW209"/>
      <c r="FY209" s="211">
        <v>204</v>
      </c>
      <c r="FZ209">
        <v>165.16516973322697</v>
      </c>
      <c r="GA209">
        <v>96.480459256945437</v>
      </c>
      <c r="GB209">
        <v>25.216254430724796</v>
      </c>
      <c r="GC209">
        <v>8.2181421759194215</v>
      </c>
      <c r="GD209">
        <v>4.8811737732164389</v>
      </c>
      <c r="GE209">
        <v>7.5065758173924939</v>
      </c>
      <c r="GF209">
        <v>8.762149930213484</v>
      </c>
      <c r="GG209">
        <v>10.564484804666389</v>
      </c>
      <c r="GH209">
        <v>28.494534215199035</v>
      </c>
      <c r="GI209">
        <v>67.335377577498988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1235.7285186787508</v>
      </c>
      <c r="AO210">
        <v>167.13494291665302</v>
      </c>
      <c r="AP210">
        <v>1396.2277068997926</v>
      </c>
      <c r="AQ210">
        <v>440.5669464788773</v>
      </c>
      <c r="AR210">
        <v>168.66405730468006</v>
      </c>
      <c r="AS210">
        <v>1906.5312445926299</v>
      </c>
      <c r="AT210">
        <v>83.555213131825681</v>
      </c>
      <c r="AU210">
        <v>547.05109488255107</v>
      </c>
      <c r="AV210"/>
      <c r="AW210"/>
      <c r="FY210" s="211">
        <v>205</v>
      </c>
      <c r="FZ210">
        <v>157.68052885961058</v>
      </c>
      <c r="GA210">
        <v>112.18599166195222</v>
      </c>
      <c r="GB210">
        <v>25.527257077124652</v>
      </c>
      <c r="GC210">
        <v>7.5681697974266839</v>
      </c>
      <c r="GD210">
        <v>4.3030053553862784</v>
      </c>
      <c r="GE210">
        <v>6.7003420251431169</v>
      </c>
      <c r="GF210">
        <v>56.490121457461285</v>
      </c>
      <c r="GG210">
        <v>73.130990391180461</v>
      </c>
      <c r="GH210">
        <v>26.581008168235861</v>
      </c>
      <c r="GI210">
        <v>92.149034084050555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1292.5316359502251</v>
      </c>
      <c r="AO211">
        <v>189.93800880449626</v>
      </c>
      <c r="AP211">
        <v>1535.2372566931265</v>
      </c>
      <c r="AQ211">
        <v>446.06306125333043</v>
      </c>
      <c r="AR211">
        <v>182.27031420070759</v>
      </c>
      <c r="AS211">
        <v>1879.2081095010724</v>
      </c>
      <c r="AT211">
        <v>86.177345533276153</v>
      </c>
      <c r="AU211">
        <v>316.49034092989052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1">
        <v>206</v>
      </c>
      <c r="FZ211">
        <v>99.211680789465021</v>
      </c>
      <c r="GA211">
        <v>85.11636432561076</v>
      </c>
      <c r="GB211">
        <v>29.677323841102073</v>
      </c>
      <c r="GC211">
        <v>6.7459911403128228</v>
      </c>
      <c r="GD211">
        <v>3.3950976904157422</v>
      </c>
      <c r="GE211">
        <v>6.1886839376038871</v>
      </c>
      <c r="GF211">
        <v>28.57444875531835</v>
      </c>
      <c r="GG211">
        <v>34.718190523856784</v>
      </c>
      <c r="GH211">
        <v>25.899569814259696</v>
      </c>
      <c r="GI211">
        <v>70.501912898304937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847.85371591698856</v>
      </c>
      <c r="AO212">
        <v>142.53059410015075</v>
      </c>
      <c r="AP212">
        <v>1189.7247514610181</v>
      </c>
      <c r="AQ212">
        <v>410.72660621627887</v>
      </c>
      <c r="AR212">
        <v>142.61973459975641</v>
      </c>
      <c r="AS212">
        <v>1500.7687272249154</v>
      </c>
      <c r="AT212">
        <v>70.068037354304764</v>
      </c>
      <c r="AU212">
        <v>80.058104932167694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9">AVERAGE(DF88:DF97)</f>
        <v>0</v>
      </c>
      <c r="DG212" s="182">
        <f t="shared" si="339"/>
        <v>9.3749999999999982</v>
      </c>
      <c r="DH212" s="182">
        <f t="shared" si="339"/>
        <v>23.237179487179485</v>
      </c>
      <c r="DI212" s="182">
        <f t="shared" si="339"/>
        <v>121.62316849816848</v>
      </c>
      <c r="DJ212" s="182">
        <f t="shared" si="339"/>
        <v>217.19322344322345</v>
      </c>
      <c r="DK212" s="182">
        <f t="shared" ref="DK212:DQ212" si="340">AVERAGE(DK88:DK97)</f>
        <v>62.351190476190482</v>
      </c>
      <c r="DL212" s="182">
        <f t="shared" si="340"/>
        <v>24.999999999999996</v>
      </c>
      <c r="DM212" s="182">
        <f t="shared" si="340"/>
        <v>13.095238095238097</v>
      </c>
      <c r="DN212" s="182">
        <f t="shared" si="340"/>
        <v>2.083333333333333</v>
      </c>
      <c r="DO212" s="182">
        <f t="shared" si="340"/>
        <v>1.0416666666666665</v>
      </c>
      <c r="DP212" s="182">
        <f t="shared" si="340"/>
        <v>0</v>
      </c>
      <c r="DQ212" s="182">
        <f t="shared" si="340"/>
        <v>0</v>
      </c>
      <c r="DR212" s="182">
        <f t="shared" si="339"/>
        <v>0</v>
      </c>
      <c r="DS212" s="182">
        <f t="shared" si="339"/>
        <v>0</v>
      </c>
      <c r="DT212" s="182">
        <f t="shared" si="339"/>
        <v>0</v>
      </c>
      <c r="DU212" s="182">
        <f t="shared" si="339"/>
        <v>0</v>
      </c>
      <c r="DV212" s="182">
        <f t="shared" si="339"/>
        <v>0</v>
      </c>
      <c r="DW212" s="182">
        <f t="shared" si="339"/>
        <v>0</v>
      </c>
      <c r="DX212" s="182">
        <f t="shared" si="339"/>
        <v>0</v>
      </c>
      <c r="DY212" s="182">
        <f t="shared" si="339"/>
        <v>0</v>
      </c>
      <c r="DZ212" s="182">
        <f t="shared" si="339"/>
        <v>0</v>
      </c>
      <c r="EA212" s="182">
        <f t="shared" si="339"/>
        <v>0</v>
      </c>
      <c r="EB212" s="182">
        <f t="shared" si="339"/>
        <v>0</v>
      </c>
      <c r="EC212" s="182">
        <f t="shared" si="339"/>
        <v>0</v>
      </c>
      <c r="ED212" s="182">
        <f t="shared" si="339"/>
        <v>0</v>
      </c>
      <c r="EE212" s="182">
        <f t="shared" si="339"/>
        <v>0</v>
      </c>
      <c r="EF212" s="182">
        <f t="shared" si="339"/>
        <v>0</v>
      </c>
      <c r="EG212" s="182">
        <f t="shared" si="339"/>
        <v>0</v>
      </c>
      <c r="EH212" s="182">
        <f t="shared" si="339"/>
        <v>0</v>
      </c>
      <c r="EI212" s="182">
        <f t="shared" si="339"/>
        <v>0</v>
      </c>
      <c r="EJ212" s="182">
        <f t="shared" si="339"/>
        <v>0</v>
      </c>
      <c r="FY212" s="211">
        <v>207</v>
      </c>
      <c r="FZ212">
        <v>69.485629493200705</v>
      </c>
      <c r="GA212">
        <v>46.13215319245446</v>
      </c>
      <c r="GB212">
        <v>28.582719893340641</v>
      </c>
      <c r="GC212">
        <v>10.06280100892732</v>
      </c>
      <c r="GD212">
        <v>3.8323393496530906</v>
      </c>
      <c r="GE212">
        <v>4.838985809128264</v>
      </c>
      <c r="GF212">
        <v>50.338604878532038</v>
      </c>
      <c r="GG212">
        <v>67.155235336681898</v>
      </c>
      <c r="GH212">
        <v>25.793943408264717</v>
      </c>
      <c r="GI212">
        <v>76.464950884108191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1227.9521711748901</v>
      </c>
      <c r="AO213">
        <v>190.59505496436736</v>
      </c>
      <c r="AP213">
        <v>1684.1181807355044</v>
      </c>
      <c r="AQ213">
        <v>490.38775854154784</v>
      </c>
      <c r="AR213">
        <v>183.95336452192186</v>
      </c>
      <c r="AS213">
        <v>1907.9289795165944</v>
      </c>
      <c r="AT213">
        <v>87.496318960429107</v>
      </c>
      <c r="AU213">
        <v>105.62113989887288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1">AVERAGE(DF98:DF107)</f>
        <v>6.25</v>
      </c>
      <c r="DG213" s="185">
        <f t="shared" si="341"/>
        <v>87.499394762325792</v>
      </c>
      <c r="DH213" s="185">
        <f t="shared" si="341"/>
        <v>223.05762203201351</v>
      </c>
      <c r="DI213" s="185">
        <f t="shared" si="341"/>
        <v>344.44411628488712</v>
      </c>
      <c r="DJ213" s="185">
        <f t="shared" si="341"/>
        <v>136.48464801482041</v>
      </c>
      <c r="DK213" s="185">
        <f t="shared" ref="DK213:DQ213" si="342">AVERAGE(DK98:DK107)</f>
        <v>43.102422003284069</v>
      </c>
      <c r="DL213" s="185">
        <f t="shared" si="342"/>
        <v>19.795258620689655</v>
      </c>
      <c r="DM213" s="185">
        <f t="shared" si="342"/>
        <v>0</v>
      </c>
      <c r="DN213" s="185">
        <f t="shared" si="342"/>
        <v>1.0416666666666665</v>
      </c>
      <c r="DO213" s="185">
        <f t="shared" si="342"/>
        <v>0</v>
      </c>
      <c r="DP213" s="185">
        <f t="shared" si="342"/>
        <v>0</v>
      </c>
      <c r="DQ213" s="185">
        <f t="shared" si="342"/>
        <v>0</v>
      </c>
      <c r="DR213" s="185">
        <f t="shared" si="341"/>
        <v>0</v>
      </c>
      <c r="DS213" s="185">
        <f t="shared" si="341"/>
        <v>0</v>
      </c>
      <c r="DT213" s="185">
        <f t="shared" si="341"/>
        <v>0</v>
      </c>
      <c r="DU213" s="185">
        <f t="shared" si="341"/>
        <v>0</v>
      </c>
      <c r="DV213" s="185">
        <f t="shared" si="341"/>
        <v>0</v>
      </c>
      <c r="DW213" s="185">
        <f t="shared" si="341"/>
        <v>0</v>
      </c>
      <c r="DX213" s="185">
        <f t="shared" si="341"/>
        <v>0</v>
      </c>
      <c r="DY213" s="185">
        <f t="shared" si="341"/>
        <v>0</v>
      </c>
      <c r="DZ213" s="185">
        <f t="shared" si="341"/>
        <v>0</v>
      </c>
      <c r="EA213" s="185">
        <f t="shared" si="341"/>
        <v>0</v>
      </c>
      <c r="EB213" s="185">
        <f t="shared" si="341"/>
        <v>0</v>
      </c>
      <c r="EC213" s="185">
        <f t="shared" si="341"/>
        <v>0</v>
      </c>
      <c r="ED213" s="185">
        <f t="shared" si="341"/>
        <v>0</v>
      </c>
      <c r="EE213" s="185">
        <f t="shared" si="341"/>
        <v>0</v>
      </c>
      <c r="EF213" s="185">
        <f t="shared" si="341"/>
        <v>0</v>
      </c>
      <c r="EG213" s="185">
        <f t="shared" si="341"/>
        <v>0</v>
      </c>
      <c r="EH213" s="185">
        <f t="shared" si="341"/>
        <v>0</v>
      </c>
      <c r="EI213" s="185">
        <f t="shared" si="341"/>
        <v>0</v>
      </c>
      <c r="EJ213" s="185">
        <f t="shared" si="341"/>
        <v>0</v>
      </c>
      <c r="FY213" s="211">
        <v>208</v>
      </c>
      <c r="FZ213">
        <v>164.72637653596001</v>
      </c>
      <c r="GA213">
        <v>128.90634926575763</v>
      </c>
      <c r="GB213">
        <v>31.450195665884312</v>
      </c>
      <c r="GC213">
        <v>7.074603018093983</v>
      </c>
      <c r="GD213">
        <v>3.4182244843896377</v>
      </c>
      <c r="GE213">
        <v>5.1102103123682978</v>
      </c>
      <c r="GF213">
        <v>53.99344176449393</v>
      </c>
      <c r="GG213">
        <v>65.946228938624415</v>
      </c>
      <c r="GH213">
        <v>22.150993418178292</v>
      </c>
      <c r="GI213">
        <v>82.476805572034735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885.93404488652379</v>
      </c>
      <c r="AO214">
        <v>142.36724335282909</v>
      </c>
      <c r="AP214">
        <v>1253.0980202437891</v>
      </c>
      <c r="AQ214">
        <v>432.0358181586102</v>
      </c>
      <c r="AR214">
        <v>140.28570277222784</v>
      </c>
      <c r="AS214">
        <v>1468.193355894678</v>
      </c>
      <c r="AT214">
        <v>70.5523188251005</v>
      </c>
      <c r="AU214">
        <v>-4.0909799017184127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3">AVERAGE(DF108:DF117)</f>
        <v>57.961309523809518</v>
      </c>
      <c r="DG214" s="182">
        <f t="shared" si="343"/>
        <v>467.30990783410135</v>
      </c>
      <c r="DH214" s="182">
        <f t="shared" si="343"/>
        <v>472.62324788786481</v>
      </c>
      <c r="DI214" s="182">
        <f t="shared" si="343"/>
        <v>188.99709581413211</v>
      </c>
      <c r="DJ214" s="182">
        <f t="shared" si="343"/>
        <v>109.24779185867897</v>
      </c>
      <c r="DK214" s="182">
        <f t="shared" si="343"/>
        <v>51.041666666666664</v>
      </c>
      <c r="DL214" s="182">
        <f t="shared" si="343"/>
        <v>6.2499999999999991</v>
      </c>
      <c r="DM214" s="182">
        <f t="shared" si="343"/>
        <v>1.0416666666666665</v>
      </c>
      <c r="DN214" s="182">
        <f t="shared" si="343"/>
        <v>1.0416666666666665</v>
      </c>
      <c r="DO214" s="182">
        <f t="shared" si="343"/>
        <v>0</v>
      </c>
      <c r="DP214" s="182">
        <f t="shared" si="343"/>
        <v>1.0416666666666665</v>
      </c>
      <c r="DQ214" s="182">
        <f t="shared" si="343"/>
        <v>0</v>
      </c>
      <c r="DR214" s="182">
        <f t="shared" si="343"/>
        <v>0</v>
      </c>
      <c r="DS214" s="182">
        <f t="shared" si="343"/>
        <v>1.0416666666666665</v>
      </c>
      <c r="DT214" s="182">
        <f t="shared" si="343"/>
        <v>0</v>
      </c>
      <c r="DU214" s="182">
        <f t="shared" si="343"/>
        <v>0</v>
      </c>
      <c r="DV214" s="182">
        <f t="shared" si="343"/>
        <v>0</v>
      </c>
      <c r="DW214" s="182">
        <f t="shared" si="343"/>
        <v>0</v>
      </c>
      <c r="DX214" s="182">
        <f t="shared" si="343"/>
        <v>0</v>
      </c>
      <c r="DY214" s="182">
        <f t="shared" si="343"/>
        <v>0</v>
      </c>
      <c r="DZ214" s="182">
        <f t="shared" si="343"/>
        <v>0</v>
      </c>
      <c r="EA214" s="182">
        <f t="shared" si="343"/>
        <v>0</v>
      </c>
      <c r="EB214" s="182">
        <f t="shared" si="343"/>
        <v>0</v>
      </c>
      <c r="EC214" s="182">
        <f t="shared" si="343"/>
        <v>0</v>
      </c>
      <c r="ED214" s="182">
        <f t="shared" si="343"/>
        <v>0</v>
      </c>
      <c r="EE214" s="182">
        <f t="shared" si="343"/>
        <v>0</v>
      </c>
      <c r="EF214" s="182">
        <f t="shared" si="343"/>
        <v>0</v>
      </c>
      <c r="EG214" s="182">
        <f t="shared" si="343"/>
        <v>0</v>
      </c>
      <c r="EH214" s="182">
        <f t="shared" si="343"/>
        <v>0</v>
      </c>
      <c r="EI214" s="182">
        <f t="shared" si="343"/>
        <v>0</v>
      </c>
      <c r="EJ214" s="182">
        <f t="shared" si="343"/>
        <v>0</v>
      </c>
      <c r="FY214" s="211">
        <v>209</v>
      </c>
      <c r="FZ214">
        <v>143.14745117996455</v>
      </c>
      <c r="GA214">
        <v>74.076997731879956</v>
      </c>
      <c r="GB214">
        <v>18.338345446561892</v>
      </c>
      <c r="GC214">
        <v>7.9734193288519668</v>
      </c>
      <c r="GD214">
        <v>4.3332306554960667</v>
      </c>
      <c r="GE214">
        <v>7.7997785762716285</v>
      </c>
      <c r="GF214">
        <v>15.153467235908735</v>
      </c>
      <c r="GG214">
        <v>17.025008960174297</v>
      </c>
      <c r="GH214">
        <v>21.171849946246063</v>
      </c>
      <c r="GI214">
        <v>65.927465003785144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1045.5487986534658</v>
      </c>
      <c r="AO215">
        <v>153.38703123830075</v>
      </c>
      <c r="AP215">
        <v>1284.8033985502236</v>
      </c>
      <c r="AQ215">
        <v>409.25378798856252</v>
      </c>
      <c r="AR215">
        <v>150.29876415661815</v>
      </c>
      <c r="AS215">
        <v>1613.1314781112635</v>
      </c>
      <c r="AT215">
        <v>77.519410537227103</v>
      </c>
      <c r="AU215">
        <v>192.22835389263525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4">AVERAGE(DF118:DF127)</f>
        <v>0</v>
      </c>
      <c r="DG215" s="182">
        <f t="shared" ref="DG215:DH215" si="345">AVERAGE(DG118:DG127)</f>
        <v>433.08865690134087</v>
      </c>
      <c r="DH215" s="182">
        <f t="shared" si="345"/>
        <v>788.80917057430941</v>
      </c>
      <c r="DI215" s="182">
        <f t="shared" si="344"/>
        <v>340.93893473361516</v>
      </c>
      <c r="DJ215" s="182">
        <f t="shared" si="344"/>
        <v>172.4065122949427</v>
      </c>
      <c r="DK215" s="182">
        <f t="shared" si="344"/>
        <v>54.47962860310421</v>
      </c>
      <c r="DL215" s="182">
        <f t="shared" si="344"/>
        <v>7.291666666666667</v>
      </c>
      <c r="DM215" s="182">
        <f t="shared" si="344"/>
        <v>4.9242424242424239</v>
      </c>
      <c r="DN215" s="182">
        <f t="shared" si="344"/>
        <v>2.604166666666667</v>
      </c>
      <c r="DO215" s="182">
        <f t="shared" si="344"/>
        <v>0</v>
      </c>
      <c r="DP215" s="182">
        <f t="shared" si="344"/>
        <v>0</v>
      </c>
      <c r="DQ215" s="182">
        <f t="shared" si="344"/>
        <v>0</v>
      </c>
      <c r="DR215" s="182">
        <f t="shared" si="344"/>
        <v>0</v>
      </c>
      <c r="DS215" s="182">
        <f t="shared" si="344"/>
        <v>0</v>
      </c>
      <c r="DT215" s="182">
        <f t="shared" si="344"/>
        <v>0</v>
      </c>
      <c r="DU215" s="182">
        <f t="shared" si="344"/>
        <v>0</v>
      </c>
      <c r="DV215" s="182">
        <f t="shared" si="344"/>
        <v>0</v>
      </c>
      <c r="DW215" s="182">
        <f t="shared" si="344"/>
        <v>0</v>
      </c>
      <c r="DX215" s="182">
        <f t="shared" si="344"/>
        <v>0</v>
      </c>
      <c r="DY215" s="182">
        <f t="shared" si="344"/>
        <v>0</v>
      </c>
      <c r="DZ215" s="182">
        <f t="shared" si="344"/>
        <v>0</v>
      </c>
      <c r="EA215" s="182">
        <f t="shared" si="344"/>
        <v>0</v>
      </c>
      <c r="EB215" s="182">
        <f t="shared" si="344"/>
        <v>0</v>
      </c>
      <c r="EC215" s="182">
        <f t="shared" si="344"/>
        <v>0</v>
      </c>
      <c r="ED215" s="182">
        <f t="shared" si="344"/>
        <v>0</v>
      </c>
      <c r="EE215" s="182">
        <f t="shared" si="344"/>
        <v>0</v>
      </c>
      <c r="EF215" s="182">
        <f t="shared" si="344"/>
        <v>0</v>
      </c>
      <c r="EG215" s="182">
        <f t="shared" si="344"/>
        <v>0</v>
      </c>
      <c r="EH215" s="182">
        <f t="shared" si="344"/>
        <v>0</v>
      </c>
      <c r="EI215" s="182">
        <f t="shared" si="344"/>
        <v>0</v>
      </c>
      <c r="EJ215" s="182">
        <f t="shared" si="344"/>
        <v>0</v>
      </c>
      <c r="FY215" s="211">
        <v>210</v>
      </c>
      <c r="FZ215">
        <v>118.277584267004</v>
      </c>
      <c r="GA215">
        <v>88.092274384574935</v>
      </c>
      <c r="GB215">
        <v>27.406180803525217</v>
      </c>
      <c r="GC215">
        <v>9.510324792396311</v>
      </c>
      <c r="GD215">
        <v>3.2592982031649829</v>
      </c>
      <c r="GE215">
        <v>5.6529720200337437</v>
      </c>
      <c r="GF215">
        <v>61.538111690419527</v>
      </c>
      <c r="GG215">
        <v>77.085231452445697</v>
      </c>
      <c r="GH215">
        <v>24.584992776578016</v>
      </c>
      <c r="GI215">
        <v>89.204494580798581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1120.8706802181973</v>
      </c>
      <c r="AO216">
        <v>151.06783890490169</v>
      </c>
      <c r="AP216">
        <v>1338.9432069549964</v>
      </c>
      <c r="AQ216">
        <v>541.16955961453118</v>
      </c>
      <c r="AR216">
        <v>145.18832533735872</v>
      </c>
      <c r="AS216">
        <v>1559.8854677588604</v>
      </c>
      <c r="AT216">
        <v>69.692713734807683</v>
      </c>
      <c r="AU216">
        <v>208.4498485028538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6">AVERAGE(DF128:DF137)</f>
        <v>0</v>
      </c>
      <c r="DG216" s="182">
        <f t="shared" ref="DG216:DH216" si="347">AVERAGE(DG128:DG137)</f>
        <v>188.42487590534463</v>
      </c>
      <c r="DH216" s="182">
        <f t="shared" si="347"/>
        <v>320.2235430946368</v>
      </c>
      <c r="DI216" s="182">
        <f t="shared" si="346"/>
        <v>282.60616481319607</v>
      </c>
      <c r="DJ216" s="182">
        <f t="shared" si="346"/>
        <v>69.132968449374701</v>
      </c>
      <c r="DK216" s="182">
        <f t="shared" si="346"/>
        <v>27.714646464646467</v>
      </c>
      <c r="DL216" s="182">
        <f t="shared" si="346"/>
        <v>6.7234848484848486</v>
      </c>
      <c r="DM216" s="182">
        <f t="shared" si="346"/>
        <v>14.726592851592851</v>
      </c>
      <c r="DN216" s="182">
        <f t="shared" si="346"/>
        <v>3.503787878787878</v>
      </c>
      <c r="DO216" s="182">
        <f t="shared" si="346"/>
        <v>8.0492424242424239</v>
      </c>
      <c r="DP216" s="182">
        <f t="shared" si="346"/>
        <v>0</v>
      </c>
      <c r="DQ216" s="182">
        <f t="shared" si="346"/>
        <v>0</v>
      </c>
      <c r="DR216" s="182">
        <f t="shared" si="346"/>
        <v>0</v>
      </c>
      <c r="DS216" s="182">
        <f t="shared" si="346"/>
        <v>0</v>
      </c>
      <c r="DT216" s="182">
        <f t="shared" si="346"/>
        <v>0</v>
      </c>
      <c r="DU216" s="182">
        <f t="shared" si="346"/>
        <v>0</v>
      </c>
      <c r="DV216" s="182">
        <f t="shared" si="346"/>
        <v>0</v>
      </c>
      <c r="DW216" s="182">
        <f t="shared" si="346"/>
        <v>0</v>
      </c>
      <c r="DX216" s="182">
        <f t="shared" si="346"/>
        <v>0</v>
      </c>
      <c r="DY216" s="182">
        <f t="shared" si="346"/>
        <v>0</v>
      </c>
      <c r="DZ216" s="182">
        <f t="shared" si="346"/>
        <v>0</v>
      </c>
      <c r="EA216" s="182">
        <f t="shared" si="346"/>
        <v>0</v>
      </c>
      <c r="EB216" s="182">
        <f t="shared" si="346"/>
        <v>0</v>
      </c>
      <c r="EC216" s="182">
        <f t="shared" si="346"/>
        <v>0</v>
      </c>
      <c r="ED216" s="182">
        <f t="shared" si="346"/>
        <v>0</v>
      </c>
      <c r="EE216" s="182">
        <f t="shared" si="346"/>
        <v>0</v>
      </c>
      <c r="EF216" s="182">
        <f t="shared" si="346"/>
        <v>0</v>
      </c>
      <c r="EG216" s="182">
        <f t="shared" si="346"/>
        <v>0</v>
      </c>
      <c r="EH216" s="182">
        <f t="shared" si="346"/>
        <v>0</v>
      </c>
      <c r="EI216" s="182">
        <f t="shared" si="346"/>
        <v>0</v>
      </c>
      <c r="EJ216" s="182">
        <f t="shared" si="346"/>
        <v>0</v>
      </c>
      <c r="FY216" s="211">
        <v>211</v>
      </c>
      <c r="FZ216">
        <v>120.71415122993919</v>
      </c>
      <c r="GA216">
        <v>107.64869105651654</v>
      </c>
      <c r="GB216">
        <v>26.45960774643191</v>
      </c>
      <c r="GC216">
        <v>6.5335081062887941</v>
      </c>
      <c r="GD216">
        <v>5.1623770552731871</v>
      </c>
      <c r="GE216">
        <v>10.244922519826744</v>
      </c>
      <c r="GF216">
        <v>42.785008746922138</v>
      </c>
      <c r="GG216">
        <v>49.980829240405519</v>
      </c>
      <c r="GH216">
        <v>16.278636129060693</v>
      </c>
      <c r="GI216">
        <v>74.759669669113109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1245.6470712640021</v>
      </c>
      <c r="AO217">
        <v>171.96125842387872</v>
      </c>
      <c r="AP217">
        <v>1455.2382775401231</v>
      </c>
      <c r="AQ217">
        <v>431.99352549229059</v>
      </c>
      <c r="AR217">
        <v>164.15260833125595</v>
      </c>
      <c r="AS217">
        <v>1704.3779894773115</v>
      </c>
      <c r="AT217">
        <v>76.689211977560674</v>
      </c>
      <c r="AU217">
        <v>416.06070906722277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8">AVERAGE(DF138:DF147)</f>
        <v>3.125</v>
      </c>
      <c r="DG217" s="182">
        <f t="shared" ref="DG217:DH217" si="349">AVERAGE(DG138:DG147)</f>
        <v>292.24321904725457</v>
      </c>
      <c r="DH217" s="182">
        <f t="shared" si="349"/>
        <v>342.43065416116031</v>
      </c>
      <c r="DI217" s="182">
        <f t="shared" si="348"/>
        <v>242.32867826617826</v>
      </c>
      <c r="DJ217" s="182">
        <f t="shared" si="348"/>
        <v>153.19368131868134</v>
      </c>
      <c r="DK217" s="182">
        <f t="shared" si="348"/>
        <v>35.737179487179489</v>
      </c>
      <c r="DL217" s="182">
        <f t="shared" si="348"/>
        <v>18.349358974358971</v>
      </c>
      <c r="DM217" s="182">
        <f t="shared" si="348"/>
        <v>3.4455128205128203</v>
      </c>
      <c r="DN217" s="182">
        <f t="shared" si="348"/>
        <v>6.9128787878787872</v>
      </c>
      <c r="DO217" s="182">
        <f t="shared" si="348"/>
        <v>2.083333333333333</v>
      </c>
      <c r="DP217" s="182">
        <f t="shared" si="348"/>
        <v>1.0416666666666665</v>
      </c>
      <c r="DQ217" s="182">
        <f t="shared" si="348"/>
        <v>0</v>
      </c>
      <c r="DR217" s="182">
        <f t="shared" si="348"/>
        <v>0</v>
      </c>
      <c r="DS217" s="182">
        <f t="shared" si="348"/>
        <v>2.4038461538461537</v>
      </c>
      <c r="DT217" s="182">
        <f t="shared" si="348"/>
        <v>0</v>
      </c>
      <c r="DU217" s="182">
        <f t="shared" si="348"/>
        <v>0</v>
      </c>
      <c r="DV217" s="182">
        <f t="shared" si="348"/>
        <v>0</v>
      </c>
      <c r="DW217" s="182">
        <f t="shared" si="348"/>
        <v>0</v>
      </c>
      <c r="DX217" s="182">
        <f t="shared" si="348"/>
        <v>0</v>
      </c>
      <c r="DY217" s="182">
        <f t="shared" si="348"/>
        <v>0</v>
      </c>
      <c r="DZ217" s="182">
        <f t="shared" si="348"/>
        <v>0</v>
      </c>
      <c r="EA217" s="182">
        <f t="shared" si="348"/>
        <v>0</v>
      </c>
      <c r="EB217" s="182">
        <f t="shared" si="348"/>
        <v>0</v>
      </c>
      <c r="EC217" s="182">
        <f t="shared" si="348"/>
        <v>0</v>
      </c>
      <c r="ED217" s="182">
        <f t="shared" si="348"/>
        <v>0</v>
      </c>
      <c r="EE217" s="182">
        <f t="shared" si="348"/>
        <v>0</v>
      </c>
      <c r="EF217" s="182">
        <f t="shared" si="348"/>
        <v>0</v>
      </c>
      <c r="EG217" s="182">
        <f t="shared" si="348"/>
        <v>0</v>
      </c>
      <c r="EH217" s="182">
        <f t="shared" si="348"/>
        <v>0</v>
      </c>
      <c r="EI217" s="182">
        <f t="shared" si="348"/>
        <v>0</v>
      </c>
      <c r="EJ217" s="182">
        <f t="shared" si="348"/>
        <v>0</v>
      </c>
      <c r="FY217" s="211">
        <v>212</v>
      </c>
      <c r="FZ217">
        <v>226.85244591594275</v>
      </c>
      <c r="GA217">
        <v>157.37806089961089</v>
      </c>
      <c r="GB217">
        <v>27.539221926085229</v>
      </c>
      <c r="GC217">
        <v>7.8279486716030666</v>
      </c>
      <c r="GD217">
        <v>3.0940906116251576</v>
      </c>
      <c r="GE217">
        <v>6.1148536294296818</v>
      </c>
      <c r="GF217">
        <v>10.984123800859349</v>
      </c>
      <c r="GG217">
        <v>10.371407112853909</v>
      </c>
      <c r="GH217">
        <v>25.129749905552774</v>
      </c>
      <c r="GI217">
        <v>78.106858117328557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936.54446147521628</v>
      </c>
      <c r="AO218">
        <v>164.06089064077258</v>
      </c>
      <c r="AP218">
        <v>1455.2303580320731</v>
      </c>
      <c r="AQ218">
        <v>305.21378822947077</v>
      </c>
      <c r="AR218">
        <v>157.53831284932886</v>
      </c>
      <c r="AS218">
        <v>1593.5075184872082</v>
      </c>
      <c r="AT218">
        <v>79.359986352979021</v>
      </c>
      <c r="AU218">
        <v>224.71668759351377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50">AVERAGE(DF148:DF157)</f>
        <v>8.1380208333333339</v>
      </c>
      <c r="DG218" s="182">
        <f t="shared" ref="DG218:DH218" si="351">AVERAGE(DG148:DG157)</f>
        <v>154.64952256944446</v>
      </c>
      <c r="DH218" s="182">
        <f t="shared" si="351"/>
        <v>94.156901041666657</v>
      </c>
      <c r="DI218" s="182">
        <f t="shared" si="350"/>
        <v>49.804687500000007</v>
      </c>
      <c r="DJ218" s="182">
        <f t="shared" si="350"/>
        <v>55.365668402777779</v>
      </c>
      <c r="DK218" s="182">
        <f t="shared" si="350"/>
        <v>24.739583333333336</v>
      </c>
      <c r="DL218" s="182">
        <f t="shared" si="350"/>
        <v>10.416666666666666</v>
      </c>
      <c r="DM218" s="182">
        <f t="shared" si="350"/>
        <v>2.6041666666666665</v>
      </c>
      <c r="DN218" s="182">
        <f t="shared" si="350"/>
        <v>0</v>
      </c>
      <c r="DO218" s="182">
        <f t="shared" si="350"/>
        <v>1.3020833333333333</v>
      </c>
      <c r="DP218" s="182">
        <f t="shared" si="350"/>
        <v>0</v>
      </c>
      <c r="DQ218" s="182">
        <f t="shared" si="350"/>
        <v>0</v>
      </c>
      <c r="DR218" s="182">
        <f t="shared" si="350"/>
        <v>0</v>
      </c>
      <c r="DS218" s="182">
        <f t="shared" si="350"/>
        <v>0</v>
      </c>
      <c r="DT218" s="182">
        <f t="shared" si="350"/>
        <v>0</v>
      </c>
      <c r="DU218" s="182">
        <f t="shared" si="350"/>
        <v>0</v>
      </c>
      <c r="DV218" s="182">
        <f t="shared" si="350"/>
        <v>0</v>
      </c>
      <c r="DW218" s="182">
        <f t="shared" si="350"/>
        <v>0</v>
      </c>
      <c r="DX218" s="182">
        <f t="shared" si="350"/>
        <v>0</v>
      </c>
      <c r="DY218" s="182">
        <f t="shared" si="350"/>
        <v>0</v>
      </c>
      <c r="DZ218" s="182">
        <f t="shared" si="350"/>
        <v>0</v>
      </c>
      <c r="EA218" s="182">
        <f t="shared" si="350"/>
        <v>0</v>
      </c>
      <c r="EB218" s="182">
        <f t="shared" si="350"/>
        <v>0</v>
      </c>
      <c r="EC218" s="182">
        <f t="shared" si="350"/>
        <v>0</v>
      </c>
      <c r="ED218" s="182">
        <f t="shared" si="350"/>
        <v>0</v>
      </c>
      <c r="EE218" s="182">
        <f t="shared" si="350"/>
        <v>0</v>
      </c>
      <c r="EF218" s="182">
        <f t="shared" si="350"/>
        <v>0</v>
      </c>
      <c r="EG218" s="182">
        <f t="shared" si="350"/>
        <v>0</v>
      </c>
      <c r="EH218" s="182">
        <f t="shared" si="350"/>
        <v>0</v>
      </c>
      <c r="EI218" s="182">
        <f t="shared" si="350"/>
        <v>0</v>
      </c>
      <c r="EJ218" s="182">
        <f t="shared" si="350"/>
        <v>0</v>
      </c>
      <c r="FY218" s="211">
        <v>213</v>
      </c>
      <c r="FZ218">
        <v>117.80932685312051</v>
      </c>
      <c r="GA218">
        <v>125.9063147196853</v>
      </c>
      <c r="GB218">
        <v>43.011025612696315</v>
      </c>
      <c r="GC218">
        <v>8.9225755529780635</v>
      </c>
      <c r="GD218">
        <v>4.0628588017496217</v>
      </c>
      <c r="GE218">
        <v>6.217693341484253</v>
      </c>
      <c r="GF218">
        <v>10.543033301894349</v>
      </c>
      <c r="GG218">
        <v>15.514803888327238</v>
      </c>
      <c r="GH218">
        <v>25.333289997535697</v>
      </c>
      <c r="GI218">
        <v>70.002835016842624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1229.9147949330966</v>
      </c>
      <c r="AO219">
        <v>183.94528958476661</v>
      </c>
      <c r="AP219">
        <v>1581.3820364615874</v>
      </c>
      <c r="AQ219">
        <v>421.11730088328386</v>
      </c>
      <c r="AR219">
        <v>176.29827507292225</v>
      </c>
      <c r="AS219">
        <v>1758.1752660404609</v>
      </c>
      <c r="AT219">
        <v>84.3749232385737</v>
      </c>
      <c r="AU219">
        <v>250.08913857748269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2">AVERAGE(DF158:DF167)</f>
        <v>128.8475975975976</v>
      </c>
      <c r="DG219" s="182">
        <f t="shared" si="352"/>
        <v>601.53908678567564</v>
      </c>
      <c r="DH219" s="182">
        <f t="shared" si="352"/>
        <v>1234.3407164680871</v>
      </c>
      <c r="DI219" s="182">
        <f t="shared" ref="DI219" si="353">AVERAGE(DI158:DI167)</f>
        <v>295.19991777161056</v>
      </c>
      <c r="DJ219" s="182">
        <f t="shared" si="352"/>
        <v>361.66345322595328</v>
      </c>
      <c r="DK219" s="182">
        <f t="shared" si="352"/>
        <v>90.647095959595944</v>
      </c>
      <c r="DL219" s="182">
        <f t="shared" si="352"/>
        <v>56.392045454545453</v>
      </c>
      <c r="DM219" s="182">
        <f t="shared" si="352"/>
        <v>31.354166666666664</v>
      </c>
      <c r="DN219" s="182">
        <f t="shared" si="352"/>
        <v>6.25</v>
      </c>
      <c r="DO219" s="182">
        <f t="shared" si="352"/>
        <v>4.1666666666666661</v>
      </c>
      <c r="DP219" s="182">
        <f t="shared" si="352"/>
        <v>3.4375</v>
      </c>
      <c r="DQ219" s="182">
        <f t="shared" si="352"/>
        <v>1.0416666666666665</v>
      </c>
      <c r="DR219" s="182">
        <f t="shared" si="352"/>
        <v>3.125</v>
      </c>
      <c r="DS219" s="182">
        <f t="shared" si="352"/>
        <v>0</v>
      </c>
      <c r="DT219" s="182">
        <f t="shared" si="352"/>
        <v>0</v>
      </c>
      <c r="DU219" s="182">
        <f t="shared" si="352"/>
        <v>0</v>
      </c>
      <c r="DV219" s="182">
        <f t="shared" si="352"/>
        <v>0</v>
      </c>
      <c r="DW219" s="182">
        <f t="shared" si="352"/>
        <v>0</v>
      </c>
      <c r="DX219" s="182">
        <f t="shared" si="352"/>
        <v>0</v>
      </c>
      <c r="DY219" s="182">
        <f t="shared" si="352"/>
        <v>0</v>
      </c>
      <c r="DZ219" s="182">
        <f t="shared" si="352"/>
        <v>0</v>
      </c>
      <c r="EA219" s="182">
        <f t="shared" si="352"/>
        <v>0</v>
      </c>
      <c r="EB219" s="182">
        <f t="shared" si="352"/>
        <v>0</v>
      </c>
      <c r="EC219" s="182">
        <f t="shared" si="352"/>
        <v>0</v>
      </c>
      <c r="ED219" s="182">
        <f t="shared" si="352"/>
        <v>0</v>
      </c>
      <c r="EE219" s="182">
        <f t="shared" si="352"/>
        <v>0</v>
      </c>
      <c r="EF219" s="182">
        <f t="shared" si="352"/>
        <v>0</v>
      </c>
      <c r="EG219" s="182">
        <f t="shared" si="352"/>
        <v>0</v>
      </c>
      <c r="EH219" s="182">
        <f t="shared" si="352"/>
        <v>0</v>
      </c>
      <c r="EI219" s="182">
        <f t="shared" si="352"/>
        <v>0</v>
      </c>
      <c r="EJ219" s="182">
        <f t="shared" si="352"/>
        <v>0</v>
      </c>
      <c r="FY219" s="211">
        <v>214</v>
      </c>
      <c r="FZ219">
        <v>89.055669541571334</v>
      </c>
      <c r="GA219">
        <v>74.70290857046092</v>
      </c>
      <c r="GB219">
        <v>28.650332031086919</v>
      </c>
      <c r="GC219">
        <v>7.0715823080334257</v>
      </c>
      <c r="GD219">
        <v>1.5695209828612935</v>
      </c>
      <c r="GE219">
        <v>2.8323044940832158</v>
      </c>
      <c r="GF219">
        <v>25.031590366377714</v>
      </c>
      <c r="GG219">
        <v>33.967483900414585</v>
      </c>
      <c r="GH219">
        <v>22.34645919382417</v>
      </c>
      <c r="GI219">
        <v>59.781477354890228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952.62024058901466</v>
      </c>
      <c r="AO220">
        <v>155.07465532953142</v>
      </c>
      <c r="AP220">
        <v>1283.393157112474</v>
      </c>
      <c r="AQ220">
        <v>422.62432171500353</v>
      </c>
      <c r="AR220">
        <v>152.57799236999125</v>
      </c>
      <c r="AS220">
        <v>1593.4832645891483</v>
      </c>
      <c r="AT220">
        <v>77.197937643376619</v>
      </c>
      <c r="AU220">
        <v>22.22663291845609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4">AVERAGE(DF168:DF177)</f>
        <v>0</v>
      </c>
      <c r="DG220" s="182">
        <f t="shared" si="354"/>
        <v>35.260919155549395</v>
      </c>
      <c r="DH220" s="182">
        <f t="shared" si="354"/>
        <v>96.434529459283155</v>
      </c>
      <c r="DI220" s="182">
        <f t="shared" ref="DI220" si="355">AVERAGE(DI168:DI177)</f>
        <v>233.42784371999247</v>
      </c>
      <c r="DJ220" s="182">
        <f t="shared" si="354"/>
        <v>161.91071993547365</v>
      </c>
      <c r="DK220" s="182">
        <f t="shared" si="354"/>
        <v>91.62249945640356</v>
      </c>
      <c r="DL220" s="182">
        <f t="shared" si="354"/>
        <v>59.573412698412689</v>
      </c>
      <c r="DM220" s="182">
        <f t="shared" si="354"/>
        <v>28.17460317460317</v>
      </c>
      <c r="DN220" s="182">
        <f t="shared" si="354"/>
        <v>1.0416666666666665</v>
      </c>
      <c r="DO220" s="182">
        <v>8</v>
      </c>
      <c r="DP220" s="182">
        <f t="shared" si="354"/>
        <v>0</v>
      </c>
      <c r="DQ220" s="182">
        <f t="shared" si="354"/>
        <v>0</v>
      </c>
      <c r="DR220" s="182">
        <f t="shared" si="354"/>
        <v>0</v>
      </c>
      <c r="DS220" s="182">
        <f t="shared" si="354"/>
        <v>0</v>
      </c>
      <c r="DT220" s="182">
        <f t="shared" si="354"/>
        <v>1.0416666666666665</v>
      </c>
      <c r="DU220" s="182">
        <f t="shared" si="354"/>
        <v>1.0416666666666665</v>
      </c>
      <c r="DV220" s="182">
        <f t="shared" si="354"/>
        <v>0</v>
      </c>
      <c r="DW220" s="182">
        <f t="shared" si="354"/>
        <v>0</v>
      </c>
      <c r="DX220" s="182">
        <f t="shared" si="354"/>
        <v>0</v>
      </c>
      <c r="DY220" s="182">
        <f t="shared" si="354"/>
        <v>0</v>
      </c>
      <c r="DZ220" s="182">
        <f t="shared" si="354"/>
        <v>0</v>
      </c>
      <c r="EA220" s="182">
        <f t="shared" si="354"/>
        <v>0</v>
      </c>
      <c r="EB220" s="182">
        <f t="shared" si="354"/>
        <v>0</v>
      </c>
      <c r="EC220" s="182">
        <f t="shared" si="354"/>
        <v>0</v>
      </c>
      <c r="ED220" s="182">
        <f t="shared" si="354"/>
        <v>0</v>
      </c>
      <c r="EE220" s="182">
        <f t="shared" si="354"/>
        <v>0</v>
      </c>
      <c r="EF220" s="182">
        <f t="shared" si="354"/>
        <v>0</v>
      </c>
      <c r="EG220" s="182">
        <f t="shared" si="354"/>
        <v>0</v>
      </c>
      <c r="EH220" s="182">
        <f t="shared" si="354"/>
        <v>0</v>
      </c>
      <c r="EI220" s="182">
        <f t="shared" si="354"/>
        <v>0</v>
      </c>
      <c r="EJ220" s="182">
        <f t="shared" si="354"/>
        <v>0</v>
      </c>
      <c r="FY220" s="211">
        <v>215</v>
      </c>
      <c r="FZ220">
        <v>107.53270035203531</v>
      </c>
      <c r="GA220">
        <v>65.78669409402525</v>
      </c>
      <c r="GB220">
        <v>19.98292255307242</v>
      </c>
      <c r="GC220">
        <v>7.1842963914376057</v>
      </c>
      <c r="GD220">
        <v>3.3976076566653077</v>
      </c>
      <c r="GE220">
        <v>5.5026153652371992</v>
      </c>
      <c r="GF220">
        <v>20.978841958425647</v>
      </c>
      <c r="GG220">
        <v>26.439060038789741</v>
      </c>
      <c r="GH220">
        <v>29.784539325597702</v>
      </c>
      <c r="GI220">
        <v>69.905248944396504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1435.8549120914661</v>
      </c>
      <c r="AO221">
        <v>187.44003634681513</v>
      </c>
      <c r="AP221">
        <v>1643.3778335079166</v>
      </c>
      <c r="AQ221">
        <v>562.3164488775717</v>
      </c>
      <c r="AR221">
        <v>183.3053607254453</v>
      </c>
      <c r="AS221">
        <v>1981.1686373067994</v>
      </c>
      <c r="AT221">
        <v>83.140953389601705</v>
      </c>
      <c r="AU221">
        <v>167.63311592197377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6">AVERAGE(DF178:DF187)</f>
        <v>7.7570921985815602</v>
      </c>
      <c r="DG221" s="182">
        <f t="shared" si="356"/>
        <v>41.626568501419051</v>
      </c>
      <c r="DH221" s="182">
        <f t="shared" si="356"/>
        <v>84.965331263438259</v>
      </c>
      <c r="DI221" s="182">
        <f t="shared" si="356"/>
        <v>99.845175701697258</v>
      </c>
      <c r="DJ221" s="182">
        <f t="shared" si="356"/>
        <v>48.239118342372414</v>
      </c>
      <c r="DK221" s="182">
        <f t="shared" si="356"/>
        <v>1.0416666666666665</v>
      </c>
      <c r="DL221" s="182">
        <f t="shared" si="356"/>
        <v>7.7570921985815602</v>
      </c>
      <c r="DM221" s="182">
        <f t="shared" si="356"/>
        <v>0</v>
      </c>
      <c r="DN221" s="182">
        <f t="shared" si="356"/>
        <v>0</v>
      </c>
      <c r="DO221" s="182">
        <f t="shared" si="356"/>
        <v>1.0416666666666665</v>
      </c>
      <c r="DP221" s="182">
        <f t="shared" si="356"/>
        <v>0</v>
      </c>
      <c r="DQ221" s="182">
        <f t="shared" si="356"/>
        <v>0</v>
      </c>
      <c r="DR221" s="182">
        <f t="shared" si="356"/>
        <v>0</v>
      </c>
      <c r="DS221" s="182">
        <f t="shared" si="356"/>
        <v>0</v>
      </c>
      <c r="DT221" s="182">
        <f t="shared" si="356"/>
        <v>0</v>
      </c>
      <c r="DU221" s="182">
        <f t="shared" si="356"/>
        <v>0</v>
      </c>
      <c r="DV221" s="182">
        <f t="shared" si="356"/>
        <v>0</v>
      </c>
      <c r="DW221" s="182">
        <f t="shared" si="356"/>
        <v>0</v>
      </c>
      <c r="DX221" s="182">
        <f t="shared" si="356"/>
        <v>0</v>
      </c>
      <c r="DY221" s="182">
        <f t="shared" si="356"/>
        <v>0</v>
      </c>
      <c r="DZ221" s="182">
        <f t="shared" si="356"/>
        <v>0</v>
      </c>
      <c r="EA221" s="182">
        <f t="shared" si="356"/>
        <v>0</v>
      </c>
      <c r="EB221" s="182">
        <f t="shared" si="356"/>
        <v>0</v>
      </c>
      <c r="EC221" s="182">
        <f t="shared" si="356"/>
        <v>0</v>
      </c>
      <c r="ED221" s="182">
        <f t="shared" si="356"/>
        <v>0</v>
      </c>
      <c r="EE221" s="182">
        <f t="shared" si="356"/>
        <v>0</v>
      </c>
      <c r="EF221" s="182">
        <f t="shared" si="356"/>
        <v>0</v>
      </c>
      <c r="EG221" s="182">
        <f t="shared" si="356"/>
        <v>0</v>
      </c>
      <c r="EH221" s="182">
        <f t="shared" si="356"/>
        <v>0</v>
      </c>
      <c r="EI221" s="182">
        <f t="shared" si="356"/>
        <v>0</v>
      </c>
      <c r="EJ221" s="182">
        <f t="shared" si="356"/>
        <v>0</v>
      </c>
      <c r="FY221" s="211">
        <v>216</v>
      </c>
      <c r="FZ221">
        <v>121.89849357231665</v>
      </c>
      <c r="GA221">
        <v>121.77402195304825</v>
      </c>
      <c r="GB221">
        <v>31.841697204136569</v>
      </c>
      <c r="GC221">
        <v>9.5132102857311285</v>
      </c>
      <c r="GD221">
        <v>3.8332695067204936</v>
      </c>
      <c r="GE221">
        <v>4.6758554838416995</v>
      </c>
      <c r="GF221">
        <v>45.160483389674908</v>
      </c>
      <c r="GG221">
        <v>61.007324713656388</v>
      </c>
      <c r="GH221">
        <v>26.589341667423572</v>
      </c>
      <c r="GI221">
        <v>89.632497475255903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1067.5744742864588</v>
      </c>
      <c r="AO222">
        <v>155.99035572169299</v>
      </c>
      <c r="AP222">
        <v>1316.857385678273</v>
      </c>
      <c r="AQ222">
        <v>390.02926371625006</v>
      </c>
      <c r="AR222">
        <v>153.50638972357063</v>
      </c>
      <c r="AS222">
        <v>1595.4257663959122</v>
      </c>
      <c r="AT222">
        <v>74.516515542154863</v>
      </c>
      <c r="AU222">
        <v>308.25230798861264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1">
        <v>217</v>
      </c>
      <c r="FZ222">
        <v>216.78122055465991</v>
      </c>
      <c r="GA222">
        <v>195.70497893660897</v>
      </c>
      <c r="GB222">
        <v>36.913268416424394</v>
      </c>
      <c r="GC222">
        <v>7.0069429752590917</v>
      </c>
      <c r="GD222">
        <v>2.8736826434481748</v>
      </c>
      <c r="GE222">
        <v>6.0302139259768115</v>
      </c>
      <c r="GF222">
        <v>34.794892701550985</v>
      </c>
      <c r="GG222">
        <v>39.120298539484672</v>
      </c>
      <c r="GH222">
        <v>21.816910333356642</v>
      </c>
      <c r="GI222">
        <v>85.803180904978532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1228.2525535746604</v>
      </c>
      <c r="AO223">
        <v>152.42277407861604</v>
      </c>
      <c r="AP223">
        <v>1224.7234889354893</v>
      </c>
      <c r="AQ223">
        <v>382.68736325429137</v>
      </c>
      <c r="AR223">
        <v>145.94578099946318</v>
      </c>
      <c r="AS223">
        <v>1602.550263620506</v>
      </c>
      <c r="AT223">
        <v>64.361127713857826</v>
      </c>
      <c r="AU223">
        <v>185.98228127597298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1">
        <v>218</v>
      </c>
      <c r="FZ223">
        <v>131.62401146224352</v>
      </c>
      <c r="GA223">
        <v>111.39297576584217</v>
      </c>
      <c r="GB223">
        <v>31.107743203086994</v>
      </c>
      <c r="GC223">
        <v>9.7769323682858555</v>
      </c>
      <c r="GD223">
        <v>3.1615698066294859</v>
      </c>
      <c r="GE223">
        <v>3.4204849136291786</v>
      </c>
      <c r="GF223">
        <v>25.474888931698452</v>
      </c>
      <c r="GG223">
        <v>31.83767588044828</v>
      </c>
      <c r="GH223">
        <v>23.025223556879958</v>
      </c>
      <c r="GI223">
        <v>70.86524851766832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1364.0403678169241</v>
      </c>
      <c r="AO224">
        <v>169.32401859300458</v>
      </c>
      <c r="AP224">
        <v>1478.1760728105207</v>
      </c>
      <c r="AQ224">
        <v>565.25342897578525</v>
      </c>
      <c r="AR224">
        <v>166.21174587270278</v>
      </c>
      <c r="AS224">
        <v>1654.0107140694593</v>
      </c>
      <c r="AT224">
        <v>77.721499000266149</v>
      </c>
      <c r="AU224">
        <v>283.13520659710321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1">
        <v>219</v>
      </c>
      <c r="FZ224">
        <v>109.86468404438686</v>
      </c>
      <c r="GA224">
        <v>102.05391681096042</v>
      </c>
      <c r="GB224">
        <v>33.65461554912774</v>
      </c>
      <c r="GC224">
        <v>9.0358163683739026</v>
      </c>
      <c r="GD224">
        <v>3.507869464932146</v>
      </c>
      <c r="GE224">
        <v>6.591398417428465</v>
      </c>
      <c r="GF224">
        <v>29.804964642978135</v>
      </c>
      <c r="GG224">
        <v>36.556728682484064</v>
      </c>
      <c r="GH224">
        <v>22.522318103542144</v>
      </c>
      <c r="GI224">
        <v>81.894676718471615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921.63294935205852</v>
      </c>
      <c r="AO225">
        <v>154.934341358582</v>
      </c>
      <c r="AP225">
        <v>1341.4279332369081</v>
      </c>
      <c r="AQ225">
        <v>374.94701406514031</v>
      </c>
      <c r="AR225">
        <v>152.74404785963273</v>
      </c>
      <c r="AS225">
        <v>1526.6990637372737</v>
      </c>
      <c r="AT225">
        <v>79.46733634700928</v>
      </c>
      <c r="AU225">
        <v>129.72803330749647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 t="e">
        <f>((DG212*$H$372)+(DH212*$I$372)+(DI212*$J$372)+(DJ212*$K$372)+(DK212*$L$372)+(DL212*$M$372)+(DM212*$N$372)+(DN212*$O$372)+(DO212*$P$372)+(DP212*$Q$372)+(DQ212*$R$372)+(DR212*$S$372)+(DS212*$T$372)+(DT212*$U$372))/SUM(DG212:DT212)</f>
        <v>#VALUE!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1">
        <v>220</v>
      </c>
      <c r="FZ225">
        <v>149.42173197042132</v>
      </c>
      <c r="GA225">
        <v>122.30693922055018</v>
      </c>
      <c r="GB225">
        <v>25.798468478996675</v>
      </c>
      <c r="GC225">
        <v>6.4361093341030866</v>
      </c>
      <c r="GD225">
        <v>3.0151636863344211</v>
      </c>
      <c r="GE225">
        <v>6.7979572873435945</v>
      </c>
      <c r="GF225">
        <v>32.829168108482591</v>
      </c>
      <c r="GG225">
        <v>40.630006921444981</v>
      </c>
      <c r="GH225">
        <v>26.119976767735231</v>
      </c>
      <c r="GI225">
        <v>77.695890863495194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1470.6460240362999</v>
      </c>
      <c r="AO226">
        <v>186.54055816808309</v>
      </c>
      <c r="AP226">
        <v>1640.9012005025841</v>
      </c>
      <c r="AQ226">
        <v>504.61146497094103</v>
      </c>
      <c r="AR226">
        <v>180.24063969792724</v>
      </c>
      <c r="AS226">
        <v>1954.5632851278165</v>
      </c>
      <c r="AT226">
        <v>77.807698879382002</v>
      </c>
      <c r="AU226">
        <v>202.2618130312355</v>
      </c>
      <c r="AV226"/>
      <c r="AW226"/>
      <c r="DE226" s="187">
        <f>DE101</f>
        <v>39673</v>
      </c>
      <c r="DF226" s="205"/>
      <c r="DG226" s="205" t="e">
        <f t="shared" ref="DG226:DG234" si="357">((DG213*$H$372)+(DH213*$I$372)+(DI213*$J$372)+(DJ213*$K$372)+(DK213*$L$372)+(DL213*$M$372)+(DM213*$N$372)+(DN213*$O$372)+(DO213*$P$372)+(DP213*$Q$372)+(DQ213*$R$372)+(DR213*$S$372)+(DS213*$T$372)+(DT213*$U$372))/SUM(DG213:DT213)</f>
        <v>#VALUE!</v>
      </c>
      <c r="DH226" s="205" t="e">
        <f>(LN(DG226/DG225))/(DE213-DE212)</f>
        <v>#VALUE!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1">
        <v>221</v>
      </c>
      <c r="FZ226">
        <v>177.62029149517093</v>
      </c>
      <c r="GA226">
        <v>172.93029409058624</v>
      </c>
      <c r="GB226">
        <v>39.686180648275943</v>
      </c>
      <c r="GC226">
        <v>9.8585603363525749</v>
      </c>
      <c r="GD226">
        <v>4.05326152605695</v>
      </c>
      <c r="GE226">
        <v>5.5016224417681201</v>
      </c>
      <c r="GF226">
        <v>37.32493478510137</v>
      </c>
      <c r="GG226">
        <v>48.038779335514796</v>
      </c>
      <c r="GH226">
        <v>24.297388959872467</v>
      </c>
      <c r="GI226">
        <v>91.61015667082097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1222.0067503502592</v>
      </c>
      <c r="AO227">
        <v>151.80428131196001</v>
      </c>
      <c r="AP227">
        <v>1337.2288394014008</v>
      </c>
      <c r="AQ227">
        <v>460.56740149977782</v>
      </c>
      <c r="AR227">
        <v>148.08853579012296</v>
      </c>
      <c r="AS227">
        <v>1631.0266169627146</v>
      </c>
      <c r="AT227">
        <v>69.37532147984048</v>
      </c>
      <c r="AU227">
        <v>294.34857600428836</v>
      </c>
      <c r="AV227"/>
      <c r="AW227"/>
      <c r="DE227" s="187">
        <f>DE111</f>
        <v>39714</v>
      </c>
      <c r="DF227" s="205"/>
      <c r="DG227" s="205" t="e">
        <f t="shared" si="357"/>
        <v>#VALUE!</v>
      </c>
      <c r="DH227" s="205" t="e">
        <f t="shared" ref="DH227:DH234" si="358">(LN(DG227/DG226))/(DE214-DE213)</f>
        <v>#VALUE!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1">
        <v>222</v>
      </c>
      <c r="FZ227">
        <v>135.90239733231297</v>
      </c>
      <c r="GA227">
        <v>113.45550625818214</v>
      </c>
      <c r="GB227">
        <v>29.393713838090513</v>
      </c>
      <c r="GC227">
        <v>8.7336360950912422</v>
      </c>
      <c r="GD227">
        <v>3.0354906562706816</v>
      </c>
      <c r="GE227">
        <v>4.1728576621090498</v>
      </c>
      <c r="GF227">
        <v>34.215877451673151</v>
      </c>
      <c r="GG227">
        <v>41.696041763357464</v>
      </c>
      <c r="GH227">
        <v>13.848693441891204</v>
      </c>
      <c r="GI227">
        <v>69.881450871147592</v>
      </c>
      <c r="GJ227"/>
      <c r="GK227"/>
      <c r="GL227"/>
      <c r="GM227"/>
    </row>
    <row r="228" spans="1:195" s="7" customFormat="1">
      <c r="A228" s="9" t="s">
        <v>60</v>
      </c>
      <c r="B228">
        <v>4.4979231317655355E-2</v>
      </c>
      <c r="C228">
        <v>8</v>
      </c>
      <c r="D228">
        <v>39646</v>
      </c>
      <c r="E228">
        <v>0</v>
      </c>
      <c r="F228">
        <v>20.833333333333332</v>
      </c>
      <c r="G228">
        <v>0</v>
      </c>
      <c r="H228">
        <v>31.25</v>
      </c>
      <c r="I228">
        <v>31.25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1027.3728502885683</v>
      </c>
      <c r="AO228">
        <v>167.06400070915919</v>
      </c>
      <c r="AP228">
        <v>1422.5804052021749</v>
      </c>
      <c r="AQ228">
        <v>553.39876059089136</v>
      </c>
      <c r="AR228">
        <v>165.95404898619446</v>
      </c>
      <c r="AS228">
        <v>1666.5971170701748</v>
      </c>
      <c r="AT228">
        <v>88.765750463077566</v>
      </c>
      <c r="AU228">
        <v>-32.571216393919457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 t="e">
        <f t="shared" si="357"/>
        <v>#VALUE!</v>
      </c>
      <c r="DH228" s="205" t="e">
        <f t="shared" si="358"/>
        <v>#VALUE!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1">
        <v>223</v>
      </c>
      <c r="FZ228">
        <v>166.88895232927723</v>
      </c>
      <c r="GA228">
        <v>114.83134804463836</v>
      </c>
      <c r="GB228">
        <v>30.480543856992377</v>
      </c>
      <c r="GC228">
        <v>8.8758759590789378</v>
      </c>
      <c r="GD228">
        <v>4.2723833880718978</v>
      </c>
      <c r="GE228">
        <v>5.5156680624000742</v>
      </c>
      <c r="GF228">
        <v>32.664722300193091</v>
      </c>
      <c r="GG228">
        <v>43.518755633245206</v>
      </c>
      <c r="GH228">
        <v>21.844057037806401</v>
      </c>
      <c r="GI228">
        <v>93.004534781469971</v>
      </c>
      <c r="GJ228"/>
      <c r="GK228"/>
      <c r="GL228"/>
      <c r="GM228"/>
    </row>
    <row r="229" spans="1:195" s="7" customFormat="1">
      <c r="A229" s="90"/>
      <c r="B229">
        <v>0.80900708908507735</v>
      </c>
      <c r="C229">
        <v>2</v>
      </c>
      <c r="D229">
        <v>39646</v>
      </c>
      <c r="E229">
        <v>0</v>
      </c>
      <c r="F229">
        <v>0</v>
      </c>
      <c r="G229">
        <v>52.083333333333336</v>
      </c>
      <c r="H229">
        <v>145.83333333333334</v>
      </c>
      <c r="I229">
        <v>72.916666666666671</v>
      </c>
      <c r="J229">
        <v>62.5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1057.6253687286785</v>
      </c>
      <c r="AO229">
        <v>153.70930699027559</v>
      </c>
      <c r="AP229">
        <v>1325.2701032755715</v>
      </c>
      <c r="AQ229">
        <v>427.323757086314</v>
      </c>
      <c r="AR229">
        <v>147.83072441726929</v>
      </c>
      <c r="AS229">
        <v>1532.1168840733651</v>
      </c>
      <c r="AT229">
        <v>74.698193319235997</v>
      </c>
      <c r="AU229">
        <v>39.482526429501362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 t="e">
        <f t="shared" si="357"/>
        <v>#VALUE!</v>
      </c>
      <c r="DH229" s="205" t="e">
        <f t="shared" si="358"/>
        <v>#VALUE!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1">
        <v>224</v>
      </c>
      <c r="FZ229">
        <v>120.18982343388697</v>
      </c>
      <c r="GA229">
        <v>53.282359723899027</v>
      </c>
      <c r="GB229">
        <v>19.796735878546439</v>
      </c>
      <c r="GC229">
        <v>7.9979420444969112</v>
      </c>
      <c r="GD229">
        <v>3.3973257435824502</v>
      </c>
      <c r="GE229">
        <v>6.7570953963959273</v>
      </c>
      <c r="GF229">
        <v>32.439743519147676</v>
      </c>
      <c r="GG229">
        <v>36.303614161624601</v>
      </c>
      <c r="GH229">
        <v>19.549787625505104</v>
      </c>
      <c r="GI229">
        <v>68.21485120520282</v>
      </c>
      <c r="GJ229"/>
      <c r="GK229"/>
      <c r="GL229"/>
      <c r="GM229"/>
    </row>
    <row r="230" spans="1:195" s="7" customFormat="1">
      <c r="A230" s="77"/>
      <c r="B230">
        <v>0.3284450313550269</v>
      </c>
      <c r="C230">
        <v>5</v>
      </c>
      <c r="D230">
        <v>39646</v>
      </c>
      <c r="E230">
        <v>0</v>
      </c>
      <c r="F230">
        <v>0</v>
      </c>
      <c r="G230">
        <v>0</v>
      </c>
      <c r="H230">
        <v>95.238095238095227</v>
      </c>
      <c r="I230">
        <v>952.38095238095241</v>
      </c>
      <c r="J230">
        <v>238.0952380952381</v>
      </c>
      <c r="K230">
        <v>0</v>
      </c>
      <c r="L230">
        <v>47.619047619047613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888.88983175552698</v>
      </c>
      <c r="AO230">
        <v>124.47975300513004</v>
      </c>
      <c r="AP230">
        <v>1035.2628801280607</v>
      </c>
      <c r="AQ230">
        <v>345.00932874360376</v>
      </c>
      <c r="AR230">
        <v>121.96974429774383</v>
      </c>
      <c r="AS230">
        <v>1330.8178137184136</v>
      </c>
      <c r="AT230">
        <v>60.10896850699995</v>
      </c>
      <c r="AU230">
        <v>184.12264689041177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 t="e">
        <f t="shared" si="357"/>
        <v>#VALUE!</v>
      </c>
      <c r="DH230" s="205" t="e">
        <f t="shared" si="358"/>
        <v>#VALUE!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1">
        <v>225</v>
      </c>
      <c r="FZ230">
        <v>78.438466671781995</v>
      </c>
      <c r="GA230">
        <v>60.654630735040996</v>
      </c>
      <c r="GB230">
        <v>25.888285468414725</v>
      </c>
      <c r="GC230">
        <v>8.7791153550303136</v>
      </c>
      <c r="GD230">
        <v>4.3695882128990098</v>
      </c>
      <c r="GE230">
        <v>7.2108917726119603</v>
      </c>
      <c r="GF230">
        <v>36.072404065680942</v>
      </c>
      <c r="GG230">
        <v>44.455424687689145</v>
      </c>
      <c r="GH230">
        <v>26.268936227619403</v>
      </c>
      <c r="GI230">
        <v>72.284290278499654</v>
      </c>
      <c r="GJ230"/>
      <c r="GK230"/>
      <c r="GL230"/>
      <c r="GM230"/>
    </row>
    <row r="231" spans="1:195" s="7" customFormat="1">
      <c r="A231" s="77"/>
      <c r="B231">
        <v>0.74360268796477325</v>
      </c>
      <c r="C231">
        <v>3</v>
      </c>
      <c r="D231">
        <v>39646</v>
      </c>
      <c r="E231">
        <v>0</v>
      </c>
      <c r="F231">
        <v>0</v>
      </c>
      <c r="G231">
        <v>10.416666666666666</v>
      </c>
      <c r="H231">
        <v>41.666666666666664</v>
      </c>
      <c r="I231">
        <v>72.916666666666671</v>
      </c>
      <c r="J231">
        <v>20.833333333333332</v>
      </c>
      <c r="K231">
        <v>10.416666666666666</v>
      </c>
      <c r="L231">
        <v>10.416666666666666</v>
      </c>
      <c r="M231">
        <v>0</v>
      </c>
      <c r="N231">
        <v>10.416666666666666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999.18383328305447</v>
      </c>
      <c r="AO231">
        <v>170.43445681998907</v>
      </c>
      <c r="AP231">
        <v>1463.0232445467202</v>
      </c>
      <c r="AQ231">
        <v>356.49452667968274</v>
      </c>
      <c r="AR231">
        <v>164.89083838324959</v>
      </c>
      <c r="AS231">
        <v>1651.1729989691357</v>
      </c>
      <c r="AT231">
        <v>83.804694235041907</v>
      </c>
      <c r="AU231">
        <v>271.21715620543159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 t="str">
        <f>DE151</f>
        <v/>
      </c>
      <c r="DF231" s="205"/>
      <c r="DG231" s="205" t="e">
        <f t="shared" si="357"/>
        <v>#VALUE!</v>
      </c>
      <c r="DH231" s="205" t="e">
        <f t="shared" si="358"/>
        <v>#VALUE!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1">
        <v>226</v>
      </c>
      <c r="FZ231">
        <v>175.54049989897715</v>
      </c>
      <c r="GA231">
        <v>129.39190711256299</v>
      </c>
      <c r="GB231">
        <v>33.914189410603043</v>
      </c>
      <c r="GC231">
        <v>9.0800884253193708</v>
      </c>
      <c r="GD231">
        <v>2.6460186180607694</v>
      </c>
      <c r="GE231">
        <v>4.7815184588144195</v>
      </c>
      <c r="GF231">
        <v>37.351762357266736</v>
      </c>
      <c r="GG231">
        <v>46.798474136873409</v>
      </c>
      <c r="GH231">
        <v>24.810942534867539</v>
      </c>
      <c r="GI231">
        <v>87.539637740539519</v>
      </c>
      <c r="GJ231"/>
      <c r="GK231"/>
      <c r="GL231"/>
      <c r="GM231"/>
    </row>
    <row r="232" spans="1:195" s="7" customFormat="1">
      <c r="A232" s="77"/>
      <c r="B232">
        <v>0.4502619538110757</v>
      </c>
      <c r="C232">
        <v>2</v>
      </c>
      <c r="D232">
        <v>39646</v>
      </c>
      <c r="E232">
        <v>0</v>
      </c>
      <c r="F232">
        <v>0</v>
      </c>
      <c r="G232">
        <v>52.083333333333336</v>
      </c>
      <c r="H232">
        <v>145.83333333333334</v>
      </c>
      <c r="I232">
        <v>72.916666666666671</v>
      </c>
      <c r="J232">
        <v>62.5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1359.8495001274416</v>
      </c>
      <c r="AO232">
        <v>195.20320368108727</v>
      </c>
      <c r="AP232">
        <v>1690.0135177222066</v>
      </c>
      <c r="AQ232">
        <v>515.92619525180555</v>
      </c>
      <c r="AR232">
        <v>185.678034366568</v>
      </c>
      <c r="AS232">
        <v>1990.5569480500524</v>
      </c>
      <c r="AT232">
        <v>94.039716324634369</v>
      </c>
      <c r="AU232">
        <v>225.93739395485329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 t="e">
        <f t="shared" si="357"/>
        <v>#VALUE!</v>
      </c>
      <c r="DH232" s="205" t="e">
        <f t="shared" si="358"/>
        <v>#VALUE!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1">
        <v>227</v>
      </c>
      <c r="FZ232">
        <v>132.22664619545688</v>
      </c>
      <c r="GA232">
        <v>74.918415536523668</v>
      </c>
      <c r="GB232">
        <v>21.56946913116586</v>
      </c>
      <c r="GC232">
        <v>6.7679821475849558</v>
      </c>
      <c r="GD232">
        <v>3.5870860175759223</v>
      </c>
      <c r="GE232">
        <v>5.2203021415561439</v>
      </c>
      <c r="GF232">
        <v>31.330533814493659</v>
      </c>
      <c r="GG232">
        <v>42.864353097258409</v>
      </c>
      <c r="GH232">
        <v>34.215819687731098</v>
      </c>
      <c r="GI232">
        <v>79.458646316503859</v>
      </c>
      <c r="GJ232"/>
      <c r="GK232"/>
      <c r="GL232"/>
      <c r="GM232"/>
    </row>
    <row r="233" spans="1:195" s="7" customFormat="1">
      <c r="A233" s="77"/>
      <c r="B233">
        <v>0.42721257316898753</v>
      </c>
      <c r="C233">
        <v>1</v>
      </c>
      <c r="D233">
        <v>39646</v>
      </c>
      <c r="E233">
        <v>0</v>
      </c>
      <c r="F233">
        <v>20.833333333333332</v>
      </c>
      <c r="G233">
        <v>83.333333333333329</v>
      </c>
      <c r="H233">
        <v>177.08333333333334</v>
      </c>
      <c r="I233">
        <v>135.41666666666666</v>
      </c>
      <c r="J233">
        <v>135.41666666666666</v>
      </c>
      <c r="K233">
        <v>197.91666666666666</v>
      </c>
      <c r="L233">
        <v>72.916666666666671</v>
      </c>
      <c r="M233">
        <v>20.833333333333332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1317.9336780257627</v>
      </c>
      <c r="AO233">
        <v>182.26325272666855</v>
      </c>
      <c r="AP233">
        <v>1667.2111704500908</v>
      </c>
      <c r="AQ233">
        <v>646.84558993174801</v>
      </c>
      <c r="AR233">
        <v>175.12953056115862</v>
      </c>
      <c r="AS233">
        <v>1866.8235848197112</v>
      </c>
      <c r="AT233">
        <v>84.437521766994266</v>
      </c>
      <c r="AU233">
        <v>135.38218465077452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 t="e">
        <f t="shared" si="357"/>
        <v>#VALUE!</v>
      </c>
      <c r="DH233" s="205">
        <v>1.9826E-2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1">
        <v>228</v>
      </c>
      <c r="FZ233">
        <v>130.23582564519006</v>
      </c>
      <c r="GA233">
        <v>128.14170508567324</v>
      </c>
      <c r="GB233">
        <v>33.352320753669964</v>
      </c>
      <c r="GC233">
        <v>7.1134660486454466</v>
      </c>
      <c r="GD233">
        <v>3.3481656695251694</v>
      </c>
      <c r="GE233">
        <v>5.1690182223725891</v>
      </c>
      <c r="GF233">
        <v>17.67265946647089</v>
      </c>
      <c r="GG233">
        <v>21.659427155444721</v>
      </c>
      <c r="GH233">
        <v>24.285528873271993</v>
      </c>
      <c r="GI233">
        <v>70.672495105150773</v>
      </c>
      <c r="GJ233"/>
      <c r="GK233"/>
      <c r="GL233"/>
      <c r="GM233"/>
    </row>
    <row r="234" spans="1:195" s="7" customFormat="1">
      <c r="A234" s="77"/>
      <c r="B234">
        <v>7.3149134872811938E-2</v>
      </c>
      <c r="C234">
        <v>5</v>
      </c>
      <c r="D234">
        <v>39646</v>
      </c>
      <c r="E234">
        <v>0</v>
      </c>
      <c r="F234">
        <v>0</v>
      </c>
      <c r="G234">
        <v>0</v>
      </c>
      <c r="H234">
        <v>95.238095238095227</v>
      </c>
      <c r="I234">
        <v>952.38095238095241</v>
      </c>
      <c r="J234">
        <v>238.0952380952381</v>
      </c>
      <c r="K234">
        <v>0</v>
      </c>
      <c r="L234">
        <v>47.619047619047613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1067.2998934442062</v>
      </c>
      <c r="AO234">
        <v>141.36705946506203</v>
      </c>
      <c r="AP234">
        <v>1188.7776290507243</v>
      </c>
      <c r="AQ234">
        <v>441.68675440641221</v>
      </c>
      <c r="AR234">
        <v>136.37668639477846</v>
      </c>
      <c r="AS234">
        <v>1596.4675027838341</v>
      </c>
      <c r="AT234">
        <v>67.207197317974575</v>
      </c>
      <c r="AU234">
        <v>124.11124172040606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 t="e">
        <f t="shared" si="357"/>
        <v>#VALUE!</v>
      </c>
      <c r="DH234" s="205" t="e">
        <f t="shared" si="358"/>
        <v>#VALUE!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1">
        <v>229</v>
      </c>
      <c r="FZ234">
        <v>182.91808311937504</v>
      </c>
      <c r="GA234">
        <v>136.58517698576424</v>
      </c>
      <c r="GB234">
        <v>35.185878448262891</v>
      </c>
      <c r="GC234">
        <v>7.3240593990825671</v>
      </c>
      <c r="GD234">
        <v>3.2026826615434518</v>
      </c>
      <c r="GE234">
        <v>5.9444482578270135</v>
      </c>
      <c r="GF234">
        <v>47.427606333749381</v>
      </c>
      <c r="GG234">
        <v>59.033163553222089</v>
      </c>
      <c r="GH234">
        <v>20.186920155707469</v>
      </c>
      <c r="GI234">
        <v>86.6705228614573</v>
      </c>
      <c r="GJ234"/>
      <c r="GK234"/>
      <c r="GL234"/>
      <c r="GM234"/>
    </row>
    <row r="235" spans="1:195" s="7" customFormat="1">
      <c r="A235" s="77"/>
      <c r="B235">
        <v>0.10491067367093621</v>
      </c>
      <c r="C235">
        <v>10</v>
      </c>
      <c r="D235">
        <v>39646</v>
      </c>
      <c r="E235">
        <v>0</v>
      </c>
      <c r="F235">
        <v>20.833333333333332</v>
      </c>
      <c r="G235">
        <v>20.833333333333332</v>
      </c>
      <c r="H235">
        <v>83.333333333333329</v>
      </c>
      <c r="I235">
        <v>187.5</v>
      </c>
      <c r="J235">
        <v>31.25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1224.7599264707264</v>
      </c>
      <c r="AO235">
        <v>176.12091441995886</v>
      </c>
      <c r="AP235">
        <v>1393.7340785421525</v>
      </c>
      <c r="AQ235">
        <v>435.48698880268546</v>
      </c>
      <c r="AR235">
        <v>170.89266981449768</v>
      </c>
      <c r="AS235">
        <v>1837.8305953821234</v>
      </c>
      <c r="AT235">
        <v>82.275995979744337</v>
      </c>
      <c r="AU235">
        <v>219.04598828690348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1">
        <v>230</v>
      </c>
      <c r="FZ235">
        <v>135.1470207509594</v>
      </c>
      <c r="GA235">
        <v>95.58730455982581</v>
      </c>
      <c r="GB235">
        <v>28.699228345467887</v>
      </c>
      <c r="GC235">
        <v>9.5127566966379256</v>
      </c>
      <c r="GD235">
        <v>4.7581799083189935</v>
      </c>
      <c r="GE235">
        <v>7.7260067353544759</v>
      </c>
      <c r="GF235">
        <v>20.769964259999348</v>
      </c>
      <c r="GG235">
        <v>22.962529028308033</v>
      </c>
      <c r="GH235">
        <v>18.759977499194083</v>
      </c>
      <c r="GI235">
        <v>74.824886169862992</v>
      </c>
      <c r="GJ235"/>
      <c r="GK235"/>
      <c r="GL235"/>
      <c r="GM235"/>
    </row>
    <row r="236" spans="1:195" s="7" customFormat="1">
      <c r="A236" s="77"/>
      <c r="B236">
        <v>0.5680233861414179</v>
      </c>
      <c r="C236">
        <v>3</v>
      </c>
      <c r="D236">
        <v>39646</v>
      </c>
      <c r="E236">
        <v>0</v>
      </c>
      <c r="F236">
        <v>0</v>
      </c>
      <c r="G236">
        <v>10.416666666666666</v>
      </c>
      <c r="H236">
        <v>41.666666666666664</v>
      </c>
      <c r="I236">
        <v>72.916666666666671</v>
      </c>
      <c r="J236">
        <v>20.833333333333332</v>
      </c>
      <c r="K236">
        <v>10.416666666666666</v>
      </c>
      <c r="L236">
        <v>10.416666666666666</v>
      </c>
      <c r="M236">
        <v>0</v>
      </c>
      <c r="N236">
        <v>10.416666666666666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1172.5510653978504</v>
      </c>
      <c r="AO236">
        <v>180.40771865756261</v>
      </c>
      <c r="AP236">
        <v>1588.7396607162027</v>
      </c>
      <c r="AQ236">
        <v>491.05141263890727</v>
      </c>
      <c r="AR236">
        <v>174.17471261310865</v>
      </c>
      <c r="AS236">
        <v>1753.9385287980169</v>
      </c>
      <c r="AT236">
        <v>83.50898103030768</v>
      </c>
      <c r="AU236">
        <v>225.68574822658474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1">
        <v>231</v>
      </c>
      <c r="FZ236">
        <v>96.422886754886335</v>
      </c>
      <c r="GA236">
        <v>59.207228466516334</v>
      </c>
      <c r="GB236">
        <v>25.295546808194363</v>
      </c>
      <c r="GC236">
        <v>8.899986564068735</v>
      </c>
      <c r="GD236">
        <v>3.5967765245414176</v>
      </c>
      <c r="GE236">
        <v>5.3315104898183057</v>
      </c>
      <c r="GF236">
        <v>19.865118247345702</v>
      </c>
      <c r="GG236">
        <v>25.806573395882175</v>
      </c>
      <c r="GH236">
        <v>24.858325317081562</v>
      </c>
      <c r="GI236">
        <v>63.90690690591989</v>
      </c>
      <c r="GJ236"/>
      <c r="GK236"/>
      <c r="GL236"/>
      <c r="GM236"/>
    </row>
    <row r="237" spans="1:195" s="7" customFormat="1">
      <c r="A237" s="77"/>
      <c r="B237">
        <v>0.20913359510458607</v>
      </c>
      <c r="C237">
        <v>7</v>
      </c>
      <c r="D237">
        <v>39646</v>
      </c>
      <c r="E237">
        <v>0</v>
      </c>
      <c r="F237">
        <v>0</v>
      </c>
      <c r="G237">
        <v>20.833333333333332</v>
      </c>
      <c r="H237">
        <v>83.333333333333329</v>
      </c>
      <c r="I237">
        <v>166.66666666666666</v>
      </c>
      <c r="J237">
        <v>62.5</v>
      </c>
      <c r="K237">
        <v>20.833333333333332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1402.3109402830719</v>
      </c>
      <c r="AO237">
        <v>177.2271246696082</v>
      </c>
      <c r="AP237">
        <v>1536.2365123816908</v>
      </c>
      <c r="AQ237">
        <v>610.92147028952036</v>
      </c>
      <c r="AR237">
        <v>168.75382777703169</v>
      </c>
      <c r="AS237">
        <v>1885.0959865785076</v>
      </c>
      <c r="AT237">
        <v>82.633612662015707</v>
      </c>
      <c r="AU237">
        <v>97.758981954746474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1">
        <v>232</v>
      </c>
      <c r="FZ237">
        <v>177.45929680628299</v>
      </c>
      <c r="GA237">
        <v>120.69016242979863</v>
      </c>
      <c r="GB237">
        <v>29.277671158762089</v>
      </c>
      <c r="GC237">
        <v>7.2506324412007741</v>
      </c>
      <c r="GD237">
        <v>2.7170266888822256</v>
      </c>
      <c r="GE237">
        <v>3.9843520524771656</v>
      </c>
      <c r="GF237">
        <v>23.522698867922664</v>
      </c>
      <c r="GG237">
        <v>30.944573636758541</v>
      </c>
      <c r="GH237">
        <v>28.243686180595478</v>
      </c>
      <c r="GI237">
        <v>72.601462713601819</v>
      </c>
      <c r="GJ237"/>
      <c r="GK237"/>
      <c r="GL237"/>
      <c r="GM237"/>
    </row>
    <row r="238" spans="1:195" s="7" customFormat="1">
      <c r="A238" s="77"/>
      <c r="B238">
        <v>7.170878338241149E-3</v>
      </c>
      <c r="C238">
        <v>3</v>
      </c>
      <c r="D238">
        <v>39673</v>
      </c>
      <c r="E238">
        <v>0</v>
      </c>
      <c r="F238">
        <v>0</v>
      </c>
      <c r="G238">
        <v>142.97385620915031</v>
      </c>
      <c r="H238">
        <v>142.97385620915031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1124.6851372205206</v>
      </c>
      <c r="AO238">
        <v>138.99442022637399</v>
      </c>
      <c r="AP238">
        <v>1167.7710646987232</v>
      </c>
      <c r="AQ238">
        <v>454.33566537012604</v>
      </c>
      <c r="AR238">
        <v>134.07168149999188</v>
      </c>
      <c r="AS238">
        <v>1547.2651232136898</v>
      </c>
      <c r="AT238">
        <v>60.353155074962423</v>
      </c>
      <c r="AU238">
        <v>59.201357162817906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1">
        <v>233</v>
      </c>
      <c r="FZ238">
        <v>146.14155711635453</v>
      </c>
      <c r="GA238">
        <v>91.901417326194903</v>
      </c>
      <c r="GB238">
        <v>30.997704125604113</v>
      </c>
      <c r="GC238">
        <v>10.198659139406148</v>
      </c>
      <c r="GD238">
        <v>2.8862120766820376</v>
      </c>
      <c r="GE238">
        <v>4.2801064877057389</v>
      </c>
      <c r="GF238">
        <v>29.95953070666452</v>
      </c>
      <c r="GG238">
        <v>38.040787369501615</v>
      </c>
      <c r="GH238">
        <v>24.712636265749314</v>
      </c>
      <c r="GI238">
        <v>79.610405957222923</v>
      </c>
      <c r="GJ238"/>
      <c r="GK238"/>
      <c r="GL238"/>
      <c r="GM238"/>
    </row>
    <row r="239" spans="1:195" s="7" customFormat="1">
      <c r="A239" s="77" t="s">
        <v>61</v>
      </c>
      <c r="B239">
        <v>0.94649634251332992</v>
      </c>
      <c r="C239">
        <v>6</v>
      </c>
      <c r="D239">
        <v>39673</v>
      </c>
      <c r="E239">
        <v>0</v>
      </c>
      <c r="F239">
        <v>10.416666666666666</v>
      </c>
      <c r="G239">
        <v>52.083333333333336</v>
      </c>
      <c r="H239">
        <v>83.333333333333329</v>
      </c>
      <c r="I239">
        <v>41.666666666666664</v>
      </c>
      <c r="J239">
        <v>10.416666666666666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1329.832265371628</v>
      </c>
      <c r="AO239">
        <v>211.84820609101084</v>
      </c>
      <c r="AP239">
        <v>1779.1131327725593</v>
      </c>
      <c r="AQ239">
        <v>521.89684139317364</v>
      </c>
      <c r="AR239">
        <v>207.64265109743926</v>
      </c>
      <c r="AS239">
        <v>2045.7322660052128</v>
      </c>
      <c r="AT239">
        <v>100.75673608005684</v>
      </c>
      <c r="AU239">
        <v>251.05399003194728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FY239" s="211">
        <v>234</v>
      </c>
      <c r="FZ239">
        <v>125.63352840745526</v>
      </c>
      <c r="GA239">
        <v>38.88014240453645</v>
      </c>
      <c r="GB239">
        <v>25.243964716639617</v>
      </c>
      <c r="GC239">
        <v>9.2296662551540365</v>
      </c>
      <c r="GD239">
        <v>2.7810509330455693</v>
      </c>
      <c r="GE239">
        <v>5.0481607578015231</v>
      </c>
      <c r="GF239">
        <v>27.986055267367998</v>
      </c>
      <c r="GG239">
        <v>36.118988668690818</v>
      </c>
      <c r="GH239">
        <v>22.249066943695023</v>
      </c>
      <c r="GI239">
        <v>69.275661085696086</v>
      </c>
      <c r="GJ239"/>
      <c r="GK239"/>
      <c r="GL239"/>
      <c r="GM239"/>
    </row>
    <row r="240" spans="1:195" s="7" customFormat="1">
      <c r="A240" s="77" t="s">
        <v>62</v>
      </c>
      <c r="B240">
        <v>0.1657117729974491</v>
      </c>
      <c r="C240">
        <v>9</v>
      </c>
      <c r="D240">
        <v>39673</v>
      </c>
      <c r="E240">
        <v>0</v>
      </c>
      <c r="F240">
        <v>41.666666666666664</v>
      </c>
      <c r="G240">
        <v>270.83333333333331</v>
      </c>
      <c r="H240">
        <v>260.41666666666669</v>
      </c>
      <c r="I240">
        <v>104.16666666666667</v>
      </c>
      <c r="J240">
        <v>41.666666666666664</v>
      </c>
      <c r="K240">
        <v>0</v>
      </c>
      <c r="L240">
        <v>0</v>
      </c>
      <c r="M240">
        <v>10.416666666666666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1029.3920991474006</v>
      </c>
      <c r="AO240">
        <v>149.17494233299016</v>
      </c>
      <c r="AP240">
        <v>1230.7037424946616</v>
      </c>
      <c r="AQ240">
        <v>367.92927873228786</v>
      </c>
      <c r="AR240">
        <v>148.41491478569145</v>
      </c>
      <c r="AS240">
        <v>1582.7727649213577</v>
      </c>
      <c r="AT240">
        <v>68.413582315938982</v>
      </c>
      <c r="AU240">
        <v>183.1288508383771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FY240" s="211">
        <v>235</v>
      </c>
      <c r="FZ240">
        <v>124.30267633089755</v>
      </c>
      <c r="GA240">
        <v>116.12215061591037</v>
      </c>
      <c r="GB240">
        <v>36.308067265750537</v>
      </c>
      <c r="GC240">
        <v>9.1227842849604546</v>
      </c>
      <c r="GD240">
        <v>2.8554269176126357</v>
      </c>
      <c r="GE240">
        <v>5.9848371934431039</v>
      </c>
      <c r="GF240">
        <v>26.348135816868322</v>
      </c>
      <c r="GG240">
        <v>32.265856734060314</v>
      </c>
      <c r="GH240">
        <v>22.15638490466943</v>
      </c>
      <c r="GI240">
        <v>75.547849389547252</v>
      </c>
      <c r="GJ240"/>
      <c r="GK240"/>
      <c r="GL240"/>
      <c r="GM240"/>
    </row>
    <row r="241" spans="1:195" s="7" customFormat="1">
      <c r="A241" s="77"/>
      <c r="B241">
        <v>0.22095253112383073</v>
      </c>
      <c r="C241">
        <v>2</v>
      </c>
      <c r="D241">
        <v>39673</v>
      </c>
      <c r="E241">
        <v>62.5</v>
      </c>
      <c r="F241">
        <v>125</v>
      </c>
      <c r="G241">
        <v>187.5</v>
      </c>
      <c r="H241">
        <v>312.5</v>
      </c>
      <c r="I241">
        <v>125</v>
      </c>
      <c r="J241">
        <v>0</v>
      </c>
      <c r="K241">
        <v>83.333333333333329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1119.4535066244673</v>
      </c>
      <c r="AO241">
        <v>150.84725945428144</v>
      </c>
      <c r="AP241">
        <v>1207.451292500308</v>
      </c>
      <c r="AQ241">
        <v>364.42203347526817</v>
      </c>
      <c r="AR241">
        <v>146.53867515614883</v>
      </c>
      <c r="AS241">
        <v>1594.2133767284215</v>
      </c>
      <c r="AT241">
        <v>70.911428960515295</v>
      </c>
      <c r="AU241">
        <v>295.5305534247733</v>
      </c>
      <c r="AV241"/>
      <c r="AW241"/>
      <c r="FY241" s="211">
        <v>236</v>
      </c>
      <c r="FZ241">
        <v>220.26257371894312</v>
      </c>
      <c r="GA241">
        <v>100.66608530483357</v>
      </c>
      <c r="GB241">
        <v>14.489594561668392</v>
      </c>
      <c r="GC241">
        <v>7.6937657529251968</v>
      </c>
      <c r="GD241">
        <v>3.3755728009415975</v>
      </c>
      <c r="GE241">
        <v>5.2748023673479389</v>
      </c>
      <c r="GF241">
        <v>37.682381074747475</v>
      </c>
      <c r="GG241">
        <v>46.619410273732917</v>
      </c>
      <c r="GH241">
        <v>24.230673522055316</v>
      </c>
      <c r="GI241">
        <v>78.175056143222136</v>
      </c>
      <c r="GJ241"/>
      <c r="GK241"/>
      <c r="GL241"/>
      <c r="GM241"/>
    </row>
    <row r="242" spans="1:195" s="7" customFormat="1">
      <c r="A242" s="1"/>
      <c r="B242">
        <v>0.36533907584127556</v>
      </c>
      <c r="C242">
        <v>10</v>
      </c>
      <c r="D242">
        <v>39673</v>
      </c>
      <c r="E242">
        <v>0</v>
      </c>
      <c r="F242">
        <v>148.80952380952382</v>
      </c>
      <c r="G242">
        <v>781.54761904761904</v>
      </c>
      <c r="H242">
        <v>1841.964285714286</v>
      </c>
      <c r="I242">
        <v>688.98809523809518</v>
      </c>
      <c r="J242">
        <v>335.11904761904759</v>
      </c>
      <c r="K242">
        <v>18.75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1303.8158552181874</v>
      </c>
      <c r="AO242">
        <v>177.08866580178295</v>
      </c>
      <c r="AP242">
        <v>1426.9043208330954</v>
      </c>
      <c r="AQ242">
        <v>551.85503869388504</v>
      </c>
      <c r="AR242">
        <v>171.3255179875629</v>
      </c>
      <c r="AS242">
        <v>1886.4260109852444</v>
      </c>
      <c r="AT242">
        <v>83.308224637219155</v>
      </c>
      <c r="AU242">
        <v>93.202454669338664</v>
      </c>
      <c r="AV242"/>
      <c r="AW242"/>
      <c r="BI242" s="162"/>
      <c r="FY242" s="211">
        <v>237</v>
      </c>
      <c r="FZ242">
        <v>160.35737941740993</v>
      </c>
      <c r="GA242">
        <v>148.21440346315794</v>
      </c>
      <c r="GB242">
        <v>42.452481872682618</v>
      </c>
      <c r="GC242">
        <v>10.313621470286131</v>
      </c>
      <c r="GD242">
        <v>4.0083865998977304</v>
      </c>
      <c r="GE242">
        <v>5.1638626267132794</v>
      </c>
      <c r="GF242">
        <v>17.343034893643129</v>
      </c>
      <c r="GG242">
        <v>22.967646378847583</v>
      </c>
      <c r="GH242">
        <v>15.087502006207435</v>
      </c>
      <c r="GI242">
        <v>74.589915131875216</v>
      </c>
      <c r="GJ242"/>
      <c r="GK242"/>
      <c r="GL242"/>
      <c r="GM242"/>
    </row>
    <row r="243" spans="1:195" s="7" customFormat="1">
      <c r="A243" s="1"/>
      <c r="B243">
        <v>0.99501403273570832</v>
      </c>
      <c r="C243">
        <v>2</v>
      </c>
      <c r="D243">
        <v>39673</v>
      </c>
      <c r="E243">
        <v>62.5</v>
      </c>
      <c r="F243">
        <v>125</v>
      </c>
      <c r="G243">
        <v>187.5</v>
      </c>
      <c r="H243">
        <v>312.5</v>
      </c>
      <c r="I243">
        <v>125</v>
      </c>
      <c r="J243">
        <v>0</v>
      </c>
      <c r="K243">
        <v>83.333333333333329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1139.6851666094976</v>
      </c>
      <c r="AO243">
        <v>184.6459527184671</v>
      </c>
      <c r="AP243">
        <v>1594.3748767411478</v>
      </c>
      <c r="AQ243">
        <v>432.15925408585042</v>
      </c>
      <c r="AR243">
        <v>184.10403782668047</v>
      </c>
      <c r="AS243">
        <v>1968.9337727026332</v>
      </c>
      <c r="AT243">
        <v>92.247843204827674</v>
      </c>
      <c r="AU243">
        <v>335.71229147334452</v>
      </c>
      <c r="AV243"/>
      <c r="AW243"/>
      <c r="FY243" s="211">
        <v>238</v>
      </c>
      <c r="FZ243">
        <v>114.20360202853898</v>
      </c>
      <c r="GA243">
        <v>120.79998547583384</v>
      </c>
      <c r="GB243">
        <v>37.796637133993315</v>
      </c>
      <c r="GC243">
        <v>6.9240659975576762</v>
      </c>
      <c r="GD243">
        <v>2.7156849627361535</v>
      </c>
      <c r="GE243">
        <v>4.9494747018062375</v>
      </c>
      <c r="GF243">
        <v>29.154996445586839</v>
      </c>
      <c r="GG243">
        <v>39.459779922477352</v>
      </c>
      <c r="GH243">
        <v>25.152176906757685</v>
      </c>
      <c r="GI243">
        <v>73.892866791060598</v>
      </c>
      <c r="GJ243"/>
      <c r="GK243"/>
      <c r="GL243"/>
      <c r="GM243"/>
    </row>
    <row r="244" spans="1:195" s="7" customFormat="1">
      <c r="A244" s="1"/>
      <c r="B244">
        <v>0.18714314050304104</v>
      </c>
      <c r="C244">
        <v>1</v>
      </c>
      <c r="D244">
        <v>39673</v>
      </c>
      <c r="E244">
        <v>0</v>
      </c>
      <c r="F244">
        <v>0</v>
      </c>
      <c r="G244">
        <v>52.083333333333336</v>
      </c>
      <c r="H244">
        <v>20.833333333333332</v>
      </c>
      <c r="I244">
        <v>72.916666666666671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1023.0773943444183</v>
      </c>
      <c r="AO244">
        <v>154.22244397201717</v>
      </c>
      <c r="AP244">
        <v>1349.0686616183878</v>
      </c>
      <c r="AQ244">
        <v>441.65061202541483</v>
      </c>
      <c r="AR244">
        <v>150.7342971896428</v>
      </c>
      <c r="AS244">
        <v>1686.4468363867761</v>
      </c>
      <c r="AT244">
        <v>77.917277674831752</v>
      </c>
      <c r="AU244">
        <v>153.27648107640942</v>
      </c>
      <c r="AV244"/>
      <c r="AW244"/>
      <c r="FY244" s="211">
        <v>239</v>
      </c>
      <c r="FZ244">
        <v>178.40683163600789</v>
      </c>
      <c r="GA244">
        <v>110.04207660859234</v>
      </c>
      <c r="GB244">
        <v>25.538735308514912</v>
      </c>
      <c r="GC244">
        <v>7.1422663895136633</v>
      </c>
      <c r="GD244">
        <v>3.5872072062265756</v>
      </c>
      <c r="GE244">
        <v>9.2023881638799132</v>
      </c>
      <c r="GF244">
        <v>41.179947857823336</v>
      </c>
      <c r="GG244">
        <v>49.186701386036312</v>
      </c>
      <c r="GH244">
        <v>31.803414778827062</v>
      </c>
      <c r="GI244">
        <v>88.060847901691275</v>
      </c>
      <c r="GJ244"/>
      <c r="GK244"/>
      <c r="GL244"/>
      <c r="GM244"/>
    </row>
    <row r="245" spans="1:195" s="7" customFormat="1">
      <c r="A245" s="1"/>
      <c r="B245">
        <v>9.7599494873574555E-2</v>
      </c>
      <c r="C245">
        <v>9</v>
      </c>
      <c r="D245">
        <v>39673</v>
      </c>
      <c r="E245">
        <v>0</v>
      </c>
      <c r="F245">
        <v>41.666666666666664</v>
      </c>
      <c r="G245">
        <v>270.83333333333331</v>
      </c>
      <c r="H245">
        <v>260.41666666666669</v>
      </c>
      <c r="I245">
        <v>104.16666666666667</v>
      </c>
      <c r="J245">
        <v>41.666666666666664</v>
      </c>
      <c r="K245">
        <v>0</v>
      </c>
      <c r="L245">
        <v>0</v>
      </c>
      <c r="M245">
        <v>10.416666666666666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1389.2447230754726</v>
      </c>
      <c r="AO245">
        <v>184.4424019283743</v>
      </c>
      <c r="AP245">
        <v>1648.4495495719771</v>
      </c>
      <c r="AQ245">
        <v>584.4785417759914</v>
      </c>
      <c r="AR245">
        <v>183.3326566021405</v>
      </c>
      <c r="AS245">
        <v>1992.9789637834131</v>
      </c>
      <c r="AT245">
        <v>88.123801452928532</v>
      </c>
      <c r="AU245">
        <v>411.29652126407882</v>
      </c>
      <c r="AV245"/>
      <c r="AW245"/>
      <c r="FY245" s="211">
        <v>240</v>
      </c>
      <c r="FZ245">
        <v>124.74032777683193</v>
      </c>
      <c r="GA245">
        <v>75.709295344376415</v>
      </c>
      <c r="GB245">
        <v>29.741241981021247</v>
      </c>
      <c r="GC245">
        <v>8.6575618047929765</v>
      </c>
      <c r="GD245">
        <v>3.3140298806965331</v>
      </c>
      <c r="GE245">
        <v>5.1655217699465119</v>
      </c>
      <c r="GF245">
        <v>58.051318287998825</v>
      </c>
      <c r="GG245">
        <v>72.020185712267036</v>
      </c>
      <c r="GH245">
        <v>32.021051581376327</v>
      </c>
      <c r="GI245">
        <v>84.445515310448968</v>
      </c>
      <c r="GJ245"/>
      <c r="GK245"/>
      <c r="GL245"/>
      <c r="GM245"/>
    </row>
    <row r="246" spans="1:195" s="7" customFormat="1">
      <c r="A246" s="1"/>
      <c r="B246">
        <v>0.13947255612211484</v>
      </c>
      <c r="C246">
        <v>4</v>
      </c>
      <c r="D246">
        <v>39673</v>
      </c>
      <c r="E246">
        <v>0</v>
      </c>
      <c r="F246">
        <v>147.91666666666666</v>
      </c>
      <c r="G246">
        <v>147.91666666666666</v>
      </c>
      <c r="H246">
        <v>10.416666666666666</v>
      </c>
      <c r="I246">
        <v>10.416666666666666</v>
      </c>
      <c r="J246">
        <v>0</v>
      </c>
      <c r="K246">
        <v>73.958333333333329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1072.1366616264781</v>
      </c>
      <c r="AO246">
        <v>148.21486942153982</v>
      </c>
      <c r="AP246">
        <v>1170.1006087218018</v>
      </c>
      <c r="AQ246">
        <v>418.74785395392894</v>
      </c>
      <c r="AR246">
        <v>148.44002327857436</v>
      </c>
      <c r="AS246">
        <v>1564.1816888334461</v>
      </c>
      <c r="AT246">
        <v>74.107976521941467</v>
      </c>
      <c r="AU246">
        <v>135.74663575618226</v>
      </c>
      <c r="AV246"/>
      <c r="AW246"/>
      <c r="FY246" s="211">
        <v>241</v>
      </c>
      <c r="FZ246">
        <v>109.76012811304105</v>
      </c>
      <c r="GA246">
        <v>112.21804829540534</v>
      </c>
      <c r="GB246">
        <v>40.769121822040738</v>
      </c>
      <c r="GC246">
        <v>8.5959692187086016</v>
      </c>
      <c r="GD246">
        <v>4.0939801217485519</v>
      </c>
      <c r="GE246">
        <v>9.0702184092065181</v>
      </c>
      <c r="GF246">
        <v>32.909742639277553</v>
      </c>
      <c r="GG246">
        <v>43.506791672077114</v>
      </c>
      <c r="GH246">
        <v>22.853093070188351</v>
      </c>
      <c r="GI246">
        <v>84.201029430622455</v>
      </c>
      <c r="GJ246"/>
      <c r="GK246"/>
      <c r="GL246"/>
      <c r="GM246"/>
    </row>
    <row r="247" spans="1:195" s="7" customFormat="1">
      <c r="A247" s="77" t="s">
        <v>61</v>
      </c>
      <c r="B247">
        <v>0.66935425758924727</v>
      </c>
      <c r="C247">
        <v>1</v>
      </c>
      <c r="D247">
        <v>39673</v>
      </c>
      <c r="E247">
        <v>0</v>
      </c>
      <c r="F247">
        <v>0</v>
      </c>
      <c r="G247">
        <v>52.083333333333336</v>
      </c>
      <c r="H247">
        <v>20.833333333333332</v>
      </c>
      <c r="I247">
        <v>72.916666666666671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963.79580919696559</v>
      </c>
      <c r="AO247">
        <v>159.7287993140958</v>
      </c>
      <c r="AP247">
        <v>1370.6613047569952</v>
      </c>
      <c r="AQ247">
        <v>333.19085947425475</v>
      </c>
      <c r="AR247">
        <v>153.71798065502756</v>
      </c>
      <c r="AS247">
        <v>1550.2327984507249</v>
      </c>
      <c r="AT247">
        <v>76.341040327819158</v>
      </c>
      <c r="AU247">
        <v>114.87723411243789</v>
      </c>
      <c r="AV247"/>
      <c r="AW247"/>
      <c r="FY247" s="211">
        <v>242</v>
      </c>
      <c r="FZ247">
        <v>153.72653739558706</v>
      </c>
      <c r="GA247">
        <v>94.350512375554388</v>
      </c>
      <c r="GB247">
        <v>26.238242409632235</v>
      </c>
      <c r="GC247">
        <v>9.5419865839127898</v>
      </c>
      <c r="GD247">
        <v>4.0523113807846558</v>
      </c>
      <c r="GE247">
        <v>4.0453752837990082</v>
      </c>
      <c r="GF247">
        <v>18.802291163084949</v>
      </c>
      <c r="GG247">
        <v>25.299761198200148</v>
      </c>
      <c r="GH247">
        <v>19.884350044743133</v>
      </c>
      <c r="GI247">
        <v>75.273775458215781</v>
      </c>
      <c r="GJ247"/>
      <c r="GK247"/>
      <c r="GL247"/>
      <c r="GM247"/>
    </row>
    <row r="248" spans="1:195" s="7" customFormat="1">
      <c r="A248" s="77" t="s">
        <v>62</v>
      </c>
      <c r="B248">
        <v>0.44063178236140765</v>
      </c>
      <c r="C248">
        <v>2</v>
      </c>
      <c r="D248">
        <v>39714</v>
      </c>
      <c r="E248">
        <v>0</v>
      </c>
      <c r="F248">
        <v>0</v>
      </c>
      <c r="G248">
        <v>10.416666666666666</v>
      </c>
      <c r="H248">
        <v>10.416666666666666</v>
      </c>
      <c r="I248">
        <v>187.5</v>
      </c>
      <c r="J248">
        <v>72.916666666666671</v>
      </c>
      <c r="K248">
        <v>41.666666666666664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1049.3312726414704</v>
      </c>
      <c r="AO248">
        <v>159.48059731190094</v>
      </c>
      <c r="AP248">
        <v>1398.7840005851131</v>
      </c>
      <c r="AQ248">
        <v>496.6915629762824</v>
      </c>
      <c r="AR248">
        <v>157.50453412004438</v>
      </c>
      <c r="AS248">
        <v>1691.9181700837398</v>
      </c>
      <c r="AT248">
        <v>80.814795983579543</v>
      </c>
      <c r="AU248">
        <v>167.01661590769328</v>
      </c>
      <c r="AV248"/>
      <c r="AW248"/>
      <c r="FY248" s="211">
        <v>243</v>
      </c>
      <c r="FZ248">
        <v>105.11567428013565</v>
      </c>
      <c r="GA248">
        <v>93.911172309081337</v>
      </c>
      <c r="GB248">
        <v>23.036846046335032</v>
      </c>
      <c r="GC248">
        <v>7.5514424448393189</v>
      </c>
      <c r="GD248">
        <v>2.8507038281047503</v>
      </c>
      <c r="GE248">
        <v>3.6640805577823903</v>
      </c>
      <c r="GF248">
        <v>28.191681296328202</v>
      </c>
      <c r="GG248">
        <v>37.005291681729133</v>
      </c>
      <c r="GH248">
        <v>33.055817986852773</v>
      </c>
      <c r="GI248">
        <v>75.800775263131925</v>
      </c>
      <c r="GJ248"/>
      <c r="GK248"/>
      <c r="GL248"/>
      <c r="GM248"/>
    </row>
    <row r="249" spans="1:195" s="7" customFormat="1">
      <c r="A249" s="1"/>
      <c r="B249">
        <v>0.54376841955964306</v>
      </c>
      <c r="C249">
        <v>6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41.666666666666664</v>
      </c>
      <c r="J249">
        <v>31.25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1183.8980302085115</v>
      </c>
      <c r="AO249">
        <v>167.2051356120717</v>
      </c>
      <c r="AP249">
        <v>1367.8125938854314</v>
      </c>
      <c r="AQ249">
        <v>458.72901657108594</v>
      </c>
      <c r="AR249">
        <v>164.549676753542</v>
      </c>
      <c r="AS249">
        <v>1679.4368656697616</v>
      </c>
      <c r="AT249">
        <v>78.198484406473526</v>
      </c>
      <c r="AU249">
        <v>125.19965082243465</v>
      </c>
      <c r="AV249"/>
      <c r="AW249"/>
      <c r="FY249" s="211">
        <v>244</v>
      </c>
      <c r="FZ249">
        <v>90.547632210435324</v>
      </c>
      <c r="GA249">
        <v>75.020853106063527</v>
      </c>
      <c r="GB249">
        <v>29.148743020357877</v>
      </c>
      <c r="GC249">
        <v>9.7500134016992916</v>
      </c>
      <c r="GD249">
        <v>4.9842697662875963</v>
      </c>
      <c r="GE249">
        <v>7.8447000092529722</v>
      </c>
      <c r="GF249">
        <v>16.047151252613752</v>
      </c>
      <c r="GG249">
        <v>19.031242840596292</v>
      </c>
      <c r="GH249">
        <v>22.298094153845604</v>
      </c>
      <c r="GI249">
        <v>61.419769343459386</v>
      </c>
      <c r="GJ249"/>
      <c r="GK249"/>
      <c r="GL249"/>
      <c r="GM249"/>
    </row>
    <row r="250" spans="1:195" s="7" customFormat="1">
      <c r="A250" s="1"/>
      <c r="B250">
        <v>0.99780462063483744</v>
      </c>
      <c r="C250">
        <v>1</v>
      </c>
      <c r="D250">
        <v>39714</v>
      </c>
      <c r="E250">
        <v>195.3125</v>
      </c>
      <c r="F250">
        <v>976.5625</v>
      </c>
      <c r="G250">
        <v>531.25</v>
      </c>
      <c r="H250">
        <v>65.104166666666671</v>
      </c>
      <c r="I250">
        <v>31.25</v>
      </c>
      <c r="J250">
        <v>41.666666666666664</v>
      </c>
      <c r="K250">
        <v>10.416666666666666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998.97040728631998</v>
      </c>
      <c r="AO250">
        <v>138.16728597568832</v>
      </c>
      <c r="AP250">
        <v>1071.8044159104425</v>
      </c>
      <c r="AQ250">
        <v>362.44628544008236</v>
      </c>
      <c r="AR250">
        <v>139.7173029314956</v>
      </c>
      <c r="AS250">
        <v>1601.5077141808524</v>
      </c>
      <c r="AT250">
        <v>70.533395063268372</v>
      </c>
      <c r="AU250">
        <v>274.76239953387</v>
      </c>
      <c r="AV250"/>
      <c r="AW250"/>
      <c r="FY250" s="211">
        <v>245</v>
      </c>
      <c r="FZ250">
        <v>131.11858518359946</v>
      </c>
      <c r="GA250">
        <v>122.25397447631993</v>
      </c>
      <c r="GB250">
        <v>31.596575662404749</v>
      </c>
      <c r="GC250">
        <v>10.53948217863703</v>
      </c>
      <c r="GD250">
        <v>4.6710818982893105</v>
      </c>
      <c r="GE250">
        <v>8.6789044326120859</v>
      </c>
      <c r="GF250">
        <v>28.251173062365439</v>
      </c>
      <c r="GG250">
        <v>33.073639219882416</v>
      </c>
      <c r="GH250">
        <v>22.47003962253978</v>
      </c>
      <c r="GI250">
        <v>80.230860492651303</v>
      </c>
      <c r="GJ250"/>
      <c r="GK250"/>
      <c r="GL250"/>
      <c r="GM250"/>
    </row>
    <row r="251" spans="1:195" s="7" customFormat="1">
      <c r="A251" s="1"/>
      <c r="B251">
        <v>0.89817783969503506</v>
      </c>
      <c r="C251">
        <v>3</v>
      </c>
      <c r="D251">
        <v>39714</v>
      </c>
      <c r="E251">
        <v>205.72916666666666</v>
      </c>
      <c r="F251">
        <v>585.9375</v>
      </c>
      <c r="G251">
        <v>519.53125</v>
      </c>
      <c r="H251">
        <v>397.13541666666669</v>
      </c>
      <c r="I251">
        <v>135.41666666666666</v>
      </c>
      <c r="J251">
        <v>72.916666666666671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1144.2768035097331</v>
      </c>
      <c r="AO251">
        <v>171.1091521537914</v>
      </c>
      <c r="AP251">
        <v>1366.9484275340296</v>
      </c>
      <c r="AQ251">
        <v>451.01416945372</v>
      </c>
      <c r="AR251">
        <v>163.14013310595536</v>
      </c>
      <c r="AS251">
        <v>1675.5219133236021</v>
      </c>
      <c r="AT251">
        <v>78.968242459256658</v>
      </c>
      <c r="AU251">
        <v>185.76458516769574</v>
      </c>
      <c r="AV251"/>
      <c r="AW251"/>
      <c r="FY251" s="211">
        <v>246</v>
      </c>
      <c r="FZ251">
        <v>206.90306703479396</v>
      </c>
      <c r="GA251">
        <v>195.07850978907823</v>
      </c>
      <c r="GB251">
        <v>42.973219755924838</v>
      </c>
      <c r="GC251">
        <v>8.8894279560470402</v>
      </c>
      <c r="GD251">
        <v>3.413929202242679</v>
      </c>
      <c r="GE251">
        <v>6.0037723509863969</v>
      </c>
      <c r="GF251">
        <v>33.69855167245791</v>
      </c>
      <c r="GG251">
        <v>39.181119178755736</v>
      </c>
      <c r="GH251">
        <v>27.993297997389263</v>
      </c>
      <c r="GI251">
        <v>96.846112430591603</v>
      </c>
      <c r="GJ251"/>
      <c r="GK251"/>
      <c r="GL251"/>
      <c r="GM251"/>
    </row>
    <row r="252" spans="1:195" s="7" customFormat="1">
      <c r="A252" s="1"/>
      <c r="B252">
        <v>0.8061727596569177</v>
      </c>
      <c r="C252">
        <v>10</v>
      </c>
      <c r="D252">
        <v>39714</v>
      </c>
      <c r="E252">
        <v>178.57142857142856</v>
      </c>
      <c r="F252">
        <v>892.85714285714278</v>
      </c>
      <c r="G252">
        <v>892.85714285714278</v>
      </c>
      <c r="H252">
        <v>907.73809523809518</v>
      </c>
      <c r="I252">
        <v>172.61904761904759</v>
      </c>
      <c r="J252">
        <v>52.083333333333336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1144.6979151203968</v>
      </c>
      <c r="AO252">
        <v>184.53189206701768</v>
      </c>
      <c r="AP252">
        <v>1591.6671429699468</v>
      </c>
      <c r="AQ252">
        <v>538.46991552041766</v>
      </c>
      <c r="AR252">
        <v>184.43750005051908</v>
      </c>
      <c r="AS252">
        <v>1807.3361954577254</v>
      </c>
      <c r="AT252">
        <v>91.692304894094846</v>
      </c>
      <c r="AU252">
        <v>244.25108685858351</v>
      </c>
      <c r="AV252"/>
      <c r="AW252"/>
      <c r="FY252" s="211">
        <v>247</v>
      </c>
      <c r="FZ252">
        <v>142.85099879302743</v>
      </c>
      <c r="GA252">
        <v>131.29257399296398</v>
      </c>
      <c r="GB252">
        <v>35.117137157898007</v>
      </c>
      <c r="GC252">
        <v>6.154752495893117</v>
      </c>
      <c r="GD252">
        <v>2.703116370766022</v>
      </c>
      <c r="GE252">
        <v>6.1396617228295618</v>
      </c>
      <c r="GF252">
        <v>31.780216641633778</v>
      </c>
      <c r="GG252">
        <v>39.650020511082253</v>
      </c>
      <c r="GH252">
        <v>27.491038008667033</v>
      </c>
      <c r="GI252">
        <v>78.158925675591973</v>
      </c>
      <c r="GJ252"/>
      <c r="GK252"/>
      <c r="GL252"/>
      <c r="GM252"/>
    </row>
    <row r="253" spans="1:195" s="7" customFormat="1">
      <c r="A253" s="1"/>
      <c r="B253">
        <v>0.24778664897174885</v>
      </c>
      <c r="C253">
        <v>7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1123.7792218639875</v>
      </c>
      <c r="AO253">
        <v>145.66651037353722</v>
      </c>
      <c r="AP253">
        <v>1185.2788146949997</v>
      </c>
      <c r="AQ253">
        <v>500.49823386072097</v>
      </c>
      <c r="AR253">
        <v>143.42637994531077</v>
      </c>
      <c r="AS253">
        <v>1559.3949889747485</v>
      </c>
      <c r="AT253">
        <v>68.977762786769901</v>
      </c>
      <c r="AU253">
        <v>30.956473787198632</v>
      </c>
      <c r="AV253"/>
      <c r="AW253"/>
      <c r="FY253" s="211">
        <v>248</v>
      </c>
      <c r="FZ253">
        <v>160.50053635840192</v>
      </c>
      <c r="GA253">
        <v>106.47516220071401</v>
      </c>
      <c r="GB253">
        <v>21.980600813474229</v>
      </c>
      <c r="GC253">
        <v>8.459246856293527</v>
      </c>
      <c r="GD253">
        <v>4.097311022703872</v>
      </c>
      <c r="GE253">
        <v>6.1983511055295502</v>
      </c>
      <c r="GF253">
        <v>24.049942635799439</v>
      </c>
      <c r="GG253">
        <v>29.17855494346917</v>
      </c>
      <c r="GH253">
        <v>24.020627398049424</v>
      </c>
      <c r="GI253">
        <v>77.096747688262084</v>
      </c>
      <c r="GJ253"/>
      <c r="GK253"/>
      <c r="GL253"/>
      <c r="GM253"/>
    </row>
    <row r="254" spans="1:195" s="7" customFormat="1">
      <c r="A254" s="1"/>
      <c r="B254">
        <v>0.29837224931881812</v>
      </c>
      <c r="C254">
        <v>10</v>
      </c>
      <c r="D254">
        <v>39714</v>
      </c>
      <c r="E254">
        <v>178.57142857142856</v>
      </c>
      <c r="F254">
        <v>892.85714285714278</v>
      </c>
      <c r="G254">
        <v>892.85714285714278</v>
      </c>
      <c r="H254">
        <v>907.73809523809518</v>
      </c>
      <c r="I254">
        <v>172.61904761904759</v>
      </c>
      <c r="J254">
        <v>52.083333333333336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1122.3392236012678</v>
      </c>
      <c r="AO254">
        <v>160.81004743412183</v>
      </c>
      <c r="AP254">
        <v>1404.7566201321083</v>
      </c>
      <c r="AQ254">
        <v>455.04927036634871</v>
      </c>
      <c r="AR254">
        <v>154.39943173456581</v>
      </c>
      <c r="AS254">
        <v>1776.9063002803557</v>
      </c>
      <c r="AT254">
        <v>75.260235015828712</v>
      </c>
      <c r="AU254">
        <v>184.22628563615169</v>
      </c>
      <c r="AV254"/>
      <c r="AW254"/>
      <c r="FY254" s="211">
        <v>249</v>
      </c>
      <c r="FZ254">
        <v>147.47882202889423</v>
      </c>
      <c r="GA254">
        <v>135.23332828508009</v>
      </c>
      <c r="GB254">
        <v>42.224319850068525</v>
      </c>
      <c r="GC254">
        <v>9.0039026739550696</v>
      </c>
      <c r="GD254">
        <v>4.0989284384673228</v>
      </c>
      <c r="GE254">
        <v>6.9212377817258872</v>
      </c>
      <c r="GF254">
        <v>24.020056615947766</v>
      </c>
      <c r="GG254">
        <v>29.689355475188247</v>
      </c>
      <c r="GH254">
        <v>18.476152678918428</v>
      </c>
      <c r="GI254">
        <v>79.409521884464937</v>
      </c>
      <c r="GJ254"/>
      <c r="GK254"/>
      <c r="GL254"/>
      <c r="GM254"/>
    </row>
    <row r="255" spans="1:195" s="7" customFormat="1">
      <c r="A255" s="1"/>
      <c r="B255">
        <v>0.82011858192781872</v>
      </c>
      <c r="C255">
        <v>1</v>
      </c>
      <c r="D255">
        <v>39714</v>
      </c>
      <c r="E255">
        <v>195.3125</v>
      </c>
      <c r="F255">
        <v>976.5625</v>
      </c>
      <c r="G255">
        <v>531.25</v>
      </c>
      <c r="H255">
        <v>65.104166666666671</v>
      </c>
      <c r="I255">
        <v>31.25</v>
      </c>
      <c r="J255">
        <v>41.666666666666664</v>
      </c>
      <c r="K255">
        <v>10.416666666666666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1305.7083335139102</v>
      </c>
      <c r="AO255">
        <v>199.35953335096514</v>
      </c>
      <c r="AP255">
        <v>1730.402105937088</v>
      </c>
      <c r="AQ255">
        <v>544.15041723711329</v>
      </c>
      <c r="AR255">
        <v>193.60902521281105</v>
      </c>
      <c r="AS255">
        <v>2067.2272254310683</v>
      </c>
      <c r="AT255">
        <v>94.129016139988764</v>
      </c>
      <c r="AU255">
        <v>293.06639437821161</v>
      </c>
      <c r="AV255"/>
      <c r="AW255"/>
      <c r="FY255" s="211">
        <v>250</v>
      </c>
      <c r="FZ255">
        <v>167.16146938230514</v>
      </c>
      <c r="GA255">
        <v>160.26792452155388</v>
      </c>
      <c r="GB255">
        <v>35.745341404354456</v>
      </c>
      <c r="GC255">
        <v>7.1814061844582913</v>
      </c>
      <c r="GD255">
        <v>2.8329242663961112</v>
      </c>
      <c r="GE255">
        <v>5.4494853063205007</v>
      </c>
      <c r="GF255">
        <v>17.850962388379184</v>
      </c>
      <c r="GG255">
        <v>20.531686273296287</v>
      </c>
      <c r="GH255">
        <v>28.841892675942429</v>
      </c>
      <c r="GI255">
        <v>74.511116815995578</v>
      </c>
      <c r="GJ255"/>
      <c r="GK255"/>
      <c r="GL255"/>
      <c r="GM255"/>
    </row>
    <row r="256" spans="1:195" s="7" customFormat="1">
      <c r="A256" s="1"/>
      <c r="B256">
        <v>0.52485347919791381</v>
      </c>
      <c r="C256">
        <v>8</v>
      </c>
      <c r="D256">
        <v>39714</v>
      </c>
      <c r="E256">
        <v>0</v>
      </c>
      <c r="F256">
        <v>0</v>
      </c>
      <c r="G256">
        <v>0</v>
      </c>
      <c r="H256">
        <v>72.916666666666671</v>
      </c>
      <c r="I256">
        <v>322.91666666666669</v>
      </c>
      <c r="J256">
        <v>166.66666666666666</v>
      </c>
      <c r="K256">
        <v>10.416666666666666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10.416666666666666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1395.7120466110821</v>
      </c>
      <c r="AO256">
        <v>181.71593675864639</v>
      </c>
      <c r="AP256">
        <v>1600.5660286090558</v>
      </c>
      <c r="AQ256">
        <v>493.8660494497567</v>
      </c>
      <c r="AR256">
        <v>179.89390834229386</v>
      </c>
      <c r="AS256">
        <v>1929.3166568526815</v>
      </c>
      <c r="AT256">
        <v>85.83970365401926</v>
      </c>
      <c r="AU256">
        <v>498.65395185104057</v>
      </c>
      <c r="AV256"/>
      <c r="AW256"/>
      <c r="FY256" s="211">
        <v>251</v>
      </c>
      <c r="FZ256">
        <v>164.99803654835054</v>
      </c>
      <c r="GA256">
        <v>84.0097884005868</v>
      </c>
      <c r="GB256">
        <v>24.88419555637088</v>
      </c>
      <c r="GC256">
        <v>9.5797821681497197</v>
      </c>
      <c r="GD256">
        <v>4.9868238084488663</v>
      </c>
      <c r="GE256">
        <v>8.4324142223412064</v>
      </c>
      <c r="GF256">
        <v>13.21785224361814</v>
      </c>
      <c r="GG256">
        <v>16.299589207641425</v>
      </c>
      <c r="GH256">
        <v>26.512625740665101</v>
      </c>
      <c r="GI256">
        <v>82.147935432524406</v>
      </c>
      <c r="GJ256"/>
      <c r="GK256"/>
      <c r="GL256"/>
      <c r="GM256"/>
    </row>
    <row r="257" spans="1:195" s="7" customFormat="1">
      <c r="A257" s="1"/>
      <c r="B257">
        <v>6.145040496869747E-2</v>
      </c>
      <c r="C257">
        <v>10</v>
      </c>
      <c r="D257">
        <v>39714</v>
      </c>
      <c r="E257">
        <v>178.57142857142856</v>
      </c>
      <c r="F257">
        <v>892.85714285714278</v>
      </c>
      <c r="G257">
        <v>892.85714285714278</v>
      </c>
      <c r="H257">
        <v>907.73809523809518</v>
      </c>
      <c r="I257">
        <v>172.61904761904759</v>
      </c>
      <c r="J257">
        <v>52.083333333333336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1273.0721284555932</v>
      </c>
      <c r="AO257">
        <v>176.3091483456991</v>
      </c>
      <c r="AP257">
        <v>1462.8320972977256</v>
      </c>
      <c r="AQ257">
        <v>467.97812279231624</v>
      </c>
      <c r="AR257">
        <v>167.76503362987432</v>
      </c>
      <c r="AS257">
        <v>1784.570848815755</v>
      </c>
      <c r="AT257">
        <v>76.873805991523753</v>
      </c>
      <c r="AU257">
        <v>128.83398531587846</v>
      </c>
      <c r="AV257"/>
      <c r="AW257"/>
      <c r="FY257" s="211">
        <v>252</v>
      </c>
      <c r="FZ257">
        <v>62.453288521559301</v>
      </c>
      <c r="GA257">
        <v>79.811444955544147</v>
      </c>
      <c r="GB257">
        <v>33.378476094482963</v>
      </c>
      <c r="GC257">
        <v>8.8981703786286204</v>
      </c>
      <c r="GD257">
        <v>2.7214155305406802</v>
      </c>
      <c r="GE257">
        <v>4.2327518589086228</v>
      </c>
      <c r="GF257">
        <v>39.074378458481917</v>
      </c>
      <c r="GG257">
        <v>48.457763951108362</v>
      </c>
      <c r="GH257">
        <v>13.374295248918257</v>
      </c>
      <c r="GI257">
        <v>74.806933339207077</v>
      </c>
      <c r="GJ257"/>
      <c r="GK257"/>
      <c r="GL257"/>
      <c r="GM257"/>
    </row>
    <row r="258" spans="1:195" s="7" customFormat="1">
      <c r="A258" s="1"/>
      <c r="B258">
        <v>0.67122971974755119</v>
      </c>
      <c r="C258">
        <v>3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1057.8471410484815</v>
      </c>
      <c r="AO258">
        <v>175.62210937833169</v>
      </c>
      <c r="AP258">
        <v>1410.1037930964364</v>
      </c>
      <c r="AQ258">
        <v>431.21514329351407</v>
      </c>
      <c r="AR258">
        <v>174.942156464433</v>
      </c>
      <c r="AS258">
        <v>1813.0489016491392</v>
      </c>
      <c r="AT258">
        <v>88.165529045077733</v>
      </c>
      <c r="AU258">
        <v>157.81692919895602</v>
      </c>
      <c r="AV258"/>
      <c r="AW258"/>
      <c r="FY258" s="211">
        <v>253</v>
      </c>
      <c r="FZ258">
        <v>93.238162753547002</v>
      </c>
      <c r="GA258">
        <v>117.55635136287373</v>
      </c>
      <c r="GB258">
        <v>38.811180038363105</v>
      </c>
      <c r="GC258">
        <v>7.8884813807586696</v>
      </c>
      <c r="GD258">
        <v>4.10205294792841</v>
      </c>
      <c r="GE258">
        <v>7.9655616242509097</v>
      </c>
      <c r="GF258">
        <v>47.388330691475588</v>
      </c>
      <c r="GG258">
        <v>56.714859763704617</v>
      </c>
      <c r="GH258">
        <v>20.467664384471369</v>
      </c>
      <c r="GI258">
        <v>83.674349110280957</v>
      </c>
      <c r="GJ258"/>
      <c r="GK258"/>
      <c r="GL258"/>
      <c r="GM258"/>
    </row>
    <row r="259" spans="1:195" s="7" customFormat="1">
      <c r="A259" s="90"/>
      <c r="B259">
        <v>0.48683126142505007</v>
      </c>
      <c r="C259">
        <v>6</v>
      </c>
      <c r="D259">
        <v>39747</v>
      </c>
      <c r="E259">
        <v>0</v>
      </c>
      <c r="F259">
        <v>998.2638888888888</v>
      </c>
      <c r="G259">
        <v>1361.2689393939395</v>
      </c>
      <c r="H259">
        <v>586.17424242424238</v>
      </c>
      <c r="I259">
        <v>153.25126262626264</v>
      </c>
      <c r="J259">
        <v>62.5</v>
      </c>
      <c r="K259">
        <v>0</v>
      </c>
      <c r="L259">
        <v>10.416666666666666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1108.9541120492761</v>
      </c>
      <c r="AO259">
        <v>180.85891825824334</v>
      </c>
      <c r="AP259">
        <v>1472.1725095154259</v>
      </c>
      <c r="AQ259">
        <v>410.18348569432055</v>
      </c>
      <c r="AR259">
        <v>171.71889700762949</v>
      </c>
      <c r="AS259">
        <v>1738.6916229521767</v>
      </c>
      <c r="AT259">
        <v>79.386462204481788</v>
      </c>
      <c r="AU259">
        <v>49.29988739537874</v>
      </c>
      <c r="AV259"/>
      <c r="AW259"/>
      <c r="FY259" s="211">
        <v>254</v>
      </c>
      <c r="FZ259">
        <v>161.85418934040192</v>
      </c>
      <c r="GA259">
        <v>178.34287685645688</v>
      </c>
      <c r="GB259">
        <v>51.861365722648209</v>
      </c>
      <c r="GC259">
        <v>9.0684109620485032</v>
      </c>
      <c r="GD259">
        <v>2.446841983163849</v>
      </c>
      <c r="GE259">
        <v>4.1285096614671666</v>
      </c>
      <c r="GF259">
        <v>14.761346186635443</v>
      </c>
      <c r="GG259">
        <v>18.265197528117014</v>
      </c>
      <c r="GH259">
        <v>23.247646427912684</v>
      </c>
      <c r="GI259">
        <v>84.853351828023577</v>
      </c>
      <c r="GJ259"/>
      <c r="GK259"/>
      <c r="GL259"/>
      <c r="GM259"/>
    </row>
    <row r="260" spans="1:195" s="7" customFormat="1">
      <c r="A260" s="77" t="s">
        <v>61</v>
      </c>
      <c r="B260">
        <v>0.35193038988081771</v>
      </c>
      <c r="C260">
        <v>8</v>
      </c>
      <c r="D260">
        <v>39747</v>
      </c>
      <c r="E260">
        <v>0</v>
      </c>
      <c r="F260">
        <v>560.89743589743591</v>
      </c>
      <c r="G260">
        <v>701.1217948717948</v>
      </c>
      <c r="H260">
        <v>0</v>
      </c>
      <c r="I260">
        <v>10.416666666666666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937.12434457480833</v>
      </c>
      <c r="AO260">
        <v>117.74395649151639</v>
      </c>
      <c r="AP260">
        <v>907.47346013720323</v>
      </c>
      <c r="AQ260">
        <v>336.09246910461161</v>
      </c>
      <c r="AR260">
        <v>116.57343898251104</v>
      </c>
      <c r="AS260">
        <v>1266.4864243441775</v>
      </c>
      <c r="AT260">
        <v>57.205048559372564</v>
      </c>
      <c r="AU260">
        <v>73.406289447788851</v>
      </c>
      <c r="AV260"/>
      <c r="AW260"/>
      <c r="FY260" s="211">
        <v>255</v>
      </c>
      <c r="FZ260">
        <v>195.68282579905977</v>
      </c>
      <c r="GA260">
        <v>139.74736792272486</v>
      </c>
      <c r="GB260">
        <v>31.9986266731384</v>
      </c>
      <c r="GC260">
        <v>8.7949067525034152</v>
      </c>
      <c r="GD260">
        <v>3.0301044888941968</v>
      </c>
      <c r="GE260">
        <v>5.7470781412851464</v>
      </c>
      <c r="GF260">
        <v>25.209705917169106</v>
      </c>
      <c r="GG260">
        <v>30.399892758353758</v>
      </c>
      <c r="GH260">
        <v>20.080864148919819</v>
      </c>
      <c r="GI260">
        <v>78.295628582477207</v>
      </c>
      <c r="GJ260"/>
      <c r="GK260"/>
      <c r="GL260"/>
      <c r="GM260"/>
    </row>
    <row r="261" spans="1:195" s="7" customFormat="1">
      <c r="A261" s="77" t="s">
        <v>62</v>
      </c>
      <c r="B261">
        <v>0.43719483153869754</v>
      </c>
      <c r="C261">
        <v>1</v>
      </c>
      <c r="D261">
        <v>39747</v>
      </c>
      <c r="E261">
        <v>0</v>
      </c>
      <c r="F261">
        <v>694.44444444444446</v>
      </c>
      <c r="G261">
        <v>1062.5</v>
      </c>
      <c r="H261">
        <v>572.91666666666663</v>
      </c>
      <c r="I261">
        <v>368.0555555555556</v>
      </c>
      <c r="J261">
        <v>177.08333333333334</v>
      </c>
      <c r="K261">
        <v>52.083333333333336</v>
      </c>
      <c r="L261">
        <v>10.416666666666666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1213.6541855898272</v>
      </c>
      <c r="AO261">
        <v>152.49307988390939</v>
      </c>
      <c r="AP261">
        <v>1178.651275902346</v>
      </c>
      <c r="AQ261">
        <v>472.88431622930142</v>
      </c>
      <c r="AR261">
        <v>145.24839492611258</v>
      </c>
      <c r="AS261">
        <v>1673.7810126915649</v>
      </c>
      <c r="AT261">
        <v>68.747476019464997</v>
      </c>
      <c r="AU261">
        <v>38.560125154240566</v>
      </c>
      <c r="AV261"/>
      <c r="AW261"/>
      <c r="FY261" s="211">
        <v>256</v>
      </c>
      <c r="FZ261">
        <v>136.85626045882228</v>
      </c>
      <c r="GA261">
        <v>102.76048526461024</v>
      </c>
      <c r="GB261">
        <v>36.721717553808894</v>
      </c>
      <c r="GC261">
        <v>9.9493075920990801</v>
      </c>
      <c r="GD261">
        <v>3.5690069900548558</v>
      </c>
      <c r="GE261">
        <v>3.5738823561956923</v>
      </c>
      <c r="GF261">
        <v>14.235455843376762</v>
      </c>
      <c r="GG261">
        <v>19.45795702292153</v>
      </c>
      <c r="GH261">
        <v>19.391941303316507</v>
      </c>
      <c r="GI261">
        <v>70.786159467334784</v>
      </c>
      <c r="GJ261"/>
      <c r="GK261"/>
      <c r="GL261"/>
      <c r="GM261"/>
    </row>
    <row r="262" spans="1:195" s="7" customFormat="1" ht="12.75" customHeight="1">
      <c r="A262" s="77"/>
      <c r="B262">
        <v>0.67100846749805876</v>
      </c>
      <c r="C262">
        <v>6</v>
      </c>
      <c r="D262">
        <v>39747</v>
      </c>
      <c r="E262">
        <v>0</v>
      </c>
      <c r="F262">
        <v>998.2638888888888</v>
      </c>
      <c r="G262">
        <v>1361.2689393939395</v>
      </c>
      <c r="H262">
        <v>586.17424242424238</v>
      </c>
      <c r="I262">
        <v>153.25126262626264</v>
      </c>
      <c r="J262">
        <v>62.5</v>
      </c>
      <c r="K262">
        <v>0</v>
      </c>
      <c r="L262">
        <v>10.416666666666666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1462.0868586575871</v>
      </c>
      <c r="AO262">
        <v>204.62354781355708</v>
      </c>
      <c r="AP262">
        <v>1765.6270691420152</v>
      </c>
      <c r="AQ262">
        <v>660.98100736826757</v>
      </c>
      <c r="AR262">
        <v>196.29508835185794</v>
      </c>
      <c r="AS262">
        <v>2118.2289804868183</v>
      </c>
      <c r="AT262">
        <v>96.643346711849233</v>
      </c>
      <c r="AU262">
        <v>167.07993832595395</v>
      </c>
      <c r="AV262"/>
      <c r="AW262"/>
      <c r="FY262" s="211">
        <v>257</v>
      </c>
      <c r="FZ262">
        <v>183.49931868977396</v>
      </c>
      <c r="GA262">
        <v>115.92350863563964</v>
      </c>
      <c r="GB262">
        <v>11.710993493596673</v>
      </c>
      <c r="GC262">
        <v>4.2451625640504567</v>
      </c>
      <c r="GD262">
        <v>2.2665584796260005</v>
      </c>
      <c r="GE262">
        <v>4.7419010878256111</v>
      </c>
      <c r="GF262">
        <v>33.0332723864149</v>
      </c>
      <c r="GG262">
        <v>39.754750962122266</v>
      </c>
      <c r="GH262">
        <v>29.292351870793539</v>
      </c>
      <c r="GI262">
        <v>73.172503677877401</v>
      </c>
      <c r="GJ262"/>
      <c r="GK262"/>
      <c r="GL262"/>
      <c r="GM262"/>
    </row>
    <row r="263" spans="1:195" s="7" customFormat="1">
      <c r="A263" s="77"/>
      <c r="B263">
        <v>0.52556755093748397</v>
      </c>
      <c r="C263">
        <v>2</v>
      </c>
      <c r="D263">
        <v>39747</v>
      </c>
      <c r="E263">
        <v>0</v>
      </c>
      <c r="F263">
        <v>273.4375</v>
      </c>
      <c r="G263">
        <v>1731.7708333333333</v>
      </c>
      <c r="H263">
        <v>572.91666666666663</v>
      </c>
      <c r="I263">
        <v>169.27083333333334</v>
      </c>
      <c r="J263">
        <v>78.125</v>
      </c>
      <c r="K263">
        <v>0</v>
      </c>
      <c r="L263">
        <v>0</v>
      </c>
      <c r="M263">
        <v>26.041666666666668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1206.2975802269821</v>
      </c>
      <c r="AO263">
        <v>172.04351820396451</v>
      </c>
      <c r="AP263">
        <v>1588.4493334015269</v>
      </c>
      <c r="AQ263">
        <v>501.33844137035305</v>
      </c>
      <c r="AR263">
        <v>168.13127199569206</v>
      </c>
      <c r="AS263">
        <v>1744.735641570624</v>
      </c>
      <c r="AT263">
        <v>82.135494135557067</v>
      </c>
      <c r="AU263">
        <v>290.7436444303072</v>
      </c>
      <c r="AV263"/>
      <c r="AW263"/>
      <c r="FY263" s="211">
        <v>258</v>
      </c>
      <c r="FZ263">
        <v>158.03750742346588</v>
      </c>
      <c r="GA263">
        <v>145.92662918756363</v>
      </c>
      <c r="GB263">
        <v>31.886649045637487</v>
      </c>
      <c r="GC263">
        <v>7.5895296135026484</v>
      </c>
      <c r="GD263">
        <v>2.7060541780704916</v>
      </c>
      <c r="GE263">
        <v>4.020079023841312</v>
      </c>
      <c r="GF263">
        <v>31.086409355461342</v>
      </c>
      <c r="GG263">
        <v>37.314152029544502</v>
      </c>
      <c r="GH263">
        <v>21.972932366776877</v>
      </c>
      <c r="GI263">
        <v>80.514423948052382</v>
      </c>
      <c r="GJ263"/>
      <c r="GK263"/>
      <c r="GL263"/>
      <c r="GM263"/>
    </row>
    <row r="264" spans="1:195" s="7" customFormat="1">
      <c r="A264" s="77"/>
      <c r="B264">
        <v>6.0894161087677645E-2</v>
      </c>
      <c r="C264">
        <v>4</v>
      </c>
      <c r="D264">
        <v>39747</v>
      </c>
      <c r="E264">
        <v>0</v>
      </c>
      <c r="F264">
        <v>502.87356321839076</v>
      </c>
      <c r="G264">
        <v>754.31034482758616</v>
      </c>
      <c r="H264">
        <v>251.43678160919538</v>
      </c>
      <c r="I264">
        <v>336.66405433646815</v>
      </c>
      <c r="J264">
        <v>28.409090909090907</v>
      </c>
      <c r="K264">
        <v>0</v>
      </c>
      <c r="L264">
        <v>28.409090909090907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1063.2678580938716</v>
      </c>
      <c r="AO264">
        <v>146.89774032513637</v>
      </c>
      <c r="AP264">
        <v>1117.5791698777789</v>
      </c>
      <c r="AQ264">
        <v>462.05708102269722</v>
      </c>
      <c r="AR264">
        <v>144.56146860912745</v>
      </c>
      <c r="AS264">
        <v>1634.3046827522719</v>
      </c>
      <c r="AT264">
        <v>73.116063318096892</v>
      </c>
      <c r="AU264">
        <v>64.0782984784246</v>
      </c>
      <c r="AV264"/>
      <c r="AW264"/>
      <c r="FY264" s="211">
        <v>259</v>
      </c>
      <c r="FZ264">
        <v>105.25690890717296</v>
      </c>
      <c r="GA264">
        <v>95.038337489110532</v>
      </c>
      <c r="GB264">
        <v>30.465883943108533</v>
      </c>
      <c r="GC264">
        <v>7.5213527273240084</v>
      </c>
      <c r="GD264">
        <v>2.7808782921764292</v>
      </c>
      <c r="GE264">
        <v>5.0424262806863904</v>
      </c>
      <c r="GF264">
        <v>14.365276943070681</v>
      </c>
      <c r="GG264">
        <v>17.661553777842645</v>
      </c>
      <c r="GH264">
        <v>17.265944556651633</v>
      </c>
      <c r="GI264">
        <v>58.806677119771088</v>
      </c>
      <c r="GJ264"/>
      <c r="GK264"/>
      <c r="GL264"/>
      <c r="GM264"/>
    </row>
    <row r="265" spans="1:195" s="7" customFormat="1">
      <c r="A265" s="77"/>
      <c r="B265">
        <v>0.16587198715795459</v>
      </c>
      <c r="C265">
        <v>10</v>
      </c>
      <c r="D265">
        <v>39747</v>
      </c>
      <c r="E265">
        <v>0</v>
      </c>
      <c r="F265">
        <v>390.625</v>
      </c>
      <c r="G265">
        <v>65.104166666666671</v>
      </c>
      <c r="H265">
        <v>10.416666666666666</v>
      </c>
      <c r="I265">
        <v>0</v>
      </c>
      <c r="J265">
        <v>0</v>
      </c>
      <c r="K265">
        <v>10.416666666666666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1229.1958445850657</v>
      </c>
      <c r="AO265">
        <v>164.37078602330433</v>
      </c>
      <c r="AP265">
        <v>1393.9439947308892</v>
      </c>
      <c r="AQ265">
        <v>496.55562571271054</v>
      </c>
      <c r="AR265">
        <v>163.44622311221585</v>
      </c>
      <c r="AS265">
        <v>1799.5753309864824</v>
      </c>
      <c r="AT265">
        <v>76.63311847655622</v>
      </c>
      <c r="AU265">
        <v>122.40217920987396</v>
      </c>
      <c r="AV265"/>
      <c r="AW265"/>
      <c r="FY265" s="211">
        <v>260</v>
      </c>
      <c r="FZ265">
        <v>118.9717737715321</v>
      </c>
      <c r="GA265">
        <v>98.637168477962689</v>
      </c>
      <c r="GB265">
        <v>37.210197528254554</v>
      </c>
      <c r="GC265">
        <v>7.631610144961817</v>
      </c>
      <c r="GD265">
        <v>2.3694748867995412</v>
      </c>
      <c r="GE265">
        <v>4.5771803062668255</v>
      </c>
      <c r="GF265">
        <v>45.181273230309088</v>
      </c>
      <c r="GG265">
        <v>54.645999014020866</v>
      </c>
      <c r="GH265">
        <v>15.65864077263803</v>
      </c>
      <c r="GI265">
        <v>74.408997903076525</v>
      </c>
      <c r="GJ265"/>
      <c r="GK265"/>
      <c r="GL265"/>
      <c r="GM265"/>
    </row>
    <row r="266" spans="1:195" s="7" customFormat="1">
      <c r="A266" s="1"/>
      <c r="B266">
        <v>7.7640931975252236E-2</v>
      </c>
      <c r="C266">
        <v>7</v>
      </c>
      <c r="D266">
        <v>39747</v>
      </c>
      <c r="E266">
        <v>0</v>
      </c>
      <c r="F266">
        <v>223.21428571428572</v>
      </c>
      <c r="G266">
        <v>595.2380952380953</v>
      </c>
      <c r="H266">
        <v>297.61904761904765</v>
      </c>
      <c r="I266">
        <v>10.416666666666666</v>
      </c>
      <c r="J266">
        <v>0</v>
      </c>
      <c r="K266">
        <v>10.416666666666666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1086.4111482583689</v>
      </c>
      <c r="AO266">
        <v>156.35558873597583</v>
      </c>
      <c r="AP266">
        <v>1280.9798223486994</v>
      </c>
      <c r="AQ266">
        <v>520.37420921900184</v>
      </c>
      <c r="AR266">
        <v>150.54583902217561</v>
      </c>
      <c r="AS266">
        <v>1577.9701197463914</v>
      </c>
      <c r="AT266">
        <v>75.527926452200518</v>
      </c>
      <c r="AU266">
        <v>-66.985116634360736</v>
      </c>
      <c r="AV266"/>
      <c r="AW266"/>
      <c r="FY266" s="211">
        <v>261</v>
      </c>
      <c r="FZ266">
        <v>118.69559726111025</v>
      </c>
      <c r="GA266">
        <v>94.852018980743196</v>
      </c>
      <c r="GB266">
        <v>38.243277181862091</v>
      </c>
      <c r="GC266">
        <v>10.226981072630618</v>
      </c>
      <c r="GD266">
        <v>3.084578430525907</v>
      </c>
      <c r="GE266">
        <v>4.8474369132991413</v>
      </c>
      <c r="GF266">
        <v>31.125596358101472</v>
      </c>
      <c r="GG266">
        <v>42.045522452258567</v>
      </c>
      <c r="GH266">
        <v>23.020927144475436</v>
      </c>
      <c r="GI266">
        <v>75.95833880454488</v>
      </c>
      <c r="GJ266"/>
      <c r="GK266"/>
      <c r="GL266"/>
      <c r="GM266"/>
    </row>
    <row r="267" spans="1:195" s="7" customFormat="1">
      <c r="A267" s="1"/>
      <c r="B267">
        <v>0.17385045598729665</v>
      </c>
      <c r="C267">
        <v>6</v>
      </c>
      <c r="D267">
        <v>39747</v>
      </c>
      <c r="E267">
        <v>0</v>
      </c>
      <c r="F267">
        <v>998.2638888888888</v>
      </c>
      <c r="G267">
        <v>1361.2689393939395</v>
      </c>
      <c r="H267">
        <v>586.17424242424238</v>
      </c>
      <c r="I267">
        <v>153.25126262626264</v>
      </c>
      <c r="J267">
        <v>62.5</v>
      </c>
      <c r="K267">
        <v>0</v>
      </c>
      <c r="L267">
        <v>10.416666666666666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1126.3008561068114</v>
      </c>
      <c r="AO267">
        <v>202.14125033428991</v>
      </c>
      <c r="AP267">
        <v>1559.4996557747263</v>
      </c>
      <c r="AQ267">
        <v>435.06904332869715</v>
      </c>
      <c r="AR267">
        <v>198.85965954464635</v>
      </c>
      <c r="AS267">
        <v>1997.3365484723549</v>
      </c>
      <c r="AT267">
        <v>100.76753507414475</v>
      </c>
      <c r="AU267">
        <v>166.27510158716294</v>
      </c>
      <c r="AV267"/>
      <c r="AW267"/>
      <c r="FY267" s="211">
        <v>262</v>
      </c>
      <c r="FZ267">
        <v>97.876212804824817</v>
      </c>
      <c r="GA267">
        <v>73.376301470714964</v>
      </c>
      <c r="GB267">
        <v>21.937083103782005</v>
      </c>
      <c r="GC267">
        <v>7.3157765921662179</v>
      </c>
      <c r="GD267">
        <v>2.6129487416881743</v>
      </c>
      <c r="GE267">
        <v>3.8198529479111891</v>
      </c>
      <c r="GF267">
        <v>16.5774603205213</v>
      </c>
      <c r="GG267">
        <v>24.635056259956961</v>
      </c>
      <c r="GH267">
        <v>21.80908050129846</v>
      </c>
      <c r="GI267">
        <v>60.0246247934884</v>
      </c>
      <c r="GJ267"/>
      <c r="GK267"/>
      <c r="GL267"/>
      <c r="GM267"/>
    </row>
    <row r="268" spans="1:195" s="7" customFormat="1">
      <c r="A268" s="1"/>
      <c r="B268">
        <v>0.82047092898459373</v>
      </c>
      <c r="C268">
        <v>1</v>
      </c>
      <c r="D268">
        <v>39775</v>
      </c>
      <c r="E268">
        <v>0</v>
      </c>
      <c r="F268">
        <v>97.676282051282058</v>
      </c>
      <c r="G268">
        <v>371.875</v>
      </c>
      <c r="H268">
        <v>271.15384615384613</v>
      </c>
      <c r="I268">
        <v>0</v>
      </c>
      <c r="J268">
        <v>0</v>
      </c>
      <c r="K268">
        <v>0</v>
      </c>
      <c r="L268">
        <v>32.051282051282051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1136.9803321320123</v>
      </c>
      <c r="AO268">
        <v>157.80980174139182</v>
      </c>
      <c r="AP268">
        <v>1291.7025124624222</v>
      </c>
      <c r="AQ268">
        <v>367.20891833737988</v>
      </c>
      <c r="AR268">
        <v>151.07978511220782</v>
      </c>
      <c r="AS268">
        <v>1647.2395832355992</v>
      </c>
      <c r="AT268">
        <v>69.229109798948087</v>
      </c>
      <c r="AU268">
        <v>277.70125006143252</v>
      </c>
      <c r="AV268"/>
      <c r="AW268"/>
      <c r="FY268" s="211">
        <v>263</v>
      </c>
      <c r="FZ268">
        <v>119.75048877297658</v>
      </c>
      <c r="GA268">
        <v>84.615588308068368</v>
      </c>
      <c r="GB268">
        <v>24.604400166313077</v>
      </c>
      <c r="GC268">
        <v>7.0266011050128636</v>
      </c>
      <c r="GD268">
        <v>2.9517194656289059</v>
      </c>
      <c r="GE268">
        <v>6.2974833805186847</v>
      </c>
      <c r="GF268">
        <v>42.014513031034383</v>
      </c>
      <c r="GG268">
        <v>47.890094877980758</v>
      </c>
      <c r="GH268">
        <v>23.339543637438386</v>
      </c>
      <c r="GI268">
        <v>83.171541977965575</v>
      </c>
      <c r="GJ268"/>
      <c r="GK268"/>
      <c r="GL268"/>
      <c r="GM268"/>
    </row>
    <row r="269" spans="1:195" s="7" customFormat="1">
      <c r="A269" s="1"/>
      <c r="B269">
        <v>0.69476659281094411</v>
      </c>
      <c r="C269">
        <v>3</v>
      </c>
      <c r="D269">
        <v>39775</v>
      </c>
      <c r="E269">
        <v>0</v>
      </c>
      <c r="F269">
        <v>954.86111111111097</v>
      </c>
      <c r="G269">
        <v>1033.4821428571427</v>
      </c>
      <c r="H269">
        <v>802.33134920634916</v>
      </c>
      <c r="I269">
        <v>209.32539682539681</v>
      </c>
      <c r="J269">
        <v>10.416666666666666</v>
      </c>
      <c r="K269">
        <v>0</v>
      </c>
      <c r="L269">
        <v>20.833333333333332</v>
      </c>
      <c r="M269">
        <v>20.833333333333332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1404.6618568576114</v>
      </c>
      <c r="AO269">
        <v>178.59195747816594</v>
      </c>
      <c r="AP269">
        <v>1515.3410804703353</v>
      </c>
      <c r="AQ269">
        <v>477.80699405765432</v>
      </c>
      <c r="AR269">
        <v>172.58472283306423</v>
      </c>
      <c r="AS269">
        <v>1888.1090596126887</v>
      </c>
      <c r="AT269">
        <v>77.139001291990539</v>
      </c>
      <c r="AU269">
        <v>357.33982729414623</v>
      </c>
      <c r="AV269"/>
      <c r="AW269"/>
      <c r="FY269" s="211">
        <v>264</v>
      </c>
      <c r="FZ269">
        <v>143.23531452606821</v>
      </c>
      <c r="GA269">
        <v>139.72236917473998</v>
      </c>
      <c r="GB269">
        <v>39.825129989271346</v>
      </c>
      <c r="GC269">
        <v>8.3037432396030155</v>
      </c>
      <c r="GD269">
        <v>4.1998411953722243</v>
      </c>
      <c r="GE269">
        <v>7.1200166684425223</v>
      </c>
      <c r="GF269">
        <v>26.290379088623347</v>
      </c>
      <c r="GG269">
        <v>31.523539540174379</v>
      </c>
      <c r="GH269">
        <v>25.15176156988089</v>
      </c>
      <c r="GI269">
        <v>83.826379966689458</v>
      </c>
      <c r="GJ269"/>
      <c r="GK269"/>
      <c r="GL269"/>
      <c r="GM269"/>
    </row>
    <row r="270" spans="1:195" s="7" customFormat="1">
      <c r="A270" s="1"/>
      <c r="B270">
        <v>0.32384432660381668</v>
      </c>
      <c r="C270">
        <v>1</v>
      </c>
      <c r="D270">
        <v>39775</v>
      </c>
      <c r="E270">
        <v>0</v>
      </c>
      <c r="F270">
        <v>97.676282051282058</v>
      </c>
      <c r="G270">
        <v>371.875</v>
      </c>
      <c r="H270">
        <v>271.15384615384613</v>
      </c>
      <c r="I270">
        <v>0</v>
      </c>
      <c r="J270">
        <v>0</v>
      </c>
      <c r="K270">
        <v>0</v>
      </c>
      <c r="L270">
        <v>32.051282051282051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1222.4289099948669</v>
      </c>
      <c r="AO270">
        <v>198.61465805761378</v>
      </c>
      <c r="AP270">
        <v>1726.4724112632637</v>
      </c>
      <c r="AQ270">
        <v>548.82973649687528</v>
      </c>
      <c r="AR270">
        <v>192.05762681397243</v>
      </c>
      <c r="AS270">
        <v>2006.3906314106919</v>
      </c>
      <c r="AT270">
        <v>98.178807321704269</v>
      </c>
      <c r="AU270">
        <v>98.097301073874945</v>
      </c>
      <c r="AV270"/>
      <c r="AW270"/>
      <c r="FY270" s="211">
        <v>265</v>
      </c>
      <c r="FZ270">
        <v>152.75779803410342</v>
      </c>
      <c r="GA270">
        <v>124.24278694950272</v>
      </c>
      <c r="GB270">
        <v>41.172988833807182</v>
      </c>
      <c r="GC270">
        <v>9.399136502519827</v>
      </c>
      <c r="GD270">
        <v>2.7539502369556947</v>
      </c>
      <c r="GE270">
        <v>5.7027937666697959</v>
      </c>
      <c r="GF270">
        <v>51.122731510431166</v>
      </c>
      <c r="GG270">
        <v>60.335601767079289</v>
      </c>
      <c r="GH270">
        <v>23.361958850175728</v>
      </c>
      <c r="GI270">
        <v>96.895809237612866</v>
      </c>
      <c r="GJ270"/>
      <c r="GK270"/>
      <c r="GL270"/>
      <c r="GM270"/>
    </row>
    <row r="271" spans="1:195" s="7" customFormat="1">
      <c r="A271" s="77"/>
      <c r="B271">
        <v>0.48730540000680733</v>
      </c>
      <c r="C271">
        <v>10</v>
      </c>
      <c r="D271">
        <v>39775</v>
      </c>
      <c r="E271">
        <v>0</v>
      </c>
      <c r="F271">
        <v>184.5703125</v>
      </c>
      <c r="G271">
        <v>300.45572916666669</v>
      </c>
      <c r="H271">
        <v>268.5546875</v>
      </c>
      <c r="I271">
        <v>152.66927083333334</v>
      </c>
      <c r="J271">
        <v>20.833333333333332</v>
      </c>
      <c r="K271">
        <v>0</v>
      </c>
      <c r="L271">
        <v>0</v>
      </c>
      <c r="M271">
        <v>0</v>
      </c>
      <c r="N271">
        <v>31.25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1148.6436489591295</v>
      </c>
      <c r="AO271">
        <v>168.91449885984747</v>
      </c>
      <c r="AP271">
        <v>1394.5661335837401</v>
      </c>
      <c r="AQ271">
        <v>538.98700118452575</v>
      </c>
      <c r="AR271">
        <v>163.73940152099345</v>
      </c>
      <c r="AS271">
        <v>1851.412346807874</v>
      </c>
      <c r="AT271">
        <v>81.16165991568549</v>
      </c>
      <c r="AU271">
        <v>89.226307367415131</v>
      </c>
      <c r="AV271"/>
      <c r="AW271"/>
      <c r="FY271" s="211">
        <v>266</v>
      </c>
      <c r="FZ271">
        <v>105.96300443339538</v>
      </c>
      <c r="GA271">
        <v>78.177188813101893</v>
      </c>
      <c r="GB271">
        <v>32.798502869599261</v>
      </c>
      <c r="GC271">
        <v>9.9801853290688136</v>
      </c>
      <c r="GD271">
        <v>4.6264309425828571</v>
      </c>
      <c r="GE271">
        <v>8.2087937140142753</v>
      </c>
      <c r="GF271">
        <v>34.230605694294567</v>
      </c>
      <c r="GG271">
        <v>43.050715059071457</v>
      </c>
      <c r="GH271">
        <v>21.802354687565369</v>
      </c>
      <c r="GI271">
        <v>81.941423598529894</v>
      </c>
      <c r="GJ271"/>
      <c r="GK271"/>
      <c r="GL271"/>
      <c r="GM271"/>
    </row>
    <row r="272" spans="1:195" s="7" customFormat="1">
      <c r="A272" s="77"/>
      <c r="B272">
        <v>0.268587073315667</v>
      </c>
      <c r="C272">
        <v>1</v>
      </c>
      <c r="D272">
        <v>39775</v>
      </c>
      <c r="E272">
        <v>0</v>
      </c>
      <c r="F272">
        <v>97.676282051282058</v>
      </c>
      <c r="G272">
        <v>371.875</v>
      </c>
      <c r="H272">
        <v>271.15384615384613</v>
      </c>
      <c r="I272">
        <v>0</v>
      </c>
      <c r="J272">
        <v>0</v>
      </c>
      <c r="K272">
        <v>0</v>
      </c>
      <c r="L272">
        <v>32.051282051282051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1040.3945169899218</v>
      </c>
      <c r="AO272">
        <v>160.28096774394368</v>
      </c>
      <c r="AP272">
        <v>1283.0996184963085</v>
      </c>
      <c r="AQ272">
        <v>417.30217385254059</v>
      </c>
      <c r="AR272">
        <v>159.75153899564467</v>
      </c>
      <c r="AS272">
        <v>1702.7479647698656</v>
      </c>
      <c r="AT272">
        <v>77.381028722520895</v>
      </c>
      <c r="AU272">
        <v>117.07193693095118</v>
      </c>
      <c r="AV272"/>
      <c r="AW272"/>
      <c r="FY272" s="211">
        <v>267</v>
      </c>
      <c r="FZ272">
        <v>164.37961044155119</v>
      </c>
      <c r="GA272">
        <v>181.77140532161616</v>
      </c>
      <c r="GB272">
        <v>49.711715592074952</v>
      </c>
      <c r="GC272">
        <v>10.465318765197381</v>
      </c>
      <c r="GD272">
        <v>5.9627504036772621</v>
      </c>
      <c r="GE272">
        <v>9.8309193797481136</v>
      </c>
      <c r="GF272">
        <v>22.651074808066831</v>
      </c>
      <c r="GG272">
        <v>26.303000771130854</v>
      </c>
      <c r="GH272">
        <v>24.663443369291659</v>
      </c>
      <c r="GI272">
        <v>93.519614160424894</v>
      </c>
      <c r="GJ272"/>
      <c r="GK272"/>
      <c r="GL272"/>
      <c r="GM272"/>
    </row>
    <row r="273" spans="1:195" s="7" customFormat="1">
      <c r="A273" s="1"/>
      <c r="B273">
        <v>0.88108957973387714</v>
      </c>
      <c r="C273">
        <v>7</v>
      </c>
      <c r="D273">
        <v>39775</v>
      </c>
      <c r="E273">
        <v>0</v>
      </c>
      <c r="F273">
        <v>167.29797979797982</v>
      </c>
      <c r="G273">
        <v>352.48316498316501</v>
      </c>
      <c r="H273">
        <v>313.02609427609428</v>
      </c>
      <c r="I273">
        <v>65.761784511784512</v>
      </c>
      <c r="J273">
        <v>71.022727272727266</v>
      </c>
      <c r="K273">
        <v>56.818181818181813</v>
      </c>
      <c r="L273">
        <v>28.409090909090907</v>
      </c>
      <c r="M273">
        <v>14.204545454545453</v>
      </c>
      <c r="N273">
        <v>28.409090909090907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1066.1517965498413</v>
      </c>
      <c r="AO273">
        <v>182.55542657011097</v>
      </c>
      <c r="AP273">
        <v>1703.3986434186952</v>
      </c>
      <c r="AQ273">
        <v>497.64032184772049</v>
      </c>
      <c r="AR273">
        <v>175.78097543440336</v>
      </c>
      <c r="AS273">
        <v>1846.5502283147321</v>
      </c>
      <c r="AT273">
        <v>85.713309607377752</v>
      </c>
      <c r="AU273">
        <v>260.42355586963032</v>
      </c>
      <c r="AV273"/>
      <c r="AW273"/>
      <c r="FY273" s="211">
        <v>268</v>
      </c>
      <c r="FZ273">
        <v>171.72116727869638</v>
      </c>
      <c r="GA273">
        <v>151.40836704374721</v>
      </c>
      <c r="GB273">
        <v>50.188265827992396</v>
      </c>
      <c r="GC273">
        <v>9.1257766419208384</v>
      </c>
      <c r="GD273">
        <v>3.0297447492677834</v>
      </c>
      <c r="GE273">
        <v>4.411044668980824</v>
      </c>
      <c r="GF273">
        <v>27.424619426851542</v>
      </c>
      <c r="GG273">
        <v>39.180752264788737</v>
      </c>
      <c r="GH273">
        <v>31.06152629393717</v>
      </c>
      <c r="GI273">
        <v>97.592105601052495</v>
      </c>
      <c r="GJ273"/>
      <c r="GK273"/>
      <c r="GL273"/>
      <c r="GM273"/>
    </row>
    <row r="274" spans="1:195" s="7" customFormat="1">
      <c r="A274" s="1"/>
      <c r="B274">
        <v>0.19027938833785552</v>
      </c>
      <c r="C274">
        <v>5</v>
      </c>
      <c r="D274">
        <v>39775</v>
      </c>
      <c r="E274">
        <v>0</v>
      </c>
      <c r="F274">
        <v>119.04761904761905</v>
      </c>
      <c r="G274">
        <v>208.33333333333334</v>
      </c>
      <c r="H274">
        <v>178.57142857142856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1212.412466636983</v>
      </c>
      <c r="AO274">
        <v>186.69060967502418</v>
      </c>
      <c r="AP274">
        <v>1711.0456731466497</v>
      </c>
      <c r="AQ274">
        <v>521.05436617191663</v>
      </c>
      <c r="AR274">
        <v>179.52705158850003</v>
      </c>
      <c r="AS274">
        <v>1963.0415463741056</v>
      </c>
      <c r="AT274">
        <v>87.340694852525303</v>
      </c>
      <c r="AU274">
        <v>331.13444747733382</v>
      </c>
      <c r="AV274"/>
      <c r="AW274"/>
      <c r="FY274" s="211">
        <v>269</v>
      </c>
      <c r="FZ274">
        <v>96.276294650415224</v>
      </c>
      <c r="GA274">
        <v>88.986877198929093</v>
      </c>
      <c r="GB274">
        <v>31.756960085853034</v>
      </c>
      <c r="GC274">
        <v>8.311887385347255</v>
      </c>
      <c r="GD274">
        <v>4.4334385162139966</v>
      </c>
      <c r="GE274">
        <v>7.0007439601552166</v>
      </c>
      <c r="GF274">
        <v>15.792514603113823</v>
      </c>
      <c r="GG274">
        <v>18.890210946306464</v>
      </c>
      <c r="GH274">
        <v>31.039438173020844</v>
      </c>
      <c r="GI274">
        <v>65.161498714603752</v>
      </c>
      <c r="GJ274"/>
      <c r="GK274"/>
      <c r="GL274"/>
      <c r="GM274"/>
    </row>
    <row r="275" spans="1:195" s="7" customFormat="1">
      <c r="A275" s="1"/>
      <c r="B275">
        <v>0.36608582805801371</v>
      </c>
      <c r="C275">
        <v>10</v>
      </c>
      <c r="D275">
        <v>39775</v>
      </c>
      <c r="E275">
        <v>0</v>
      </c>
      <c r="F275">
        <v>184.5703125</v>
      </c>
      <c r="G275">
        <v>300.45572916666669</v>
      </c>
      <c r="H275">
        <v>268.5546875</v>
      </c>
      <c r="I275">
        <v>152.66927083333334</v>
      </c>
      <c r="J275">
        <v>20.833333333333332</v>
      </c>
      <c r="K275">
        <v>0</v>
      </c>
      <c r="L275">
        <v>0</v>
      </c>
      <c r="M275">
        <v>0</v>
      </c>
      <c r="N275">
        <v>31.25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864.62232932798941</v>
      </c>
      <c r="AO275">
        <v>116.29617950469603</v>
      </c>
      <c r="AP275">
        <v>912.77866929640345</v>
      </c>
      <c r="AQ275">
        <v>354.20524003691486</v>
      </c>
      <c r="AR275">
        <v>112.77396638211562</v>
      </c>
      <c r="AS275">
        <v>1222.0365773010665</v>
      </c>
      <c r="AT275">
        <v>53.41365983958989</v>
      </c>
      <c r="AU275">
        <v>26.661772375097534</v>
      </c>
      <c r="AV275"/>
      <c r="AW275"/>
      <c r="FY275" s="211">
        <v>270</v>
      </c>
      <c r="FZ275">
        <v>167.00106137163399</v>
      </c>
      <c r="GA275">
        <v>113.84685902530269</v>
      </c>
      <c r="GB275">
        <v>26.039413821310003</v>
      </c>
      <c r="GC275">
        <v>8.846358251655932</v>
      </c>
      <c r="GD275">
        <v>3.7703912555994039</v>
      </c>
      <c r="GE275">
        <v>4.4855231517564302</v>
      </c>
      <c r="GF275">
        <v>17.21018649130388</v>
      </c>
      <c r="GG275">
        <v>22.139638271829352</v>
      </c>
      <c r="GH275">
        <v>28.091013297040138</v>
      </c>
      <c r="GI275">
        <v>75.356725613294643</v>
      </c>
      <c r="GJ275"/>
      <c r="GK275"/>
      <c r="GL275"/>
      <c r="GM275"/>
    </row>
    <row r="276" spans="1:195" s="7" customFormat="1">
      <c r="A276" s="1"/>
      <c r="B276">
        <v>0.4415385967885288</v>
      </c>
      <c r="C276">
        <v>6</v>
      </c>
      <c r="D276">
        <v>39775</v>
      </c>
      <c r="E276">
        <v>0</v>
      </c>
      <c r="F276">
        <v>41.666666666666664</v>
      </c>
      <c r="G276">
        <v>177.08333333333334</v>
      </c>
      <c r="H276">
        <v>177.08333333333334</v>
      </c>
      <c r="I276">
        <v>83.333333333333329</v>
      </c>
      <c r="J276">
        <v>10.416666666666666</v>
      </c>
      <c r="K276">
        <v>10.416666666666666</v>
      </c>
      <c r="L276">
        <v>0</v>
      </c>
      <c r="M276">
        <v>0</v>
      </c>
      <c r="N276">
        <v>20.833333333333332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1186.163146122052</v>
      </c>
      <c r="AO276">
        <v>132.73507843020488</v>
      </c>
      <c r="AP276">
        <v>1106.5570283904588</v>
      </c>
      <c r="AQ276">
        <v>459.29231603582201</v>
      </c>
      <c r="AR276">
        <v>132.84057290523631</v>
      </c>
      <c r="AS276">
        <v>1566.6297270191087</v>
      </c>
      <c r="AT276">
        <v>64.186316972828479</v>
      </c>
      <c r="AU276">
        <v>442.97567483650744</v>
      </c>
      <c r="AV276"/>
      <c r="AW276"/>
      <c r="FY276" s="211">
        <v>271</v>
      </c>
      <c r="FZ276">
        <v>99.821506197561504</v>
      </c>
      <c r="GA276">
        <v>117.50433043637034</v>
      </c>
      <c r="GB276">
        <v>47.910152136669964</v>
      </c>
      <c r="GC276">
        <v>10.463030182840193</v>
      </c>
      <c r="GD276">
        <v>3.5609964121076132</v>
      </c>
      <c r="GE276">
        <v>7.0156768979085555</v>
      </c>
      <c r="GF276">
        <v>24.299558014114773</v>
      </c>
      <c r="GG276">
        <v>27.76798547591499</v>
      </c>
      <c r="GH276">
        <v>31.094194356308236</v>
      </c>
      <c r="GI276">
        <v>83.434960485196555</v>
      </c>
      <c r="GJ276"/>
      <c r="GK276"/>
      <c r="GL276"/>
      <c r="GM276"/>
    </row>
    <row r="277" spans="1:195" s="7" customFormat="1">
      <c r="A277" s="1"/>
      <c r="B277">
        <v>0.93776498033546596</v>
      </c>
      <c r="C277">
        <v>9</v>
      </c>
      <c r="D277">
        <v>39775</v>
      </c>
      <c r="E277">
        <v>0</v>
      </c>
      <c r="F277">
        <v>20.833333333333332</v>
      </c>
      <c r="G277">
        <v>10.416666666666666</v>
      </c>
      <c r="H277">
        <v>83.333333333333329</v>
      </c>
      <c r="I277">
        <v>41.666666666666664</v>
      </c>
      <c r="J277">
        <v>10.416666666666666</v>
      </c>
      <c r="K277">
        <v>0</v>
      </c>
      <c r="L277">
        <v>31.25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1144.1891114097275</v>
      </c>
      <c r="AO277">
        <v>147.2561829732735</v>
      </c>
      <c r="AP277">
        <v>1193.0206997771033</v>
      </c>
      <c r="AQ277">
        <v>442.10027459955154</v>
      </c>
      <c r="AR277">
        <v>143.64814125148263</v>
      </c>
      <c r="AS277">
        <v>1629.8514604717907</v>
      </c>
      <c r="AT277">
        <v>70.10922257765553</v>
      </c>
      <c r="AU277">
        <v>181.40212445953554</v>
      </c>
      <c r="AV277"/>
      <c r="AW277"/>
      <c r="FY277" s="211">
        <v>272</v>
      </c>
      <c r="FZ277">
        <v>106.44694833225225</v>
      </c>
      <c r="GA277">
        <v>68.988855811135423</v>
      </c>
      <c r="GB277">
        <v>25.883081956712335</v>
      </c>
      <c r="GC277">
        <v>6.3547302635874274</v>
      </c>
      <c r="GD277">
        <v>1.9142149678208635</v>
      </c>
      <c r="GE277">
        <v>5.3027519193764858</v>
      </c>
      <c r="GF277">
        <v>23.853899969565827</v>
      </c>
      <c r="GG277">
        <v>29.178432614961338</v>
      </c>
      <c r="GH277">
        <v>30.974324862474532</v>
      </c>
      <c r="GI277">
        <v>70.032002602854391</v>
      </c>
      <c r="GJ277"/>
      <c r="GK277"/>
      <c r="GL277"/>
      <c r="GM277"/>
    </row>
    <row r="278" spans="1:195" s="7" customFormat="1">
      <c r="A278" s="1"/>
      <c r="B278">
        <v>0.70557461800961629</v>
      </c>
      <c r="C278">
        <v>6</v>
      </c>
      <c r="D278">
        <v>39799</v>
      </c>
      <c r="E278">
        <v>0</v>
      </c>
      <c r="F278">
        <v>0</v>
      </c>
      <c r="G278">
        <v>0</v>
      </c>
      <c r="H278">
        <v>62.5</v>
      </c>
      <c r="I278">
        <v>197.91666666666666</v>
      </c>
      <c r="J278">
        <v>93.75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867.36003998851902</v>
      </c>
      <c r="AO278">
        <v>151.89868332002737</v>
      </c>
      <c r="AP278">
        <v>1265.148310582181</v>
      </c>
      <c r="AQ278">
        <v>329.9843975363525</v>
      </c>
      <c r="AR278">
        <v>144.87746313471391</v>
      </c>
      <c r="AS278">
        <v>1464.7818521924949</v>
      </c>
      <c r="AT278">
        <v>70.517734014541702</v>
      </c>
      <c r="AU278">
        <v>7.8141087148966477</v>
      </c>
      <c r="AV278"/>
      <c r="AW278"/>
      <c r="FY278" s="211">
        <v>273</v>
      </c>
      <c r="FZ278">
        <v>88.076512642442978</v>
      </c>
      <c r="GA278">
        <v>40.632159554402932</v>
      </c>
      <c r="GB278">
        <v>22.5214829518474</v>
      </c>
      <c r="GC278">
        <v>8.5926537727250647</v>
      </c>
      <c r="GD278">
        <v>2.7266193615354393</v>
      </c>
      <c r="GE278">
        <v>3.8470386022722338</v>
      </c>
      <c r="GF278">
        <v>47.794397852037726</v>
      </c>
      <c r="GG278">
        <v>59.017887411654335</v>
      </c>
      <c r="GH278">
        <v>18.090991209025919</v>
      </c>
      <c r="GI278">
        <v>74.436904451699007</v>
      </c>
      <c r="GJ278"/>
      <c r="GK278"/>
      <c r="GL278"/>
      <c r="GM278"/>
    </row>
    <row r="279" spans="1:195" s="7" customFormat="1">
      <c r="A279" s="1"/>
      <c r="B279">
        <v>0.98893850158064556</v>
      </c>
      <c r="C279">
        <v>3</v>
      </c>
      <c r="D279">
        <v>39799</v>
      </c>
      <c r="E279">
        <v>0</v>
      </c>
      <c r="F279">
        <v>83.333333333333329</v>
      </c>
      <c r="G279">
        <v>833.33333333333337</v>
      </c>
      <c r="H279">
        <v>1416.6666666666667</v>
      </c>
      <c r="I279">
        <v>988.78205128205127</v>
      </c>
      <c r="J279">
        <v>190.70512820512818</v>
      </c>
      <c r="K279">
        <v>48.076923076923073</v>
      </c>
      <c r="L279">
        <v>24.038461538461537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24.038461538461537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1240.9569986522736</v>
      </c>
      <c r="AO279">
        <v>190.29616696884608</v>
      </c>
      <c r="AP279">
        <v>1616.8341907129102</v>
      </c>
      <c r="AQ279">
        <v>441.66197472293754</v>
      </c>
      <c r="AR279">
        <v>185.71521677221128</v>
      </c>
      <c r="AS279">
        <v>2009.8575528999015</v>
      </c>
      <c r="AT279">
        <v>92.033425763949026</v>
      </c>
      <c r="AU279">
        <v>512.97618076225308</v>
      </c>
      <c r="AV279"/>
      <c r="AW279"/>
      <c r="FY279" s="211">
        <v>274</v>
      </c>
      <c r="FZ279">
        <v>100.83670235429848</v>
      </c>
      <c r="GA279">
        <v>117.43935839027772</v>
      </c>
      <c r="GB279">
        <v>36.282405565781119</v>
      </c>
      <c r="GC279">
        <v>8.7501417846453897</v>
      </c>
      <c r="GD279">
        <v>4.1141660702414438</v>
      </c>
      <c r="GE279">
        <v>8.6925650446596414</v>
      </c>
      <c r="GF279">
        <v>32.2338762333329</v>
      </c>
      <c r="GG279">
        <v>33.041284232850913</v>
      </c>
      <c r="GH279">
        <v>28.462325204733538</v>
      </c>
      <c r="GI279">
        <v>76.455174859167826</v>
      </c>
      <c r="GJ279"/>
      <c r="GK279"/>
      <c r="GL279"/>
      <c r="GM279"/>
    </row>
    <row r="280" spans="1:195" s="7" customFormat="1">
      <c r="A280" s="1"/>
      <c r="B280">
        <v>0.97341715595274669</v>
      </c>
      <c r="C280">
        <v>5</v>
      </c>
      <c r="D280">
        <v>39799</v>
      </c>
      <c r="E280">
        <v>0</v>
      </c>
      <c r="F280">
        <v>981.5705128205127</v>
      </c>
      <c r="G280">
        <v>560.89743589743591</v>
      </c>
      <c r="H280">
        <v>70.112179487179489</v>
      </c>
      <c r="I280">
        <v>10.416666666666666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1252.4612558666668</v>
      </c>
      <c r="AO280">
        <v>165.89174540364041</v>
      </c>
      <c r="AP280">
        <v>1308.6245078322163</v>
      </c>
      <c r="AQ280">
        <v>509.19847495886535</v>
      </c>
      <c r="AR280">
        <v>165.42831885705721</v>
      </c>
      <c r="AS280">
        <v>1924.0811494327779</v>
      </c>
      <c r="AT280">
        <v>81.732471442447803</v>
      </c>
      <c r="AU280">
        <v>165.63838114927822</v>
      </c>
      <c r="AV280"/>
      <c r="AW280"/>
      <c r="FY280" s="211">
        <v>275</v>
      </c>
      <c r="FZ280">
        <v>140.18709265978598</v>
      </c>
      <c r="GA280">
        <v>88.930597530123364</v>
      </c>
      <c r="GB280">
        <v>25.523193784180279</v>
      </c>
      <c r="GC280">
        <v>7.3394411416421637</v>
      </c>
      <c r="GD280">
        <v>3.1376595143848398</v>
      </c>
      <c r="GE280">
        <v>5.1208025167524376</v>
      </c>
      <c r="GF280">
        <v>33.836393295146536</v>
      </c>
      <c r="GG280">
        <v>46.901353326251531</v>
      </c>
      <c r="GH280">
        <v>29.455908123974517</v>
      </c>
      <c r="GI280">
        <v>70.96941094841462</v>
      </c>
      <c r="GJ280"/>
      <c r="GK280"/>
      <c r="GL280"/>
      <c r="GM280"/>
    </row>
    <row r="281" spans="1:195" s="7" customFormat="1">
      <c r="A281" s="1"/>
      <c r="B281">
        <v>0.86679905844057981</v>
      </c>
      <c r="C281">
        <v>10</v>
      </c>
      <c r="D281">
        <v>39799</v>
      </c>
      <c r="E281">
        <v>0</v>
      </c>
      <c r="F281">
        <v>104.16666666666667</v>
      </c>
      <c r="G281">
        <v>260.41666666666669</v>
      </c>
      <c r="H281">
        <v>52.083333333333336</v>
      </c>
      <c r="I281">
        <v>62.5</v>
      </c>
      <c r="J281">
        <v>10.416666666666666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1503.2373747178849</v>
      </c>
      <c r="AO281">
        <v>204.0038309794341</v>
      </c>
      <c r="AP281">
        <v>1721.8306420431634</v>
      </c>
      <c r="AQ281">
        <v>567.74555568885762</v>
      </c>
      <c r="AR281">
        <v>196.34804504902078</v>
      </c>
      <c r="AS281">
        <v>2145.9746367487337</v>
      </c>
      <c r="AT281">
        <v>96.236932607359833</v>
      </c>
      <c r="AU281">
        <v>508.746096911677</v>
      </c>
      <c r="AV281"/>
      <c r="AW281"/>
      <c r="FY281" s="211">
        <v>276</v>
      </c>
      <c r="FZ281">
        <v>107.89594956273156</v>
      </c>
      <c r="GA281">
        <v>77.186649317424298</v>
      </c>
      <c r="GB281">
        <v>28.538200238017165</v>
      </c>
      <c r="GC281">
        <v>9.0132058646731394</v>
      </c>
      <c r="GD281">
        <v>2.4953101727614992</v>
      </c>
      <c r="GE281">
        <v>3.3649207007188124</v>
      </c>
      <c r="GF281">
        <v>38.356573303606339</v>
      </c>
      <c r="GG281">
        <v>47.694332194536685</v>
      </c>
      <c r="GH281">
        <v>22.462466548207509</v>
      </c>
      <c r="GI281">
        <v>78.97376890116503</v>
      </c>
      <c r="GJ281"/>
      <c r="GK281"/>
      <c r="GL281"/>
      <c r="GM281"/>
    </row>
    <row r="282" spans="1:195" s="7" customFormat="1">
      <c r="A282" s="1"/>
      <c r="B282">
        <v>0.72136695198655953</v>
      </c>
      <c r="C282">
        <v>5</v>
      </c>
      <c r="D282">
        <v>39799</v>
      </c>
      <c r="E282">
        <v>0</v>
      </c>
      <c r="F282">
        <v>981.5705128205127</v>
      </c>
      <c r="G282">
        <v>560.89743589743591</v>
      </c>
      <c r="H282">
        <v>70.112179487179489</v>
      </c>
      <c r="I282">
        <v>10.416666666666666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1215.9552812000984</v>
      </c>
      <c r="AO282">
        <v>165.7826077807394</v>
      </c>
      <c r="AP282">
        <v>1404.9453363542266</v>
      </c>
      <c r="AQ282">
        <v>420.77920514122377</v>
      </c>
      <c r="AR282">
        <v>164.18408040385776</v>
      </c>
      <c r="AS282">
        <v>1795.0693804232085</v>
      </c>
      <c r="AT282">
        <v>79.655384087171555</v>
      </c>
      <c r="AU282">
        <v>223.90561930163804</v>
      </c>
      <c r="AV282"/>
      <c r="AW282"/>
      <c r="FY282" s="211">
        <v>277</v>
      </c>
      <c r="FZ282">
        <v>144.76029285679292</v>
      </c>
      <c r="GA282">
        <v>81.40138140839386</v>
      </c>
      <c r="GB282">
        <v>21.329968378116693</v>
      </c>
      <c r="GC282">
        <v>9.4401682765601418</v>
      </c>
      <c r="GD282">
        <v>4.5888773313715738</v>
      </c>
      <c r="GE282">
        <v>5.5017809091622603</v>
      </c>
      <c r="GF282">
        <v>54.629699739158667</v>
      </c>
      <c r="GG282">
        <v>68.556021721093074</v>
      </c>
      <c r="GH282">
        <v>24.766802389508534</v>
      </c>
      <c r="GI282">
        <v>84.222529699456203</v>
      </c>
      <c r="GJ282"/>
      <c r="GK282"/>
      <c r="GL282"/>
      <c r="GM282"/>
    </row>
    <row r="283" spans="1:195" s="7" customFormat="1">
      <c r="A283" s="1"/>
      <c r="B283">
        <v>0.21272108534705492</v>
      </c>
      <c r="C283">
        <v>9</v>
      </c>
      <c r="D283">
        <v>39799</v>
      </c>
      <c r="E283">
        <v>0</v>
      </c>
      <c r="F283">
        <v>57.53391472868217</v>
      </c>
      <c r="G283">
        <v>57.53391472868217</v>
      </c>
      <c r="H283">
        <v>10.416666666666666</v>
      </c>
      <c r="I283">
        <v>0</v>
      </c>
      <c r="J283">
        <v>0</v>
      </c>
      <c r="K283">
        <v>0</v>
      </c>
      <c r="L283">
        <v>10.416666666666666</v>
      </c>
      <c r="M283">
        <v>0</v>
      </c>
      <c r="N283">
        <v>10.416666666666666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1414.4629330728235</v>
      </c>
      <c r="AO283">
        <v>191.29876276204422</v>
      </c>
      <c r="AP283">
        <v>1611.5081660237613</v>
      </c>
      <c r="AQ283">
        <v>589.25885301277924</v>
      </c>
      <c r="AR283">
        <v>191.08355593943034</v>
      </c>
      <c r="AS283">
        <v>2155.8727558695414</v>
      </c>
      <c r="AT283">
        <v>93.204679638491939</v>
      </c>
      <c r="AU283">
        <v>94.369514146454947</v>
      </c>
      <c r="AV283"/>
      <c r="AW283"/>
      <c r="FY283" s="211">
        <v>278</v>
      </c>
      <c r="FZ283">
        <v>200.02748772848892</v>
      </c>
      <c r="GA283">
        <v>142.39200649146892</v>
      </c>
      <c r="GB283">
        <v>28.411513678192378</v>
      </c>
      <c r="GC283">
        <v>9.4336656351388779</v>
      </c>
      <c r="GD283">
        <v>3.8551880993214587</v>
      </c>
      <c r="GE283">
        <v>7.2517211833407114</v>
      </c>
      <c r="GF283">
        <v>34.077690762352837</v>
      </c>
      <c r="GG283">
        <v>39.886805966292826</v>
      </c>
      <c r="GH283">
        <v>15.296076843384167</v>
      </c>
      <c r="GI283">
        <v>89.282816183558637</v>
      </c>
      <c r="GJ283"/>
      <c r="GK283"/>
      <c r="GL283"/>
      <c r="GM283"/>
    </row>
    <row r="284" spans="1:195" s="7" customFormat="1">
      <c r="A284" s="1"/>
      <c r="B284">
        <v>0.12796332924809306</v>
      </c>
      <c r="C284">
        <v>4</v>
      </c>
      <c r="D284">
        <v>39799</v>
      </c>
      <c r="E284">
        <v>0</v>
      </c>
      <c r="F284">
        <v>1169.7860962566845</v>
      </c>
      <c r="G284">
        <v>584.89304812834223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37.878787878787875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1408.148935823335</v>
      </c>
      <c r="AO284">
        <v>211.33769335323367</v>
      </c>
      <c r="AP284">
        <v>1727.3048873945618</v>
      </c>
      <c r="AQ284">
        <v>585.14336979723532</v>
      </c>
      <c r="AR284">
        <v>209.47736590379267</v>
      </c>
      <c r="AS284">
        <v>2276.563164945353</v>
      </c>
      <c r="AT284">
        <v>106.11294374436073</v>
      </c>
      <c r="AU284">
        <v>251.34935533149454</v>
      </c>
      <c r="AV284"/>
      <c r="AW284"/>
      <c r="FY284" s="211">
        <v>279</v>
      </c>
      <c r="FZ284">
        <v>90.418914206604185</v>
      </c>
      <c r="GA284">
        <v>71.666338828341722</v>
      </c>
      <c r="GB284">
        <v>28.416522110636883</v>
      </c>
      <c r="GC284">
        <v>8.1367187142124475</v>
      </c>
      <c r="GD284">
        <v>2.8837182079211336</v>
      </c>
      <c r="GE284">
        <v>5.328498778558739</v>
      </c>
      <c r="GF284">
        <v>18.291150699845854</v>
      </c>
      <c r="GG284">
        <v>24.184607999335189</v>
      </c>
      <c r="GH284">
        <v>30.530980776649766</v>
      </c>
      <c r="GI284">
        <v>64.762189058156366</v>
      </c>
      <c r="GJ284"/>
      <c r="GK284"/>
      <c r="GL284"/>
      <c r="GM284"/>
    </row>
    <row r="285" spans="1:195" s="7" customFormat="1">
      <c r="A285" s="1"/>
      <c r="B285">
        <v>0.99956642091961512</v>
      </c>
      <c r="C285">
        <v>5</v>
      </c>
      <c r="D285">
        <v>39799</v>
      </c>
      <c r="E285">
        <v>0</v>
      </c>
      <c r="F285">
        <v>981.5705128205127</v>
      </c>
      <c r="G285">
        <v>560.89743589743591</v>
      </c>
      <c r="H285">
        <v>70.112179487179489</v>
      </c>
      <c r="I285">
        <v>10.416666666666666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1000.2784899309545</v>
      </c>
      <c r="AO285">
        <v>154.29243700893318</v>
      </c>
      <c r="AP285">
        <v>1318.9762570797334</v>
      </c>
      <c r="AQ285">
        <v>367.64986423395868</v>
      </c>
      <c r="AR285">
        <v>150.2013234470169</v>
      </c>
      <c r="AS285">
        <v>1535.5700682377026</v>
      </c>
      <c r="AT285">
        <v>73.120153629476874</v>
      </c>
      <c r="AU285">
        <v>131.73385349587738</v>
      </c>
      <c r="AV285"/>
      <c r="AW285"/>
      <c r="FY285" s="211">
        <v>280</v>
      </c>
      <c r="FZ285">
        <v>161.98150388293348</v>
      </c>
      <c r="GA285">
        <v>133.41108949801506</v>
      </c>
      <c r="GB285">
        <v>32.914681838594447</v>
      </c>
      <c r="GC285">
        <v>9.7241056438832274</v>
      </c>
      <c r="GD285">
        <v>4.0522918203605984</v>
      </c>
      <c r="GE285">
        <v>5.8346920850721133</v>
      </c>
      <c r="GF285">
        <v>57.996994304773082</v>
      </c>
      <c r="GG285">
        <v>75.000986712173727</v>
      </c>
      <c r="GH285">
        <v>21.780367134938881</v>
      </c>
      <c r="GI285">
        <v>97.456490805269169</v>
      </c>
      <c r="GJ285"/>
      <c r="GK285"/>
      <c r="GL285"/>
      <c r="GM285"/>
    </row>
    <row r="286" spans="1:195" s="7" customFormat="1">
      <c r="A286" s="1"/>
      <c r="B286">
        <v>7.0115602365063978E-3</v>
      </c>
      <c r="C286">
        <v>3</v>
      </c>
      <c r="D286">
        <v>39799</v>
      </c>
      <c r="E286">
        <v>0</v>
      </c>
      <c r="F286">
        <v>83.333333333333329</v>
      </c>
      <c r="G286">
        <v>833.33333333333337</v>
      </c>
      <c r="H286">
        <v>1416.6666666666667</v>
      </c>
      <c r="I286">
        <v>988.78205128205127</v>
      </c>
      <c r="J286">
        <v>190.70512820512818</v>
      </c>
      <c r="K286">
        <v>48.076923076923073</v>
      </c>
      <c r="L286">
        <v>24.038461538461537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24.038461538461537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1073.7891874995389</v>
      </c>
      <c r="AO286">
        <v>169.35071140617723</v>
      </c>
      <c r="AP286">
        <v>1352.8143007161652</v>
      </c>
      <c r="AQ286">
        <v>466.7871705507265</v>
      </c>
      <c r="AR286">
        <v>165.14579138821617</v>
      </c>
      <c r="AS286">
        <v>1742.1672210028871</v>
      </c>
      <c r="AT286">
        <v>83.359057176568982</v>
      </c>
      <c r="AU286">
        <v>109.03499664934697</v>
      </c>
      <c r="AV286"/>
      <c r="AW286"/>
      <c r="FY286" s="211">
        <v>281</v>
      </c>
      <c r="FZ286">
        <v>143.40293070732443</v>
      </c>
      <c r="GA286">
        <v>100.72349156003793</v>
      </c>
      <c r="GB286">
        <v>28.101618709271548</v>
      </c>
      <c r="GC286">
        <v>5.4856169309303171</v>
      </c>
      <c r="GD286">
        <v>2.9450818468350972</v>
      </c>
      <c r="GE286">
        <v>5.3063805058670539</v>
      </c>
      <c r="GF286">
        <v>27.05258220760447</v>
      </c>
      <c r="GG286">
        <v>34.672283262909005</v>
      </c>
      <c r="GH286">
        <v>20.141922860345375</v>
      </c>
      <c r="GI286">
        <v>68.691273831130829</v>
      </c>
      <c r="GJ286"/>
      <c r="GK286"/>
      <c r="GL286"/>
      <c r="GM286"/>
    </row>
    <row r="287" spans="1:195" s="7" customFormat="1">
      <c r="A287" s="1"/>
      <c r="B287">
        <v>9.4704721967004524E-2</v>
      </c>
      <c r="C287">
        <v>5</v>
      </c>
      <c r="D287">
        <v>39799</v>
      </c>
      <c r="E287">
        <v>0</v>
      </c>
      <c r="F287">
        <v>981.5705128205127</v>
      </c>
      <c r="G287">
        <v>560.89743589743591</v>
      </c>
      <c r="H287">
        <v>70.112179487179489</v>
      </c>
      <c r="I287">
        <v>10.416666666666666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1268.9980166237387</v>
      </c>
      <c r="AO287">
        <v>188.48161884679027</v>
      </c>
      <c r="AP287">
        <v>1615.1033886694486</v>
      </c>
      <c r="AQ287">
        <v>452.87239059499274</v>
      </c>
      <c r="AR287">
        <v>184.34430016356197</v>
      </c>
      <c r="AS287">
        <v>1946.2705446167615</v>
      </c>
      <c r="AT287">
        <v>89.966601429007781</v>
      </c>
      <c r="AU287">
        <v>250.70947311150621</v>
      </c>
      <c r="AV287"/>
      <c r="AW287"/>
      <c r="FY287" s="211">
        <v>282</v>
      </c>
      <c r="FZ287">
        <v>117.03234625679255</v>
      </c>
      <c r="GA287">
        <v>117.51796287935012</v>
      </c>
      <c r="GB287">
        <v>33.031983315004545</v>
      </c>
      <c r="GC287">
        <v>6.7296325330533371</v>
      </c>
      <c r="GD287">
        <v>1.9902763925608111</v>
      </c>
      <c r="GE287">
        <v>3.8778740570158519</v>
      </c>
      <c r="GF287">
        <v>12.4386823497384</v>
      </c>
      <c r="GG287">
        <v>18.524432373208203</v>
      </c>
      <c r="GH287">
        <v>26.514314844948075</v>
      </c>
      <c r="GI287">
        <v>70.014504738900158</v>
      </c>
      <c r="GJ287"/>
      <c r="GK287"/>
      <c r="GL287"/>
      <c r="GM287"/>
    </row>
    <row r="288" spans="1:195" s="7" customFormat="1">
      <c r="A288" s="1"/>
      <c r="B288">
        <v>0.57239375242084201</v>
      </c>
      <c r="C288">
        <v>7</v>
      </c>
      <c r="D288">
        <v>39847</v>
      </c>
      <c r="E288">
        <v>0</v>
      </c>
      <c r="F288">
        <v>0</v>
      </c>
      <c r="G288">
        <v>10.416666666666666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1009.2205467307771</v>
      </c>
      <c r="AO288">
        <v>189.8998402438686</v>
      </c>
      <c r="AP288">
        <v>1665.2140799616443</v>
      </c>
      <c r="AQ288">
        <v>368.92924330074084</v>
      </c>
      <c r="AR288">
        <v>184.03057057570169</v>
      </c>
      <c r="AS288">
        <v>1783.7719798008181</v>
      </c>
      <c r="AT288">
        <v>94.41149531433301</v>
      </c>
      <c r="AU288">
        <v>285.34706923018689</v>
      </c>
      <c r="AV288"/>
      <c r="AW288"/>
      <c r="FY288" s="211">
        <v>283</v>
      </c>
      <c r="FZ288">
        <v>135.18931802963641</v>
      </c>
      <c r="GA288">
        <v>115.59737838826496</v>
      </c>
      <c r="GB288">
        <v>39.273914321532025</v>
      </c>
      <c r="GC288">
        <v>10.460527213716029</v>
      </c>
      <c r="GD288">
        <v>3.2059793478533161</v>
      </c>
      <c r="GE288">
        <v>5.3098829473841898</v>
      </c>
      <c r="GF288">
        <v>29.526942961904687</v>
      </c>
      <c r="GG288">
        <v>35.859327848081797</v>
      </c>
      <c r="GH288">
        <v>20.726349457374468</v>
      </c>
      <c r="GI288">
        <v>85.128237568844952</v>
      </c>
      <c r="GJ288"/>
      <c r="GK288"/>
      <c r="GL288"/>
      <c r="GM288"/>
    </row>
    <row r="289" spans="1:195" s="7" customFormat="1">
      <c r="A289" s="1"/>
      <c r="B289">
        <v>0.95662152278937551</v>
      </c>
      <c r="C289">
        <v>6</v>
      </c>
      <c r="D289">
        <v>39847</v>
      </c>
      <c r="E289">
        <v>0</v>
      </c>
      <c r="F289">
        <v>0</v>
      </c>
      <c r="G289">
        <v>10.416666666666666</v>
      </c>
      <c r="H289">
        <v>0</v>
      </c>
      <c r="I289">
        <v>72.916666666666671</v>
      </c>
      <c r="J289">
        <v>72.916666666666671</v>
      </c>
      <c r="K289">
        <v>41.666666666666664</v>
      </c>
      <c r="L289">
        <v>10.416666666666666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1163.4018104422269</v>
      </c>
      <c r="AO289">
        <v>158.71963310372288</v>
      </c>
      <c r="AP289">
        <v>1329.862918288431</v>
      </c>
      <c r="AQ289">
        <v>365.73664780964293</v>
      </c>
      <c r="AR289">
        <v>156.51732642730602</v>
      </c>
      <c r="AS289">
        <v>1683.1699930688555</v>
      </c>
      <c r="AT289">
        <v>72.381152082773198</v>
      </c>
      <c r="AU289">
        <v>263.8453527022458</v>
      </c>
      <c r="AV289"/>
      <c r="AW289"/>
      <c r="FY289" s="211">
        <v>284</v>
      </c>
      <c r="FZ289">
        <v>144.95782796088764</v>
      </c>
      <c r="GA289">
        <v>84.2353488189774</v>
      </c>
      <c r="GB289">
        <v>28.603360353526273</v>
      </c>
      <c r="GC289">
        <v>5.4611494888977683</v>
      </c>
      <c r="GD289">
        <v>2.8421212452455968</v>
      </c>
      <c r="GE289">
        <v>6.4506322866326675</v>
      </c>
      <c r="GF289">
        <v>39.037165210936806</v>
      </c>
      <c r="GG289">
        <v>48.017532983955718</v>
      </c>
      <c r="GH289">
        <v>16.421654563810048</v>
      </c>
      <c r="GI289">
        <v>74.838885436573108</v>
      </c>
      <c r="GJ289"/>
      <c r="GK289"/>
      <c r="GL289"/>
      <c r="GM289"/>
    </row>
    <row r="290" spans="1:195" s="7" customFormat="1">
      <c r="A290" s="1"/>
      <c r="B290">
        <v>0.62245608870419389</v>
      </c>
      <c r="C290">
        <v>10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10.416666666666666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1230.6805275106494</v>
      </c>
      <c r="AO290">
        <v>155.95901599170247</v>
      </c>
      <c r="AP290">
        <v>1291.5479841559672</v>
      </c>
      <c r="AQ290">
        <v>446.30799973998893</v>
      </c>
      <c r="AR290">
        <v>152.50559238069889</v>
      </c>
      <c r="AS290">
        <v>1553.3544982504575</v>
      </c>
      <c r="AT290">
        <v>73.700773713901555</v>
      </c>
      <c r="AU290">
        <v>224.74633571413733</v>
      </c>
      <c r="AV290"/>
      <c r="AW290"/>
      <c r="FY290" s="211">
        <v>285</v>
      </c>
      <c r="FZ290">
        <v>143.35740114993311</v>
      </c>
      <c r="GA290">
        <v>70.565331342344322</v>
      </c>
      <c r="GB290">
        <v>19.281867836295113</v>
      </c>
      <c r="GC290">
        <v>6.8846882858453711</v>
      </c>
      <c r="GD290">
        <v>2.7652240549678355</v>
      </c>
      <c r="GE290">
        <v>6.0688046585714535</v>
      </c>
      <c r="GF290">
        <v>35.348017787947299</v>
      </c>
      <c r="GG290">
        <v>44.057969104918662</v>
      </c>
      <c r="GH290">
        <v>32.760374896748182</v>
      </c>
      <c r="GI290">
        <v>76.464124702088156</v>
      </c>
      <c r="GJ290"/>
      <c r="GK290"/>
      <c r="GL290"/>
      <c r="GM290"/>
    </row>
    <row r="291" spans="1:195" s="7" customFormat="1">
      <c r="A291" s="1"/>
      <c r="B291">
        <v>0.56300192228731527</v>
      </c>
      <c r="C291">
        <v>9</v>
      </c>
      <c r="D291">
        <v>39847</v>
      </c>
      <c r="E291">
        <v>65.104166666666671</v>
      </c>
      <c r="F291">
        <v>455.72916666666663</v>
      </c>
      <c r="G291">
        <v>130.20833333333334</v>
      </c>
      <c r="H291">
        <v>65.104166666666671</v>
      </c>
      <c r="I291">
        <v>85.9375</v>
      </c>
      <c r="J291">
        <v>20.833333333333332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1057.1393080981222</v>
      </c>
      <c r="AO291">
        <v>142.96598501615318</v>
      </c>
      <c r="AP291">
        <v>1243.1505048531797</v>
      </c>
      <c r="AQ291">
        <v>451.40185284065626</v>
      </c>
      <c r="AR291">
        <v>144.14507296135199</v>
      </c>
      <c r="AS291">
        <v>1571.8869441494569</v>
      </c>
      <c r="AT291">
        <v>71.184928519240714</v>
      </c>
      <c r="AU291">
        <v>94.496530407835337</v>
      </c>
      <c r="AV291"/>
      <c r="AW291"/>
      <c r="FY291" s="211">
        <v>286</v>
      </c>
      <c r="FZ291">
        <v>119.36881178540152</v>
      </c>
      <c r="GA291">
        <v>67.25502706992728</v>
      </c>
      <c r="GB291">
        <v>28.071997886860355</v>
      </c>
      <c r="GC291">
        <v>8.3267279536745313</v>
      </c>
      <c r="GD291">
        <v>2.9665017766044097</v>
      </c>
      <c r="GE291">
        <v>6.6672453306088748</v>
      </c>
      <c r="GF291">
        <v>15.616338396750471</v>
      </c>
      <c r="GG291">
        <v>18.082213498829084</v>
      </c>
      <c r="GH291">
        <v>22.688076012725553</v>
      </c>
      <c r="GI291">
        <v>65.768645797052102</v>
      </c>
      <c r="GJ291"/>
      <c r="GK291"/>
      <c r="GL291"/>
      <c r="GM291"/>
    </row>
    <row r="292" spans="1:195" s="7" customFormat="1">
      <c r="A292" s="1"/>
      <c r="B292">
        <v>0.52308760885998096</v>
      </c>
      <c r="C292">
        <v>2</v>
      </c>
      <c r="D292">
        <v>39847</v>
      </c>
      <c r="E292">
        <v>0</v>
      </c>
      <c r="F292">
        <v>569.66145833333337</v>
      </c>
      <c r="G292">
        <v>376.51909722222223</v>
      </c>
      <c r="H292">
        <v>69.444444444444443</v>
      </c>
      <c r="I292">
        <v>148.65451388888889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1182.5397756026853</v>
      </c>
      <c r="AO292">
        <v>171.40239278443187</v>
      </c>
      <c r="AP292">
        <v>1409.176280929214</v>
      </c>
      <c r="AQ292">
        <v>415.98137680384201</v>
      </c>
      <c r="AR292">
        <v>166.91658469548887</v>
      </c>
      <c r="AS292">
        <v>1809.712413024607</v>
      </c>
      <c r="AT292">
        <v>79.947855462781277</v>
      </c>
      <c r="AU292">
        <v>348.89613891289548</v>
      </c>
      <c r="AV292"/>
      <c r="AW292"/>
      <c r="FY292" s="211">
        <v>287</v>
      </c>
      <c r="FZ292">
        <v>74.402813163928585</v>
      </c>
      <c r="GA292">
        <v>85.68917182626258</v>
      </c>
      <c r="GB292">
        <v>28.444690647433646</v>
      </c>
      <c r="GC292">
        <v>5.5705534514020396</v>
      </c>
      <c r="GD292">
        <v>1.4483206002033868</v>
      </c>
      <c r="GE292">
        <v>2.2656931827374782</v>
      </c>
      <c r="GF292">
        <v>17.06098400191193</v>
      </c>
      <c r="GG292">
        <v>22.666001583744947</v>
      </c>
      <c r="GH292">
        <v>31.405014983104074</v>
      </c>
      <c r="GI292">
        <v>59.942771417059447</v>
      </c>
      <c r="GJ292"/>
      <c r="GK292"/>
      <c r="GL292"/>
      <c r="GM292"/>
    </row>
    <row r="293" spans="1:195" s="7" customFormat="1">
      <c r="A293" s="1"/>
      <c r="B293">
        <v>0.5945425239645159</v>
      </c>
      <c r="C293">
        <v>2</v>
      </c>
      <c r="D293">
        <v>39847</v>
      </c>
      <c r="E293">
        <v>0</v>
      </c>
      <c r="F293">
        <v>569.66145833333337</v>
      </c>
      <c r="G293">
        <v>376.51909722222223</v>
      </c>
      <c r="H293">
        <v>69.444444444444443</v>
      </c>
      <c r="I293">
        <v>148.65451388888889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1314.0149382723887</v>
      </c>
      <c r="AO293">
        <v>151.47129945088432</v>
      </c>
      <c r="AP293">
        <v>1281.5033297924301</v>
      </c>
      <c r="AQ293">
        <v>499.19752270961396</v>
      </c>
      <c r="AR293">
        <v>148.28201637925602</v>
      </c>
      <c r="AS293">
        <v>1796.023073590678</v>
      </c>
      <c r="AT293">
        <v>71.206708486702212</v>
      </c>
      <c r="AU293">
        <v>266.87344661325238</v>
      </c>
      <c r="AV293"/>
      <c r="AW293"/>
      <c r="FY293" s="211">
        <v>288</v>
      </c>
      <c r="FZ293">
        <v>79.873620130228105</v>
      </c>
      <c r="GA293">
        <v>107.13036628437651</v>
      </c>
      <c r="GB293">
        <v>39.822174916924723</v>
      </c>
      <c r="GC293">
        <v>7.730882886127489</v>
      </c>
      <c r="GD293">
        <v>2.6292919124528478</v>
      </c>
      <c r="GE293">
        <v>4.4319436814625819</v>
      </c>
      <c r="GF293">
        <v>58.225407777136923</v>
      </c>
      <c r="GG293">
        <v>77.965411496671436</v>
      </c>
      <c r="GH293">
        <v>14.112940884018139</v>
      </c>
      <c r="GI293">
        <v>90.534077166283794</v>
      </c>
      <c r="GJ293"/>
      <c r="GK293"/>
      <c r="GL293"/>
      <c r="GM293"/>
    </row>
    <row r="294" spans="1:195" s="7" customFormat="1">
      <c r="A294" s="1"/>
      <c r="B294">
        <v>7.5670782134302783E-3</v>
      </c>
      <c r="C294">
        <v>1</v>
      </c>
      <c r="D294">
        <v>39847</v>
      </c>
      <c r="E294">
        <v>0</v>
      </c>
      <c r="F294">
        <v>72.916666666666671</v>
      </c>
      <c r="G294">
        <v>156.25</v>
      </c>
      <c r="H294">
        <v>83.333333333333329</v>
      </c>
      <c r="I294">
        <v>83.333333333333329</v>
      </c>
      <c r="J294">
        <v>20.833333333333332</v>
      </c>
      <c r="K294">
        <v>10.416666666666666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1303.2580732091624</v>
      </c>
      <c r="AO294">
        <v>190.24929475037314</v>
      </c>
      <c r="AP294">
        <v>1576.1128179491086</v>
      </c>
      <c r="AQ294">
        <v>569.91497257153981</v>
      </c>
      <c r="AR294">
        <v>182.30308599810402</v>
      </c>
      <c r="AS294">
        <v>1994.4442479771042</v>
      </c>
      <c r="AT294">
        <v>87.970320984717134</v>
      </c>
      <c r="AU294">
        <v>228.76128975428344</v>
      </c>
      <c r="AV294"/>
      <c r="AW294"/>
      <c r="FY294" s="211">
        <v>289</v>
      </c>
      <c r="FZ294">
        <v>147.58798981401415</v>
      </c>
      <c r="GA294">
        <v>120.73228019294719</v>
      </c>
      <c r="GB294">
        <v>28.312031279709693</v>
      </c>
      <c r="GC294">
        <v>7.442712371199244</v>
      </c>
      <c r="GD294">
        <v>3.9814438705429551</v>
      </c>
      <c r="GE294">
        <v>6.9902082604800633</v>
      </c>
      <c r="GF294">
        <v>26.436550146240734</v>
      </c>
      <c r="GG294">
        <v>34.326314055637418</v>
      </c>
      <c r="GH294">
        <v>18.767687079311322</v>
      </c>
      <c r="GI294">
        <v>81.778813415875391</v>
      </c>
      <c r="GJ294"/>
      <c r="GK294"/>
      <c r="GL294"/>
      <c r="GM294"/>
    </row>
    <row r="295" spans="1:195" s="7" customFormat="1">
      <c r="A295" s="1"/>
      <c r="B295">
        <v>0.24365808264706024</v>
      </c>
      <c r="C295">
        <v>7</v>
      </c>
      <c r="D295">
        <v>39847</v>
      </c>
      <c r="E295">
        <v>0</v>
      </c>
      <c r="F295">
        <v>0</v>
      </c>
      <c r="G295">
        <v>10.416666666666666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951.02853751820896</v>
      </c>
      <c r="AO295">
        <v>140.7262979576445</v>
      </c>
      <c r="AP295">
        <v>1223.9936961267758</v>
      </c>
      <c r="AQ295">
        <v>344.61963938026224</v>
      </c>
      <c r="AR295">
        <v>137.92437259063541</v>
      </c>
      <c r="AS295">
        <v>1398.6158794132091</v>
      </c>
      <c r="AT295">
        <v>65.751842179592728</v>
      </c>
      <c r="AU295">
        <v>140.8811221530616</v>
      </c>
      <c r="AV295"/>
      <c r="AW295"/>
      <c r="FY295" s="211">
        <v>290</v>
      </c>
      <c r="FZ295">
        <v>101.02227955653312</v>
      </c>
      <c r="GA295">
        <v>93.332337229726647</v>
      </c>
      <c r="GB295">
        <v>26.027375861293148</v>
      </c>
      <c r="GC295">
        <v>9.0273920704616515</v>
      </c>
      <c r="GD295">
        <v>4.0056179918871564</v>
      </c>
      <c r="GE295">
        <v>3.2753297278316769</v>
      </c>
      <c r="GF295">
        <v>25.728862180669658</v>
      </c>
      <c r="GG295">
        <v>33.415537652052294</v>
      </c>
      <c r="GH295">
        <v>16.602642345811272</v>
      </c>
      <c r="GI295">
        <v>73.166262962226853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1498.8934256754637</v>
      </c>
      <c r="AO296">
        <v>191.80713082200006</v>
      </c>
      <c r="AP296">
        <v>1639.4414103320435</v>
      </c>
      <c r="AQ296">
        <v>600.15320372601377</v>
      </c>
      <c r="AR296">
        <v>184.94013086674678</v>
      </c>
      <c r="AS296">
        <v>1974.4793827955491</v>
      </c>
      <c r="AT296">
        <v>88.0734157943794</v>
      </c>
      <c r="AU296">
        <v>241.73515390068937</v>
      </c>
      <c r="AV296"/>
      <c r="AW296"/>
      <c r="FY296" s="211">
        <v>291</v>
      </c>
      <c r="FZ296">
        <v>108.61473131234217</v>
      </c>
      <c r="GA296">
        <v>103.25035557327892</v>
      </c>
      <c r="GB296">
        <v>31.752243867399038</v>
      </c>
      <c r="GC296">
        <v>10.041498365509302</v>
      </c>
      <c r="GD296">
        <v>4.6358930010066199</v>
      </c>
      <c r="GE296">
        <v>6.4432168350322669</v>
      </c>
      <c r="GF296">
        <v>54.957017779341996</v>
      </c>
      <c r="GG296">
        <v>66.014037337230846</v>
      </c>
      <c r="GH296">
        <v>27.148814109243499</v>
      </c>
      <c r="GI296">
        <v>91.365836156057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1032.3400681460621</v>
      </c>
      <c r="AO297">
        <v>151.47878420229878</v>
      </c>
      <c r="AP297">
        <v>1276.7674400704389</v>
      </c>
      <c r="AQ297">
        <v>436.52318242225601</v>
      </c>
      <c r="AR297">
        <v>150.90314221227237</v>
      </c>
      <c r="AS297">
        <v>1528.4555040710673</v>
      </c>
      <c r="AT297">
        <v>70.749302273909549</v>
      </c>
      <c r="AU297">
        <v>112.49257472762808</v>
      </c>
      <c r="AV297"/>
      <c r="AW297"/>
      <c r="FY297" s="211">
        <v>292</v>
      </c>
      <c r="FZ297">
        <v>179.08484244579572</v>
      </c>
      <c r="GA297">
        <v>116.83535502866492</v>
      </c>
      <c r="GB297">
        <v>21.11664945801585</v>
      </c>
      <c r="GC297">
        <v>7.1776935259023347</v>
      </c>
      <c r="GD297">
        <v>2.8797750261764183</v>
      </c>
      <c r="GE297">
        <v>6.918877695274702</v>
      </c>
      <c r="GF297">
        <v>29.794680573077965</v>
      </c>
      <c r="GG297">
        <v>33.373472571088264</v>
      </c>
      <c r="GH297">
        <v>15.050990342283203</v>
      </c>
      <c r="GI297">
        <v>66.371168967255841</v>
      </c>
      <c r="GJ297"/>
      <c r="GK297"/>
      <c r="GL297"/>
      <c r="GM297"/>
    </row>
    <row r="298" spans="1:195" s="7" customFormat="1">
      <c r="A298" s="1"/>
      <c r="B298">
        <v>0.97886473348711522</v>
      </c>
      <c r="C298">
        <v>6</v>
      </c>
      <c r="D298">
        <v>39910</v>
      </c>
      <c r="E298">
        <v>0</v>
      </c>
      <c r="F298">
        <v>0</v>
      </c>
      <c r="G298">
        <v>0</v>
      </c>
      <c r="H298">
        <v>10.416666666666666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966.31840959978888</v>
      </c>
      <c r="AO298">
        <v>163.7256198978321</v>
      </c>
      <c r="AP298">
        <v>1382.5572961494843</v>
      </c>
      <c r="AQ298">
        <v>407.67200974057204</v>
      </c>
      <c r="AR298">
        <v>158.4952892593268</v>
      </c>
      <c r="AS298">
        <v>1681.6097060069189</v>
      </c>
      <c r="AT298">
        <v>79.642120539720153</v>
      </c>
      <c r="AU298">
        <v>84.95015885765234</v>
      </c>
      <c r="AV298"/>
      <c r="AW298"/>
      <c r="FY298" s="211">
        <v>293</v>
      </c>
      <c r="FZ298">
        <v>106.3563094147532</v>
      </c>
      <c r="GA298">
        <v>93.3428670755588</v>
      </c>
      <c r="GB298">
        <v>29.690734839307456</v>
      </c>
      <c r="GC298">
        <v>6.0588103972315626</v>
      </c>
      <c r="GD298">
        <v>4.0900355014731726</v>
      </c>
      <c r="GE298">
        <v>7.6938115418736057</v>
      </c>
      <c r="GF298">
        <v>36.827469932069683</v>
      </c>
      <c r="GG298">
        <v>44.215592132463748</v>
      </c>
      <c r="GH298">
        <v>26.160021852768885</v>
      </c>
      <c r="GI298">
        <v>68.308508948994827</v>
      </c>
      <c r="GJ298"/>
      <c r="GK298"/>
      <c r="GL298"/>
      <c r="GM298"/>
    </row>
    <row r="299" spans="1:195" s="7" customFormat="1">
      <c r="A299" s="1"/>
      <c r="B299">
        <v>0.1179463503604814</v>
      </c>
      <c r="C299">
        <v>5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10.416666666666666</v>
      </c>
      <c r="K299">
        <v>0</v>
      </c>
      <c r="L299">
        <v>10.416666666666666</v>
      </c>
      <c r="M299">
        <v>0</v>
      </c>
      <c r="N299">
        <v>0</v>
      </c>
      <c r="O299">
        <v>0</v>
      </c>
      <c r="P299">
        <v>10.416666666666666</v>
      </c>
      <c r="Q299">
        <v>20.833333333333332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1238.7780366953018</v>
      </c>
      <c r="AO299">
        <v>171.43092376056072</v>
      </c>
      <c r="AP299">
        <v>1378.3409405390321</v>
      </c>
      <c r="AQ299">
        <v>480.27785808459288</v>
      </c>
      <c r="AR299">
        <v>167.01468786950795</v>
      </c>
      <c r="AS299">
        <v>1891.5780259945225</v>
      </c>
      <c r="AT299">
        <v>81.239968288905985</v>
      </c>
      <c r="AU299">
        <v>158.61639232786194</v>
      </c>
      <c r="AV299"/>
      <c r="AW299"/>
      <c r="FY299" s="211">
        <v>294</v>
      </c>
      <c r="FZ299">
        <v>144.77118868069172</v>
      </c>
      <c r="GA299">
        <v>65.968250054431735</v>
      </c>
      <c r="GB299">
        <v>26.86286964190208</v>
      </c>
      <c r="GC299">
        <v>10.856161525255548</v>
      </c>
      <c r="GD299">
        <v>4.0017781852906307</v>
      </c>
      <c r="GE299">
        <v>4.579978317430621</v>
      </c>
      <c r="GF299">
        <v>16.048412138052221</v>
      </c>
      <c r="GG299">
        <v>23.773472961551938</v>
      </c>
      <c r="GH299">
        <v>30.006237478114478</v>
      </c>
      <c r="GI299">
        <v>71.103956153653343</v>
      </c>
      <c r="GJ299"/>
      <c r="GK299"/>
      <c r="GL299"/>
      <c r="GM299"/>
    </row>
    <row r="300" spans="1:195" s="7" customFormat="1">
      <c r="A300" s="1"/>
      <c r="B300">
        <v>0.75418493008282073</v>
      </c>
      <c r="C300">
        <v>6</v>
      </c>
      <c r="D300">
        <v>39910</v>
      </c>
      <c r="E300">
        <v>0</v>
      </c>
      <c r="F300">
        <v>0</v>
      </c>
      <c r="G300">
        <v>0</v>
      </c>
      <c r="H300">
        <v>10.416666666666666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1144.7449613780807</v>
      </c>
      <c r="AO300">
        <v>156.99303637847524</v>
      </c>
      <c r="AP300">
        <v>1279.9032947951355</v>
      </c>
      <c r="AQ300">
        <v>450.86567834944299</v>
      </c>
      <c r="AR300">
        <v>156.86376674728353</v>
      </c>
      <c r="AS300">
        <v>1630.0802894997694</v>
      </c>
      <c r="AT300">
        <v>75.140670929042997</v>
      </c>
      <c r="AU300">
        <v>332.65669534780807</v>
      </c>
      <c r="AV300"/>
      <c r="AW300"/>
      <c r="FY300" s="211">
        <v>295</v>
      </c>
      <c r="FZ300">
        <v>156.33503994953674</v>
      </c>
      <c r="GA300">
        <v>124.88379436498673</v>
      </c>
      <c r="GB300">
        <v>31.660523141274087</v>
      </c>
      <c r="GC300">
        <v>7.6486232352069026</v>
      </c>
      <c r="GD300">
        <v>4.0953275533613072</v>
      </c>
      <c r="GE300">
        <v>6.187848843308875</v>
      </c>
      <c r="GF300">
        <v>19.178595526719484</v>
      </c>
      <c r="GG300">
        <v>25.210852672885366</v>
      </c>
      <c r="GH300">
        <v>23.165431758391396</v>
      </c>
      <c r="GI300">
        <v>70.817808467871174</v>
      </c>
      <c r="GJ300"/>
      <c r="GK300"/>
      <c r="GL300"/>
      <c r="GM300"/>
    </row>
    <row r="301" spans="1:195" s="7" customFormat="1">
      <c r="A301" s="1"/>
      <c r="B301">
        <v>0.58330025472239111</v>
      </c>
      <c r="C301">
        <v>9</v>
      </c>
      <c r="D301">
        <v>39910</v>
      </c>
      <c r="E301">
        <v>0</v>
      </c>
      <c r="F301">
        <v>303.8194444444444</v>
      </c>
      <c r="G301">
        <v>1721.6435185185185</v>
      </c>
      <c r="H301">
        <v>607.6388888888888</v>
      </c>
      <c r="I301">
        <v>1385.3009259259259</v>
      </c>
      <c r="J301">
        <v>578.81944444444434</v>
      </c>
      <c r="K301">
        <v>171.875</v>
      </c>
      <c r="L301">
        <v>240.62499999999997</v>
      </c>
      <c r="M301">
        <v>0</v>
      </c>
      <c r="N301">
        <v>0</v>
      </c>
      <c r="O301">
        <v>34.375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1095.1463137283536</v>
      </c>
      <c r="AO301">
        <v>183.05217858001217</v>
      </c>
      <c r="AP301">
        <v>1596.7407088376181</v>
      </c>
      <c r="AQ301">
        <v>437.55380381965949</v>
      </c>
      <c r="AR301">
        <v>181.26221828375054</v>
      </c>
      <c r="AS301">
        <v>1782.0713086061678</v>
      </c>
      <c r="AT301">
        <v>88.793839892601497</v>
      </c>
      <c r="AU301">
        <v>269.80506431985947</v>
      </c>
      <c r="AV301"/>
      <c r="AW301"/>
      <c r="FY301" s="211">
        <v>296</v>
      </c>
      <c r="FZ301">
        <v>115.9022908563508</v>
      </c>
      <c r="GA301">
        <v>54.198319297878506</v>
      </c>
      <c r="GB301">
        <v>12.666004642350781</v>
      </c>
      <c r="GC301">
        <v>5.5539013160115402</v>
      </c>
      <c r="GD301">
        <v>1.9478646382710239</v>
      </c>
      <c r="GE301">
        <v>3.3709377502586415</v>
      </c>
      <c r="GF301">
        <v>30.359124958708776</v>
      </c>
      <c r="GG301">
        <v>38.840088514949095</v>
      </c>
      <c r="GH301">
        <v>22.581095670379742</v>
      </c>
      <c r="GI301">
        <v>63.823416952949181</v>
      </c>
      <c r="GJ301"/>
      <c r="GK301"/>
      <c r="GL301"/>
      <c r="GM301"/>
    </row>
    <row r="302" spans="1:195" s="7" customFormat="1">
      <c r="A302" s="1"/>
      <c r="B302">
        <v>0.190760481140408</v>
      </c>
      <c r="C302">
        <v>7</v>
      </c>
      <c r="D302">
        <v>39910</v>
      </c>
      <c r="E302">
        <v>0</v>
      </c>
      <c r="F302">
        <v>0</v>
      </c>
      <c r="G302">
        <v>0</v>
      </c>
      <c r="H302">
        <v>83.333333333333329</v>
      </c>
      <c r="I302">
        <v>208.33333333333334</v>
      </c>
      <c r="J302">
        <v>41.666666666666664</v>
      </c>
      <c r="K302">
        <v>20.833333333333332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932.75289106662854</v>
      </c>
      <c r="AO302">
        <v>164.9683579767833</v>
      </c>
      <c r="AP302">
        <v>1441.2744497777094</v>
      </c>
      <c r="AQ302">
        <v>354.81158550843418</v>
      </c>
      <c r="AR302">
        <v>160.96443594091184</v>
      </c>
      <c r="AS302">
        <v>1657.0096975458898</v>
      </c>
      <c r="AT302">
        <v>82.248550301076619</v>
      </c>
      <c r="AU302">
        <v>170.57514888165804</v>
      </c>
      <c r="AV302"/>
      <c r="AW302"/>
      <c r="FY302" s="211">
        <v>297</v>
      </c>
      <c r="FZ302">
        <v>135.86809253227182</v>
      </c>
      <c r="GA302">
        <v>117.03174583499228</v>
      </c>
      <c r="GB302">
        <v>41.477395665406462</v>
      </c>
      <c r="GC302">
        <v>9.8284005207447116</v>
      </c>
      <c r="GD302">
        <v>4.0605339520129711</v>
      </c>
      <c r="GE302">
        <v>5.5345812919239101</v>
      </c>
      <c r="GF302">
        <v>27.462966972692996</v>
      </c>
      <c r="GG302">
        <v>40.056221346780404</v>
      </c>
      <c r="GH302">
        <v>33.467892161854344</v>
      </c>
      <c r="GI302">
        <v>87.945948429229674</v>
      </c>
      <c r="GJ302"/>
      <c r="GK302"/>
      <c r="GL302"/>
      <c r="GM302"/>
    </row>
    <row r="303" spans="1:195" s="7" customFormat="1">
      <c r="A303" s="1"/>
      <c r="B303">
        <v>0.66218611983489239</v>
      </c>
      <c r="C303">
        <v>9</v>
      </c>
      <c r="D303">
        <v>39910</v>
      </c>
      <c r="E303">
        <v>0</v>
      </c>
      <c r="F303">
        <v>303.8194444444444</v>
      </c>
      <c r="G303">
        <v>1721.6435185185185</v>
      </c>
      <c r="H303">
        <v>607.6388888888888</v>
      </c>
      <c r="I303">
        <v>1385.3009259259259</v>
      </c>
      <c r="J303">
        <v>578.81944444444434</v>
      </c>
      <c r="K303">
        <v>171.875</v>
      </c>
      <c r="L303">
        <v>240.62499999999997</v>
      </c>
      <c r="M303">
        <v>0</v>
      </c>
      <c r="N303">
        <v>0</v>
      </c>
      <c r="O303">
        <v>34.375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865.22115309755134</v>
      </c>
      <c r="AO303">
        <v>135.42208114877536</v>
      </c>
      <c r="AP303">
        <v>1134.1682175574774</v>
      </c>
      <c r="AQ303">
        <v>328.89601485778815</v>
      </c>
      <c r="AR303">
        <v>131.09594634016474</v>
      </c>
      <c r="AS303">
        <v>1446.1191283373969</v>
      </c>
      <c r="AT303">
        <v>63.566760612182968</v>
      </c>
      <c r="AU303">
        <v>99.185985540902038</v>
      </c>
      <c r="AV303"/>
      <c r="AW303"/>
      <c r="FY303" s="211">
        <v>298</v>
      </c>
      <c r="FZ303">
        <v>199.74624752344351</v>
      </c>
      <c r="GA303">
        <v>128.20299784845741</v>
      </c>
      <c r="GB303">
        <v>23.34262386885506</v>
      </c>
      <c r="GC303">
        <v>8.1526272732441534</v>
      </c>
      <c r="GD303">
        <v>3.0490990611596693</v>
      </c>
      <c r="GE303">
        <v>6.0714556975999256</v>
      </c>
      <c r="GF303">
        <v>19.704063836628997</v>
      </c>
      <c r="GG303">
        <v>19.628258648512492</v>
      </c>
      <c r="GH303">
        <v>26.245983390338878</v>
      </c>
      <c r="GI303">
        <v>74.571974936602601</v>
      </c>
      <c r="GJ303"/>
      <c r="GK303"/>
      <c r="GL303"/>
      <c r="GM303"/>
    </row>
    <row r="304" spans="1:195" s="7" customFormat="1">
      <c r="A304" s="1"/>
      <c r="B304">
        <v>0.3049965519787774</v>
      </c>
      <c r="C304">
        <v>10</v>
      </c>
      <c r="D304">
        <v>39910</v>
      </c>
      <c r="E304">
        <v>1114.8648648648648</v>
      </c>
      <c r="F304">
        <v>3623.3108108108117</v>
      </c>
      <c r="G304">
        <v>4180.7432432432433</v>
      </c>
      <c r="H304">
        <v>20.833333333333332</v>
      </c>
      <c r="I304">
        <v>1414.4144144144145</v>
      </c>
      <c r="J304">
        <v>156.25</v>
      </c>
      <c r="K304">
        <v>135.41666666666666</v>
      </c>
      <c r="L304">
        <v>20.833333333333332</v>
      </c>
      <c r="M304">
        <v>52.083333333333336</v>
      </c>
      <c r="N304">
        <v>10.416666666666666</v>
      </c>
      <c r="O304">
        <v>0</v>
      </c>
      <c r="P304">
        <v>0</v>
      </c>
      <c r="Q304">
        <v>10.416666666666666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1433.9773551179626</v>
      </c>
      <c r="AO304">
        <v>185.9967474470551</v>
      </c>
      <c r="AP304">
        <v>1561.4450236756888</v>
      </c>
      <c r="AQ304">
        <v>482.45611713568252</v>
      </c>
      <c r="AR304">
        <v>176.30517737202501</v>
      </c>
      <c r="AS304">
        <v>1989.4584705237687</v>
      </c>
      <c r="AT304">
        <v>81.988710382293803</v>
      </c>
      <c r="AU304">
        <v>6.0132801672111427</v>
      </c>
      <c r="AV304"/>
      <c r="AW304"/>
      <c r="FY304" s="211">
        <v>299</v>
      </c>
      <c r="FZ304">
        <v>103.13390850127053</v>
      </c>
      <c r="GA304">
        <v>83.414494759226656</v>
      </c>
      <c r="GB304">
        <v>35.419690107255249</v>
      </c>
      <c r="GC304">
        <v>7.4486015618686103</v>
      </c>
      <c r="GD304">
        <v>2.0806247237073388</v>
      </c>
      <c r="GE304">
        <v>2.974791980377808</v>
      </c>
      <c r="GF304">
        <v>15.633247657692223</v>
      </c>
      <c r="GG304">
        <v>21.996499274147837</v>
      </c>
      <c r="GH304">
        <v>25.322392291723315</v>
      </c>
      <c r="GI304">
        <v>65.084506298658511</v>
      </c>
      <c r="GJ304"/>
      <c r="GK304"/>
      <c r="GL304"/>
      <c r="GM304"/>
    </row>
    <row r="305" spans="1:195" s="7" customFormat="1">
      <c r="A305" s="1"/>
      <c r="B305">
        <v>0.71007939385884633</v>
      </c>
      <c r="C305">
        <v>2</v>
      </c>
      <c r="D305">
        <v>39910</v>
      </c>
      <c r="E305">
        <v>0</v>
      </c>
      <c r="F305">
        <v>1845.2050570459451</v>
      </c>
      <c r="G305">
        <v>4875.0481806968855</v>
      </c>
      <c r="H305">
        <v>1174.2213999383287</v>
      </c>
      <c r="I305">
        <v>41.666666666666664</v>
      </c>
      <c r="J305">
        <v>62.5</v>
      </c>
      <c r="K305">
        <v>72.916666666666671</v>
      </c>
      <c r="L305">
        <v>31.25</v>
      </c>
      <c r="M305">
        <v>0</v>
      </c>
      <c r="N305">
        <v>20.833333333333332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1172.8419772836414</v>
      </c>
      <c r="AO305">
        <v>183.96838722885482</v>
      </c>
      <c r="AP305">
        <v>1574.5379379502758</v>
      </c>
      <c r="AQ305">
        <v>476.35603048595812</v>
      </c>
      <c r="AR305">
        <v>178.99194881861769</v>
      </c>
      <c r="AS305">
        <v>1885.5181449028544</v>
      </c>
      <c r="AT305">
        <v>89.776164550761678</v>
      </c>
      <c r="AU305">
        <v>277.21049398300374</v>
      </c>
      <c r="AV305"/>
      <c r="AW305"/>
      <c r="FY305" s="211">
        <v>300</v>
      </c>
      <c r="FZ305">
        <v>103.2019311012711</v>
      </c>
      <c r="GA305">
        <v>106.9180374029485</v>
      </c>
      <c r="GB305">
        <v>35.369145833405035</v>
      </c>
      <c r="GC305">
        <v>6.8519353352468961</v>
      </c>
      <c r="GD305">
        <v>2.4652974193132096</v>
      </c>
      <c r="GE305">
        <v>4.9946267851636108</v>
      </c>
      <c r="GF305">
        <v>35.23363918884661</v>
      </c>
      <c r="GG305">
        <v>46.07949683052653</v>
      </c>
      <c r="GH305">
        <v>28.532811791996242</v>
      </c>
      <c r="GI305">
        <v>79.417256000026541</v>
      </c>
      <c r="GJ305"/>
      <c r="GK305"/>
      <c r="GL305"/>
      <c r="GM305"/>
    </row>
    <row r="306" spans="1:195" s="7" customFormat="1">
      <c r="A306" s="1"/>
      <c r="B306">
        <v>0.3832890821635635</v>
      </c>
      <c r="C306">
        <v>1</v>
      </c>
      <c r="D306">
        <v>39910</v>
      </c>
      <c r="E306">
        <v>0</v>
      </c>
      <c r="F306">
        <v>0</v>
      </c>
      <c r="G306">
        <v>10.416666666666666</v>
      </c>
      <c r="H306">
        <v>20.833333333333332</v>
      </c>
      <c r="I306">
        <v>10.416666666666666</v>
      </c>
      <c r="J306">
        <v>0</v>
      </c>
      <c r="K306">
        <v>10.416666666666666</v>
      </c>
      <c r="L306">
        <v>0</v>
      </c>
      <c r="M306">
        <v>10.416666666666666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1096.6664456836802</v>
      </c>
      <c r="AO306">
        <v>172.932958577748</v>
      </c>
      <c r="AP306">
        <v>1433.7064908228101</v>
      </c>
      <c r="AQ306">
        <v>385.60363757849348</v>
      </c>
      <c r="AR306">
        <v>167.2169853640969</v>
      </c>
      <c r="AS306">
        <v>1734.6610514837887</v>
      </c>
      <c r="AT306">
        <v>80.62412304658146</v>
      </c>
      <c r="AU306">
        <v>276.59092982024879</v>
      </c>
      <c r="AV306"/>
      <c r="AW306"/>
      <c r="FY306" s="211">
        <v>301</v>
      </c>
      <c r="FZ306">
        <v>106.78131207358014</v>
      </c>
      <c r="GA306">
        <v>77.171338616901636</v>
      </c>
      <c r="GB306">
        <v>33.178635654408431</v>
      </c>
      <c r="GC306">
        <v>9.9060090002843886</v>
      </c>
      <c r="GD306">
        <v>3.8392140748906121</v>
      </c>
      <c r="GE306">
        <v>6.5862937943112714</v>
      </c>
      <c r="GF306">
        <v>33.714724820778045</v>
      </c>
      <c r="GG306">
        <v>38.795648564842885</v>
      </c>
      <c r="GH306">
        <v>19.379812849428692</v>
      </c>
      <c r="GI306">
        <v>72.979037451108809</v>
      </c>
      <c r="GJ306"/>
      <c r="GK306"/>
      <c r="GL306"/>
      <c r="GM306"/>
    </row>
    <row r="307" spans="1:195" s="7" customFormat="1">
      <c r="A307" s="1"/>
      <c r="B307">
        <v>0.53348556728937346</v>
      </c>
      <c r="C307">
        <v>1</v>
      </c>
      <c r="D307">
        <v>39910</v>
      </c>
      <c r="E307">
        <v>0</v>
      </c>
      <c r="F307">
        <v>0</v>
      </c>
      <c r="G307">
        <v>10.416666666666666</v>
      </c>
      <c r="H307">
        <v>20.833333333333332</v>
      </c>
      <c r="I307">
        <v>10.416666666666666</v>
      </c>
      <c r="J307">
        <v>0</v>
      </c>
      <c r="K307">
        <v>10.416666666666666</v>
      </c>
      <c r="L307">
        <v>0</v>
      </c>
      <c r="M307">
        <v>10.416666666666666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1458.3437512848795</v>
      </c>
      <c r="AO307">
        <v>175.38146466149391</v>
      </c>
      <c r="AP307">
        <v>1370.3962048544499</v>
      </c>
      <c r="AQ307">
        <v>504.22364433644168</v>
      </c>
      <c r="AR307">
        <v>170.33267861551778</v>
      </c>
      <c r="AS307">
        <v>1959.9619426019092</v>
      </c>
      <c r="AT307">
        <v>77.742027744491608</v>
      </c>
      <c r="AU307">
        <v>326.09470019219185</v>
      </c>
      <c r="AV307"/>
      <c r="AW307"/>
      <c r="FY307" s="211">
        <v>302</v>
      </c>
      <c r="FZ307">
        <v>172.39489853368391</v>
      </c>
      <c r="GA307">
        <v>145.66791492108004</v>
      </c>
      <c r="GB307">
        <v>30.77083282082782</v>
      </c>
      <c r="GC307">
        <v>7.9776719773419922</v>
      </c>
      <c r="GD307">
        <v>3.0235884711360468</v>
      </c>
      <c r="GE307">
        <v>5.5096120156166846</v>
      </c>
      <c r="GF307">
        <v>9.6942709693591862</v>
      </c>
      <c r="GG307">
        <v>10.29639702617926</v>
      </c>
      <c r="GH307">
        <v>24.741541285051589</v>
      </c>
      <c r="GI307">
        <v>72.186318035126774</v>
      </c>
      <c r="GJ307"/>
      <c r="GK307"/>
      <c r="GL307"/>
      <c r="GM307"/>
    </row>
    <row r="308" spans="1:195" s="7" customFormat="1">
      <c r="A308" s="1"/>
      <c r="B308">
        <v>0.96425900490501548</v>
      </c>
      <c r="C308">
        <v>4</v>
      </c>
      <c r="D308">
        <v>39949</v>
      </c>
      <c r="E308">
        <v>0</v>
      </c>
      <c r="F308">
        <v>0</v>
      </c>
      <c r="G308">
        <v>112.15753424657534</v>
      </c>
      <c r="H308">
        <v>523.11643835616428</v>
      </c>
      <c r="I308">
        <v>153.82420091324201</v>
      </c>
      <c r="J308">
        <v>143.40753424657532</v>
      </c>
      <c r="K308">
        <v>41.666666666666664</v>
      </c>
      <c r="L308">
        <v>31.25</v>
      </c>
      <c r="M308">
        <v>10.416666666666666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1007.7428229295225</v>
      </c>
      <c r="AO308">
        <v>144.29809288203072</v>
      </c>
      <c r="AP308">
        <v>1282.2768958183624</v>
      </c>
      <c r="AQ308">
        <v>478.60350563353529</v>
      </c>
      <c r="AR308">
        <v>138.62228958748062</v>
      </c>
      <c r="AS308">
        <v>1477.4304239663336</v>
      </c>
      <c r="AT308">
        <v>65.793814192567112</v>
      </c>
      <c r="AU308">
        <v>119.49885156041677</v>
      </c>
      <c r="AV308"/>
      <c r="AW308"/>
      <c r="FY308" s="211">
        <v>303</v>
      </c>
      <c r="FZ308">
        <v>95.121369512069151</v>
      </c>
      <c r="GA308">
        <v>63.904666074620607</v>
      </c>
      <c r="GB308">
        <v>30.738519831731246</v>
      </c>
      <c r="GC308">
        <v>8.6638085294610221</v>
      </c>
      <c r="GD308">
        <v>2.9600756771206642</v>
      </c>
      <c r="GE308">
        <v>4.8967936301699915</v>
      </c>
      <c r="GF308">
        <v>20.92726830519096</v>
      </c>
      <c r="GG308">
        <v>27.013453579710184</v>
      </c>
      <c r="GH308">
        <v>22.507338922671121</v>
      </c>
      <c r="GI308">
        <v>74.913756624585659</v>
      </c>
      <c r="GJ308"/>
      <c r="GK308"/>
      <c r="GL308"/>
      <c r="GM308"/>
    </row>
    <row r="309" spans="1:195" s="7" customFormat="1">
      <c r="A309" s="1"/>
      <c r="B309">
        <v>0.18065421119166825</v>
      </c>
      <c r="C309">
        <v>6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1139.2008072069793</v>
      </c>
      <c r="AO309">
        <v>150.39194863088431</v>
      </c>
      <c r="AP309">
        <v>1292.3887395990766</v>
      </c>
      <c r="AQ309">
        <v>422.74416163649494</v>
      </c>
      <c r="AR309">
        <v>146.35466061531355</v>
      </c>
      <c r="AS309">
        <v>1510.5468802292962</v>
      </c>
      <c r="AT309">
        <v>63.883621935918676</v>
      </c>
      <c r="AU309">
        <v>159.02562109034096</v>
      </c>
      <c r="AV309"/>
      <c r="AW309"/>
      <c r="FY309" s="211">
        <v>304</v>
      </c>
      <c r="FZ309">
        <v>135.03056163350456</v>
      </c>
      <c r="GA309">
        <v>113.40161590229616</v>
      </c>
      <c r="GB309">
        <v>35.634888874175623</v>
      </c>
      <c r="GC309">
        <v>8.6609563532816054</v>
      </c>
      <c r="GD309">
        <v>2.6969123481730453</v>
      </c>
      <c r="GE309">
        <v>3.9942566409637554</v>
      </c>
      <c r="GF309">
        <v>27.435797645171228</v>
      </c>
      <c r="GG309">
        <v>35.36277730993671</v>
      </c>
      <c r="GH309">
        <v>24.389559344521732</v>
      </c>
      <c r="GI309">
        <v>79.259159744300845</v>
      </c>
      <c r="GJ309"/>
      <c r="GK309"/>
      <c r="GL309"/>
      <c r="GM309"/>
    </row>
    <row r="310" spans="1:195" s="7" customFormat="1">
      <c r="A310" s="1"/>
      <c r="B310">
        <v>0.98196057815198134</v>
      </c>
      <c r="C310">
        <v>5</v>
      </c>
      <c r="D310">
        <v>39949</v>
      </c>
      <c r="E310">
        <v>0</v>
      </c>
      <c r="F310">
        <v>0</v>
      </c>
      <c r="G310">
        <v>31.25</v>
      </c>
      <c r="H310">
        <v>62.5</v>
      </c>
      <c r="I310">
        <v>62.5</v>
      </c>
      <c r="J310">
        <v>20.833333333333332</v>
      </c>
      <c r="K310">
        <v>20.833333333333332</v>
      </c>
      <c r="L310">
        <v>10.416666666666666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964.99705925535523</v>
      </c>
      <c r="AO310">
        <v>148.24805676426823</v>
      </c>
      <c r="AP310">
        <v>1194.1037477756768</v>
      </c>
      <c r="AQ310">
        <v>397.9723051363743</v>
      </c>
      <c r="AR310">
        <v>147.94946454749464</v>
      </c>
      <c r="AS310">
        <v>1569.3535695402429</v>
      </c>
      <c r="AT310">
        <v>74.833762779078654</v>
      </c>
      <c r="AU310">
        <v>15.412943977625559</v>
      </c>
      <c r="AV310"/>
      <c r="AW310"/>
      <c r="FY310" s="211">
        <v>305</v>
      </c>
      <c r="FZ310">
        <v>109.21522502536882</v>
      </c>
      <c r="GA310">
        <v>68.220523615110153</v>
      </c>
      <c r="GB310">
        <v>27.770667324578653</v>
      </c>
      <c r="GC310">
        <v>7.4445216996079395</v>
      </c>
      <c r="GD310">
        <v>2.0093003826116402</v>
      </c>
      <c r="GE310">
        <v>5.3124936387313575</v>
      </c>
      <c r="GF310">
        <v>21.364619846301643</v>
      </c>
      <c r="GG310">
        <v>23.718353665669127</v>
      </c>
      <c r="GH310">
        <v>16.897839916880276</v>
      </c>
      <c r="GI310">
        <v>62.813509777664017</v>
      </c>
      <c r="GJ310"/>
      <c r="GK310"/>
      <c r="GL310"/>
      <c r="GM310"/>
    </row>
    <row r="311" spans="1:195" s="7" customFormat="1">
      <c r="A311" s="1"/>
      <c r="B311">
        <v>3.1771796932503982E-2</v>
      </c>
      <c r="C311">
        <v>7</v>
      </c>
      <c r="D311">
        <v>39949</v>
      </c>
      <c r="E311">
        <v>0</v>
      </c>
      <c r="F311">
        <v>0</v>
      </c>
      <c r="G311">
        <v>115.07936507936508</v>
      </c>
      <c r="H311">
        <v>690.47619047619037</v>
      </c>
      <c r="I311">
        <v>575.39682539682531</v>
      </c>
      <c r="J311">
        <v>460.3174603174603</v>
      </c>
      <c r="K311">
        <v>460.3174603174603</v>
      </c>
      <c r="L311">
        <v>115.07936507936508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1042.5452604824181</v>
      </c>
      <c r="AO311">
        <v>147.46961849895573</v>
      </c>
      <c r="AP311">
        <v>1272.4313925040774</v>
      </c>
      <c r="AQ311">
        <v>469.18384551354211</v>
      </c>
      <c r="AR311">
        <v>147.73325208002314</v>
      </c>
      <c r="AS311">
        <v>1625.8412163583666</v>
      </c>
      <c r="AT311">
        <v>73.620414849279243</v>
      </c>
      <c r="AU311">
        <v>36.642801331805458</v>
      </c>
      <c r="AV311"/>
      <c r="AW311"/>
      <c r="FY311" s="211">
        <v>306</v>
      </c>
      <c r="FZ311">
        <v>100.27113013379197</v>
      </c>
      <c r="GA311">
        <v>60.104327486131751</v>
      </c>
      <c r="GB311">
        <v>25.116978413262903</v>
      </c>
      <c r="GC311">
        <v>8.0230299730071728</v>
      </c>
      <c r="GD311">
        <v>3.2755156428044812</v>
      </c>
      <c r="GE311">
        <v>5.5938545074632868</v>
      </c>
      <c r="GF311">
        <v>34.946340090764551</v>
      </c>
      <c r="GG311">
        <v>44.240163396611166</v>
      </c>
      <c r="GH311">
        <v>29.838110835410696</v>
      </c>
      <c r="GI311">
        <v>77.726106592294471</v>
      </c>
      <c r="GJ311"/>
      <c r="GK311"/>
      <c r="GL311"/>
      <c r="GM311"/>
    </row>
    <row r="312" spans="1:195" s="7" customFormat="1">
      <c r="A312" s="1"/>
      <c r="B312">
        <v>0.69199066630407291</v>
      </c>
      <c r="C312">
        <v>3</v>
      </c>
      <c r="D312">
        <v>39949</v>
      </c>
      <c r="E312">
        <v>0</v>
      </c>
      <c r="F312">
        <v>81.018518518518519</v>
      </c>
      <c r="G312">
        <v>324.07407407407408</v>
      </c>
      <c r="H312">
        <v>122.68518518518519</v>
      </c>
      <c r="I312">
        <v>133.10185185185185</v>
      </c>
      <c r="J312">
        <v>62.5</v>
      </c>
      <c r="K312">
        <v>0</v>
      </c>
      <c r="L312">
        <v>41.666666666666664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10.416666666666666</v>
      </c>
      <c r="T312">
        <v>10.416666666666666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889.06214846550722</v>
      </c>
      <c r="AO312">
        <v>146.84275515975997</v>
      </c>
      <c r="AP312">
        <v>1234.5509646891701</v>
      </c>
      <c r="AQ312">
        <v>349.2430445981081</v>
      </c>
      <c r="AR312">
        <v>143.90728904838872</v>
      </c>
      <c r="AS312">
        <v>1531.0011897042946</v>
      </c>
      <c r="AT312">
        <v>71.319642648841238</v>
      </c>
      <c r="AU312">
        <v>89.629183662044738</v>
      </c>
      <c r="AV312"/>
      <c r="AW312"/>
      <c r="FY312" s="211">
        <v>307</v>
      </c>
      <c r="FZ312">
        <v>143.71628987770305</v>
      </c>
      <c r="GA312">
        <v>92.350665293527172</v>
      </c>
      <c r="GB312">
        <v>24.338458557938868</v>
      </c>
      <c r="GC312">
        <v>8.4816838236760521</v>
      </c>
      <c r="GD312">
        <v>2.5488196851740872</v>
      </c>
      <c r="GE312">
        <v>2.4878010365400889</v>
      </c>
      <c r="GF312">
        <v>9.0115145494529827</v>
      </c>
      <c r="GG312">
        <v>13.969496296121987</v>
      </c>
      <c r="GH312">
        <v>28.026685920347134</v>
      </c>
      <c r="GI312">
        <v>67.106715599236068</v>
      </c>
      <c r="GJ312"/>
      <c r="GK312"/>
      <c r="GL312"/>
      <c r="GM312"/>
    </row>
    <row r="313" spans="1:195" s="7" customFormat="1">
      <c r="A313" s="1"/>
      <c r="B313">
        <v>0.17822269865188844</v>
      </c>
      <c r="C313">
        <v>3</v>
      </c>
      <c r="D313">
        <v>39949</v>
      </c>
      <c r="E313">
        <v>0</v>
      </c>
      <c r="F313">
        <v>81.018518518518519</v>
      </c>
      <c r="G313">
        <v>324.07407407407408</v>
      </c>
      <c r="H313">
        <v>122.68518518518519</v>
      </c>
      <c r="I313">
        <v>133.10185185185185</v>
      </c>
      <c r="J313">
        <v>62.5</v>
      </c>
      <c r="K313">
        <v>0</v>
      </c>
      <c r="L313">
        <v>41.666666666666664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10.416666666666666</v>
      </c>
      <c r="T313">
        <v>10.416666666666666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1318.0815565391397</v>
      </c>
      <c r="AO313">
        <v>203.03013537138963</v>
      </c>
      <c r="AP313">
        <v>1699.0006904108338</v>
      </c>
      <c r="AQ313">
        <v>502.73377870790966</v>
      </c>
      <c r="AR313">
        <v>199.77741219370415</v>
      </c>
      <c r="AS313">
        <v>2168.3263451823918</v>
      </c>
      <c r="AT313">
        <v>96.537825580829647</v>
      </c>
      <c r="AU313">
        <v>103.71073470699349</v>
      </c>
      <c r="AV313"/>
      <c r="AW313"/>
      <c r="FY313" s="211">
        <v>308</v>
      </c>
      <c r="FZ313">
        <v>127.22181838028415</v>
      </c>
      <c r="GA313">
        <v>64.26213660342296</v>
      </c>
      <c r="GB313">
        <v>23.543952324367783</v>
      </c>
      <c r="GC313">
        <v>7.1900124514481387</v>
      </c>
      <c r="GD313">
        <v>2.1330975230400084</v>
      </c>
      <c r="GE313">
        <v>3.446050148008827</v>
      </c>
      <c r="GF313">
        <v>31.500813189055375</v>
      </c>
      <c r="GG313">
        <v>42.441566163395493</v>
      </c>
      <c r="GH313">
        <v>22.381333106119051</v>
      </c>
      <c r="GI313">
        <v>73.134493067014134</v>
      </c>
      <c r="GJ313"/>
      <c r="GK313"/>
      <c r="GL313"/>
      <c r="GM313"/>
    </row>
    <row r="314" spans="1:195" s="7" customFormat="1">
      <c r="A314" s="1"/>
      <c r="B314">
        <v>0.76195265745525131</v>
      </c>
      <c r="C314">
        <v>1</v>
      </c>
      <c r="D314">
        <v>39949</v>
      </c>
      <c r="E314">
        <v>0</v>
      </c>
      <c r="F314">
        <v>81.576305220883526</v>
      </c>
      <c r="G314">
        <v>40.788152610441763</v>
      </c>
      <c r="H314">
        <v>336.72188755020079</v>
      </c>
      <c r="I314">
        <v>61.621485943775099</v>
      </c>
      <c r="J314">
        <v>31.25</v>
      </c>
      <c r="K314">
        <v>10.416666666666666</v>
      </c>
      <c r="L314">
        <v>20.833333333333332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1052.4776182440789</v>
      </c>
      <c r="AO314">
        <v>173.39150017683977</v>
      </c>
      <c r="AP314">
        <v>1461.2159089884105</v>
      </c>
      <c r="AQ314">
        <v>508.71533208484271</v>
      </c>
      <c r="AR314">
        <v>167.38634599784504</v>
      </c>
      <c r="AS314">
        <v>1701.7793747801268</v>
      </c>
      <c r="AT314">
        <v>87.689856643501216</v>
      </c>
      <c r="AU314">
        <v>119.96045156676225</v>
      </c>
      <c r="AV314"/>
      <c r="AW314"/>
      <c r="FY314" s="211">
        <v>309</v>
      </c>
      <c r="FZ314">
        <v>68.746307492080504</v>
      </c>
      <c r="GA314">
        <v>63.486169058383126</v>
      </c>
      <c r="GB314">
        <v>36.151812001791434</v>
      </c>
      <c r="GC314">
        <v>9.7166796171373342</v>
      </c>
      <c r="GD314">
        <v>2.7546837466859504</v>
      </c>
      <c r="GE314">
        <v>3.9687186866539115</v>
      </c>
      <c r="GF314">
        <v>30.384316114525681</v>
      </c>
      <c r="GG314">
        <v>36.611625361686407</v>
      </c>
      <c r="GH314">
        <v>17.036656896008019</v>
      </c>
      <c r="GI314">
        <v>71.329313668418749</v>
      </c>
      <c r="GJ314"/>
      <c r="GK314"/>
      <c r="GL314"/>
      <c r="GM314"/>
    </row>
    <row r="315" spans="1:195" s="7" customFormat="1">
      <c r="A315" s="1"/>
      <c r="B315">
        <v>2.8211712464133676E-2</v>
      </c>
      <c r="C315">
        <v>9</v>
      </c>
      <c r="D315">
        <v>39949</v>
      </c>
      <c r="E315">
        <v>0</v>
      </c>
      <c r="F315">
        <v>10.416666666666666</v>
      </c>
      <c r="G315">
        <v>0</v>
      </c>
      <c r="H315">
        <v>93.75</v>
      </c>
      <c r="I315">
        <v>93.75</v>
      </c>
      <c r="J315">
        <v>52.083333333333336</v>
      </c>
      <c r="K315">
        <v>10.416666666666666</v>
      </c>
      <c r="L315">
        <v>10.416666666666666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911.14022428439205</v>
      </c>
      <c r="AO315">
        <v>140.96436801516205</v>
      </c>
      <c r="AP315">
        <v>1181.6413670212676</v>
      </c>
      <c r="AQ315">
        <v>362.50875715592804</v>
      </c>
      <c r="AR315">
        <v>140.13438752757312</v>
      </c>
      <c r="AS315">
        <v>1535.7275001322553</v>
      </c>
      <c r="AT315">
        <v>73.726858715896313</v>
      </c>
      <c r="AU315">
        <v>186.64561012831783</v>
      </c>
      <c r="AV315"/>
      <c r="AW315"/>
      <c r="FY315" s="211">
        <v>310</v>
      </c>
      <c r="FZ315">
        <v>111.73414237448522</v>
      </c>
      <c r="GA315">
        <v>130.22973363377875</v>
      </c>
      <c r="GB315">
        <v>46.529092518002393</v>
      </c>
      <c r="GC315">
        <v>10.555304006989886</v>
      </c>
      <c r="GD315">
        <v>4.2060753024777862</v>
      </c>
      <c r="GE315">
        <v>6.1401744930229949</v>
      </c>
      <c r="GF315">
        <v>40.961870947711787</v>
      </c>
      <c r="GG315">
        <v>49.763934464978838</v>
      </c>
      <c r="GH315">
        <v>22.915846406934193</v>
      </c>
      <c r="GI315">
        <v>91.069531406697635</v>
      </c>
      <c r="GJ315"/>
      <c r="GK315"/>
      <c r="GL315"/>
      <c r="GM315"/>
    </row>
    <row r="316" spans="1:195" s="7" customFormat="1">
      <c r="A316" s="1"/>
      <c r="B316">
        <v>0.58185694664150001</v>
      </c>
      <c r="C316">
        <v>9</v>
      </c>
      <c r="D316">
        <v>39949</v>
      </c>
      <c r="E316">
        <v>0</v>
      </c>
      <c r="F316">
        <v>10.416666666666666</v>
      </c>
      <c r="G316">
        <v>0</v>
      </c>
      <c r="H316">
        <v>93.75</v>
      </c>
      <c r="I316">
        <v>93.75</v>
      </c>
      <c r="J316">
        <v>52.083333333333336</v>
      </c>
      <c r="K316">
        <v>10.416666666666666</v>
      </c>
      <c r="L316">
        <v>10.416666666666666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1228.7239785203901</v>
      </c>
      <c r="AO316">
        <v>186.70002381202704</v>
      </c>
      <c r="AP316">
        <v>1543.7088973221105</v>
      </c>
      <c r="AQ316">
        <v>449.06417768874434</v>
      </c>
      <c r="AR316">
        <v>181.41243757870862</v>
      </c>
      <c r="AS316">
        <v>1768.2800014605257</v>
      </c>
      <c r="AT316">
        <v>86.025993511721637</v>
      </c>
      <c r="AU316">
        <v>302.43681897209621</v>
      </c>
      <c r="AV316"/>
      <c r="AW316"/>
      <c r="FY316" s="211">
        <v>311</v>
      </c>
      <c r="FZ316">
        <v>192.48200272979096</v>
      </c>
      <c r="GA316">
        <v>151.64779793100666</v>
      </c>
      <c r="GB316">
        <v>34.639269392587316</v>
      </c>
      <c r="GC316">
        <v>9.4876361307789594</v>
      </c>
      <c r="GD316">
        <v>3.8885077730973223</v>
      </c>
      <c r="GE316">
        <v>6.3404761292775822</v>
      </c>
      <c r="GF316">
        <v>42.165751061603387</v>
      </c>
      <c r="GG316">
        <v>53.651773342123043</v>
      </c>
      <c r="GH316">
        <v>25.820966380489917</v>
      </c>
      <c r="GI316">
        <v>94.877897165297668</v>
      </c>
      <c r="GJ316"/>
      <c r="GK316"/>
      <c r="GL316"/>
      <c r="GM316"/>
    </row>
    <row r="317" spans="1:195" s="7" customFormat="1">
      <c r="A317" s="1"/>
      <c r="B317">
        <v>0.65739690031773401</v>
      </c>
      <c r="C317">
        <v>4</v>
      </c>
      <c r="D317">
        <v>39949</v>
      </c>
      <c r="E317">
        <v>0</v>
      </c>
      <c r="F317">
        <v>0</v>
      </c>
      <c r="G317">
        <v>112.15753424657534</v>
      </c>
      <c r="H317">
        <v>523.11643835616428</v>
      </c>
      <c r="I317">
        <v>153.82420091324201</v>
      </c>
      <c r="J317">
        <v>143.40753424657532</v>
      </c>
      <c r="K317">
        <v>41.666666666666664</v>
      </c>
      <c r="L317">
        <v>31.25</v>
      </c>
      <c r="M317">
        <v>10.416666666666666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1136.3923025360314</v>
      </c>
      <c r="AO317">
        <v>141.74815120001762</v>
      </c>
      <c r="AP317">
        <v>1119.6506591838704</v>
      </c>
      <c r="AQ317">
        <v>402.33202690053491</v>
      </c>
      <c r="AR317">
        <v>137.00002491440824</v>
      </c>
      <c r="AS317">
        <v>1572.912471521204</v>
      </c>
      <c r="AT317">
        <v>67.507684512348632</v>
      </c>
      <c r="AU317">
        <v>315.95672099096123</v>
      </c>
      <c r="AV317"/>
      <c r="AW317"/>
      <c r="FY317" s="211">
        <v>312</v>
      </c>
      <c r="FZ317">
        <v>147.30127383184657</v>
      </c>
      <c r="GA317">
        <v>103.15919192958576</v>
      </c>
      <c r="GB317">
        <v>31.95220026139409</v>
      </c>
      <c r="GC317">
        <v>10.025980404879256</v>
      </c>
      <c r="GD317">
        <v>3.7181576646109109</v>
      </c>
      <c r="GE317">
        <v>5.8793552708564558</v>
      </c>
      <c r="GF317">
        <v>36.185324285021295</v>
      </c>
      <c r="GG317">
        <v>43.331989765831644</v>
      </c>
      <c r="GH317">
        <v>22.969487264301382</v>
      </c>
      <c r="GI317">
        <v>80.325457275836712</v>
      </c>
      <c r="GJ317"/>
      <c r="GK317"/>
      <c r="GL317"/>
      <c r="GM317"/>
    </row>
    <row r="318" spans="1:195" s="7" customFormat="1">
      <c r="A318" s="1"/>
      <c r="B318">
        <v>8.7170717368847406E-3</v>
      </c>
      <c r="C318">
        <v>5</v>
      </c>
      <c r="D318">
        <v>39987</v>
      </c>
      <c r="E318">
        <v>0</v>
      </c>
      <c r="F318">
        <v>60.763888888888886</v>
      </c>
      <c r="G318">
        <v>60.763888888888886</v>
      </c>
      <c r="H318">
        <v>0</v>
      </c>
      <c r="I318">
        <v>10.416666666666666</v>
      </c>
      <c r="J318">
        <v>0</v>
      </c>
      <c r="K318">
        <v>0</v>
      </c>
      <c r="L318">
        <v>0</v>
      </c>
      <c r="M318">
        <v>0</v>
      </c>
      <c r="N318">
        <v>10.416666666666666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1006.7902264786941</v>
      </c>
      <c r="AO318">
        <v>157.15552667202113</v>
      </c>
      <c r="AP318">
        <v>1258.4984156141054</v>
      </c>
      <c r="AQ318">
        <v>482.26304605540332</v>
      </c>
      <c r="AR318">
        <v>150.55465539894823</v>
      </c>
      <c r="AS318">
        <v>1634.2033178852805</v>
      </c>
      <c r="AT318">
        <v>80.540549119191326</v>
      </c>
      <c r="AU318">
        <v>-59.654949036269258</v>
      </c>
      <c r="AV318"/>
      <c r="AW318"/>
      <c r="FY318" s="211">
        <v>313</v>
      </c>
      <c r="FZ318">
        <v>143.77495085399971</v>
      </c>
      <c r="GA318">
        <v>72.061277015269582</v>
      </c>
      <c r="GB318">
        <v>30.102284943017271</v>
      </c>
      <c r="GC318">
        <v>9.9397205934657382</v>
      </c>
      <c r="GD318">
        <v>2.9829312106288883</v>
      </c>
      <c r="GE318">
        <v>6.6363293409523738</v>
      </c>
      <c r="GF318">
        <v>47.645232628361796</v>
      </c>
      <c r="GG318">
        <v>55.987428480411104</v>
      </c>
      <c r="GH318">
        <v>23.2972296608114</v>
      </c>
      <c r="GI318">
        <v>81.267847531331626</v>
      </c>
      <c r="GJ318"/>
      <c r="GK318"/>
      <c r="GL318"/>
      <c r="GM318"/>
    </row>
    <row r="319" spans="1:195" s="7" customFormat="1">
      <c r="A319" s="1"/>
      <c r="B319">
        <v>4.2028514436180942E-3</v>
      </c>
      <c r="C319">
        <v>5</v>
      </c>
      <c r="D319">
        <v>39987</v>
      </c>
      <c r="E319">
        <v>0</v>
      </c>
      <c r="F319">
        <v>60.763888888888886</v>
      </c>
      <c r="G319">
        <v>60.763888888888886</v>
      </c>
      <c r="H319">
        <v>0</v>
      </c>
      <c r="I319">
        <v>10.416666666666666</v>
      </c>
      <c r="J319">
        <v>0</v>
      </c>
      <c r="K319">
        <v>0</v>
      </c>
      <c r="L319">
        <v>0</v>
      </c>
      <c r="M319">
        <v>0</v>
      </c>
      <c r="N319">
        <v>10.416666666666666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1057.957697149219</v>
      </c>
      <c r="AO319">
        <v>175.61486608335139</v>
      </c>
      <c r="AP319">
        <v>1403.7208567812525</v>
      </c>
      <c r="AQ319">
        <v>351.64705068733065</v>
      </c>
      <c r="AR319">
        <v>170.03055200395909</v>
      </c>
      <c r="AS319">
        <v>1819.0283451370233</v>
      </c>
      <c r="AT319">
        <v>83.81689115356491</v>
      </c>
      <c r="AU319">
        <v>241.90463205648206</v>
      </c>
      <c r="AV319"/>
      <c r="AW319"/>
      <c r="FY319" s="211">
        <v>314</v>
      </c>
      <c r="FZ319">
        <v>98.513193933284995</v>
      </c>
      <c r="GA319">
        <v>95.843074542027495</v>
      </c>
      <c r="GB319">
        <v>37.246984331473726</v>
      </c>
      <c r="GC319">
        <v>9.8472571330527501</v>
      </c>
      <c r="GD319">
        <v>4.0396802707901447</v>
      </c>
      <c r="GE319">
        <v>8.1354524022712251</v>
      </c>
      <c r="GF319">
        <v>41.22160351533163</v>
      </c>
      <c r="GG319">
        <v>49.858077451101622</v>
      </c>
      <c r="GH319">
        <v>26.530136474434276</v>
      </c>
      <c r="GI319">
        <v>88.150571051467679</v>
      </c>
      <c r="GJ319"/>
      <c r="GK319"/>
      <c r="GL319"/>
      <c r="GM319"/>
    </row>
    <row r="320" spans="1:195" s="7" customFormat="1">
      <c r="A320" s="1"/>
      <c r="B320">
        <v>0.64043551040807678</v>
      </c>
      <c r="C320">
        <v>3</v>
      </c>
      <c r="D320">
        <v>39987</v>
      </c>
      <c r="E320">
        <v>0</v>
      </c>
      <c r="F320">
        <v>67.51543209876543</v>
      </c>
      <c r="G320">
        <v>0</v>
      </c>
      <c r="H320">
        <v>67.51543209876543</v>
      </c>
      <c r="I320">
        <v>10.416666666666666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1189.7513866966733</v>
      </c>
      <c r="AO320">
        <v>165.98854276645571</v>
      </c>
      <c r="AP320">
        <v>1321.0511553950266</v>
      </c>
      <c r="AQ320">
        <v>465.86648579632532</v>
      </c>
      <c r="AR320">
        <v>163.11418859060757</v>
      </c>
      <c r="AS320">
        <v>1741.3011342814116</v>
      </c>
      <c r="AT320">
        <v>77.545932289090203</v>
      </c>
      <c r="AU320">
        <v>117.36309517953701</v>
      </c>
      <c r="AV320"/>
      <c r="AW320"/>
      <c r="FY320" s="211">
        <v>315</v>
      </c>
      <c r="FZ320">
        <v>113.97449693874881</v>
      </c>
      <c r="GA320">
        <v>149.93669432380042</v>
      </c>
      <c r="GB320">
        <v>48.3923408009612</v>
      </c>
      <c r="GC320">
        <v>9.6174377856179589</v>
      </c>
      <c r="GD320">
        <v>3.9892868522452325</v>
      </c>
      <c r="GE320">
        <v>4.5901853252612472</v>
      </c>
      <c r="GF320">
        <v>31.841986317709207</v>
      </c>
      <c r="GG320">
        <v>40.314562138172874</v>
      </c>
      <c r="GH320">
        <v>17.3933654089128</v>
      </c>
      <c r="GI320">
        <v>80.528734696943644</v>
      </c>
      <c r="GJ320"/>
      <c r="GK320"/>
      <c r="GL320"/>
      <c r="GM320"/>
    </row>
    <row r="321" spans="1:195" s="7" customFormat="1">
      <c r="A321" s="1"/>
      <c r="B321">
        <v>3.0255025301670457E-2</v>
      </c>
      <c r="C321">
        <v>2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906.01219281754743</v>
      </c>
      <c r="AO321">
        <v>131.95616474241632</v>
      </c>
      <c r="AP321">
        <v>1093.593736215757</v>
      </c>
      <c r="AQ321">
        <v>344.76705489252367</v>
      </c>
      <c r="AR321">
        <v>131.84931973567683</v>
      </c>
      <c r="AS321">
        <v>1386.4951559316085</v>
      </c>
      <c r="AT321">
        <v>63.786330233143296</v>
      </c>
      <c r="AU321">
        <v>212.23654534986633</v>
      </c>
      <c r="AV321"/>
      <c r="AW321"/>
      <c r="FY321" s="211">
        <v>316</v>
      </c>
      <c r="FZ321">
        <v>131.90862386348101</v>
      </c>
      <c r="GA321">
        <v>86.102729081848224</v>
      </c>
      <c r="GB321">
        <v>27.204780169357488</v>
      </c>
      <c r="GC321">
        <v>9.0373731529699537</v>
      </c>
      <c r="GD321">
        <v>3.7757642114032066</v>
      </c>
      <c r="GE321">
        <v>5.9914928421474452</v>
      </c>
      <c r="GF321">
        <v>8.2358687134421107</v>
      </c>
      <c r="GG321">
        <v>11.746351650591553</v>
      </c>
      <c r="GH321">
        <v>21.874345194856687</v>
      </c>
      <c r="GI321">
        <v>60.072781306420005</v>
      </c>
      <c r="GJ321"/>
      <c r="GK321"/>
      <c r="GL321"/>
      <c r="GM321"/>
    </row>
    <row r="322" spans="1:195" s="7" customFormat="1">
      <c r="A322" s="1"/>
      <c r="B322">
        <v>0.69675314215060524</v>
      </c>
      <c r="C322">
        <v>10</v>
      </c>
      <c r="D322">
        <v>39987</v>
      </c>
      <c r="E322">
        <v>0</v>
      </c>
      <c r="F322">
        <v>0</v>
      </c>
      <c r="G322">
        <v>0</v>
      </c>
      <c r="H322">
        <v>60.359589041095887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1180.5981886786617</v>
      </c>
      <c r="AO322">
        <v>214.95273035929239</v>
      </c>
      <c r="AP322">
        <v>1898.3056453571992</v>
      </c>
      <c r="AQ322">
        <v>389.13555707154245</v>
      </c>
      <c r="AR322">
        <v>207.74991640662367</v>
      </c>
      <c r="AS322">
        <v>2051.5556713857127</v>
      </c>
      <c r="AT322">
        <v>95.344636420742503</v>
      </c>
      <c r="AU322">
        <v>283.99411734381738</v>
      </c>
      <c r="AV322"/>
      <c r="AW322"/>
      <c r="FY322" s="211">
        <v>317</v>
      </c>
      <c r="FZ322">
        <v>139.04584549643681</v>
      </c>
      <c r="GA322">
        <v>80.074552042349751</v>
      </c>
      <c r="GB322">
        <v>21.02228679801053</v>
      </c>
      <c r="GC322">
        <v>7.027304080708717</v>
      </c>
      <c r="GD322">
        <v>2.2882497283660781</v>
      </c>
      <c r="GE322">
        <v>5.6778499313524478</v>
      </c>
      <c r="GF322">
        <v>20.919537402394909</v>
      </c>
      <c r="GG322">
        <v>21.986874143509194</v>
      </c>
      <c r="GH322">
        <v>17.413647209151996</v>
      </c>
      <c r="GI322">
        <v>61.605897880337324</v>
      </c>
      <c r="GJ322"/>
      <c r="GK322"/>
      <c r="GL322"/>
      <c r="GM322"/>
    </row>
    <row r="323" spans="1:195" s="7" customFormat="1">
      <c r="A323" s="1"/>
      <c r="B323">
        <v>0.76060336675378082</v>
      </c>
      <c r="C323">
        <v>7</v>
      </c>
      <c r="D323">
        <v>39987</v>
      </c>
      <c r="E323">
        <v>0</v>
      </c>
      <c r="F323">
        <v>142.97385620915031</v>
      </c>
      <c r="G323">
        <v>571.89542483660125</v>
      </c>
      <c r="H323">
        <v>285.94771241830063</v>
      </c>
      <c r="I323">
        <v>71.486928104575156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890.84161364296483</v>
      </c>
      <c r="AO323">
        <v>176.61077199416712</v>
      </c>
      <c r="AP323">
        <v>1461.5132578819987</v>
      </c>
      <c r="AQ323">
        <v>392.03813063971739</v>
      </c>
      <c r="AR323">
        <v>171.14174728469089</v>
      </c>
      <c r="AS323">
        <v>1700.7783354406718</v>
      </c>
      <c r="AT323">
        <v>85.741287447463364</v>
      </c>
      <c r="AU323">
        <v>37.597880907707918</v>
      </c>
      <c r="AV323"/>
      <c r="AW323"/>
      <c r="FY323" s="211">
        <v>318</v>
      </c>
      <c r="FZ323">
        <v>186.56555888873501</v>
      </c>
      <c r="GA323">
        <v>129.08798843346531</v>
      </c>
      <c r="GB323">
        <v>40.821936753335585</v>
      </c>
      <c r="GC323">
        <v>9.2417861588098678</v>
      </c>
      <c r="GD323">
        <v>2.8771947573921133</v>
      </c>
      <c r="GE323">
        <v>5.7033373033646528</v>
      </c>
      <c r="GF323">
        <v>30.680548069809266</v>
      </c>
      <c r="GG323">
        <v>36.58873005429362</v>
      </c>
      <c r="GH323">
        <v>25.603950368523041</v>
      </c>
      <c r="GI323">
        <v>88.510983671404063</v>
      </c>
      <c r="GJ323"/>
      <c r="GK323"/>
      <c r="GL323"/>
      <c r="GM323"/>
    </row>
    <row r="324" spans="1:195" s="7" customFormat="1">
      <c r="A324" s="1"/>
      <c r="B324">
        <v>0.74949491259095158</v>
      </c>
      <c r="C324">
        <v>8</v>
      </c>
      <c r="D324">
        <v>39987</v>
      </c>
      <c r="E324">
        <v>0</v>
      </c>
      <c r="F324">
        <v>56.089743589743591</v>
      </c>
      <c r="G324">
        <v>56.089743589743591</v>
      </c>
      <c r="H324">
        <v>112.17948717948718</v>
      </c>
      <c r="I324">
        <v>10.416666666666666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1048.5000666777628</v>
      </c>
      <c r="AO324">
        <v>190.06404700798598</v>
      </c>
      <c r="AP324">
        <v>1719.9877390540632</v>
      </c>
      <c r="AQ324">
        <v>397.25527295615586</v>
      </c>
      <c r="AR324">
        <v>185.93587340067049</v>
      </c>
      <c r="AS324">
        <v>1897.0763637532559</v>
      </c>
      <c r="AT324">
        <v>91.871321481690799</v>
      </c>
      <c r="AU324">
        <v>295.75717776938677</v>
      </c>
      <c r="AV324"/>
      <c r="AW324"/>
      <c r="FY324" s="211">
        <v>319</v>
      </c>
      <c r="FZ324">
        <v>242.71405455351851</v>
      </c>
      <c r="GA324">
        <v>155.28312174846999</v>
      </c>
      <c r="GB324">
        <v>36.321633925010282</v>
      </c>
      <c r="GC324">
        <v>7.3682201654658943</v>
      </c>
      <c r="GD324">
        <v>2.0942776557596199</v>
      </c>
      <c r="GE324">
        <v>4.3590721621971271</v>
      </c>
      <c r="GF324">
        <v>40.623430781279993</v>
      </c>
      <c r="GG324">
        <v>49.559881757670432</v>
      </c>
      <c r="GH324">
        <v>17.969163414724171</v>
      </c>
      <c r="GI324">
        <v>87.509023677835941</v>
      </c>
      <c r="GJ324"/>
      <c r="GK324"/>
      <c r="GL324"/>
      <c r="GM324"/>
    </row>
    <row r="325" spans="1:195" s="7" customFormat="1">
      <c r="A325" s="1"/>
      <c r="B325">
        <v>8.7189260003139424E-2</v>
      </c>
      <c r="C325">
        <v>5</v>
      </c>
      <c r="D325">
        <v>39987</v>
      </c>
      <c r="E325">
        <v>0</v>
      </c>
      <c r="F325">
        <v>60.763888888888886</v>
      </c>
      <c r="G325">
        <v>60.763888888888886</v>
      </c>
      <c r="H325">
        <v>0</v>
      </c>
      <c r="I325">
        <v>10.416666666666666</v>
      </c>
      <c r="J325">
        <v>0</v>
      </c>
      <c r="K325">
        <v>0</v>
      </c>
      <c r="L325">
        <v>0</v>
      </c>
      <c r="M325">
        <v>0</v>
      </c>
      <c r="N325">
        <v>10.416666666666666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1116.8627633829274</v>
      </c>
      <c r="AO325">
        <v>161.45350838088928</v>
      </c>
      <c r="AP325">
        <v>1265.2154375004259</v>
      </c>
      <c r="AQ325">
        <v>340.1862826433711</v>
      </c>
      <c r="AR325">
        <v>154.82414061373899</v>
      </c>
      <c r="AS325">
        <v>1628.6934217568494</v>
      </c>
      <c r="AT325">
        <v>68.994946393175098</v>
      </c>
      <c r="AU325">
        <v>217.77696464182088</v>
      </c>
      <c r="AV325"/>
      <c r="AW325"/>
      <c r="FY325" s="211">
        <v>320</v>
      </c>
      <c r="FZ325">
        <v>149.06924583682974</v>
      </c>
      <c r="GA325">
        <v>86.354907890436451</v>
      </c>
      <c r="GB325">
        <v>27.327463190794127</v>
      </c>
      <c r="GC325">
        <v>7.2341500514824162</v>
      </c>
      <c r="GD325">
        <v>3.1618249432096253</v>
      </c>
      <c r="GE325">
        <v>6.6275875391400936</v>
      </c>
      <c r="GF325">
        <v>44.131509484811318</v>
      </c>
      <c r="GG325">
        <v>50.282318500677597</v>
      </c>
      <c r="GH325">
        <v>17.337849509487402</v>
      </c>
      <c r="GI325">
        <v>81.040359729401175</v>
      </c>
      <c r="GJ325"/>
      <c r="GK325"/>
      <c r="GL325"/>
      <c r="GM325"/>
    </row>
    <row r="326" spans="1:195" s="7" customFormat="1">
      <c r="A326" s="1"/>
      <c r="B326">
        <v>0.98407425299850182</v>
      </c>
      <c r="C326">
        <v>1</v>
      </c>
      <c r="D326">
        <v>39987</v>
      </c>
      <c r="E326">
        <v>77.570921985815602</v>
      </c>
      <c r="F326">
        <v>0</v>
      </c>
      <c r="G326">
        <v>77.570921985815602</v>
      </c>
      <c r="H326">
        <v>155.1418439716312</v>
      </c>
      <c r="I326">
        <v>77.570921985815602</v>
      </c>
      <c r="J326">
        <v>0</v>
      </c>
      <c r="K326">
        <v>77.570921985815602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1444.5773519341426</v>
      </c>
      <c r="AO326">
        <v>175.38766609192811</v>
      </c>
      <c r="AP326">
        <v>1432.8314389676007</v>
      </c>
      <c r="AQ326">
        <v>514.10570555507957</v>
      </c>
      <c r="AR326">
        <v>170.75318908172875</v>
      </c>
      <c r="AS326">
        <v>1897.1181960477493</v>
      </c>
      <c r="AT326">
        <v>81.28072542854153</v>
      </c>
      <c r="AU326">
        <v>250.59602258729888</v>
      </c>
      <c r="AV326"/>
      <c r="AW326"/>
      <c r="FY326" s="211">
        <v>321</v>
      </c>
      <c r="FZ326">
        <v>137.70149553596838</v>
      </c>
      <c r="GA326">
        <v>146.62926570114018</v>
      </c>
      <c r="GB326">
        <v>47.596285227119012</v>
      </c>
      <c r="GC326">
        <v>7.9593153295586223</v>
      </c>
      <c r="GD326">
        <v>3.3489028902273068</v>
      </c>
      <c r="GE326">
        <v>6.0445723834057823</v>
      </c>
      <c r="GF326">
        <v>26.310040774975413</v>
      </c>
      <c r="GG326">
        <v>31.02145409568972</v>
      </c>
      <c r="GH326">
        <v>25.220163311317236</v>
      </c>
      <c r="GI326">
        <v>90.216444185328669</v>
      </c>
      <c r="GJ326"/>
      <c r="GK326"/>
      <c r="GL326"/>
      <c r="GM326"/>
    </row>
    <row r="327" spans="1:195" s="7" customFormat="1">
      <c r="A327" s="1"/>
      <c r="B327">
        <v>0.80844408637857157</v>
      </c>
      <c r="C327">
        <v>4</v>
      </c>
      <c r="D327">
        <v>39987</v>
      </c>
      <c r="E327">
        <v>0</v>
      </c>
      <c r="F327">
        <v>88.922764227642276</v>
      </c>
      <c r="G327">
        <v>0</v>
      </c>
      <c r="H327">
        <v>10.416666666666666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1421.4284495923555</v>
      </c>
      <c r="AO327">
        <v>219.53755780924962</v>
      </c>
      <c r="AP327">
        <v>1942.3700516586878</v>
      </c>
      <c r="AQ327">
        <v>615.00207803605281</v>
      </c>
      <c r="AR327">
        <v>213.87030871506283</v>
      </c>
      <c r="AS327">
        <v>2194.9797155003389</v>
      </c>
      <c r="AT327">
        <v>105.18223072894445</v>
      </c>
      <c r="AU327">
        <v>352.04921502534364</v>
      </c>
      <c r="AV327"/>
      <c r="AW327"/>
      <c r="FY327" s="211">
        <v>322</v>
      </c>
      <c r="FZ327">
        <v>133.46554176857035</v>
      </c>
      <c r="GA327">
        <v>67.328780467538962</v>
      </c>
      <c r="GB327">
        <v>24.629407531635476</v>
      </c>
      <c r="GC327">
        <v>7.2458390750962183</v>
      </c>
      <c r="GD327">
        <v>1.9826357960511196</v>
      </c>
      <c r="GE327">
        <v>4.2603912226229248</v>
      </c>
      <c r="GF327">
        <v>19.850758354023615</v>
      </c>
      <c r="GG327">
        <v>24.391391934851566</v>
      </c>
      <c r="GH327">
        <v>23.72711077395201</v>
      </c>
      <c r="GI327">
        <v>69.784285642416407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1248.7425703737972</v>
      </c>
      <c r="AO328">
        <v>163.87504892357742</v>
      </c>
      <c r="AP328">
        <v>1355.4331557364594</v>
      </c>
      <c r="AQ328">
        <v>484.84841795416401</v>
      </c>
      <c r="AR328">
        <v>161.06609241941476</v>
      </c>
      <c r="AS328">
        <v>1724.9558096617509</v>
      </c>
      <c r="AT328">
        <v>75.972676004084704</v>
      </c>
      <c r="AU328">
        <v>216.20813290818529</v>
      </c>
      <c r="AV328"/>
      <c r="AW328"/>
      <c r="FY328" s="211">
        <v>323</v>
      </c>
      <c r="FZ328">
        <v>155.92089293385513</v>
      </c>
      <c r="GA328">
        <v>72.875790253362837</v>
      </c>
      <c r="GB328">
        <v>23.350486278374191</v>
      </c>
      <c r="GC328">
        <v>8.3085877929851453</v>
      </c>
      <c r="GD328">
        <v>3.8651462003936436</v>
      </c>
      <c r="GE328">
        <v>5.5909012646047902</v>
      </c>
      <c r="GF328">
        <v>46.841657465223363</v>
      </c>
      <c r="GG328">
        <v>58.454983704180741</v>
      </c>
      <c r="GH328">
        <v>21.746322048320902</v>
      </c>
      <c r="GI328">
        <v>81.264502644201698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1283.057721896062</v>
      </c>
      <c r="AO329">
        <v>177.53202750697085</v>
      </c>
      <c r="AP329">
        <v>1529.727155776754</v>
      </c>
      <c r="AQ329">
        <v>473.69523225824946</v>
      </c>
      <c r="AR329">
        <v>175.60433315339239</v>
      </c>
      <c r="AS329">
        <v>1738.7432662389431</v>
      </c>
      <c r="AT329">
        <v>86.630395914810208</v>
      </c>
      <c r="AU329">
        <v>550.98176644294097</v>
      </c>
      <c r="AV329"/>
      <c r="AW329"/>
      <c r="FY329" s="211">
        <v>324</v>
      </c>
      <c r="FZ329">
        <v>80.953360370584292</v>
      </c>
      <c r="GA329">
        <v>55.728193263250532</v>
      </c>
      <c r="GB329">
        <v>17.189915749540368</v>
      </c>
      <c r="GC329">
        <v>7.3236046590598596</v>
      </c>
      <c r="GD329">
        <v>2.3803986304681</v>
      </c>
      <c r="GE329">
        <v>3.1556573850130021</v>
      </c>
      <c r="GF329">
        <v>18.188380099499135</v>
      </c>
      <c r="GG329">
        <v>24.975552160209716</v>
      </c>
      <c r="GH329">
        <v>24.386970855853694</v>
      </c>
      <c r="GI329">
        <v>61.907009500277326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1382.8807807095013</v>
      </c>
      <c r="AO330">
        <v>197.23767404214567</v>
      </c>
      <c r="AP330">
        <v>1669.8500258288695</v>
      </c>
      <c r="AQ330">
        <v>459.38603110523559</v>
      </c>
      <c r="AR330">
        <v>187.68116344895171</v>
      </c>
      <c r="AS330">
        <v>2025.9856958647331</v>
      </c>
      <c r="AT330">
        <v>89.059781157896239</v>
      </c>
      <c r="AU330">
        <v>448.18646865974722</v>
      </c>
      <c r="AV330"/>
      <c r="AW330"/>
      <c r="FY330" s="211">
        <v>325</v>
      </c>
      <c r="FZ330">
        <v>124.63065098515125</v>
      </c>
      <c r="GA330">
        <v>119.27208193279543</v>
      </c>
      <c r="GB330">
        <v>30.729111621781225</v>
      </c>
      <c r="GC330">
        <v>7.4274922663415133</v>
      </c>
      <c r="GD330">
        <v>2.7243299989210774</v>
      </c>
      <c r="GE330">
        <v>4.8989155342863828</v>
      </c>
      <c r="GF330">
        <v>40.836710911965874</v>
      </c>
      <c r="GG330">
        <v>52.716408721036096</v>
      </c>
      <c r="GH330">
        <v>28.00483682304489</v>
      </c>
      <c r="GI330">
        <v>85.285147902313966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1273.581472873067</v>
      </c>
      <c r="AO331">
        <v>145.3489928657259</v>
      </c>
      <c r="AP331">
        <v>1144.6292705827154</v>
      </c>
      <c r="AQ331">
        <v>500.57909058837333</v>
      </c>
      <c r="AR331">
        <v>138.80433074808201</v>
      </c>
      <c r="AS331">
        <v>1696.9932807631969</v>
      </c>
      <c r="AT331">
        <v>69.060784973019182</v>
      </c>
      <c r="AU331">
        <v>224.84307724718653</v>
      </c>
      <c r="AV331"/>
      <c r="AW331"/>
      <c r="FY331" s="211">
        <v>326</v>
      </c>
      <c r="FZ331">
        <v>113.76747856803694</v>
      </c>
      <c r="GA331">
        <v>119.48094579287491</v>
      </c>
      <c r="GB331">
        <v>48.062280899186455</v>
      </c>
      <c r="GC331">
        <v>6.8631695046100898</v>
      </c>
      <c r="GD331">
        <v>2.1795309617097001</v>
      </c>
      <c r="GE331">
        <v>5.3635229511554563</v>
      </c>
      <c r="GF331">
        <v>37.334620829159846</v>
      </c>
      <c r="GG331">
        <v>45.115232933990235</v>
      </c>
      <c r="GH331">
        <v>18.321214045336859</v>
      </c>
      <c r="GI331">
        <v>75.439540819489096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859.76331146734321</v>
      </c>
      <c r="AO332">
        <v>127.90884037463941</v>
      </c>
      <c r="AP332">
        <v>1085.4101684337504</v>
      </c>
      <c r="AQ332">
        <v>365.95011018651775</v>
      </c>
      <c r="AR332">
        <v>124.96340464668243</v>
      </c>
      <c r="AS332">
        <v>1283.4607520218019</v>
      </c>
      <c r="AT332">
        <v>59.979122989840313</v>
      </c>
      <c r="AU332">
        <v>25.673842224857239</v>
      </c>
      <c r="AV332"/>
      <c r="AW332"/>
      <c r="FY332" s="211">
        <v>327</v>
      </c>
      <c r="FZ332">
        <v>75.160798023430303</v>
      </c>
      <c r="GA332">
        <v>73.060535641652876</v>
      </c>
      <c r="GB332">
        <v>30.439902987288381</v>
      </c>
      <c r="GC332">
        <v>7.574310932880719</v>
      </c>
      <c r="GD332">
        <v>3.4322528544283553</v>
      </c>
      <c r="GE332">
        <v>5.4919661249502996</v>
      </c>
      <c r="GF332">
        <v>21.862873770403176</v>
      </c>
      <c r="GG332">
        <v>27.108577183416884</v>
      </c>
      <c r="GH332">
        <v>18.273434523654192</v>
      </c>
      <c r="GI332">
        <v>56.326444144727759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889.99380351953164</v>
      </c>
      <c r="AO333">
        <v>151.96250487850207</v>
      </c>
      <c r="AP333">
        <v>1323.5827757213456</v>
      </c>
      <c r="AQ333">
        <v>377.06204471261776</v>
      </c>
      <c r="AR333">
        <v>151.50131904963595</v>
      </c>
      <c r="AS333">
        <v>1481.9625647671685</v>
      </c>
      <c r="AT333">
        <v>72.600092594589725</v>
      </c>
      <c r="AU333">
        <v>170.24324582646838</v>
      </c>
      <c r="AV333"/>
      <c r="AW333"/>
      <c r="FY333" s="211">
        <v>328</v>
      </c>
      <c r="FZ333">
        <v>129.33975068107964</v>
      </c>
      <c r="GA333">
        <v>144.29390419276189</v>
      </c>
      <c r="GB333">
        <v>40.984007295815346</v>
      </c>
      <c r="GC333">
        <v>9.5286071149479561</v>
      </c>
      <c r="GD333">
        <v>4.1138974256563294</v>
      </c>
      <c r="GE333">
        <v>6.6030210308934052</v>
      </c>
      <c r="GF333">
        <v>38.587695077734118</v>
      </c>
      <c r="GG333">
        <v>44.730102709536105</v>
      </c>
      <c r="GH333">
        <v>26.075521590921536</v>
      </c>
      <c r="GI333">
        <v>87.520025086705843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1282.6682699329226</v>
      </c>
      <c r="AO334">
        <v>193.09932898713677</v>
      </c>
      <c r="AP334">
        <v>1553.8769897435038</v>
      </c>
      <c r="AQ334">
        <v>555.68201445913257</v>
      </c>
      <c r="AR334">
        <v>192.12310672391339</v>
      </c>
      <c r="AS334">
        <v>1942.6386633834386</v>
      </c>
      <c r="AT334">
        <v>92.071978658065404</v>
      </c>
      <c r="AU334">
        <v>226.37541215329591</v>
      </c>
      <c r="AV334"/>
      <c r="AW334"/>
      <c r="FY334" s="211">
        <v>329</v>
      </c>
      <c r="FZ334">
        <v>118.32563601485346</v>
      </c>
      <c r="GA334">
        <v>135.31912679569314</v>
      </c>
      <c r="GB334">
        <v>39.262534570137284</v>
      </c>
      <c r="GC334">
        <v>10.074716895843316</v>
      </c>
      <c r="GD334">
        <v>3.5654476254058896</v>
      </c>
      <c r="GE334">
        <v>6.4863725999305863</v>
      </c>
      <c r="GF334">
        <v>13.307813071518106</v>
      </c>
      <c r="GG334">
        <v>15.023205858361557</v>
      </c>
      <c r="GH334">
        <v>25.801585909705324</v>
      </c>
      <c r="GI334">
        <v>80.711958673885846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1293.5291696567281</v>
      </c>
      <c r="AO335">
        <v>183.91734460256046</v>
      </c>
      <c r="AP335">
        <v>1697.5798952941675</v>
      </c>
      <c r="AQ335">
        <v>643.80187984193196</v>
      </c>
      <c r="AR335">
        <v>184.54595560473402</v>
      </c>
      <c r="AS335">
        <v>1924.8676727813909</v>
      </c>
      <c r="AT335">
        <v>90.939453423136527</v>
      </c>
      <c r="AU335">
        <v>316.41523418912567</v>
      </c>
      <c r="AV335"/>
      <c r="AW335"/>
      <c r="FY335" s="211">
        <v>330</v>
      </c>
      <c r="FZ335">
        <v>128.23395035005274</v>
      </c>
      <c r="GA335">
        <v>114.24404789200428</v>
      </c>
      <c r="GB335">
        <v>33.786291027353954</v>
      </c>
      <c r="GC335">
        <v>8.2963208934914991</v>
      </c>
      <c r="GD335">
        <v>3.012938767371081</v>
      </c>
      <c r="GE335">
        <v>6.4373061009049781</v>
      </c>
      <c r="GF335">
        <v>34.560331819494927</v>
      </c>
      <c r="GG335">
        <v>40.716218704616942</v>
      </c>
      <c r="GH335">
        <v>22.638755654373877</v>
      </c>
      <c r="GI335">
        <v>77.588139924499032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1270.015347466338</v>
      </c>
      <c r="AO336">
        <v>186.36684604863029</v>
      </c>
      <c r="AP336">
        <v>1587.9796635024934</v>
      </c>
      <c r="AQ336">
        <v>472.56721667626994</v>
      </c>
      <c r="AR336">
        <v>184.03432749315684</v>
      </c>
      <c r="AS336">
        <v>1821.5828344110269</v>
      </c>
      <c r="AT336">
        <v>85.442755344765501</v>
      </c>
      <c r="AU336">
        <v>505.14717637086267</v>
      </c>
      <c r="AV336"/>
      <c r="AW336"/>
      <c r="FY336" s="211">
        <v>331</v>
      </c>
      <c r="FZ336">
        <v>84.665476356662452</v>
      </c>
      <c r="GA336">
        <v>81.603976136635225</v>
      </c>
      <c r="GB336">
        <v>30.240912548452865</v>
      </c>
      <c r="GC336">
        <v>9.0199278428186211</v>
      </c>
      <c r="GD336">
        <v>3.2937454368587198</v>
      </c>
      <c r="GE336">
        <v>7.1221358281252218</v>
      </c>
      <c r="GF336">
        <v>17.184493205978107</v>
      </c>
      <c r="GG336">
        <v>18.426788612536015</v>
      </c>
      <c r="GH336">
        <v>24.02971800198668</v>
      </c>
      <c r="GI336">
        <v>75.714707115805368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1317.5387087627614</v>
      </c>
      <c r="AO337">
        <v>187.51046562964308</v>
      </c>
      <c r="AP337">
        <v>1417.0123416145559</v>
      </c>
      <c r="AQ337">
        <v>522.04793943473032</v>
      </c>
      <c r="AR337">
        <v>182.29760672680433</v>
      </c>
      <c r="AS337">
        <v>1984.0514253249432</v>
      </c>
      <c r="AT337">
        <v>94.628640136106583</v>
      </c>
      <c r="AU337">
        <v>219.1346102432409</v>
      </c>
      <c r="AV337"/>
      <c r="AW337"/>
      <c r="FY337" s="211">
        <v>332</v>
      </c>
      <c r="FZ337">
        <v>162.34296916165931</v>
      </c>
      <c r="GA337">
        <v>128.45258438540506</v>
      </c>
      <c r="GB337">
        <v>27.529557901658457</v>
      </c>
      <c r="GC337">
        <v>7.4693078992592898</v>
      </c>
      <c r="GD337">
        <v>2.552427034719666</v>
      </c>
      <c r="GE337">
        <v>3.8853596321365309</v>
      </c>
      <c r="GF337">
        <v>42.996861796934184</v>
      </c>
      <c r="GG337">
        <v>54.690553018379724</v>
      </c>
      <c r="GH337">
        <v>18.293782578083047</v>
      </c>
      <c r="GI337">
        <v>75.200738003312566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963.34578321603362</v>
      </c>
      <c r="AO338">
        <v>172.82249604652566</v>
      </c>
      <c r="AP338">
        <v>1443.4609522397473</v>
      </c>
      <c r="AQ338">
        <v>376.66614256675871</v>
      </c>
      <c r="AR338">
        <v>169.08209710409258</v>
      </c>
      <c r="AS338">
        <v>1644.424589813882</v>
      </c>
      <c r="AT338">
        <v>85.230428132385228</v>
      </c>
      <c r="AU338">
        <v>240.33066784989458</v>
      </c>
      <c r="AV338"/>
      <c r="AW338"/>
      <c r="FY338" s="211">
        <v>333</v>
      </c>
      <c r="FZ338">
        <v>87.202412966352853</v>
      </c>
      <c r="GA338">
        <v>100.55058510921617</v>
      </c>
      <c r="GB338">
        <v>38.205394810293541</v>
      </c>
      <c r="GC338">
        <v>7.3129491081496454</v>
      </c>
      <c r="GD338">
        <v>2.6277343335069316</v>
      </c>
      <c r="GE338">
        <v>5.0365559461870744</v>
      </c>
      <c r="GF338">
        <v>17.504407374705472</v>
      </c>
      <c r="GG338">
        <v>21.34448693495867</v>
      </c>
      <c r="GH338">
        <v>23.259581471492616</v>
      </c>
      <c r="GI338">
        <v>62.191111576116974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1248.3757191361203</v>
      </c>
      <c r="AO339">
        <v>171.21036007261222</v>
      </c>
      <c r="AP339">
        <v>1466.9093052494486</v>
      </c>
      <c r="AQ339">
        <v>478.21927058550244</v>
      </c>
      <c r="AR339">
        <v>170.53563342759193</v>
      </c>
      <c r="AS339">
        <v>1838.2154043902269</v>
      </c>
      <c r="AT339">
        <v>83.721785021045505</v>
      </c>
      <c r="AU339">
        <v>517.28973790489988</v>
      </c>
      <c r="AV339"/>
      <c r="AW339"/>
      <c r="FY339" s="211">
        <v>334</v>
      </c>
      <c r="FZ339">
        <v>64.829350351013929</v>
      </c>
      <c r="GA339">
        <v>84.83059539073821</v>
      </c>
      <c r="GB339">
        <v>36.093973410768726</v>
      </c>
      <c r="GC339">
        <v>8.4572310187699244</v>
      </c>
      <c r="GD339">
        <v>3.1954122061464751</v>
      </c>
      <c r="GE339">
        <v>5.7380847419651815</v>
      </c>
      <c r="GF339">
        <v>13.087021980054654</v>
      </c>
      <c r="GG339">
        <v>16.956384289447229</v>
      </c>
      <c r="GH339">
        <v>21.279568580740747</v>
      </c>
      <c r="GI339">
        <v>72.010268447553017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866.49112993514882</v>
      </c>
      <c r="AO340">
        <v>153.98735250775809</v>
      </c>
      <c r="AP340">
        <v>1225.3058634476397</v>
      </c>
      <c r="AQ340">
        <v>296.18904267375603</v>
      </c>
      <c r="AR340">
        <v>148.74628461965395</v>
      </c>
      <c r="AS340">
        <v>1464.605417050627</v>
      </c>
      <c r="AT340">
        <v>71.044954726594042</v>
      </c>
      <c r="AU340">
        <v>134.50259567282623</v>
      </c>
      <c r="AV340"/>
      <c r="AW340"/>
      <c r="FY340" s="211">
        <v>335</v>
      </c>
      <c r="FZ340">
        <v>130.56579276190334</v>
      </c>
      <c r="GA340">
        <v>87.240572034086213</v>
      </c>
      <c r="GB340">
        <v>28.00700168430631</v>
      </c>
      <c r="GC340">
        <v>8.3749019201673782</v>
      </c>
      <c r="GD340">
        <v>2.9848197005132375</v>
      </c>
      <c r="GE340">
        <v>4.3943797590465898</v>
      </c>
      <c r="GF340">
        <v>36.545460227460829</v>
      </c>
      <c r="GG340">
        <v>46.231973311235805</v>
      </c>
      <c r="GH340">
        <v>22.934398885669776</v>
      </c>
      <c r="GI340">
        <v>77.203608919507161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1291.7231112160209</v>
      </c>
      <c r="AO341">
        <v>195.77418392091582</v>
      </c>
      <c r="AP341">
        <v>1687.3867256083824</v>
      </c>
      <c r="AQ341">
        <v>496.52568669763775</v>
      </c>
      <c r="AR341">
        <v>186.78070449172171</v>
      </c>
      <c r="AS341">
        <v>1961.9123376684922</v>
      </c>
      <c r="AT341">
        <v>90.544006617015995</v>
      </c>
      <c r="AU341">
        <v>304.75638375843153</v>
      </c>
      <c r="AV341"/>
      <c r="AW341"/>
      <c r="FY341" s="211">
        <v>336</v>
      </c>
      <c r="FZ341">
        <v>130.24735105977038</v>
      </c>
      <c r="GA341">
        <v>77.75255508394099</v>
      </c>
      <c r="GB341">
        <v>32.876352942384266</v>
      </c>
      <c r="GC341">
        <v>12.62663353700783</v>
      </c>
      <c r="GD341">
        <v>4.1314040621840071</v>
      </c>
      <c r="GE341">
        <v>4.0007743419484676</v>
      </c>
      <c r="GF341">
        <v>25.282751141828758</v>
      </c>
      <c r="GG341">
        <v>31.87678582074496</v>
      </c>
      <c r="GH341">
        <v>21.182902595669081</v>
      </c>
      <c r="GI341">
        <v>76.006561708907739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1221.3201545139605</v>
      </c>
      <c r="AO342">
        <v>153.42556884886761</v>
      </c>
      <c r="AP342">
        <v>1344.3038169114088</v>
      </c>
      <c r="AQ342">
        <v>471.92753730554961</v>
      </c>
      <c r="AR342">
        <v>154.06771808377235</v>
      </c>
      <c r="AS342">
        <v>1637.3205944944257</v>
      </c>
      <c r="AT342">
        <v>72.15980647128238</v>
      </c>
      <c r="AU342">
        <v>300.91012714888586</v>
      </c>
      <c r="AV342"/>
      <c r="AW342"/>
      <c r="FY342" s="211">
        <v>337</v>
      </c>
      <c r="FZ342">
        <v>180.43800122384692</v>
      </c>
      <c r="GA342">
        <v>158.14184560071601</v>
      </c>
      <c r="GB342">
        <v>34.41025927566335</v>
      </c>
      <c r="GC342">
        <v>8.8194797480709717</v>
      </c>
      <c r="GD342">
        <v>3.3957985968261157</v>
      </c>
      <c r="GE342">
        <v>4.3316986659201344</v>
      </c>
      <c r="GF342">
        <v>43.189270115780722</v>
      </c>
      <c r="GG342">
        <v>53.928351570327344</v>
      </c>
      <c r="GH342">
        <v>20.414575514084213</v>
      </c>
      <c r="GI342">
        <v>90.69503253312385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876.3635873205501</v>
      </c>
      <c r="AO343">
        <v>103.3241645535317</v>
      </c>
      <c r="AP343">
        <v>842.69614222033965</v>
      </c>
      <c r="AQ343">
        <v>318.73109618683293</v>
      </c>
      <c r="AR343">
        <v>103.18647487376724</v>
      </c>
      <c r="AS343">
        <v>1119.7293292422885</v>
      </c>
      <c r="AT343">
        <v>50.389641980137533</v>
      </c>
      <c r="AU343">
        <v>125.92512402103655</v>
      </c>
      <c r="AV343"/>
      <c r="AW343"/>
      <c r="FY343" s="211">
        <v>338</v>
      </c>
      <c r="FZ343">
        <v>117.38921314411282</v>
      </c>
      <c r="GA343">
        <v>62.062639250403969</v>
      </c>
      <c r="GB343">
        <v>23.363895581343215</v>
      </c>
      <c r="GC343">
        <v>6.8410610650266781</v>
      </c>
      <c r="GD343">
        <v>2.2248285741851661</v>
      </c>
      <c r="GE343">
        <v>3.1854821848252914</v>
      </c>
      <c r="GF343">
        <v>22.824914805308783</v>
      </c>
      <c r="GG343">
        <v>31.163183270632974</v>
      </c>
      <c r="GH343">
        <v>25.452912171402328</v>
      </c>
      <c r="GI343">
        <v>62.211142117545627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1428.0846151472795</v>
      </c>
      <c r="AO344">
        <v>191.09029617471123</v>
      </c>
      <c r="AP344">
        <v>1582.6601714260387</v>
      </c>
      <c r="AQ344">
        <v>531.77653220605202</v>
      </c>
      <c r="AR344">
        <v>182.20241517976845</v>
      </c>
      <c r="AS344">
        <v>1924.8368055256024</v>
      </c>
      <c r="AT344">
        <v>82.745929162125449</v>
      </c>
      <c r="AU344">
        <v>269.96154495501219</v>
      </c>
      <c r="AV344"/>
      <c r="AW344"/>
      <c r="FY344" s="211">
        <v>339</v>
      </c>
      <c r="FZ344">
        <v>106.42769689225324</v>
      </c>
      <c r="GA344">
        <v>68.489619175802247</v>
      </c>
      <c r="GB344">
        <v>28.280874158778342</v>
      </c>
      <c r="GC344">
        <v>8.4281595538544458</v>
      </c>
      <c r="GD344">
        <v>3.1522027568195936</v>
      </c>
      <c r="GE344">
        <v>4.3602898750176173</v>
      </c>
      <c r="GF344">
        <v>17.824088526011728</v>
      </c>
      <c r="GG344">
        <v>23.374013632951005</v>
      </c>
      <c r="GH344">
        <v>22.961559299750643</v>
      </c>
      <c r="GI344">
        <v>67.109369175728006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1152.1345627535725</v>
      </c>
      <c r="AO345">
        <v>191.63926568028469</v>
      </c>
      <c r="AP345">
        <v>1568.7111883138891</v>
      </c>
      <c r="AQ345">
        <v>447.8783980153346</v>
      </c>
      <c r="AR345">
        <v>184.04100421133955</v>
      </c>
      <c r="AS345">
        <v>1912.5832664461216</v>
      </c>
      <c r="AT345">
        <v>90.400657365511506</v>
      </c>
      <c r="AU345">
        <v>50.222279647857349</v>
      </c>
      <c r="AV345"/>
      <c r="AW345"/>
      <c r="FY345" s="211">
        <v>340</v>
      </c>
      <c r="FZ345">
        <v>103.90600153653106</v>
      </c>
      <c r="GA345">
        <v>84.415940818828304</v>
      </c>
      <c r="GB345">
        <v>30.643246451287713</v>
      </c>
      <c r="GC345">
        <v>7.2311058124179288</v>
      </c>
      <c r="GD345">
        <v>2.8001738676267895</v>
      </c>
      <c r="GE345">
        <v>6.4568758889945173</v>
      </c>
      <c r="GF345">
        <v>30.83863740898488</v>
      </c>
      <c r="GG345">
        <v>36.167935379827647</v>
      </c>
      <c r="GH345">
        <v>16.708270085974711</v>
      </c>
      <c r="GI345">
        <v>75.943330023747492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1187.5892090732261</v>
      </c>
      <c r="AO346">
        <v>157.59743001131824</v>
      </c>
      <c r="AP346">
        <v>1368.3487002731013</v>
      </c>
      <c r="AQ346">
        <v>469.51430113416336</v>
      </c>
      <c r="AR346">
        <v>154.25963623591818</v>
      </c>
      <c r="AS346">
        <v>1760.2832626077811</v>
      </c>
      <c r="AT346">
        <v>74.812847107460684</v>
      </c>
      <c r="AU346">
        <v>258.286680354194</v>
      </c>
      <c r="AV346"/>
      <c r="AW346"/>
      <c r="FY346" s="211">
        <v>341</v>
      </c>
      <c r="FZ346">
        <v>38.4828046361189</v>
      </c>
      <c r="GA346">
        <v>31.74258230986614</v>
      </c>
      <c r="GB346">
        <v>21.868636001262217</v>
      </c>
      <c r="GC346">
        <v>8.0908557588585346</v>
      </c>
      <c r="GD346">
        <v>3.4119076471599996</v>
      </c>
      <c r="GE346">
        <v>4.825003652495548</v>
      </c>
      <c r="GF346">
        <v>26.072132786938127</v>
      </c>
      <c r="GG346">
        <v>33.014695569225246</v>
      </c>
      <c r="GH346">
        <v>37.872469942298721</v>
      </c>
      <c r="GI346">
        <v>63.702841589307937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1078.5560019292823</v>
      </c>
      <c r="AO347">
        <v>172.93896146683727</v>
      </c>
      <c r="AP347">
        <v>1369.0041296170923</v>
      </c>
      <c r="AQ347">
        <v>351.30188108585924</v>
      </c>
      <c r="AR347">
        <v>164.63636723967349</v>
      </c>
      <c r="AS347">
        <v>1799.0829645009435</v>
      </c>
      <c r="AT347">
        <v>81.54350044423937</v>
      </c>
      <c r="AU347">
        <v>171.84055535545758</v>
      </c>
      <c r="AV347"/>
      <c r="AW347"/>
      <c r="FY347" s="211">
        <v>342</v>
      </c>
      <c r="FZ347">
        <v>149.76156164867339</v>
      </c>
      <c r="GA347">
        <v>132.13680846838429</v>
      </c>
      <c r="GB347">
        <v>33.992113647017611</v>
      </c>
      <c r="GC347">
        <v>6.9552317890113065</v>
      </c>
      <c r="GD347">
        <v>3.0994642342958629</v>
      </c>
      <c r="GE347">
        <v>4.5952826907829092</v>
      </c>
      <c r="GF347">
        <v>36.643451862956404</v>
      </c>
      <c r="GG347">
        <v>43.727011613260792</v>
      </c>
      <c r="GH347">
        <v>24.968232521565824</v>
      </c>
      <c r="GI347">
        <v>82.698919992966808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1133.2988987155907</v>
      </c>
      <c r="AO348">
        <v>131.75371891538222</v>
      </c>
      <c r="AP348">
        <v>1165.6925816590629</v>
      </c>
      <c r="AQ348">
        <v>523.4141414115478</v>
      </c>
      <c r="AR348">
        <v>129.65036683131163</v>
      </c>
      <c r="AS348">
        <v>1484.9984631691982</v>
      </c>
      <c r="AT348">
        <v>66.752569363189806</v>
      </c>
      <c r="AU348">
        <v>118.72955515329272</v>
      </c>
      <c r="AV348"/>
      <c r="AW348"/>
      <c r="FY348" s="211">
        <v>343</v>
      </c>
      <c r="FZ348">
        <v>167.0595014006613</v>
      </c>
      <c r="GA348">
        <v>76.638567386920926</v>
      </c>
      <c r="GB348">
        <v>19.997672359660498</v>
      </c>
      <c r="GC348">
        <v>7.0106484272497163</v>
      </c>
      <c r="GD348">
        <v>2.8105922054150598</v>
      </c>
      <c r="GE348">
        <v>6.5209202206521049</v>
      </c>
      <c r="GF348">
        <v>23.57409757816167</v>
      </c>
      <c r="GG348">
        <v>25.636865558607184</v>
      </c>
      <c r="GH348">
        <v>18.55537149637744</v>
      </c>
      <c r="GI348">
        <v>67.637982807973884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942.28522757469148</v>
      </c>
      <c r="AO349">
        <v>126.54529589051648</v>
      </c>
      <c r="AP349">
        <v>1056.9912449173778</v>
      </c>
      <c r="AQ349">
        <v>365.23521963097994</v>
      </c>
      <c r="AR349">
        <v>125.09912760567526</v>
      </c>
      <c r="AS349">
        <v>1412.0897212444904</v>
      </c>
      <c r="AT349">
        <v>62.104866052885789</v>
      </c>
      <c r="AU349">
        <v>142.36398776477137</v>
      </c>
      <c r="AV349"/>
      <c r="AW349"/>
      <c r="FY349" s="211">
        <v>344</v>
      </c>
      <c r="FZ349">
        <v>158.1253647572637</v>
      </c>
      <c r="GA349">
        <v>121.75618449010048</v>
      </c>
      <c r="GB349">
        <v>25.790830819062389</v>
      </c>
      <c r="GC349">
        <v>8.4704739846095727</v>
      </c>
      <c r="GD349">
        <v>2.4106077685738869</v>
      </c>
      <c r="GE349">
        <v>3.5005013636540778</v>
      </c>
      <c r="GF349">
        <v>38.346852804874779</v>
      </c>
      <c r="GG349">
        <v>49.604314709152177</v>
      </c>
      <c r="GH349">
        <v>31.47589318329419</v>
      </c>
      <c r="GI349">
        <v>79.387587628733101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1028.4536287183121</v>
      </c>
      <c r="AO350">
        <v>185.84047579236159</v>
      </c>
      <c r="AP350">
        <v>1512.4508139290874</v>
      </c>
      <c r="AQ350">
        <v>326.47789041719807</v>
      </c>
      <c r="AR350">
        <v>177.81377674727108</v>
      </c>
      <c r="AS350">
        <v>1871.6690626827415</v>
      </c>
      <c r="AT350">
        <v>87.763862899508993</v>
      </c>
      <c r="AU350">
        <v>171.2595214958086</v>
      </c>
      <c r="AV350"/>
      <c r="AW350"/>
      <c r="FY350" s="211">
        <v>345</v>
      </c>
      <c r="FZ350">
        <v>84.270866688280051</v>
      </c>
      <c r="GA350">
        <v>57.197712022227122</v>
      </c>
      <c r="GB350">
        <v>29.455352435223929</v>
      </c>
      <c r="GC350">
        <v>7.9910802237934657</v>
      </c>
      <c r="GD350">
        <v>3.4512584679537168</v>
      </c>
      <c r="GE350">
        <v>6.8361622847742183</v>
      </c>
      <c r="GF350">
        <v>26.199918183217008</v>
      </c>
      <c r="GG350">
        <v>33.742957086268063</v>
      </c>
      <c r="GH350">
        <v>30.613832530444625</v>
      </c>
      <c r="GI350">
        <v>66.822596572183855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1140.5217454957578</v>
      </c>
      <c r="AO351">
        <v>170.62233474693366</v>
      </c>
      <c r="AP351">
        <v>1417.1385123652838</v>
      </c>
      <c r="AQ351">
        <v>444.48290920389661</v>
      </c>
      <c r="AR351">
        <v>166.33412981693891</v>
      </c>
      <c r="AS351">
        <v>1764.1233636036791</v>
      </c>
      <c r="AT351">
        <v>83.802406274530043</v>
      </c>
      <c r="AU351">
        <v>341.64672720787519</v>
      </c>
      <c r="AV351"/>
      <c r="AW351"/>
      <c r="FY351" s="211">
        <v>346</v>
      </c>
      <c r="FZ351">
        <v>283.41635517205657</v>
      </c>
      <c r="GA351">
        <v>152.67143379041843</v>
      </c>
      <c r="GB351">
        <v>28.181543367909669</v>
      </c>
      <c r="GC351">
        <v>9.7231490170312682</v>
      </c>
      <c r="GD351">
        <v>3.0147350161040301</v>
      </c>
      <c r="GE351">
        <v>3.7752070021474919</v>
      </c>
      <c r="GF351">
        <v>25.075556472515075</v>
      </c>
      <c r="GG351">
        <v>30.038946961548447</v>
      </c>
      <c r="GH351">
        <v>25.500393475495798</v>
      </c>
      <c r="GI351">
        <v>80.779388882505202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1129.2987629453962</v>
      </c>
      <c r="AO352">
        <v>155.56564336738506</v>
      </c>
      <c r="AP352">
        <v>1195.3680035713783</v>
      </c>
      <c r="AQ352">
        <v>415.98407229438646</v>
      </c>
      <c r="AR352">
        <v>152.27368053387215</v>
      </c>
      <c r="AS352">
        <v>1658.5726739581955</v>
      </c>
      <c r="AT352">
        <v>72.20411578338765</v>
      </c>
      <c r="AU352">
        <v>122.11644717923083</v>
      </c>
      <c r="AV352"/>
      <c r="AW352"/>
      <c r="FY352" s="211">
        <v>347</v>
      </c>
      <c r="FZ352">
        <v>220.20569310386168</v>
      </c>
      <c r="GA352">
        <v>186.13985092861506</v>
      </c>
      <c r="GB352">
        <v>46.728001800138038</v>
      </c>
      <c r="GC352">
        <v>8.3864879448951193</v>
      </c>
      <c r="GD352">
        <v>3.6373008810067065</v>
      </c>
      <c r="GE352">
        <v>5.9600228480822519</v>
      </c>
      <c r="GF352">
        <v>15.485716513489155</v>
      </c>
      <c r="GG352">
        <v>19.001019278138237</v>
      </c>
      <c r="GH352">
        <v>30.772177953522995</v>
      </c>
      <c r="GI352">
        <v>82.089810482842651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1389.3547269874173</v>
      </c>
      <c r="AO353">
        <v>186.85071563271828</v>
      </c>
      <c r="AP353">
        <v>1577.5940142635541</v>
      </c>
      <c r="AQ353">
        <v>597.76431284435967</v>
      </c>
      <c r="AR353">
        <v>180.36755580026761</v>
      </c>
      <c r="AS353">
        <v>2091.882396567803</v>
      </c>
      <c r="AT353">
        <v>86.171656131345699</v>
      </c>
      <c r="AU353">
        <v>120.00227925052478</v>
      </c>
      <c r="AV353"/>
      <c r="AW353"/>
      <c r="FY353" s="211">
        <v>348</v>
      </c>
      <c r="FZ353">
        <v>174.3451677918323</v>
      </c>
      <c r="GA353">
        <v>152.41917895603314</v>
      </c>
      <c r="GB353">
        <v>37.08469576431866</v>
      </c>
      <c r="GC353">
        <v>9.0122791323826359</v>
      </c>
      <c r="GD353">
        <v>3.9978082082136641</v>
      </c>
      <c r="GE353">
        <v>6.3929073614010932</v>
      </c>
      <c r="GF353">
        <v>26.014123554744614</v>
      </c>
      <c r="GG353">
        <v>33.87617722351925</v>
      </c>
      <c r="GH353">
        <v>28.326934957162031</v>
      </c>
      <c r="GI353">
        <v>91.616671293224712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932.71133401873635</v>
      </c>
      <c r="AO354">
        <v>158.49833110780406</v>
      </c>
      <c r="AP354">
        <v>1286.0152883429109</v>
      </c>
      <c r="AQ354">
        <v>356.7192721647869</v>
      </c>
      <c r="AR354">
        <v>155.66104672425669</v>
      </c>
      <c r="AS354">
        <v>1468.5519883079226</v>
      </c>
      <c r="AT354">
        <v>73.772788688731524</v>
      </c>
      <c r="AU354">
        <v>97.182436624630753</v>
      </c>
      <c r="AV354"/>
      <c r="AW354"/>
      <c r="FY354" s="211">
        <v>349</v>
      </c>
      <c r="FZ354">
        <v>141.00369428417079</v>
      </c>
      <c r="GA354">
        <v>106.01380294626072</v>
      </c>
      <c r="GB354">
        <v>28.861401027367769</v>
      </c>
      <c r="GC354">
        <v>8.8559992712322426</v>
      </c>
      <c r="GD354">
        <v>3.181309604233153</v>
      </c>
      <c r="GE354">
        <v>7.0758942860277729</v>
      </c>
      <c r="GF354">
        <v>6.0869524272348254</v>
      </c>
      <c r="GG354">
        <v>4.5134968383070806</v>
      </c>
      <c r="GH354">
        <v>24.695673490092041</v>
      </c>
      <c r="GI354">
        <v>64.081673353034958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972.1040031044804</v>
      </c>
      <c r="AO355">
        <v>155.84947026267182</v>
      </c>
      <c r="AP355">
        <v>1215.339032055635</v>
      </c>
      <c r="AQ355">
        <v>350.40787304696687</v>
      </c>
      <c r="AR355">
        <v>153.6895461423058</v>
      </c>
      <c r="AS355">
        <v>1540.9656552086026</v>
      </c>
      <c r="AT355">
        <v>73.417124046616138</v>
      </c>
      <c r="AU355">
        <v>213.08540683904272</v>
      </c>
      <c r="AV355"/>
      <c r="AW355"/>
      <c r="FY355" s="211">
        <v>350</v>
      </c>
      <c r="FZ355">
        <v>112.72771964790267</v>
      </c>
      <c r="GA355">
        <v>112.09919556439198</v>
      </c>
      <c r="GB355">
        <v>33.376811575194012</v>
      </c>
      <c r="GC355">
        <v>10.273744359141521</v>
      </c>
      <c r="GD355">
        <v>4.5141496836064352</v>
      </c>
      <c r="GE355">
        <v>5.0837521301294668</v>
      </c>
      <c r="GF355">
        <v>34.799562146087183</v>
      </c>
      <c r="GG355">
        <v>45.5648987970524</v>
      </c>
      <c r="GH355">
        <v>22.367474538187491</v>
      </c>
      <c r="GI355">
        <v>85.832526470219108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1151.2763393149594</v>
      </c>
      <c r="AO356">
        <v>171.2790521518796</v>
      </c>
      <c r="AP356">
        <v>1240.3381407098022</v>
      </c>
      <c r="AQ356">
        <v>395.11151727422106</v>
      </c>
      <c r="AR356">
        <v>165.53899473266884</v>
      </c>
      <c r="AS356">
        <v>1702.2776377981331</v>
      </c>
      <c r="AT356">
        <v>76.977799575599505</v>
      </c>
      <c r="AU356">
        <v>134.33474394229725</v>
      </c>
      <c r="AV356"/>
      <c r="AW356"/>
      <c r="FY356" s="211">
        <v>351</v>
      </c>
      <c r="FZ356">
        <v>105.54410739784693</v>
      </c>
      <c r="GA356">
        <v>94.709909324179804</v>
      </c>
      <c r="GB356">
        <v>33.842876888816583</v>
      </c>
      <c r="GC356">
        <v>8.2194775841104857</v>
      </c>
      <c r="GD356">
        <v>2.8008539760625899</v>
      </c>
      <c r="GE356">
        <v>5.0073860216683936</v>
      </c>
      <c r="GF356">
        <v>37.627180497642385</v>
      </c>
      <c r="GG356">
        <v>49.577532094264605</v>
      </c>
      <c r="GH356">
        <v>30.197996832330517</v>
      </c>
      <c r="GI356">
        <v>87.568848825525833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986.49504138601424</v>
      </c>
      <c r="AO357">
        <v>155.2286010314692</v>
      </c>
      <c r="AP357">
        <v>1229.2958072855226</v>
      </c>
      <c r="AQ357">
        <v>269.08392989353138</v>
      </c>
      <c r="AR357">
        <v>147.4551743158319</v>
      </c>
      <c r="AS357">
        <v>1530.7121459130051</v>
      </c>
      <c r="AT357">
        <v>70.969627028031127</v>
      </c>
      <c r="AU357">
        <v>255.32975206521868</v>
      </c>
      <c r="AV357"/>
      <c r="AW357"/>
      <c r="FY357" s="211">
        <v>352</v>
      </c>
      <c r="FZ357">
        <v>104.41511259844791</v>
      </c>
      <c r="GA357">
        <v>117.32277246555944</v>
      </c>
      <c r="GB357">
        <v>38.698579561346939</v>
      </c>
      <c r="GC357">
        <v>7.9436540259029638</v>
      </c>
      <c r="GD357">
        <v>4.0145373519630656</v>
      </c>
      <c r="GE357">
        <v>7.2697749973750216</v>
      </c>
      <c r="GF357">
        <v>39.7370843740757</v>
      </c>
      <c r="GG357">
        <v>51.669369187196935</v>
      </c>
      <c r="GH357">
        <v>25.645923139124189</v>
      </c>
      <c r="GI357">
        <v>76.887977298563385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1265.5221548332429</v>
      </c>
      <c r="AO358">
        <v>178.80317470818096</v>
      </c>
      <c r="AP358">
        <v>1544.8911540023075</v>
      </c>
      <c r="AQ358">
        <v>518.57807846891512</v>
      </c>
      <c r="AR358">
        <v>177.06336763899529</v>
      </c>
      <c r="AS358">
        <v>1886.8033087989252</v>
      </c>
      <c r="AT358">
        <v>88.899750620237128</v>
      </c>
      <c r="AU358">
        <v>364.69167223590898</v>
      </c>
      <c r="AV358"/>
      <c r="AW358"/>
      <c r="FY358" s="211">
        <v>353</v>
      </c>
      <c r="FZ358">
        <v>101.89041337333204</v>
      </c>
      <c r="GA358">
        <v>68.329187667230542</v>
      </c>
      <c r="GB358">
        <v>26.901070315356524</v>
      </c>
      <c r="GC358">
        <v>8.211696399816903</v>
      </c>
      <c r="GD358">
        <v>2.8229194797056203</v>
      </c>
      <c r="GE358">
        <v>4.072388183324489</v>
      </c>
      <c r="GF358">
        <v>38.94222132378701</v>
      </c>
      <c r="GG358">
        <v>47.779806949335644</v>
      </c>
      <c r="GH358">
        <v>17.425859926633137</v>
      </c>
      <c r="GI358">
        <v>75.736126395419831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943.944633452076</v>
      </c>
      <c r="AO359">
        <v>137.49246030600403</v>
      </c>
      <c r="AP359">
        <v>1160.4234957686076</v>
      </c>
      <c r="AQ359">
        <v>415.44221944167987</v>
      </c>
      <c r="AR359">
        <v>135.78932260381822</v>
      </c>
      <c r="AS359">
        <v>1503.8054171981485</v>
      </c>
      <c r="AT359">
        <v>68.513632007465901</v>
      </c>
      <c r="AU359">
        <v>176.96401592762845</v>
      </c>
      <c r="AV359"/>
      <c r="AW359"/>
      <c r="FY359" s="211">
        <v>354</v>
      </c>
      <c r="FZ359">
        <v>157.83628160822988</v>
      </c>
      <c r="GA359">
        <v>116.89366033696615</v>
      </c>
      <c r="GB359">
        <v>29.070860181835847</v>
      </c>
      <c r="GC359">
        <v>9.2299350928095656</v>
      </c>
      <c r="GD359">
        <v>3.6584366486298729</v>
      </c>
      <c r="GE359">
        <v>5.9444948316988118</v>
      </c>
      <c r="GF359">
        <v>28.067792391433155</v>
      </c>
      <c r="GG359">
        <v>33.941866135126837</v>
      </c>
      <c r="GH359">
        <v>26.698417517598855</v>
      </c>
      <c r="GI359">
        <v>76.292702055405414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1185.1208995403149</v>
      </c>
      <c r="AO360">
        <v>175.41648780467949</v>
      </c>
      <c r="AP360">
        <v>1579.0206896077943</v>
      </c>
      <c r="AQ360">
        <v>518.86861150931827</v>
      </c>
      <c r="AR360">
        <v>170.423946607461</v>
      </c>
      <c r="AS360">
        <v>1802.8073708026707</v>
      </c>
      <c r="AT360">
        <v>81.544541576195357</v>
      </c>
      <c r="AU360">
        <v>157.67889585532427</v>
      </c>
      <c r="AV360"/>
      <c r="AW360"/>
      <c r="FY360" s="211">
        <v>355</v>
      </c>
      <c r="FZ360">
        <v>158.36381078606092</v>
      </c>
      <c r="GA360">
        <v>115.05880928772825</v>
      </c>
      <c r="GB360">
        <v>32.22911364499204</v>
      </c>
      <c r="GC360">
        <v>9.8073617098427039</v>
      </c>
      <c r="GD360">
        <v>3.1720147763401583</v>
      </c>
      <c r="GE360">
        <v>4.8226845927669544</v>
      </c>
      <c r="GF360">
        <v>20.627124367461175</v>
      </c>
      <c r="GG360">
        <v>25.529411083214004</v>
      </c>
      <c r="GH360">
        <v>21.008343155832335</v>
      </c>
      <c r="GI360">
        <v>75.080461412980043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1019.7765658012855</v>
      </c>
      <c r="AO361">
        <v>149.73959944155592</v>
      </c>
      <c r="AP361">
        <v>1192.9333048725568</v>
      </c>
      <c r="AQ361">
        <v>346.581736494366</v>
      </c>
      <c r="AR361">
        <v>147.38223223930518</v>
      </c>
      <c r="AS361">
        <v>1535.9669077004837</v>
      </c>
      <c r="AT361">
        <v>66.543481596479197</v>
      </c>
      <c r="AU361">
        <v>174.21221585654757</v>
      </c>
      <c r="AV361"/>
      <c r="AW361"/>
      <c r="FY361" s="211">
        <v>356</v>
      </c>
      <c r="FZ361">
        <v>162.86270509990334</v>
      </c>
      <c r="GA361">
        <v>107.56446786926045</v>
      </c>
      <c r="GB361">
        <v>25.606934552056877</v>
      </c>
      <c r="GC361">
        <v>9.2408921274878182</v>
      </c>
      <c r="GD361">
        <v>3.6729872795554885</v>
      </c>
      <c r="GE361">
        <v>6.1060069148319549</v>
      </c>
      <c r="GF361">
        <v>27.865937264004344</v>
      </c>
      <c r="GG361">
        <v>34.56897420411935</v>
      </c>
      <c r="GH361">
        <v>30.601674900391117</v>
      </c>
      <c r="GI361">
        <v>80.058470156520883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1154.2903336880543</v>
      </c>
      <c r="AO362">
        <v>172.44090766662441</v>
      </c>
      <c r="AP362">
        <v>1510.9088346662984</v>
      </c>
      <c r="AQ362">
        <v>642.17670915773215</v>
      </c>
      <c r="AR362">
        <v>173.34800784632168</v>
      </c>
      <c r="AS362">
        <v>1920.6351696258444</v>
      </c>
      <c r="AT362">
        <v>87.86635954310195</v>
      </c>
      <c r="AU362">
        <v>64.095282056349959</v>
      </c>
      <c r="AV362"/>
      <c r="AW362"/>
      <c r="FY362" s="211">
        <v>357</v>
      </c>
      <c r="FZ362">
        <v>63.540072270877431</v>
      </c>
      <c r="GA362">
        <v>50.931147013510056</v>
      </c>
      <c r="GB362">
        <v>33.12327293047445</v>
      </c>
      <c r="GC362">
        <v>8.9853610227441667</v>
      </c>
      <c r="GD362">
        <v>4.3044964495259155</v>
      </c>
      <c r="GE362">
        <v>9.7061047973159109</v>
      </c>
      <c r="GF362">
        <v>12.51042610654661</v>
      </c>
      <c r="GG362">
        <v>11.173874910776126</v>
      </c>
      <c r="GH362">
        <v>31.610127933949766</v>
      </c>
      <c r="GI362">
        <v>62.166072902047908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1186.9006059884255</v>
      </c>
      <c r="AO363">
        <v>159.58883263674647</v>
      </c>
      <c r="AP363">
        <v>1349.8228080521199</v>
      </c>
      <c r="AQ363">
        <v>618.40608173459179</v>
      </c>
      <c r="AR363">
        <v>162.76608639408073</v>
      </c>
      <c r="AS363">
        <v>1735.6053760194786</v>
      </c>
      <c r="AT363">
        <v>83.381009814795874</v>
      </c>
      <c r="AU363">
        <v>-1.203064598857793</v>
      </c>
      <c r="AV363"/>
      <c r="AW363"/>
      <c r="FY363" s="211">
        <v>358</v>
      </c>
      <c r="FZ363">
        <v>181.05682101183606</v>
      </c>
      <c r="GA363">
        <v>96.339589203011428</v>
      </c>
      <c r="GB363">
        <v>20.661557587282541</v>
      </c>
      <c r="GC363">
        <v>8.7429435494667249</v>
      </c>
      <c r="GD363">
        <v>5.0181146563007077</v>
      </c>
      <c r="GE363">
        <v>8.268857337199055</v>
      </c>
      <c r="GF363">
        <v>25.627841786615498</v>
      </c>
      <c r="GG363">
        <v>32.564158249426811</v>
      </c>
      <c r="GH363">
        <v>17.090642885924169</v>
      </c>
      <c r="GI363">
        <v>69.243509865321386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1342.1719116759728</v>
      </c>
      <c r="AO364">
        <v>193.98027186965749</v>
      </c>
      <c r="AP364">
        <v>1503.5385474327757</v>
      </c>
      <c r="AQ364">
        <v>563.08594424283217</v>
      </c>
      <c r="AR364">
        <v>186.03767953638115</v>
      </c>
      <c r="AS364">
        <v>1985.7991827336427</v>
      </c>
      <c r="AT364">
        <v>87.816786409644351</v>
      </c>
      <c r="AU364">
        <v>117.42307885294713</v>
      </c>
      <c r="AV364"/>
      <c r="AW364"/>
      <c r="FY364" s="211">
        <v>359</v>
      </c>
      <c r="FZ364">
        <v>189.7747567928466</v>
      </c>
      <c r="GA364">
        <v>115.76099861091789</v>
      </c>
      <c r="GB364">
        <v>32.92930305449643</v>
      </c>
      <c r="GC364">
        <v>10.110653147574153</v>
      </c>
      <c r="GD364">
        <v>2.9821551940646134</v>
      </c>
      <c r="GE364">
        <v>3.7204813522692497</v>
      </c>
      <c r="GF364">
        <v>34.913579345457919</v>
      </c>
      <c r="GG364">
        <v>48.081534558432921</v>
      </c>
      <c r="GH364">
        <v>27.094666625475078</v>
      </c>
      <c r="GI364">
        <v>88.129124912360538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886.65521558828664</v>
      </c>
      <c r="AO365">
        <v>144.00451989465455</v>
      </c>
      <c r="AP365">
        <v>1119.7076768767033</v>
      </c>
      <c r="AQ365">
        <v>394.36989752796137</v>
      </c>
      <c r="AR365">
        <v>141.83226210673806</v>
      </c>
      <c r="AS365">
        <v>1472.4785729994001</v>
      </c>
      <c r="AT365">
        <v>70.455988747220587</v>
      </c>
      <c r="AU365">
        <v>-40.21854265021139</v>
      </c>
      <c r="AV365"/>
      <c r="AW365"/>
      <c r="FY365" s="211">
        <v>360</v>
      </c>
      <c r="FZ365">
        <v>132.68366951819556</v>
      </c>
      <c r="GA365">
        <v>105.55604664448143</v>
      </c>
      <c r="GB365">
        <v>27.577476465430809</v>
      </c>
      <c r="GC365">
        <v>6.4006881514376541</v>
      </c>
      <c r="GD365">
        <v>2.1709877726384725</v>
      </c>
      <c r="GE365">
        <v>4.2230800616642155</v>
      </c>
      <c r="GF365">
        <v>34.762276198331605</v>
      </c>
      <c r="GG365">
        <v>43.325166685980719</v>
      </c>
      <c r="GH365">
        <v>36.899479004945881</v>
      </c>
      <c r="GI365">
        <v>74.857211561410779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1294.0375733737988</v>
      </c>
      <c r="AO366">
        <v>183.98117314669588</v>
      </c>
      <c r="AP366">
        <v>1440.9133723257726</v>
      </c>
      <c r="AQ366">
        <v>466.63983491191232</v>
      </c>
      <c r="AR366">
        <v>179.90110498187349</v>
      </c>
      <c r="AS366">
        <v>1867.8576405405804</v>
      </c>
      <c r="AT366">
        <v>80.810901687299847</v>
      </c>
      <c r="AU366">
        <v>200.70319826981455</v>
      </c>
      <c r="AV366"/>
      <c r="AW366"/>
      <c r="FY366" s="211">
        <v>361</v>
      </c>
      <c r="FZ366">
        <v>197.11326306243302</v>
      </c>
      <c r="GA366">
        <v>155.82248878708134</v>
      </c>
      <c r="GB366">
        <v>33.498423282740752</v>
      </c>
      <c r="GC366">
        <v>10.554369810662909</v>
      </c>
      <c r="GD366">
        <v>4.3174985029679078</v>
      </c>
      <c r="GE366">
        <v>6.6320513897641744</v>
      </c>
      <c r="GF366">
        <v>21.099614072619374</v>
      </c>
      <c r="GG366">
        <v>25.721775670698996</v>
      </c>
      <c r="GH366">
        <v>31.031790311894841</v>
      </c>
      <c r="GI366">
        <v>90.940456925632958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1264.6527895899656</v>
      </c>
      <c r="AO367">
        <v>185.25004078479719</v>
      </c>
      <c r="AP367">
        <v>1537.8134378100162</v>
      </c>
      <c r="AQ367">
        <v>455.09616944244817</v>
      </c>
      <c r="AR367">
        <v>177.80741114246072</v>
      </c>
      <c r="AS367">
        <v>1839.0825878496521</v>
      </c>
      <c r="AT367">
        <v>89.636217894691811</v>
      </c>
      <c r="AU367">
        <v>326.73442871296334</v>
      </c>
      <c r="AV367"/>
      <c r="AW367"/>
      <c r="FY367" s="211">
        <v>362</v>
      </c>
      <c r="FZ367">
        <v>133.07880000584137</v>
      </c>
      <c r="GA367">
        <v>91.361312778743724</v>
      </c>
      <c r="GB367">
        <v>17.656904892676561</v>
      </c>
      <c r="GC367">
        <v>7.5224855475037007</v>
      </c>
      <c r="GD367">
        <v>3.9144656808266021</v>
      </c>
      <c r="GE367">
        <v>8.1469127864161592</v>
      </c>
      <c r="GF367">
        <v>27.34691595367871</v>
      </c>
      <c r="GG367">
        <v>32.072073203098313</v>
      </c>
      <c r="GH367">
        <v>26.436460955929814</v>
      </c>
      <c r="GI367">
        <v>71.208455929795747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1256.6759613147319</v>
      </c>
      <c r="AO368">
        <v>158.09709954916201</v>
      </c>
      <c r="AP368">
        <v>1455.8894093746178</v>
      </c>
      <c r="AQ368">
        <v>473.60478499955553</v>
      </c>
      <c r="AR368">
        <v>154.07851253644407</v>
      </c>
      <c r="AS368">
        <v>1724.2678874641631</v>
      </c>
      <c r="AT368">
        <v>72.158259475993887</v>
      </c>
      <c r="AU368">
        <v>268.18614950154506</v>
      </c>
      <c r="AV368"/>
      <c r="AW368"/>
      <c r="FY368" s="211">
        <v>363</v>
      </c>
      <c r="FZ368">
        <v>117.91150279529595</v>
      </c>
      <c r="GA368">
        <v>117.21575855601897</v>
      </c>
      <c r="GB368">
        <v>28.61012928352271</v>
      </c>
      <c r="GC368">
        <v>6.7093845101625487</v>
      </c>
      <c r="GD368">
        <v>2.4147700237337886</v>
      </c>
      <c r="GE368">
        <v>4.1004515642811032</v>
      </c>
      <c r="GF368">
        <v>36.717679127635847</v>
      </c>
      <c r="GG368">
        <v>43.698328267048481</v>
      </c>
      <c r="GH368">
        <v>21.889141599497886</v>
      </c>
      <c r="GI368">
        <v>65.449672254380602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1167.3460886942944</v>
      </c>
      <c r="AO369">
        <v>163.43583888634498</v>
      </c>
      <c r="AP369">
        <v>1370.9487575226085</v>
      </c>
      <c r="AQ369">
        <v>392.11169001394177</v>
      </c>
      <c r="AR369">
        <v>160.77507332884016</v>
      </c>
      <c r="AS369">
        <v>1745.2708594401372</v>
      </c>
      <c r="AT369">
        <v>76.379951989986552</v>
      </c>
      <c r="AU369">
        <v>483.26456894191699</v>
      </c>
      <c r="AV369"/>
      <c r="AW369"/>
      <c r="FY369" s="211">
        <v>364</v>
      </c>
      <c r="FZ369">
        <v>71.337620164750859</v>
      </c>
      <c r="GA369">
        <v>55.757255814510934</v>
      </c>
      <c r="GB369">
        <v>28.020166828480431</v>
      </c>
      <c r="GC369">
        <v>6.9683878941610242</v>
      </c>
      <c r="GD369">
        <v>3.5971890156608333</v>
      </c>
      <c r="GE369">
        <v>6.69631752695053</v>
      </c>
      <c r="GF369">
        <v>40.185178952127472</v>
      </c>
      <c r="GG369">
        <v>52.020118768864663</v>
      </c>
      <c r="GH369">
        <v>19.898017834215736</v>
      </c>
      <c r="GI369">
        <v>75.556775167034061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1153.8490206534377</v>
      </c>
      <c r="AO370">
        <v>156.61990316954569</v>
      </c>
      <c r="AP370">
        <v>1262.3783800578797</v>
      </c>
      <c r="AQ370">
        <v>487.63444679973435</v>
      </c>
      <c r="AR370">
        <v>150.35334679873515</v>
      </c>
      <c r="AS370">
        <v>1703.8140456703297</v>
      </c>
      <c r="AT370">
        <v>68.324179878816068</v>
      </c>
      <c r="AU370">
        <v>31.338356782336852</v>
      </c>
      <c r="AV370"/>
      <c r="AW370"/>
      <c r="FY370" s="211">
        <v>365</v>
      </c>
      <c r="FZ370">
        <v>129.33894290921015</v>
      </c>
      <c r="GA370">
        <v>70.947384384782566</v>
      </c>
      <c r="GB370">
        <v>27.903207986876659</v>
      </c>
      <c r="GC370">
        <v>9.8321663257134269</v>
      </c>
      <c r="GD370">
        <v>3.6714876263894598</v>
      </c>
      <c r="GE370">
        <v>9.5678949062936791</v>
      </c>
      <c r="GF370">
        <v>41.095681448052346</v>
      </c>
      <c r="GG370">
        <v>43.061686423258585</v>
      </c>
      <c r="GH370">
        <v>22.826192435073619</v>
      </c>
      <c r="GI370">
        <v>83.715496908802237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1061.0754313265923</v>
      </c>
      <c r="AO371">
        <v>154.45731508808629</v>
      </c>
      <c r="AP371">
        <v>1304.1921682293603</v>
      </c>
      <c r="AQ371">
        <v>465.69913481721869</v>
      </c>
      <c r="AR371">
        <v>152.68157450494914</v>
      </c>
      <c r="AS371">
        <v>1659.2819027545561</v>
      </c>
      <c r="AT371">
        <v>76.208838758607854</v>
      </c>
      <c r="AU371">
        <v>107.54306633476608</v>
      </c>
      <c r="AV371"/>
      <c r="AW371"/>
      <c r="FY371" s="211">
        <v>366</v>
      </c>
      <c r="FZ371">
        <v>146.22254059821444</v>
      </c>
      <c r="GA371">
        <v>101.89887870482947</v>
      </c>
      <c r="GB371">
        <v>32.167132853692557</v>
      </c>
      <c r="GC371">
        <v>9.9248822616616756</v>
      </c>
      <c r="GD371">
        <v>3.6286594636869083</v>
      </c>
      <c r="GE371">
        <v>5.5190466338187338</v>
      </c>
      <c r="GF371">
        <v>21.610178007944818</v>
      </c>
      <c r="GG371">
        <v>29.762970431443286</v>
      </c>
      <c r="GH371">
        <v>30.433936695074053</v>
      </c>
      <c r="GI371">
        <v>83.274114944668256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 t="e">
        <f>+G36</f>
        <v>#VALUE!</v>
      </c>
      <c r="H372" s="59" t="e">
        <f t="shared" ref="H372:AK372" si="359">+H36</f>
        <v>#VALUE!</v>
      </c>
      <c r="I372" s="59" t="e">
        <f t="shared" si="359"/>
        <v>#VALUE!</v>
      </c>
      <c r="J372" s="59" t="e">
        <f t="shared" si="359"/>
        <v>#VALUE!</v>
      </c>
      <c r="K372" s="59" t="e">
        <f t="shared" si="359"/>
        <v>#VALUE!</v>
      </c>
      <c r="L372" s="59" t="e">
        <f t="shared" si="359"/>
        <v>#VALUE!</v>
      </c>
      <c r="M372" s="59" t="e">
        <f t="shared" si="359"/>
        <v>#VALUE!</v>
      </c>
      <c r="N372" s="59" t="e">
        <f t="shared" si="359"/>
        <v>#VALUE!</v>
      </c>
      <c r="O372" s="59" t="e">
        <f t="shared" si="359"/>
        <v>#VALUE!</v>
      </c>
      <c r="P372" s="59" t="e">
        <f t="shared" si="359"/>
        <v>#VALUE!</v>
      </c>
      <c r="Q372" s="59" t="e">
        <f t="shared" si="359"/>
        <v>#VALUE!</v>
      </c>
      <c r="R372" s="59" t="e">
        <f t="shared" si="359"/>
        <v>#VALUE!</v>
      </c>
      <c r="S372" s="59" t="e">
        <f t="shared" si="359"/>
        <v>#VALUE!</v>
      </c>
      <c r="T372" s="59" t="e">
        <f t="shared" si="359"/>
        <v>#VALUE!</v>
      </c>
      <c r="U372" s="59" t="e">
        <f t="shared" si="359"/>
        <v>#VALUE!</v>
      </c>
      <c r="V372" s="59" t="e">
        <f t="shared" si="359"/>
        <v>#VALUE!</v>
      </c>
      <c r="W372" s="59" t="e">
        <f t="shared" si="359"/>
        <v>#VALUE!</v>
      </c>
      <c r="X372" s="59" t="e">
        <f t="shared" si="359"/>
        <v>#VALUE!</v>
      </c>
      <c r="Y372" s="59" t="e">
        <f t="shared" si="359"/>
        <v>#VALUE!</v>
      </c>
      <c r="Z372" s="59" t="e">
        <f t="shared" si="359"/>
        <v>#VALUE!</v>
      </c>
      <c r="AA372" s="59" t="e">
        <f t="shared" si="359"/>
        <v>#VALUE!</v>
      </c>
      <c r="AB372" s="59" t="e">
        <f t="shared" si="359"/>
        <v>#VALUE!</v>
      </c>
      <c r="AC372" s="59" t="e">
        <f t="shared" si="359"/>
        <v>#VALUE!</v>
      </c>
      <c r="AD372" s="59" t="e">
        <f t="shared" si="359"/>
        <v>#VALUE!</v>
      </c>
      <c r="AE372" s="59" t="e">
        <f t="shared" si="359"/>
        <v>#VALUE!</v>
      </c>
      <c r="AF372" s="59" t="e">
        <f t="shared" si="359"/>
        <v>#VALUE!</v>
      </c>
      <c r="AG372" s="59" t="e">
        <f t="shared" si="359"/>
        <v>#VALUE!</v>
      </c>
      <c r="AH372" s="59" t="e">
        <f t="shared" si="359"/>
        <v>#VALUE!</v>
      </c>
      <c r="AI372" s="59" t="e">
        <f t="shared" si="359"/>
        <v>#VALUE!</v>
      </c>
      <c r="AJ372" s="59" t="e">
        <f t="shared" si="359"/>
        <v>#VALUE!</v>
      </c>
      <c r="AK372" s="59" t="e">
        <f t="shared" si="359"/>
        <v>#VALUE!</v>
      </c>
      <c r="AL372" s="78"/>
      <c r="AM372" s="43">
        <v>356</v>
      </c>
      <c r="AN372">
        <v>1162.6781475093562</v>
      </c>
      <c r="AO372">
        <v>174.88975902679778</v>
      </c>
      <c r="AP372">
        <v>1420.8435608893085</v>
      </c>
      <c r="AQ372">
        <v>488.14905036813161</v>
      </c>
      <c r="AR372">
        <v>169.62461186638564</v>
      </c>
      <c r="AS372">
        <v>1793.7929879986598</v>
      </c>
      <c r="AT372">
        <v>82.587250466485656</v>
      </c>
      <c r="AU372">
        <v>114.28216950399042</v>
      </c>
      <c r="AV372"/>
      <c r="AW372"/>
      <c r="FY372" s="211">
        <v>367</v>
      </c>
      <c r="FZ372">
        <v>124.91685870650662</v>
      </c>
      <c r="GA372">
        <v>106.40483836606811</v>
      </c>
      <c r="GB372">
        <v>32.283773202534832</v>
      </c>
      <c r="GC372">
        <v>11.641820163994462</v>
      </c>
      <c r="GD372">
        <v>5.7447066014994297</v>
      </c>
      <c r="GE372">
        <v>8.6667719958619642</v>
      </c>
      <c r="GF372">
        <v>18.697749987476925</v>
      </c>
      <c r="GG372">
        <v>20.498197846329344</v>
      </c>
      <c r="GH372">
        <v>14.895041656370365</v>
      </c>
      <c r="GI372">
        <v>75.921444175210581</v>
      </c>
      <c r="GJ372"/>
      <c r="GK372"/>
      <c r="GL372"/>
      <c r="GM372"/>
    </row>
    <row r="373" spans="1:195" s="7" customFormat="1">
      <c r="A373" s="95"/>
      <c r="B373" s="71">
        <f t="shared" ref="B373:B378" si="360">+C4</f>
        <v>39646</v>
      </c>
      <c r="C373" s="18">
        <f t="shared" ref="C373:C382" si="361">+D70</f>
        <v>531.25000000000011</v>
      </c>
      <c r="D373" s="18" t="e">
        <f t="shared" ref="D373:D382" si="362">SUM(G373:AK373)</f>
        <v>#VALUE!</v>
      </c>
      <c r="E373" s="19" t="e">
        <f t="shared" ref="E373:E382" si="363">IF(C373&lt;1, 0.000001, D373/C373)</f>
        <v>#VALUE!</v>
      </c>
      <c r="F373" s="19"/>
      <c r="G373" s="18" t="e">
        <f>AVERAGE(E228:E237)*G$372</f>
        <v>#VALUE!</v>
      </c>
      <c r="H373" s="18" t="e">
        <f t="shared" ref="H373:AK373" si="364">AVERAGE(F228:F237)*H$372</f>
        <v>#VALUE!</v>
      </c>
      <c r="I373" s="18" t="e">
        <f t="shared" si="364"/>
        <v>#VALUE!</v>
      </c>
      <c r="J373" s="18" t="e">
        <f t="shared" si="364"/>
        <v>#VALUE!</v>
      </c>
      <c r="K373" s="18" t="e">
        <f t="shared" si="364"/>
        <v>#VALUE!</v>
      </c>
      <c r="L373" s="18" t="e">
        <f t="shared" si="364"/>
        <v>#VALUE!</v>
      </c>
      <c r="M373" s="18" t="e">
        <f t="shared" si="364"/>
        <v>#VALUE!</v>
      </c>
      <c r="N373" s="18" t="e">
        <f t="shared" si="364"/>
        <v>#VALUE!</v>
      </c>
      <c r="O373" s="18" t="e">
        <f t="shared" si="364"/>
        <v>#VALUE!</v>
      </c>
      <c r="P373" s="18" t="e">
        <f t="shared" si="364"/>
        <v>#VALUE!</v>
      </c>
      <c r="Q373" s="18" t="e">
        <f t="shared" si="364"/>
        <v>#VALUE!</v>
      </c>
      <c r="R373" s="18" t="e">
        <f t="shared" si="364"/>
        <v>#VALUE!</v>
      </c>
      <c r="S373" s="18" t="e">
        <f t="shared" si="364"/>
        <v>#VALUE!</v>
      </c>
      <c r="T373" s="18" t="e">
        <f t="shared" si="364"/>
        <v>#VALUE!</v>
      </c>
      <c r="U373" s="18" t="e">
        <f t="shared" si="364"/>
        <v>#VALUE!</v>
      </c>
      <c r="V373" s="18" t="e">
        <f t="shared" si="364"/>
        <v>#VALUE!</v>
      </c>
      <c r="W373" s="18" t="e">
        <f t="shared" si="364"/>
        <v>#VALUE!</v>
      </c>
      <c r="X373" s="18" t="e">
        <f t="shared" si="364"/>
        <v>#VALUE!</v>
      </c>
      <c r="Y373" s="18" t="e">
        <f t="shared" si="364"/>
        <v>#VALUE!</v>
      </c>
      <c r="Z373" s="18" t="e">
        <f t="shared" si="364"/>
        <v>#VALUE!</v>
      </c>
      <c r="AA373" s="18" t="e">
        <f t="shared" si="364"/>
        <v>#VALUE!</v>
      </c>
      <c r="AB373" s="18" t="e">
        <f t="shared" si="364"/>
        <v>#VALUE!</v>
      </c>
      <c r="AC373" s="18" t="e">
        <f t="shared" si="364"/>
        <v>#VALUE!</v>
      </c>
      <c r="AD373" s="18" t="e">
        <f t="shared" si="364"/>
        <v>#VALUE!</v>
      </c>
      <c r="AE373" s="18" t="e">
        <f t="shared" si="364"/>
        <v>#VALUE!</v>
      </c>
      <c r="AF373" s="18" t="e">
        <f t="shared" si="364"/>
        <v>#VALUE!</v>
      </c>
      <c r="AG373" s="18" t="e">
        <f t="shared" si="364"/>
        <v>#VALUE!</v>
      </c>
      <c r="AH373" s="18" t="e">
        <f t="shared" si="364"/>
        <v>#VALUE!</v>
      </c>
      <c r="AI373" s="18" t="e">
        <f t="shared" si="364"/>
        <v>#VALUE!</v>
      </c>
      <c r="AJ373" s="18" t="e">
        <f t="shared" si="364"/>
        <v>#VALUE!</v>
      </c>
      <c r="AK373" s="18" t="e">
        <f t="shared" si="364"/>
        <v>#VALUE!</v>
      </c>
      <c r="AL373" s="78"/>
      <c r="AM373" s="43">
        <v>357</v>
      </c>
      <c r="AN373">
        <v>922.34729310827731</v>
      </c>
      <c r="AO373">
        <v>139.69303181673166</v>
      </c>
      <c r="AP373">
        <v>1131.3442459635169</v>
      </c>
      <c r="AQ373">
        <v>288.05095633776835</v>
      </c>
      <c r="AR373">
        <v>136.07368444613584</v>
      </c>
      <c r="AS373">
        <v>1429.9608344107896</v>
      </c>
      <c r="AT373">
        <v>68.454511549265845</v>
      </c>
      <c r="AU373">
        <v>105.31911481938413</v>
      </c>
      <c r="AV373"/>
      <c r="AW373"/>
      <c r="FY373" s="211">
        <v>368</v>
      </c>
      <c r="FZ373">
        <v>191.32993453453918</v>
      </c>
      <c r="GA373">
        <v>148.64499867612042</v>
      </c>
      <c r="GB373">
        <v>32.501024857066177</v>
      </c>
      <c r="GC373">
        <v>7.7269768994124997</v>
      </c>
      <c r="GD373">
        <v>4.0418369609853073</v>
      </c>
      <c r="GE373">
        <v>8.0767332115152008</v>
      </c>
      <c r="GF373">
        <v>11.714580583701988</v>
      </c>
      <c r="GG373">
        <v>13.446453972526109</v>
      </c>
      <c r="GH373">
        <v>27.555350499506389</v>
      </c>
      <c r="GI373">
        <v>72.440403812007389</v>
      </c>
      <c r="GJ373"/>
      <c r="GK373"/>
      <c r="GL373"/>
      <c r="GM373"/>
    </row>
    <row r="374" spans="1:195" s="7" customFormat="1">
      <c r="A374" s="95"/>
      <c r="B374" s="71">
        <f t="shared" si="360"/>
        <v>39673</v>
      </c>
      <c r="C374" s="18">
        <f t="shared" si="361"/>
        <v>823.13346171802061</v>
      </c>
      <c r="D374" s="18" t="e">
        <f t="shared" si="362"/>
        <v>#VALUE!</v>
      </c>
      <c r="E374" s="19" t="e">
        <f t="shared" si="363"/>
        <v>#VALUE!</v>
      </c>
      <c r="F374" s="19" t="e">
        <f>IF(F388&lt;0,0,F388)</f>
        <v>#VALUE!</v>
      </c>
      <c r="G374" s="18" t="e">
        <f>AVERAGE(E238:E247)*G$372</f>
        <v>#VALUE!</v>
      </c>
      <c r="H374" s="18" t="e">
        <f t="shared" ref="H374:AK374" si="365">AVERAGE(F238:F247)*H$372</f>
        <v>#VALUE!</v>
      </c>
      <c r="I374" s="18" t="e">
        <f t="shared" si="365"/>
        <v>#VALUE!</v>
      </c>
      <c r="J374" s="18" t="e">
        <f t="shared" si="365"/>
        <v>#VALUE!</v>
      </c>
      <c r="K374" s="18" t="e">
        <f t="shared" si="365"/>
        <v>#VALUE!</v>
      </c>
      <c r="L374" s="18" t="e">
        <f t="shared" si="365"/>
        <v>#VALUE!</v>
      </c>
      <c r="M374" s="18" t="e">
        <f t="shared" si="365"/>
        <v>#VALUE!</v>
      </c>
      <c r="N374" s="18" t="e">
        <f t="shared" si="365"/>
        <v>#VALUE!</v>
      </c>
      <c r="O374" s="18" t="e">
        <f t="shared" si="365"/>
        <v>#VALUE!</v>
      </c>
      <c r="P374" s="18" t="e">
        <f t="shared" si="365"/>
        <v>#VALUE!</v>
      </c>
      <c r="Q374" s="18" t="e">
        <f t="shared" si="365"/>
        <v>#VALUE!</v>
      </c>
      <c r="R374" s="18" t="e">
        <f t="shared" si="365"/>
        <v>#VALUE!</v>
      </c>
      <c r="S374" s="18" t="e">
        <f t="shared" si="365"/>
        <v>#VALUE!</v>
      </c>
      <c r="T374" s="18" t="e">
        <f t="shared" si="365"/>
        <v>#VALUE!</v>
      </c>
      <c r="U374" s="18" t="e">
        <f t="shared" si="365"/>
        <v>#VALUE!</v>
      </c>
      <c r="V374" s="18" t="e">
        <f t="shared" si="365"/>
        <v>#VALUE!</v>
      </c>
      <c r="W374" s="18" t="e">
        <f t="shared" si="365"/>
        <v>#VALUE!</v>
      </c>
      <c r="X374" s="18" t="e">
        <f t="shared" si="365"/>
        <v>#VALUE!</v>
      </c>
      <c r="Y374" s="18" t="e">
        <f t="shared" si="365"/>
        <v>#VALUE!</v>
      </c>
      <c r="Z374" s="18" t="e">
        <f t="shared" si="365"/>
        <v>#VALUE!</v>
      </c>
      <c r="AA374" s="18" t="e">
        <f t="shared" si="365"/>
        <v>#VALUE!</v>
      </c>
      <c r="AB374" s="18" t="e">
        <f t="shared" si="365"/>
        <v>#VALUE!</v>
      </c>
      <c r="AC374" s="18" t="e">
        <f t="shared" si="365"/>
        <v>#VALUE!</v>
      </c>
      <c r="AD374" s="18" t="e">
        <f t="shared" si="365"/>
        <v>#VALUE!</v>
      </c>
      <c r="AE374" s="18" t="e">
        <f t="shared" si="365"/>
        <v>#VALUE!</v>
      </c>
      <c r="AF374" s="18" t="e">
        <f t="shared" si="365"/>
        <v>#VALUE!</v>
      </c>
      <c r="AG374" s="18" t="e">
        <f t="shared" si="365"/>
        <v>#VALUE!</v>
      </c>
      <c r="AH374" s="18" t="e">
        <f t="shared" si="365"/>
        <v>#VALUE!</v>
      </c>
      <c r="AI374" s="18" t="e">
        <f t="shared" si="365"/>
        <v>#VALUE!</v>
      </c>
      <c r="AJ374" s="18" t="e">
        <f t="shared" si="365"/>
        <v>#VALUE!</v>
      </c>
      <c r="AK374" s="18" t="e">
        <f t="shared" si="365"/>
        <v>#VALUE!</v>
      </c>
      <c r="AL374" s="78"/>
      <c r="AM374" s="43">
        <v>358</v>
      </c>
      <c r="AN374">
        <v>1015.3484520177142</v>
      </c>
      <c r="AO374">
        <v>130.05053510211945</v>
      </c>
      <c r="AP374">
        <v>1097.2116571854849</v>
      </c>
      <c r="AQ374">
        <v>464.6140361323844</v>
      </c>
      <c r="AR374">
        <v>129.67180106976636</v>
      </c>
      <c r="AS374">
        <v>1415.3500149575007</v>
      </c>
      <c r="AT374">
        <v>65.173956089369355</v>
      </c>
      <c r="AU374">
        <v>111.26162098590238</v>
      </c>
      <c r="AV374"/>
      <c r="AW374"/>
      <c r="FY374" s="211">
        <v>369</v>
      </c>
      <c r="FZ374">
        <v>185.03804346358825</v>
      </c>
      <c r="GA374">
        <v>136.52100883052424</v>
      </c>
      <c r="GB374">
        <v>34.65002477848045</v>
      </c>
      <c r="GC374">
        <v>9.4423567582557197</v>
      </c>
      <c r="GD374">
        <v>3.0203033371767187</v>
      </c>
      <c r="GE374">
        <v>5.5924908330763321</v>
      </c>
      <c r="GF374">
        <v>35.51786505786788</v>
      </c>
      <c r="GG374">
        <v>44.731883402423279</v>
      </c>
      <c r="GH374">
        <v>19.440553320663238</v>
      </c>
      <c r="GI374">
        <v>84.129978167508924</v>
      </c>
      <c r="GJ374"/>
      <c r="GK374"/>
      <c r="GL374"/>
      <c r="GM374"/>
    </row>
    <row r="375" spans="1:195" s="7" customFormat="1">
      <c r="A375" s="95"/>
      <c r="B375" s="71">
        <f t="shared" si="360"/>
        <v>39714</v>
      </c>
      <c r="C375" s="18">
        <f t="shared" si="361"/>
        <v>1588.9136904761901</v>
      </c>
      <c r="D375" s="18" t="e">
        <f t="shared" si="362"/>
        <v>#VALUE!</v>
      </c>
      <c r="E375" s="19" t="e">
        <f t="shared" si="363"/>
        <v>#VALUE!</v>
      </c>
      <c r="F375" s="19" t="e">
        <f>IF(F389&lt;0,0,F389)</f>
        <v>#VALUE!</v>
      </c>
      <c r="G375" s="18" t="e">
        <f>AVERAGE(E248:E257)*G$372</f>
        <v>#VALUE!</v>
      </c>
      <c r="H375" s="18" t="e">
        <f t="shared" ref="H375:AK375" si="366">AVERAGE(F248:F257)*H$372</f>
        <v>#VALUE!</v>
      </c>
      <c r="I375" s="18" t="e">
        <f t="shared" si="366"/>
        <v>#VALUE!</v>
      </c>
      <c r="J375" s="18" t="e">
        <f t="shared" si="366"/>
        <v>#VALUE!</v>
      </c>
      <c r="K375" s="18" t="e">
        <f t="shared" si="366"/>
        <v>#VALUE!</v>
      </c>
      <c r="L375" s="18" t="e">
        <f t="shared" si="366"/>
        <v>#VALUE!</v>
      </c>
      <c r="M375" s="18" t="e">
        <f t="shared" si="366"/>
        <v>#VALUE!</v>
      </c>
      <c r="N375" s="18" t="e">
        <f t="shared" si="366"/>
        <v>#VALUE!</v>
      </c>
      <c r="O375" s="18" t="e">
        <f t="shared" si="366"/>
        <v>#VALUE!</v>
      </c>
      <c r="P375" s="18" t="e">
        <f t="shared" si="366"/>
        <v>#VALUE!</v>
      </c>
      <c r="Q375" s="18" t="e">
        <f t="shared" si="366"/>
        <v>#VALUE!</v>
      </c>
      <c r="R375" s="18" t="e">
        <f t="shared" si="366"/>
        <v>#VALUE!</v>
      </c>
      <c r="S375" s="18" t="e">
        <f t="shared" si="366"/>
        <v>#VALUE!</v>
      </c>
      <c r="T375" s="18" t="e">
        <f t="shared" si="366"/>
        <v>#VALUE!</v>
      </c>
      <c r="U375" s="18" t="e">
        <f t="shared" si="366"/>
        <v>#VALUE!</v>
      </c>
      <c r="V375" s="18" t="e">
        <f t="shared" si="366"/>
        <v>#VALUE!</v>
      </c>
      <c r="W375" s="18" t="e">
        <f t="shared" si="366"/>
        <v>#VALUE!</v>
      </c>
      <c r="X375" s="18" t="e">
        <f t="shared" si="366"/>
        <v>#VALUE!</v>
      </c>
      <c r="Y375" s="18" t="e">
        <f t="shared" si="366"/>
        <v>#VALUE!</v>
      </c>
      <c r="Z375" s="18" t="e">
        <f t="shared" si="366"/>
        <v>#VALUE!</v>
      </c>
      <c r="AA375" s="18" t="e">
        <f t="shared" si="366"/>
        <v>#VALUE!</v>
      </c>
      <c r="AB375" s="18" t="e">
        <f t="shared" si="366"/>
        <v>#VALUE!</v>
      </c>
      <c r="AC375" s="18" t="e">
        <f t="shared" si="366"/>
        <v>#VALUE!</v>
      </c>
      <c r="AD375" s="18" t="e">
        <f t="shared" si="366"/>
        <v>#VALUE!</v>
      </c>
      <c r="AE375" s="18" t="e">
        <f t="shared" si="366"/>
        <v>#VALUE!</v>
      </c>
      <c r="AF375" s="18" t="e">
        <f t="shared" si="366"/>
        <v>#VALUE!</v>
      </c>
      <c r="AG375" s="18" t="e">
        <f t="shared" si="366"/>
        <v>#VALUE!</v>
      </c>
      <c r="AH375" s="18" t="e">
        <f t="shared" si="366"/>
        <v>#VALUE!</v>
      </c>
      <c r="AI375" s="18" t="e">
        <f t="shared" si="366"/>
        <v>#VALUE!</v>
      </c>
      <c r="AJ375" s="18" t="e">
        <f t="shared" si="366"/>
        <v>#VALUE!</v>
      </c>
      <c r="AK375" s="18" t="e">
        <f t="shared" si="366"/>
        <v>#VALUE!</v>
      </c>
      <c r="AL375" s="78"/>
      <c r="AM375" s="43">
        <v>359</v>
      </c>
      <c r="AN375">
        <v>1266.6098485000725</v>
      </c>
      <c r="AO375">
        <v>184.48340670297449</v>
      </c>
      <c r="AP375">
        <v>1559.4073440510888</v>
      </c>
      <c r="AQ375">
        <v>553.49725359389538</v>
      </c>
      <c r="AR375">
        <v>179.71133997946467</v>
      </c>
      <c r="AS375">
        <v>2040.1209673052172</v>
      </c>
      <c r="AT375">
        <v>89.572344343580582</v>
      </c>
      <c r="AU375">
        <v>128.75812662851914</v>
      </c>
      <c r="AV375"/>
      <c r="AW375"/>
      <c r="FY375" s="211">
        <v>370</v>
      </c>
      <c r="FZ375">
        <v>133.92891079176712</v>
      </c>
      <c r="GA375">
        <v>135.19653665323079</v>
      </c>
      <c r="GB375">
        <v>39.580140135276402</v>
      </c>
      <c r="GC375">
        <v>9.2517353021143816</v>
      </c>
      <c r="GD375">
        <v>4.2555038299985632</v>
      </c>
      <c r="GE375">
        <v>6.5805556794169728</v>
      </c>
      <c r="GF375">
        <v>31.564593317296836</v>
      </c>
      <c r="GG375">
        <v>40.657341222834653</v>
      </c>
      <c r="GH375">
        <v>18.538219052218246</v>
      </c>
      <c r="GI375">
        <v>93.442139048202719</v>
      </c>
      <c r="GJ375"/>
      <c r="GK375"/>
      <c r="GL375"/>
      <c r="GM375"/>
    </row>
    <row r="376" spans="1:195" s="7" customFormat="1">
      <c r="A376" s="95"/>
      <c r="B376" s="71">
        <f t="shared" si="360"/>
        <v>39747</v>
      </c>
      <c r="C376" s="18">
        <f t="shared" si="361"/>
        <v>2009.2693585150487</v>
      </c>
      <c r="D376" s="18" t="e">
        <f t="shared" si="362"/>
        <v>#VALUE!</v>
      </c>
      <c r="E376" s="19" t="e">
        <f t="shared" si="363"/>
        <v>#VALUE!</v>
      </c>
      <c r="F376" s="19" t="e">
        <f>IF(F390&lt;0,0,F390)</f>
        <v>#VALUE!</v>
      </c>
      <c r="G376" s="18" t="e">
        <f>AVERAGE(E258:E267)*G$372</f>
        <v>#VALUE!</v>
      </c>
      <c r="H376" s="18" t="e">
        <f t="shared" ref="H376:AK376" si="367">AVERAGE(F258:F267)*H$372</f>
        <v>#VALUE!</v>
      </c>
      <c r="I376" s="18" t="e">
        <f t="shared" si="367"/>
        <v>#VALUE!</v>
      </c>
      <c r="J376" s="18" t="e">
        <f t="shared" si="367"/>
        <v>#VALUE!</v>
      </c>
      <c r="K376" s="18" t="e">
        <f t="shared" si="367"/>
        <v>#VALUE!</v>
      </c>
      <c r="L376" s="18" t="e">
        <f t="shared" si="367"/>
        <v>#VALUE!</v>
      </c>
      <c r="M376" s="18" t="e">
        <f t="shared" si="367"/>
        <v>#VALUE!</v>
      </c>
      <c r="N376" s="18" t="e">
        <f t="shared" si="367"/>
        <v>#VALUE!</v>
      </c>
      <c r="O376" s="18" t="e">
        <f t="shared" si="367"/>
        <v>#VALUE!</v>
      </c>
      <c r="P376" s="18" t="e">
        <f t="shared" si="367"/>
        <v>#VALUE!</v>
      </c>
      <c r="Q376" s="18" t="e">
        <f t="shared" si="367"/>
        <v>#VALUE!</v>
      </c>
      <c r="R376" s="18" t="e">
        <f t="shared" si="367"/>
        <v>#VALUE!</v>
      </c>
      <c r="S376" s="18" t="e">
        <f t="shared" si="367"/>
        <v>#VALUE!</v>
      </c>
      <c r="T376" s="18" t="e">
        <f t="shared" si="367"/>
        <v>#VALUE!</v>
      </c>
      <c r="U376" s="18" t="e">
        <f t="shared" si="367"/>
        <v>#VALUE!</v>
      </c>
      <c r="V376" s="18" t="e">
        <f t="shared" si="367"/>
        <v>#VALUE!</v>
      </c>
      <c r="W376" s="18" t="e">
        <f t="shared" si="367"/>
        <v>#VALUE!</v>
      </c>
      <c r="X376" s="18" t="e">
        <f t="shared" si="367"/>
        <v>#VALUE!</v>
      </c>
      <c r="Y376" s="18" t="e">
        <f t="shared" si="367"/>
        <v>#VALUE!</v>
      </c>
      <c r="Z376" s="18" t="e">
        <f t="shared" si="367"/>
        <v>#VALUE!</v>
      </c>
      <c r="AA376" s="18" t="e">
        <f t="shared" si="367"/>
        <v>#VALUE!</v>
      </c>
      <c r="AB376" s="18" t="e">
        <f t="shared" si="367"/>
        <v>#VALUE!</v>
      </c>
      <c r="AC376" s="18" t="e">
        <f t="shared" si="367"/>
        <v>#VALUE!</v>
      </c>
      <c r="AD376" s="18" t="e">
        <f t="shared" si="367"/>
        <v>#VALUE!</v>
      </c>
      <c r="AE376" s="18" t="e">
        <f t="shared" si="367"/>
        <v>#VALUE!</v>
      </c>
      <c r="AF376" s="18" t="e">
        <f t="shared" si="367"/>
        <v>#VALUE!</v>
      </c>
      <c r="AG376" s="18" t="e">
        <f t="shared" si="367"/>
        <v>#VALUE!</v>
      </c>
      <c r="AH376" s="18" t="e">
        <f t="shared" si="367"/>
        <v>#VALUE!</v>
      </c>
      <c r="AI376" s="18" t="e">
        <f t="shared" si="367"/>
        <v>#VALUE!</v>
      </c>
      <c r="AJ376" s="18" t="e">
        <f t="shared" si="367"/>
        <v>#VALUE!</v>
      </c>
      <c r="AK376" s="18" t="e">
        <f t="shared" si="367"/>
        <v>#VALUE!</v>
      </c>
      <c r="AL376" s="78"/>
      <c r="AM376" s="43">
        <v>360</v>
      </c>
      <c r="AN376">
        <v>1105.2323420728158</v>
      </c>
      <c r="AO376">
        <v>162.54702243667276</v>
      </c>
      <c r="AP376">
        <v>1444.4089237671415</v>
      </c>
      <c r="AQ376">
        <v>468.45608206451715</v>
      </c>
      <c r="AR376">
        <v>159.55132946676378</v>
      </c>
      <c r="AS376">
        <v>1638.2130200784043</v>
      </c>
      <c r="AT376">
        <v>83.372967428020843</v>
      </c>
      <c r="AU376">
        <v>285.0831074253058</v>
      </c>
      <c r="AV376"/>
      <c r="AW376"/>
      <c r="FY376" s="211">
        <v>371</v>
      </c>
      <c r="FZ376">
        <v>98.238800025795328</v>
      </c>
      <c r="GA376">
        <v>76.662530042890154</v>
      </c>
      <c r="GB376">
        <v>28.65861182697294</v>
      </c>
      <c r="GC376">
        <v>7.6931717124751264</v>
      </c>
      <c r="GD376">
        <v>2.6348758697754731</v>
      </c>
      <c r="GE376">
        <v>5.6895434955862685</v>
      </c>
      <c r="GF376">
        <v>40.439059449681963</v>
      </c>
      <c r="GG376">
        <v>49.78657009369919</v>
      </c>
      <c r="GH376">
        <v>21.515280703961739</v>
      </c>
      <c r="GI376">
        <v>76.47979578863503</v>
      </c>
      <c r="GJ376"/>
      <c r="GK376"/>
      <c r="GL376"/>
      <c r="GM376"/>
    </row>
    <row r="377" spans="1:195" s="7" customFormat="1">
      <c r="A377" s="95"/>
      <c r="B377" s="71">
        <f t="shared" si="360"/>
        <v>39775</v>
      </c>
      <c r="C377" s="18">
        <f t="shared" si="361"/>
        <v>960.9154271654271</v>
      </c>
      <c r="D377" s="18" t="e">
        <f t="shared" si="362"/>
        <v>#VALUE!</v>
      </c>
      <c r="E377" s="19" t="e">
        <f t="shared" si="363"/>
        <v>#VALUE!</v>
      </c>
      <c r="F377" s="19" t="e">
        <f>IF(F391&lt;0,0,F391)</f>
        <v>#VALUE!</v>
      </c>
      <c r="G377" s="18" t="e">
        <f>AVERAGE(E268:E277)*G$372</f>
        <v>#VALUE!</v>
      </c>
      <c r="H377" s="18" t="e">
        <f t="shared" ref="H377:AK377" si="368">AVERAGE(F268:F277)*H$372</f>
        <v>#VALUE!</v>
      </c>
      <c r="I377" s="18" t="e">
        <f t="shared" si="368"/>
        <v>#VALUE!</v>
      </c>
      <c r="J377" s="18" t="e">
        <f t="shared" si="368"/>
        <v>#VALUE!</v>
      </c>
      <c r="K377" s="18" t="e">
        <f t="shared" si="368"/>
        <v>#VALUE!</v>
      </c>
      <c r="L377" s="18" t="e">
        <f t="shared" si="368"/>
        <v>#VALUE!</v>
      </c>
      <c r="M377" s="18" t="e">
        <f t="shared" si="368"/>
        <v>#VALUE!</v>
      </c>
      <c r="N377" s="18" t="e">
        <f t="shared" si="368"/>
        <v>#VALUE!</v>
      </c>
      <c r="O377" s="18" t="e">
        <f t="shared" si="368"/>
        <v>#VALUE!</v>
      </c>
      <c r="P377" s="18" t="e">
        <f t="shared" si="368"/>
        <v>#VALUE!</v>
      </c>
      <c r="Q377" s="18" t="e">
        <f t="shared" si="368"/>
        <v>#VALUE!</v>
      </c>
      <c r="R377" s="18" t="e">
        <f t="shared" si="368"/>
        <v>#VALUE!</v>
      </c>
      <c r="S377" s="18" t="e">
        <f t="shared" si="368"/>
        <v>#VALUE!</v>
      </c>
      <c r="T377" s="18" t="e">
        <f t="shared" si="368"/>
        <v>#VALUE!</v>
      </c>
      <c r="U377" s="18" t="e">
        <f t="shared" si="368"/>
        <v>#VALUE!</v>
      </c>
      <c r="V377" s="18" t="e">
        <f t="shared" si="368"/>
        <v>#VALUE!</v>
      </c>
      <c r="W377" s="18" t="e">
        <f t="shared" si="368"/>
        <v>#VALUE!</v>
      </c>
      <c r="X377" s="18" t="e">
        <f t="shared" si="368"/>
        <v>#VALUE!</v>
      </c>
      <c r="Y377" s="18" t="e">
        <f t="shared" si="368"/>
        <v>#VALUE!</v>
      </c>
      <c r="Z377" s="18" t="e">
        <f t="shared" si="368"/>
        <v>#VALUE!</v>
      </c>
      <c r="AA377" s="18" t="e">
        <f t="shared" si="368"/>
        <v>#VALUE!</v>
      </c>
      <c r="AB377" s="18" t="e">
        <f t="shared" si="368"/>
        <v>#VALUE!</v>
      </c>
      <c r="AC377" s="18" t="e">
        <f t="shared" si="368"/>
        <v>#VALUE!</v>
      </c>
      <c r="AD377" s="18" t="e">
        <f t="shared" si="368"/>
        <v>#VALUE!</v>
      </c>
      <c r="AE377" s="18" t="e">
        <f t="shared" si="368"/>
        <v>#VALUE!</v>
      </c>
      <c r="AF377" s="18" t="e">
        <f t="shared" si="368"/>
        <v>#VALUE!</v>
      </c>
      <c r="AG377" s="18" t="e">
        <f t="shared" si="368"/>
        <v>#VALUE!</v>
      </c>
      <c r="AH377" s="18" t="e">
        <f t="shared" si="368"/>
        <v>#VALUE!</v>
      </c>
      <c r="AI377" s="18" t="e">
        <f t="shared" si="368"/>
        <v>#VALUE!</v>
      </c>
      <c r="AJ377" s="18" t="e">
        <f t="shared" si="368"/>
        <v>#VALUE!</v>
      </c>
      <c r="AK377" s="18" t="e">
        <f t="shared" si="368"/>
        <v>#VALUE!</v>
      </c>
      <c r="AL377" s="78"/>
      <c r="AM377" s="43">
        <v>361</v>
      </c>
      <c r="AN377">
        <v>1274.6257050345189</v>
      </c>
      <c r="AO377">
        <v>193.47407161793106</v>
      </c>
      <c r="AP377">
        <v>1654.1579134566846</v>
      </c>
      <c r="AQ377">
        <v>576.73173181649634</v>
      </c>
      <c r="AR377">
        <v>186.48681363016564</v>
      </c>
      <c r="AS377">
        <v>2011.8294190279637</v>
      </c>
      <c r="AT377">
        <v>95.041795471514362</v>
      </c>
      <c r="AU377">
        <v>30.780455048245727</v>
      </c>
      <c r="AV377"/>
      <c r="AW377"/>
      <c r="FY377" s="211">
        <v>372</v>
      </c>
      <c r="FZ377">
        <v>146.84786993188152</v>
      </c>
      <c r="GA377">
        <v>64.808872392343645</v>
      </c>
      <c r="GB377">
        <v>25.088997097430351</v>
      </c>
      <c r="GC377">
        <v>9.9155070164656731</v>
      </c>
      <c r="GD377">
        <v>3.4747044035223498</v>
      </c>
      <c r="GE377">
        <v>5.7178654606417272</v>
      </c>
      <c r="GF377">
        <v>25.248285730175684</v>
      </c>
      <c r="GG377">
        <v>30.660680289119931</v>
      </c>
      <c r="GH377">
        <v>32.275643487967052</v>
      </c>
      <c r="GI377">
        <v>84.363271801270599</v>
      </c>
      <c r="GJ377"/>
      <c r="GK377"/>
      <c r="GL377"/>
      <c r="GM377"/>
    </row>
    <row r="378" spans="1:195" s="7" customFormat="1">
      <c r="A378" s="95"/>
      <c r="B378" s="71">
        <f t="shared" si="360"/>
        <v>39799</v>
      </c>
      <c r="C378" s="18">
        <f t="shared" si="361"/>
        <v>1649.2561659157079</v>
      </c>
      <c r="D378" s="18" t="e">
        <f t="shared" si="362"/>
        <v>#VALUE!</v>
      </c>
      <c r="E378" s="19" t="e">
        <f t="shared" si="363"/>
        <v>#VALUE!</v>
      </c>
      <c r="F378" s="19" t="e">
        <f t="shared" ref="F378:F382" si="369">IF(F392&lt;0,0,F392)</f>
        <v>#VALUE!</v>
      </c>
      <c r="G378" s="18" t="e">
        <f>AVERAGE(E278:E287)*G$372</f>
        <v>#VALUE!</v>
      </c>
      <c r="H378" s="18" t="e">
        <f t="shared" ref="H378:AK378" si="370">AVERAGE(F278:F287)*H$372</f>
        <v>#VALUE!</v>
      </c>
      <c r="I378" s="18" t="e">
        <f t="shared" si="370"/>
        <v>#VALUE!</v>
      </c>
      <c r="J378" s="18" t="e">
        <f t="shared" si="370"/>
        <v>#VALUE!</v>
      </c>
      <c r="K378" s="18" t="e">
        <f t="shared" si="370"/>
        <v>#VALUE!</v>
      </c>
      <c r="L378" s="18" t="e">
        <f t="shared" si="370"/>
        <v>#VALUE!</v>
      </c>
      <c r="M378" s="18" t="e">
        <f t="shared" si="370"/>
        <v>#VALUE!</v>
      </c>
      <c r="N378" s="18" t="e">
        <f t="shared" si="370"/>
        <v>#VALUE!</v>
      </c>
      <c r="O378" s="18" t="e">
        <f t="shared" si="370"/>
        <v>#VALUE!</v>
      </c>
      <c r="P378" s="18" t="e">
        <f t="shared" si="370"/>
        <v>#VALUE!</v>
      </c>
      <c r="Q378" s="18" t="e">
        <f t="shared" si="370"/>
        <v>#VALUE!</v>
      </c>
      <c r="R378" s="18" t="e">
        <f t="shared" si="370"/>
        <v>#VALUE!</v>
      </c>
      <c r="S378" s="18" t="e">
        <f t="shared" si="370"/>
        <v>#VALUE!</v>
      </c>
      <c r="T378" s="18" t="e">
        <f t="shared" si="370"/>
        <v>#VALUE!</v>
      </c>
      <c r="U378" s="18" t="e">
        <f t="shared" si="370"/>
        <v>#VALUE!</v>
      </c>
      <c r="V378" s="18" t="e">
        <f t="shared" si="370"/>
        <v>#VALUE!</v>
      </c>
      <c r="W378" s="18" t="e">
        <f t="shared" si="370"/>
        <v>#VALUE!</v>
      </c>
      <c r="X378" s="18" t="e">
        <f t="shared" si="370"/>
        <v>#VALUE!</v>
      </c>
      <c r="Y378" s="18" t="e">
        <f t="shared" si="370"/>
        <v>#VALUE!</v>
      </c>
      <c r="Z378" s="18" t="e">
        <f t="shared" si="370"/>
        <v>#VALUE!</v>
      </c>
      <c r="AA378" s="18" t="e">
        <f t="shared" si="370"/>
        <v>#VALUE!</v>
      </c>
      <c r="AB378" s="18" t="e">
        <f t="shared" si="370"/>
        <v>#VALUE!</v>
      </c>
      <c r="AC378" s="18" t="e">
        <f t="shared" si="370"/>
        <v>#VALUE!</v>
      </c>
      <c r="AD378" s="18" t="e">
        <f t="shared" si="370"/>
        <v>#VALUE!</v>
      </c>
      <c r="AE378" s="18" t="e">
        <f t="shared" si="370"/>
        <v>#VALUE!</v>
      </c>
      <c r="AF378" s="18" t="e">
        <f t="shared" si="370"/>
        <v>#VALUE!</v>
      </c>
      <c r="AG378" s="18" t="e">
        <f t="shared" si="370"/>
        <v>#VALUE!</v>
      </c>
      <c r="AH378" s="18" t="e">
        <f t="shared" si="370"/>
        <v>#VALUE!</v>
      </c>
      <c r="AI378" s="18" t="e">
        <f t="shared" si="370"/>
        <v>#VALUE!</v>
      </c>
      <c r="AJ378" s="18" t="e">
        <f t="shared" si="370"/>
        <v>#VALUE!</v>
      </c>
      <c r="AK378" s="18" t="e">
        <f t="shared" si="370"/>
        <v>#VALUE!</v>
      </c>
      <c r="AL378" s="78"/>
      <c r="AM378" s="43">
        <v>362</v>
      </c>
      <c r="AN378">
        <v>1057.3400926989036</v>
      </c>
      <c r="AO378">
        <v>170.3206311900511</v>
      </c>
      <c r="AP378">
        <v>1426.2763149367568</v>
      </c>
      <c r="AQ378">
        <v>418.74478773451074</v>
      </c>
      <c r="AR378">
        <v>162.58080542528921</v>
      </c>
      <c r="AS378">
        <v>1637.0258294902305</v>
      </c>
      <c r="AT378">
        <v>76.988292885743491</v>
      </c>
      <c r="AU378">
        <v>124.65534847696406</v>
      </c>
      <c r="AV378"/>
      <c r="AW378"/>
      <c r="FY378" s="211">
        <v>373</v>
      </c>
      <c r="FZ378">
        <v>73.242753183624288</v>
      </c>
      <c r="GA378">
        <v>90.417051703985507</v>
      </c>
      <c r="GB378">
        <v>33.05196965673607</v>
      </c>
      <c r="GC378">
        <v>6.9400181587253957</v>
      </c>
      <c r="GD378">
        <v>2.3314700667277872</v>
      </c>
      <c r="GE378">
        <v>3.4222744961156133</v>
      </c>
      <c r="GF378">
        <v>53.129990221197076</v>
      </c>
      <c r="GG378">
        <v>69.449241259539818</v>
      </c>
      <c r="GH378">
        <v>35.327258111138377</v>
      </c>
      <c r="GI378">
        <v>78.542710866944674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71">+C10</f>
        <v>39847</v>
      </c>
      <c r="C379" s="18">
        <f t="shared" si="361"/>
        <v>477.26779513888891</v>
      </c>
      <c r="D379" s="18" t="e">
        <f t="shared" si="362"/>
        <v>#VALUE!</v>
      </c>
      <c r="E379" s="19" t="e">
        <f t="shared" si="363"/>
        <v>#VALUE!</v>
      </c>
      <c r="F379" s="19" t="e">
        <f t="shared" si="369"/>
        <v>#VALUE!</v>
      </c>
      <c r="G379" s="18" t="e">
        <f>AVERAGE(E288:E297)*G$372</f>
        <v>#VALUE!</v>
      </c>
      <c r="H379" s="18" t="e">
        <f t="shared" ref="H379:AK379" si="372">AVERAGE(F288:F297)*H$372</f>
        <v>#VALUE!</v>
      </c>
      <c r="I379" s="18" t="e">
        <f t="shared" si="372"/>
        <v>#VALUE!</v>
      </c>
      <c r="J379" s="18" t="e">
        <f t="shared" si="372"/>
        <v>#VALUE!</v>
      </c>
      <c r="K379" s="18" t="e">
        <f t="shared" si="372"/>
        <v>#VALUE!</v>
      </c>
      <c r="L379" s="18" t="e">
        <f t="shared" si="372"/>
        <v>#VALUE!</v>
      </c>
      <c r="M379" s="18" t="e">
        <f t="shared" si="372"/>
        <v>#VALUE!</v>
      </c>
      <c r="N379" s="18" t="e">
        <f t="shared" si="372"/>
        <v>#VALUE!</v>
      </c>
      <c r="O379" s="18" t="e">
        <f t="shared" si="372"/>
        <v>#VALUE!</v>
      </c>
      <c r="P379" s="18" t="e">
        <f t="shared" si="372"/>
        <v>#VALUE!</v>
      </c>
      <c r="Q379" s="18" t="e">
        <f t="shared" si="372"/>
        <v>#VALUE!</v>
      </c>
      <c r="R379" s="18" t="e">
        <f t="shared" si="372"/>
        <v>#VALUE!</v>
      </c>
      <c r="S379" s="18" t="e">
        <f t="shared" si="372"/>
        <v>#VALUE!</v>
      </c>
      <c r="T379" s="18" t="e">
        <f t="shared" si="372"/>
        <v>#VALUE!</v>
      </c>
      <c r="U379" s="18" t="e">
        <f t="shared" si="372"/>
        <v>#VALUE!</v>
      </c>
      <c r="V379" s="18" t="e">
        <f t="shared" si="372"/>
        <v>#VALUE!</v>
      </c>
      <c r="W379" s="18" t="e">
        <f t="shared" si="372"/>
        <v>#VALUE!</v>
      </c>
      <c r="X379" s="18" t="e">
        <f t="shared" si="372"/>
        <v>#VALUE!</v>
      </c>
      <c r="Y379" s="18" t="e">
        <f t="shared" si="372"/>
        <v>#VALUE!</v>
      </c>
      <c r="Z379" s="18" t="e">
        <f t="shared" si="372"/>
        <v>#VALUE!</v>
      </c>
      <c r="AA379" s="18" t="e">
        <f t="shared" si="372"/>
        <v>#VALUE!</v>
      </c>
      <c r="AB379" s="18" t="e">
        <f t="shared" si="372"/>
        <v>#VALUE!</v>
      </c>
      <c r="AC379" s="18" t="e">
        <f t="shared" si="372"/>
        <v>#VALUE!</v>
      </c>
      <c r="AD379" s="18" t="e">
        <f t="shared" si="372"/>
        <v>#VALUE!</v>
      </c>
      <c r="AE379" s="18" t="e">
        <f t="shared" si="372"/>
        <v>#VALUE!</v>
      </c>
      <c r="AF379" s="18" t="e">
        <f t="shared" si="372"/>
        <v>#VALUE!</v>
      </c>
      <c r="AG379" s="18" t="e">
        <f t="shared" si="372"/>
        <v>#VALUE!</v>
      </c>
      <c r="AH379" s="18" t="e">
        <f t="shared" si="372"/>
        <v>#VALUE!</v>
      </c>
      <c r="AI379" s="18" t="e">
        <f t="shared" si="372"/>
        <v>#VALUE!</v>
      </c>
      <c r="AJ379" s="18" t="e">
        <f t="shared" si="372"/>
        <v>#VALUE!</v>
      </c>
      <c r="AK379" s="18" t="e">
        <f t="shared" si="372"/>
        <v>#VALUE!</v>
      </c>
      <c r="AL379" s="78"/>
      <c r="AM379" s="43">
        <v>363</v>
      </c>
      <c r="AN379">
        <v>1093.6295948850668</v>
      </c>
      <c r="AO379">
        <v>136.26056197026841</v>
      </c>
      <c r="AP379">
        <v>1201.2309690320785</v>
      </c>
      <c r="AQ379">
        <v>444.71681798157795</v>
      </c>
      <c r="AR379">
        <v>132.89741852008518</v>
      </c>
      <c r="AS379">
        <v>1417.4587525224285</v>
      </c>
      <c r="AT379">
        <v>58.61237778401857</v>
      </c>
      <c r="AU379">
        <v>72.353847454204129</v>
      </c>
      <c r="AV379"/>
      <c r="AW379"/>
      <c r="FY379" s="211">
        <v>374</v>
      </c>
      <c r="FZ379">
        <v>154.45702229111919</v>
      </c>
      <c r="GA379">
        <v>106.07731646552278</v>
      </c>
      <c r="GB379">
        <v>27.593035433314199</v>
      </c>
      <c r="GC379">
        <v>7.0314274464121844</v>
      </c>
      <c r="GD379">
        <v>2.8536358317748416</v>
      </c>
      <c r="GE379">
        <v>4.2137740636290335</v>
      </c>
      <c r="GF379">
        <v>50.459049791313888</v>
      </c>
      <c r="GG379">
        <v>66.456689656650582</v>
      </c>
      <c r="GH379">
        <v>27.417052758144226</v>
      </c>
      <c r="GI379">
        <v>80.792818796226328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71"/>
        <v>39910</v>
      </c>
      <c r="C380" s="18">
        <f t="shared" si="361"/>
        <v>2950.3502415458934</v>
      </c>
      <c r="D380" s="18" t="e">
        <f t="shared" si="362"/>
        <v>#VALUE!</v>
      </c>
      <c r="E380" s="19" t="e">
        <f t="shared" si="363"/>
        <v>#VALUE!</v>
      </c>
      <c r="F380" s="19" t="e">
        <f t="shared" si="369"/>
        <v>#VALUE!</v>
      </c>
      <c r="G380" s="18" t="e">
        <f>AVERAGE(E298:E307)*G$372</f>
        <v>#VALUE!</v>
      </c>
      <c r="H380" s="18" t="e">
        <f t="shared" ref="H380:AK380" si="373">AVERAGE(F298:F307)*H$372</f>
        <v>#VALUE!</v>
      </c>
      <c r="I380" s="18" t="e">
        <f t="shared" si="373"/>
        <v>#VALUE!</v>
      </c>
      <c r="J380" s="18" t="e">
        <f t="shared" si="373"/>
        <v>#VALUE!</v>
      </c>
      <c r="K380" s="18" t="e">
        <f t="shared" si="373"/>
        <v>#VALUE!</v>
      </c>
      <c r="L380" s="18" t="e">
        <f t="shared" si="373"/>
        <v>#VALUE!</v>
      </c>
      <c r="M380" s="18" t="e">
        <f t="shared" si="373"/>
        <v>#VALUE!</v>
      </c>
      <c r="N380" s="18" t="e">
        <f t="shared" si="373"/>
        <v>#VALUE!</v>
      </c>
      <c r="O380" s="18" t="e">
        <f t="shared" si="373"/>
        <v>#VALUE!</v>
      </c>
      <c r="P380" s="18" t="e">
        <f t="shared" si="373"/>
        <v>#VALUE!</v>
      </c>
      <c r="Q380" s="18" t="e">
        <f t="shared" si="373"/>
        <v>#VALUE!</v>
      </c>
      <c r="R380" s="18" t="e">
        <f t="shared" si="373"/>
        <v>#VALUE!</v>
      </c>
      <c r="S380" s="18" t="e">
        <f t="shared" si="373"/>
        <v>#VALUE!</v>
      </c>
      <c r="T380" s="18" t="e">
        <f t="shared" si="373"/>
        <v>#VALUE!</v>
      </c>
      <c r="U380" s="18" t="e">
        <f t="shared" si="373"/>
        <v>#VALUE!</v>
      </c>
      <c r="V380" s="18" t="e">
        <f t="shared" si="373"/>
        <v>#VALUE!</v>
      </c>
      <c r="W380" s="18" t="e">
        <f t="shared" si="373"/>
        <v>#VALUE!</v>
      </c>
      <c r="X380" s="18" t="e">
        <f t="shared" si="373"/>
        <v>#VALUE!</v>
      </c>
      <c r="Y380" s="18" t="e">
        <f t="shared" si="373"/>
        <v>#VALUE!</v>
      </c>
      <c r="Z380" s="18" t="e">
        <f t="shared" si="373"/>
        <v>#VALUE!</v>
      </c>
      <c r="AA380" s="18" t="e">
        <f t="shared" si="373"/>
        <v>#VALUE!</v>
      </c>
      <c r="AB380" s="18" t="e">
        <f t="shared" si="373"/>
        <v>#VALUE!</v>
      </c>
      <c r="AC380" s="18" t="e">
        <f t="shared" si="373"/>
        <v>#VALUE!</v>
      </c>
      <c r="AD380" s="18" t="e">
        <f t="shared" si="373"/>
        <v>#VALUE!</v>
      </c>
      <c r="AE380" s="18" t="e">
        <f t="shared" si="373"/>
        <v>#VALUE!</v>
      </c>
      <c r="AF380" s="18" t="e">
        <f t="shared" si="373"/>
        <v>#VALUE!</v>
      </c>
      <c r="AG380" s="18" t="e">
        <f t="shared" si="373"/>
        <v>#VALUE!</v>
      </c>
      <c r="AH380" s="18" t="e">
        <f t="shared" si="373"/>
        <v>#VALUE!</v>
      </c>
      <c r="AI380" s="18" t="e">
        <f t="shared" si="373"/>
        <v>#VALUE!</v>
      </c>
      <c r="AJ380" s="18" t="e">
        <f t="shared" si="373"/>
        <v>#VALUE!</v>
      </c>
      <c r="AK380" s="18" t="e">
        <f t="shared" si="373"/>
        <v>#VALUE!</v>
      </c>
      <c r="AL380" s="78"/>
      <c r="AM380" s="43">
        <v>364</v>
      </c>
      <c r="AN380">
        <v>1175.0952504909376</v>
      </c>
      <c r="AO380">
        <v>173.59966755682041</v>
      </c>
      <c r="AP380">
        <v>1448.9455659357704</v>
      </c>
      <c r="AQ380">
        <v>360.03702796675657</v>
      </c>
      <c r="AR380">
        <v>169.14973255336159</v>
      </c>
      <c r="AS380">
        <v>1798.6031426807058</v>
      </c>
      <c r="AT380">
        <v>79.877856260720606</v>
      </c>
      <c r="AU380">
        <v>381.65337027551652</v>
      </c>
      <c r="AV380"/>
      <c r="AW380"/>
      <c r="FY380" s="211">
        <v>375</v>
      </c>
      <c r="FZ380">
        <v>156.10581723162502</v>
      </c>
      <c r="GA380">
        <v>113.90164107511707</v>
      </c>
      <c r="GB380">
        <v>26.344914180800856</v>
      </c>
      <c r="GC380">
        <v>8.4950469685425638</v>
      </c>
      <c r="GD380">
        <v>3.2752946815567983</v>
      </c>
      <c r="GE380">
        <v>5.8123185436932214</v>
      </c>
      <c r="GF380">
        <v>25.359565219532325</v>
      </c>
      <c r="GG380">
        <v>30.616960676756964</v>
      </c>
      <c r="GH380">
        <v>19.025624057683899</v>
      </c>
      <c r="GI380">
        <v>64.532663069881181</v>
      </c>
      <c r="GJ380"/>
      <c r="GK380"/>
      <c r="GL380"/>
      <c r="GM380"/>
    </row>
    <row r="381" spans="1:195" s="7" customFormat="1">
      <c r="A381" s="1"/>
      <c r="B381" s="71">
        <f t="shared" si="371"/>
        <v>39949</v>
      </c>
      <c r="C381" s="18">
        <f t="shared" si="361"/>
        <v>735.33118394430073</v>
      </c>
      <c r="D381" s="18" t="e">
        <f t="shared" si="362"/>
        <v>#VALUE!</v>
      </c>
      <c r="E381" s="19" t="e">
        <f t="shared" si="363"/>
        <v>#VALUE!</v>
      </c>
      <c r="F381" s="19" t="e">
        <f t="shared" si="369"/>
        <v>#VALUE!</v>
      </c>
      <c r="G381" s="18" t="e">
        <f>AVERAGE(E308:E317)*G$372</f>
        <v>#VALUE!</v>
      </c>
      <c r="H381" s="18" t="e">
        <f t="shared" ref="H381:AK381" si="374">AVERAGE(F308:F317)*H$372</f>
        <v>#VALUE!</v>
      </c>
      <c r="I381" s="18" t="e">
        <f t="shared" si="374"/>
        <v>#VALUE!</v>
      </c>
      <c r="J381" s="18" t="e">
        <f t="shared" si="374"/>
        <v>#VALUE!</v>
      </c>
      <c r="K381" s="18" t="e">
        <f t="shared" si="374"/>
        <v>#VALUE!</v>
      </c>
      <c r="L381" s="18" t="e">
        <f t="shared" si="374"/>
        <v>#VALUE!</v>
      </c>
      <c r="M381" s="18" t="e">
        <f t="shared" si="374"/>
        <v>#VALUE!</v>
      </c>
      <c r="N381" s="18" t="e">
        <f t="shared" si="374"/>
        <v>#VALUE!</v>
      </c>
      <c r="O381" s="18" t="e">
        <f t="shared" si="374"/>
        <v>#VALUE!</v>
      </c>
      <c r="P381" s="18" t="e">
        <f t="shared" si="374"/>
        <v>#VALUE!</v>
      </c>
      <c r="Q381" s="18" t="e">
        <f t="shared" si="374"/>
        <v>#VALUE!</v>
      </c>
      <c r="R381" s="18" t="e">
        <f t="shared" si="374"/>
        <v>#VALUE!</v>
      </c>
      <c r="S381" s="18" t="e">
        <f t="shared" si="374"/>
        <v>#VALUE!</v>
      </c>
      <c r="T381" s="18" t="e">
        <f t="shared" si="374"/>
        <v>#VALUE!</v>
      </c>
      <c r="U381" s="18" t="e">
        <f t="shared" si="374"/>
        <v>#VALUE!</v>
      </c>
      <c r="V381" s="18" t="e">
        <f t="shared" si="374"/>
        <v>#VALUE!</v>
      </c>
      <c r="W381" s="18" t="e">
        <f t="shared" si="374"/>
        <v>#VALUE!</v>
      </c>
      <c r="X381" s="18" t="e">
        <f t="shared" si="374"/>
        <v>#VALUE!</v>
      </c>
      <c r="Y381" s="18" t="e">
        <f t="shared" si="374"/>
        <v>#VALUE!</v>
      </c>
      <c r="Z381" s="18" t="e">
        <f t="shared" si="374"/>
        <v>#VALUE!</v>
      </c>
      <c r="AA381" s="18" t="e">
        <f t="shared" si="374"/>
        <v>#VALUE!</v>
      </c>
      <c r="AB381" s="18" t="e">
        <f t="shared" si="374"/>
        <v>#VALUE!</v>
      </c>
      <c r="AC381" s="18" t="e">
        <f t="shared" si="374"/>
        <v>#VALUE!</v>
      </c>
      <c r="AD381" s="18" t="e">
        <f t="shared" si="374"/>
        <v>#VALUE!</v>
      </c>
      <c r="AE381" s="18" t="e">
        <f t="shared" si="374"/>
        <v>#VALUE!</v>
      </c>
      <c r="AF381" s="18" t="e">
        <f t="shared" si="374"/>
        <v>#VALUE!</v>
      </c>
      <c r="AG381" s="18" t="e">
        <f t="shared" si="374"/>
        <v>#VALUE!</v>
      </c>
      <c r="AH381" s="18" t="e">
        <f t="shared" si="374"/>
        <v>#VALUE!</v>
      </c>
      <c r="AI381" s="18" t="e">
        <f t="shared" si="374"/>
        <v>#VALUE!</v>
      </c>
      <c r="AJ381" s="18" t="e">
        <f t="shared" si="374"/>
        <v>#VALUE!</v>
      </c>
      <c r="AK381" s="18" t="e">
        <f t="shared" si="374"/>
        <v>#VALUE!</v>
      </c>
      <c r="AL381" s="78"/>
      <c r="AM381" s="43">
        <v>365</v>
      </c>
      <c r="AN381">
        <v>1272.6323422030741</v>
      </c>
      <c r="AO381">
        <v>175.47174160625508</v>
      </c>
      <c r="AP381">
        <v>1388.704202166155</v>
      </c>
      <c r="AQ381">
        <v>441.96014135445273</v>
      </c>
      <c r="AR381">
        <v>173.40581405217338</v>
      </c>
      <c r="AS381">
        <v>1830.3619263889652</v>
      </c>
      <c r="AT381">
        <v>83.162592183469584</v>
      </c>
      <c r="AU381">
        <v>316.14432478769436</v>
      </c>
      <c r="AV381"/>
      <c r="AW381"/>
      <c r="FY381" s="211">
        <v>376</v>
      </c>
      <c r="FZ381">
        <v>167.81890324705901</v>
      </c>
      <c r="GA381">
        <v>132.52477642304643</v>
      </c>
      <c r="GB381">
        <v>25.384206410092165</v>
      </c>
      <c r="GC381">
        <v>5.2147087718980778</v>
      </c>
      <c r="GD381">
        <v>3.3963764229926214</v>
      </c>
      <c r="GE381">
        <v>7.2040436073758363</v>
      </c>
      <c r="GF381">
        <v>39.045918569044694</v>
      </c>
      <c r="GG381">
        <v>50.042167840825009</v>
      </c>
      <c r="GH381">
        <v>26.980460810554895</v>
      </c>
      <c r="GI381">
        <v>81.736878197863817</v>
      </c>
      <c r="GJ381"/>
      <c r="GK381"/>
      <c r="GL381"/>
      <c r="GM381"/>
    </row>
    <row r="382" spans="1:195" s="7" customFormat="1">
      <c r="A382" s="1"/>
      <c r="B382" s="71">
        <f t="shared" si="371"/>
        <v>39987</v>
      </c>
      <c r="C382" s="18">
        <f t="shared" si="361"/>
        <v>250.47349786420983</v>
      </c>
      <c r="D382" s="18" t="e">
        <f t="shared" si="362"/>
        <v>#VALUE!</v>
      </c>
      <c r="E382" s="19" t="e">
        <f t="shared" si="363"/>
        <v>#VALUE!</v>
      </c>
      <c r="F382" s="19" t="e">
        <f t="shared" si="369"/>
        <v>#VALUE!</v>
      </c>
      <c r="G382" s="18" t="e">
        <f>AVERAGE(E318:E327)*G$372</f>
        <v>#VALUE!</v>
      </c>
      <c r="H382" s="18" t="e">
        <f t="shared" ref="H382:AK382" si="375">AVERAGE(F318:F327)*H$372</f>
        <v>#VALUE!</v>
      </c>
      <c r="I382" s="18" t="e">
        <f t="shared" si="375"/>
        <v>#VALUE!</v>
      </c>
      <c r="J382" s="18" t="e">
        <f t="shared" si="375"/>
        <v>#VALUE!</v>
      </c>
      <c r="K382" s="18" t="e">
        <f t="shared" si="375"/>
        <v>#VALUE!</v>
      </c>
      <c r="L382" s="18" t="e">
        <f t="shared" si="375"/>
        <v>#VALUE!</v>
      </c>
      <c r="M382" s="18" t="e">
        <f t="shared" si="375"/>
        <v>#VALUE!</v>
      </c>
      <c r="N382" s="18" t="e">
        <f t="shared" si="375"/>
        <v>#VALUE!</v>
      </c>
      <c r="O382" s="18" t="e">
        <f t="shared" si="375"/>
        <v>#VALUE!</v>
      </c>
      <c r="P382" s="18" t="e">
        <f t="shared" si="375"/>
        <v>#VALUE!</v>
      </c>
      <c r="Q382" s="18" t="e">
        <f t="shared" si="375"/>
        <v>#VALUE!</v>
      </c>
      <c r="R382" s="18" t="e">
        <f t="shared" si="375"/>
        <v>#VALUE!</v>
      </c>
      <c r="S382" s="18" t="e">
        <f t="shared" si="375"/>
        <v>#VALUE!</v>
      </c>
      <c r="T382" s="18" t="e">
        <f t="shared" si="375"/>
        <v>#VALUE!</v>
      </c>
      <c r="U382" s="18" t="e">
        <f t="shared" si="375"/>
        <v>#VALUE!</v>
      </c>
      <c r="V382" s="18" t="e">
        <f t="shared" si="375"/>
        <v>#VALUE!</v>
      </c>
      <c r="W382" s="18" t="e">
        <f t="shared" si="375"/>
        <v>#VALUE!</v>
      </c>
      <c r="X382" s="18" t="e">
        <f t="shared" si="375"/>
        <v>#VALUE!</v>
      </c>
      <c r="Y382" s="18" t="e">
        <f t="shared" si="375"/>
        <v>#VALUE!</v>
      </c>
      <c r="Z382" s="18" t="e">
        <f t="shared" si="375"/>
        <v>#VALUE!</v>
      </c>
      <c r="AA382" s="18" t="e">
        <f t="shared" si="375"/>
        <v>#VALUE!</v>
      </c>
      <c r="AB382" s="18" t="e">
        <f t="shared" si="375"/>
        <v>#VALUE!</v>
      </c>
      <c r="AC382" s="18" t="e">
        <f t="shared" si="375"/>
        <v>#VALUE!</v>
      </c>
      <c r="AD382" s="18" t="e">
        <f t="shared" si="375"/>
        <v>#VALUE!</v>
      </c>
      <c r="AE382" s="18" t="e">
        <f t="shared" si="375"/>
        <v>#VALUE!</v>
      </c>
      <c r="AF382" s="18" t="e">
        <f t="shared" si="375"/>
        <v>#VALUE!</v>
      </c>
      <c r="AG382" s="18" t="e">
        <f t="shared" si="375"/>
        <v>#VALUE!</v>
      </c>
      <c r="AH382" s="18" t="e">
        <f t="shared" si="375"/>
        <v>#VALUE!</v>
      </c>
      <c r="AI382" s="18" t="e">
        <f t="shared" si="375"/>
        <v>#VALUE!</v>
      </c>
      <c r="AJ382" s="18" t="e">
        <f t="shared" si="375"/>
        <v>#VALUE!</v>
      </c>
      <c r="AK382" s="18" t="e">
        <f t="shared" si="375"/>
        <v>#VALUE!</v>
      </c>
      <c r="AL382" s="78"/>
      <c r="AM382" s="43">
        <v>366</v>
      </c>
      <c r="AN382">
        <v>1174.4160883629625</v>
      </c>
      <c r="AO382">
        <v>192.37898313109628</v>
      </c>
      <c r="AP382">
        <v>1611.9905407772287</v>
      </c>
      <c r="AQ382">
        <v>464.44234059503424</v>
      </c>
      <c r="AR382">
        <v>184.55251986865528</v>
      </c>
      <c r="AS382">
        <v>1993.9784950245285</v>
      </c>
      <c r="AT382">
        <v>92.669369582603295</v>
      </c>
      <c r="AU382">
        <v>166.19636496640911</v>
      </c>
      <c r="AV382"/>
      <c r="AW382"/>
      <c r="FY382" s="211">
        <v>377</v>
      </c>
      <c r="FZ382">
        <v>81.394315268799616</v>
      </c>
      <c r="GA382">
        <v>92.231139774050519</v>
      </c>
      <c r="GB382">
        <v>35.052566281988717</v>
      </c>
      <c r="GC382">
        <v>8.8911742448911433</v>
      </c>
      <c r="GD382">
        <v>2.7526994767814719</v>
      </c>
      <c r="GE382">
        <v>5.9783374171738366</v>
      </c>
      <c r="GF382">
        <v>49.72049203818095</v>
      </c>
      <c r="GG382">
        <v>57.559441856204081</v>
      </c>
      <c r="GH382">
        <v>29.995234770425444</v>
      </c>
      <c r="GI382">
        <v>86.905686793704973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1128.0935463810752</v>
      </c>
      <c r="AO383">
        <v>155.01021547378195</v>
      </c>
      <c r="AP383">
        <v>1242.4893158456871</v>
      </c>
      <c r="AQ383">
        <v>419.67120270185262</v>
      </c>
      <c r="AR383">
        <v>149.5453639088135</v>
      </c>
      <c r="AS383">
        <v>1579.3398178902808</v>
      </c>
      <c r="AT383">
        <v>74.333585466693549</v>
      </c>
      <c r="AU383">
        <v>149.30433618925403</v>
      </c>
      <c r="AV383"/>
      <c r="AW383"/>
      <c r="FY383" s="211">
        <v>378</v>
      </c>
      <c r="FZ383">
        <v>133.42014451519907</v>
      </c>
      <c r="GA383">
        <v>89.39446192489585</v>
      </c>
      <c r="GB383">
        <v>21.610247834207986</v>
      </c>
      <c r="GC383">
        <v>6.8485608557545277</v>
      </c>
      <c r="GD383">
        <v>3.0569369363173005</v>
      </c>
      <c r="GE383">
        <v>4.920443212589622</v>
      </c>
      <c r="GF383">
        <v>14.48245893929246</v>
      </c>
      <c r="GG383">
        <v>21.458192950792949</v>
      </c>
      <c r="GH383">
        <v>29.486995030417997</v>
      </c>
      <c r="GI383">
        <v>67.136063262591719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1059.0216594925871</v>
      </c>
      <c r="AO384">
        <v>158.06066020420727</v>
      </c>
      <c r="AP384">
        <v>1394.3034422267008</v>
      </c>
      <c r="AQ384">
        <v>517.47829400738067</v>
      </c>
      <c r="AR384">
        <v>154.3232936895989</v>
      </c>
      <c r="AS384">
        <v>1567.207280644468</v>
      </c>
      <c r="AT384">
        <v>77.915268346225602</v>
      </c>
      <c r="AU384">
        <v>-56.415250973726927</v>
      </c>
      <c r="AV384"/>
      <c r="AW384"/>
      <c r="FY384" s="211">
        <v>379</v>
      </c>
      <c r="FZ384">
        <v>77.468511213581934</v>
      </c>
      <c r="GA384">
        <v>128.5787177983137</v>
      </c>
      <c r="GB384">
        <v>42.418519084405666</v>
      </c>
      <c r="GC384">
        <v>7.819386100741597</v>
      </c>
      <c r="GD384">
        <v>3.3009882950976586</v>
      </c>
      <c r="GE384">
        <v>5.9185313432840614</v>
      </c>
      <c r="GF384">
        <v>16.019856012677462</v>
      </c>
      <c r="GG384">
        <v>18.669952634743982</v>
      </c>
      <c r="GH384">
        <v>27.226604663858225</v>
      </c>
      <c r="GI384">
        <v>66.66281487911786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1283.5703429972159</v>
      </c>
      <c r="AO385">
        <v>161.57337341960385</v>
      </c>
      <c r="AP385">
        <v>1309.2554104040828</v>
      </c>
      <c r="AQ385">
        <v>558.08450794956491</v>
      </c>
      <c r="AR385">
        <v>156.1083077875322</v>
      </c>
      <c r="AS385">
        <v>1702.4966629500659</v>
      </c>
      <c r="AT385">
        <v>75.083744314632995</v>
      </c>
      <c r="AU385">
        <v>55.384219539981999</v>
      </c>
      <c r="AV385"/>
      <c r="AW385"/>
      <c r="FY385" s="211">
        <v>380</v>
      </c>
      <c r="FZ385">
        <v>105.67052138865591</v>
      </c>
      <c r="GA385">
        <v>74.141277190655231</v>
      </c>
      <c r="GB385">
        <v>25.200069457781957</v>
      </c>
      <c r="GC385">
        <v>7.9502328626427641</v>
      </c>
      <c r="GD385">
        <v>3.6460067763515984</v>
      </c>
      <c r="GE385">
        <v>4.9143705199811079</v>
      </c>
      <c r="GF385">
        <v>28.81312967756071</v>
      </c>
      <c r="GG385">
        <v>36.158367262109763</v>
      </c>
      <c r="GH385">
        <v>29.916251092536115</v>
      </c>
      <c r="GI385">
        <v>69.907319656419531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1347.1193226691987</v>
      </c>
      <c r="AO386">
        <v>192.25209834782157</v>
      </c>
      <c r="AP386">
        <v>1533.3638740075141</v>
      </c>
      <c r="AQ386">
        <v>512.99567503235676</v>
      </c>
      <c r="AR386">
        <v>189.05954730940974</v>
      </c>
      <c r="AS386">
        <v>2030.2196139194007</v>
      </c>
      <c r="AT386">
        <v>92.90620049476162</v>
      </c>
      <c r="AU386">
        <v>225.89965674543561</v>
      </c>
      <c r="AV386"/>
      <c r="AW386"/>
      <c r="FY386" s="211">
        <v>381</v>
      </c>
      <c r="FZ386">
        <v>199.58913227215993</v>
      </c>
      <c r="GA386">
        <v>154.09336688060452</v>
      </c>
      <c r="GB386">
        <v>31.241590933506043</v>
      </c>
      <c r="GC386">
        <v>8.1641497304296884</v>
      </c>
      <c r="GD386">
        <v>3.3819281233574516</v>
      </c>
      <c r="GE386">
        <v>7.5184270693966901</v>
      </c>
      <c r="GF386">
        <v>46.66770387221662</v>
      </c>
      <c r="GG386">
        <v>53.976519942710873</v>
      </c>
      <c r="GH386">
        <v>17.25209249695094</v>
      </c>
      <c r="GI386">
        <v>86.482797571724547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1187.5303870204166</v>
      </c>
      <c r="AO387">
        <v>169.28181546950196</v>
      </c>
      <c r="AP387">
        <v>1424.5450063882708</v>
      </c>
      <c r="AQ387">
        <v>407.79823900947326</v>
      </c>
      <c r="AR387">
        <v>163.37320891083181</v>
      </c>
      <c r="AS387">
        <v>1613.6442393945449</v>
      </c>
      <c r="AT387">
        <v>79.357823450961419</v>
      </c>
      <c r="AU387">
        <v>405.3279150332105</v>
      </c>
      <c r="AV387"/>
      <c r="AW387"/>
      <c r="FY387" s="211">
        <v>382</v>
      </c>
      <c r="FZ387">
        <v>125.26002962130626</v>
      </c>
      <c r="GA387">
        <v>121.3019909871943</v>
      </c>
      <c r="GB387">
        <v>41.346536867379918</v>
      </c>
      <c r="GC387">
        <v>10.50042638013351</v>
      </c>
      <c r="GD387">
        <v>3.3441061974607202</v>
      </c>
      <c r="GE387">
        <v>5.3297725545433661</v>
      </c>
      <c r="GF387">
        <v>38.504331960117618</v>
      </c>
      <c r="GG387">
        <v>48.828604484208455</v>
      </c>
      <c r="GH387">
        <v>34.903026378765112</v>
      </c>
      <c r="GI387">
        <v>86.016964497825953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 t="e">
        <f t="shared" ref="F388:F398" si="376">IF(C374&lt;1,0,LN(E374/E373)/E21)</f>
        <v>#VALUE!</v>
      </c>
      <c r="G388" s="13"/>
      <c r="H388" s="19">
        <f>IF(G406&lt;0,0,G406)</f>
        <v>3.4818261926157792E-2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1167.6088616982856</v>
      </c>
      <c r="AO388">
        <v>201.0138820924202</v>
      </c>
      <c r="AP388">
        <v>1615.6631421917382</v>
      </c>
      <c r="AQ388">
        <v>428.40169761081847</v>
      </c>
      <c r="AR388">
        <v>196.48103978389301</v>
      </c>
      <c r="AS388">
        <v>2113.3610151669054</v>
      </c>
      <c r="AT388">
        <v>95.391507904379736</v>
      </c>
      <c r="AU388">
        <v>222.18291765719678</v>
      </c>
      <c r="AV388"/>
      <c r="AW388"/>
      <c r="FY388" s="211">
        <v>383</v>
      </c>
      <c r="FZ388">
        <v>157.23870215095013</v>
      </c>
      <c r="GA388">
        <v>115.75156306568431</v>
      </c>
      <c r="GB388">
        <v>41.411665315424727</v>
      </c>
      <c r="GC388">
        <v>10.535786628712643</v>
      </c>
      <c r="GD388">
        <v>2.8743449630292561</v>
      </c>
      <c r="GE388">
        <v>4.308747759340978</v>
      </c>
      <c r="GF388">
        <v>36.801441382749687</v>
      </c>
      <c r="GG388">
        <v>48.522920888253644</v>
      </c>
      <c r="GH388">
        <v>20.854406224102959</v>
      </c>
      <c r="GI388">
        <v>92.087464567354928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 t="e">
        <f t="shared" si="376"/>
        <v>#VALUE!</v>
      </c>
      <c r="G389" s="13"/>
      <c r="H389" s="19">
        <f t="shared" ref="H389:H398" si="377">IF(G407&lt;0,0,G407)</f>
        <v>2.5711078980799492E-2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1255.7492296899084</v>
      </c>
      <c r="AO389">
        <v>150.81160337969342</v>
      </c>
      <c r="AP389">
        <v>1247.7832302823329</v>
      </c>
      <c r="AQ389">
        <v>445.85473772473455</v>
      </c>
      <c r="AR389">
        <v>144.75087693240116</v>
      </c>
      <c r="AS389">
        <v>1584.8975099911891</v>
      </c>
      <c r="AT389">
        <v>68.692294178618511</v>
      </c>
      <c r="AU389">
        <v>206.12353935253583</v>
      </c>
      <c r="AV389"/>
      <c r="AW389"/>
      <c r="FY389" s="211">
        <v>384</v>
      </c>
      <c r="FZ389">
        <v>124.40460466683878</v>
      </c>
      <c r="GA389">
        <v>102.23874811238036</v>
      </c>
      <c r="GB389">
        <v>26.087263003690882</v>
      </c>
      <c r="GC389">
        <v>10.182437571636818</v>
      </c>
      <c r="GD389">
        <v>4.8959856055247446</v>
      </c>
      <c r="GE389">
        <v>5.5852859804688668</v>
      </c>
      <c r="GF389">
        <v>16.075115681574555</v>
      </c>
      <c r="GG389">
        <v>18.485560778139721</v>
      </c>
      <c r="GH389">
        <v>15.878804278713785</v>
      </c>
      <c r="GI389">
        <v>68.283877169534165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 t="e">
        <f t="shared" si="376"/>
        <v>#VALUE!</v>
      </c>
      <c r="G390" s="13"/>
      <c r="H390" s="19">
        <f t="shared" si="377"/>
        <v>4.0538249694410632E-3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1258.1290670151889</v>
      </c>
      <c r="AO390">
        <v>164.66787793516895</v>
      </c>
      <c r="AP390">
        <v>1491.8299750253084</v>
      </c>
      <c r="AQ390">
        <v>527.35182253410733</v>
      </c>
      <c r="AR390">
        <v>162.61851349634614</v>
      </c>
      <c r="AS390">
        <v>1715.4938040031577</v>
      </c>
      <c r="AT390">
        <v>80.68792351488689</v>
      </c>
      <c r="AU390">
        <v>399.56614993645303</v>
      </c>
      <c r="AV390"/>
      <c r="AW390"/>
      <c r="FY390" s="211">
        <v>385</v>
      </c>
      <c r="FZ390">
        <v>92.815852275073496</v>
      </c>
      <c r="GA390">
        <v>54.321052152601688</v>
      </c>
      <c r="GB390">
        <v>21.677811961974655</v>
      </c>
      <c r="GC390">
        <v>6.7742806049226996</v>
      </c>
      <c r="GD390">
        <v>3.2050583304691571</v>
      </c>
      <c r="GE390">
        <v>6.2580317780467549</v>
      </c>
      <c r="GF390">
        <v>18.933266770127545</v>
      </c>
      <c r="GG390">
        <v>24.131510043111433</v>
      </c>
      <c r="GH390">
        <v>16.0179790679605</v>
      </c>
      <c r="GI390">
        <v>50.34820915880087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 t="e">
        <f t="shared" si="376"/>
        <v>#VALUE!</v>
      </c>
      <c r="G391" s="13"/>
      <c r="H391" s="19">
        <f t="shared" si="377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1030.2936788914999</v>
      </c>
      <c r="AO391">
        <v>143.68363954199449</v>
      </c>
      <c r="AP391">
        <v>1242.2381269037517</v>
      </c>
      <c r="AQ391">
        <v>453.46984570518987</v>
      </c>
      <c r="AR391">
        <v>136.8731800102384</v>
      </c>
      <c r="AS391">
        <v>1451.7289162773918</v>
      </c>
      <c r="AT391">
        <v>66.94023998256354</v>
      </c>
      <c r="AU391">
        <v>182.95658485592716</v>
      </c>
      <c r="AV391"/>
      <c r="AW391"/>
      <c r="FY391" s="211">
        <v>386</v>
      </c>
      <c r="FZ391">
        <v>101.58865547343854</v>
      </c>
      <c r="GA391">
        <v>69.433231059715084</v>
      </c>
      <c r="GB391">
        <v>22.590446740491672</v>
      </c>
      <c r="GC391">
        <v>8.3627946908312438</v>
      </c>
      <c r="GD391">
        <v>3.2649178355749919</v>
      </c>
      <c r="GE391">
        <v>4.7009879258727398</v>
      </c>
      <c r="GF391">
        <v>34.024117307079976</v>
      </c>
      <c r="GG391">
        <v>44.284859514271773</v>
      </c>
      <c r="GH391">
        <v>24.148148724271483</v>
      </c>
      <c r="GI391">
        <v>69.321650867920596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 t="e">
        <f t="shared" si="376"/>
        <v>#VALUE!</v>
      </c>
      <c r="G392" s="13"/>
      <c r="H392" s="19">
        <f t="shared" si="377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1242.2443141991864</v>
      </c>
      <c r="AO392">
        <v>193.687682170415</v>
      </c>
      <c r="AP392">
        <v>1734.1169821373769</v>
      </c>
      <c r="AQ392">
        <v>539.3484403007526</v>
      </c>
      <c r="AR392">
        <v>187.46191081754688</v>
      </c>
      <c r="AS392">
        <v>2076.2259682031176</v>
      </c>
      <c r="AT392">
        <v>90.739409092719086</v>
      </c>
      <c r="AU392">
        <v>265.39723799952174</v>
      </c>
      <c r="AV392"/>
      <c r="AW392"/>
      <c r="FY392" s="211">
        <v>387</v>
      </c>
      <c r="FZ392">
        <v>149.12020182719274</v>
      </c>
      <c r="GA392">
        <v>111.04269683171343</v>
      </c>
      <c r="GB392">
        <v>28.308634026234593</v>
      </c>
      <c r="GC392">
        <v>8.2392799219990813</v>
      </c>
      <c r="GD392">
        <v>4.4593385779563812</v>
      </c>
      <c r="GE392">
        <v>7.1415863648146072</v>
      </c>
      <c r="GF392">
        <v>19.928864275435476</v>
      </c>
      <c r="GG392">
        <v>24.588995145115511</v>
      </c>
      <c r="GH392">
        <v>20.676171984622002</v>
      </c>
      <c r="GI392">
        <v>72.113545826964625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 t="e">
        <f t="shared" si="376"/>
        <v>#VALUE!</v>
      </c>
      <c r="G393" s="13"/>
      <c r="H393" s="19">
        <f t="shared" si="377"/>
        <v>9.475306708670965E-3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1348.9318424940534</v>
      </c>
      <c r="AO393">
        <v>188.11815089966916</v>
      </c>
      <c r="AP393">
        <v>1571.7903743719598</v>
      </c>
      <c r="AQ393">
        <v>450.4810879222008</v>
      </c>
      <c r="AR393">
        <v>179.83607758363698</v>
      </c>
      <c r="AS393">
        <v>1963.6995031839383</v>
      </c>
      <c r="AT393">
        <v>87.321955979397671</v>
      </c>
      <c r="AU393">
        <v>451.86563807855867</v>
      </c>
      <c r="AV393"/>
      <c r="AW393"/>
      <c r="FY393" s="211">
        <v>388</v>
      </c>
      <c r="FZ393">
        <v>131.84937398277737</v>
      </c>
      <c r="GA393">
        <v>114.57345880711178</v>
      </c>
      <c r="GB393">
        <v>34.414256843699292</v>
      </c>
      <c r="GC393">
        <v>8.439064521485367</v>
      </c>
      <c r="GD393">
        <v>3.1619312701077473</v>
      </c>
      <c r="GE393">
        <v>3.904875105833983</v>
      </c>
      <c r="GF393">
        <v>19.979886302301697</v>
      </c>
      <c r="GG393">
        <v>27.384074207374407</v>
      </c>
      <c r="GH393">
        <v>26.502248830597384</v>
      </c>
      <c r="GI393">
        <v>74.938226315526023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 t="e">
        <f t="shared" si="376"/>
        <v>#VALUE!</v>
      </c>
      <c r="G394" s="13"/>
      <c r="H394" s="19">
        <f t="shared" si="377"/>
        <v>1.2729736671722697E-2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919.77943255868865</v>
      </c>
      <c r="AO394">
        <v>152.86376916326569</v>
      </c>
      <c r="AP394">
        <v>1232.1556200903246</v>
      </c>
      <c r="AQ394">
        <v>391.81450546205946</v>
      </c>
      <c r="AR394">
        <v>149.21340008585651</v>
      </c>
      <c r="AS394">
        <v>1590.524623741707</v>
      </c>
      <c r="AT394">
        <v>73.93540580569443</v>
      </c>
      <c r="AU394">
        <v>52.284486862232939</v>
      </c>
      <c r="AV394"/>
      <c r="AW394"/>
      <c r="FY394" s="211">
        <v>389</v>
      </c>
      <c r="FZ394">
        <v>111.45650550137587</v>
      </c>
      <c r="GA394">
        <v>119.95293640214301</v>
      </c>
      <c r="GB394">
        <v>52.464813815002913</v>
      </c>
      <c r="GC394">
        <v>10.271423338849411</v>
      </c>
      <c r="GD394">
        <v>4.1120653376408276</v>
      </c>
      <c r="GE394">
        <v>8.1987105591763765</v>
      </c>
      <c r="GF394">
        <v>28.034052035684478</v>
      </c>
      <c r="GG394">
        <v>34.892464095202229</v>
      </c>
      <c r="GH394">
        <v>24.999532127647459</v>
      </c>
      <c r="GI394">
        <v>81.497411618420443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 t="e">
        <f t="shared" si="376"/>
        <v>#VALUE!</v>
      </c>
      <c r="G395" s="13"/>
      <c r="H395" s="19">
        <f t="shared" si="377"/>
        <v>5.0101670471258408E-3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1035.4623454377272</v>
      </c>
      <c r="AO395">
        <v>137.53149829058572</v>
      </c>
      <c r="AP395">
        <v>1067.7602734413454</v>
      </c>
      <c r="AQ395">
        <v>394.08388202582216</v>
      </c>
      <c r="AR395">
        <v>132.38628652173594</v>
      </c>
      <c r="AS395">
        <v>1509.5359704880959</v>
      </c>
      <c r="AT395">
        <v>63.902608789606042</v>
      </c>
      <c r="AU395">
        <v>54.713169065592744</v>
      </c>
      <c r="AV395"/>
      <c r="AW395"/>
      <c r="FY395" s="211">
        <v>390</v>
      </c>
      <c r="FZ395">
        <v>158.43798401089538</v>
      </c>
      <c r="GA395">
        <v>171.53831148338233</v>
      </c>
      <c r="GB395">
        <v>41.204595953174127</v>
      </c>
      <c r="GC395">
        <v>8.3034356293845129</v>
      </c>
      <c r="GD395">
        <v>2.7093400997948685</v>
      </c>
      <c r="GE395">
        <v>4.2633326991380329</v>
      </c>
      <c r="GF395">
        <v>31.57833984923937</v>
      </c>
      <c r="GG395">
        <v>41.113488933060488</v>
      </c>
      <c r="GH395">
        <v>28.659055889876601</v>
      </c>
      <c r="GI395">
        <v>87.797092103806378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 t="e">
        <f t="shared" si="376"/>
        <v>#VALUE!</v>
      </c>
      <c r="G396" s="13"/>
      <c r="H396" s="19">
        <f t="shared" si="377"/>
        <v>5.4904347350305062E-2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1054.4641464705448</v>
      </c>
      <c r="AO396">
        <v>155.9384160093602</v>
      </c>
      <c r="AP396">
        <v>1261.3484744394725</v>
      </c>
      <c r="AQ396">
        <v>386.31754588469471</v>
      </c>
      <c r="AR396">
        <v>153.11482722329336</v>
      </c>
      <c r="AS396">
        <v>1556.6390345779532</v>
      </c>
      <c r="AT396">
        <v>71.259223318484246</v>
      </c>
      <c r="AU396">
        <v>221.22158277405191</v>
      </c>
      <c r="AV396"/>
      <c r="AW396"/>
      <c r="FY396" s="211">
        <v>391</v>
      </c>
      <c r="FZ396">
        <v>115.79423431420517</v>
      </c>
      <c r="GA396">
        <v>119.657109150549</v>
      </c>
      <c r="GB396">
        <v>39.004037545120241</v>
      </c>
      <c r="GC396">
        <v>8.1094426391886127</v>
      </c>
      <c r="GD396">
        <v>3.7603744365867078</v>
      </c>
      <c r="GE396">
        <v>7.3137354012772251</v>
      </c>
      <c r="GF396">
        <v>55.790380376526954</v>
      </c>
      <c r="GG396">
        <v>68.913036008301688</v>
      </c>
      <c r="GH396">
        <v>26.43442362470195</v>
      </c>
      <c r="GI396">
        <v>83.768679703641155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6"/>
        <v>0</v>
      </c>
      <c r="G397" s="13"/>
      <c r="H397" s="19">
        <f t="shared" si="377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1329.6771620836721</v>
      </c>
      <c r="AO397">
        <v>160.08684154633636</v>
      </c>
      <c r="AP397">
        <v>1325.7468933096673</v>
      </c>
      <c r="AQ397">
        <v>608.36770889305728</v>
      </c>
      <c r="AR397">
        <v>155.72653436569868</v>
      </c>
      <c r="AS397">
        <v>1702.3343678139129</v>
      </c>
      <c r="AT397">
        <v>76.292000962671978</v>
      </c>
      <c r="AU397">
        <v>79.228438918000464</v>
      </c>
      <c r="AV397"/>
      <c r="AW397"/>
      <c r="FY397" s="211">
        <v>392</v>
      </c>
      <c r="FZ397">
        <v>169.98277607406095</v>
      </c>
      <c r="GA397">
        <v>107.98161527152118</v>
      </c>
      <c r="GB397">
        <v>25.586224063737426</v>
      </c>
      <c r="GC397">
        <v>8.9821063638658352</v>
      </c>
      <c r="GD397">
        <v>3.739515781083484</v>
      </c>
      <c r="GE397">
        <v>7.8012499553626586</v>
      </c>
      <c r="GF397">
        <v>24.621674720581467</v>
      </c>
      <c r="GG397">
        <v>28.764646744407937</v>
      </c>
      <c r="GH397">
        <v>12.387788054989386</v>
      </c>
      <c r="GI397">
        <v>63.697537766716223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6"/>
        <v>0</v>
      </c>
      <c r="G398" s="13"/>
      <c r="H398" s="19">
        <f t="shared" si="377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1349.8510742851784</v>
      </c>
      <c r="AO398">
        <v>172.70563243575378</v>
      </c>
      <c r="AP398">
        <v>1498.832013028677</v>
      </c>
      <c r="AQ398">
        <v>515.33578992893524</v>
      </c>
      <c r="AR398">
        <v>170.34467062847264</v>
      </c>
      <c r="AS398">
        <v>1840.4533405334439</v>
      </c>
      <c r="AT398">
        <v>80.084555551985218</v>
      </c>
      <c r="AU398">
        <v>199.26627267475499</v>
      </c>
      <c r="AV398"/>
      <c r="AW398"/>
      <c r="FY398" s="211">
        <v>393</v>
      </c>
      <c r="FZ398">
        <v>91.247104373835882</v>
      </c>
      <c r="GA398">
        <v>80.288597645666044</v>
      </c>
      <c r="GB398">
        <v>32.889303933513148</v>
      </c>
      <c r="GC398">
        <v>7.4009146644011672</v>
      </c>
      <c r="GD398">
        <v>2.7919108369170949</v>
      </c>
      <c r="GE398">
        <v>5.8443547704443555</v>
      </c>
      <c r="GF398">
        <v>28.115878411157503</v>
      </c>
      <c r="GG398">
        <v>36.430897065822343</v>
      </c>
      <c r="GH398">
        <v>25.749542821901475</v>
      </c>
      <c r="GI398">
        <v>77.465163786839383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1335.4127097179164</v>
      </c>
      <c r="AO399">
        <v>180.54920210022254</v>
      </c>
      <c r="AP399">
        <v>1471.2309753724489</v>
      </c>
      <c r="AQ399">
        <v>530.3870429456033</v>
      </c>
      <c r="AR399">
        <v>178.05132255918232</v>
      </c>
      <c r="AS399">
        <v>1946.9897392714447</v>
      </c>
      <c r="AT399">
        <v>88.474304002027452</v>
      </c>
      <c r="AU399">
        <v>242.00897419082187</v>
      </c>
      <c r="AV399"/>
      <c r="AW399"/>
      <c r="FY399" s="211">
        <v>394</v>
      </c>
      <c r="FZ399">
        <v>118.88998378457887</v>
      </c>
      <c r="GA399">
        <v>85.662820265580336</v>
      </c>
      <c r="GB399">
        <v>19.971673486601873</v>
      </c>
      <c r="GC399">
        <v>4.8430984143411351</v>
      </c>
      <c r="GD399">
        <v>3.6631110948243029</v>
      </c>
      <c r="GE399">
        <v>6.827993773438644</v>
      </c>
      <c r="GF399">
        <v>14.642090242940213</v>
      </c>
      <c r="GG399">
        <v>19.418707117511662</v>
      </c>
      <c r="GH399">
        <v>28.110883853556615</v>
      </c>
      <c r="GI399">
        <v>57.658142517151141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993.51767577869668</v>
      </c>
      <c r="AO400">
        <v>134.08008258131872</v>
      </c>
      <c r="AP400">
        <v>1018.8208218627576</v>
      </c>
      <c r="AQ400">
        <v>392.11768284850268</v>
      </c>
      <c r="AR400">
        <v>129.62416265796847</v>
      </c>
      <c r="AS400">
        <v>1395.9052187707737</v>
      </c>
      <c r="AT400">
        <v>61.819905193501008</v>
      </c>
      <c r="AU400">
        <v>56.577278754393177</v>
      </c>
      <c r="AV400"/>
      <c r="AW400"/>
      <c r="FY400" s="211">
        <v>395</v>
      </c>
      <c r="FZ400">
        <v>162.10407979008372</v>
      </c>
      <c r="GA400">
        <v>113.32158741353143</v>
      </c>
      <c r="GB400">
        <v>26.666241181305541</v>
      </c>
      <c r="GC400">
        <v>7.5714570352618562</v>
      </c>
      <c r="GD400">
        <v>4.8253820899299447</v>
      </c>
      <c r="GE400">
        <v>9.0839637312392085</v>
      </c>
      <c r="GF400">
        <v>36.934761893094432</v>
      </c>
      <c r="GG400">
        <v>43.66899731432212</v>
      </c>
      <c r="GH400">
        <v>26.669716526472506</v>
      </c>
      <c r="GI400">
        <v>78.630975616924289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797.49466570214838</v>
      </c>
      <c r="AO401">
        <v>115.09592751690988</v>
      </c>
      <c r="AP401">
        <v>970.79817434464746</v>
      </c>
      <c r="AQ401">
        <v>294.4830521430888</v>
      </c>
      <c r="AR401">
        <v>113.30652571620102</v>
      </c>
      <c r="AS401">
        <v>1184.9726413123474</v>
      </c>
      <c r="AT401">
        <v>49.604861699373622</v>
      </c>
      <c r="AU401">
        <v>104.74601861877035</v>
      </c>
      <c r="AV401"/>
      <c r="AW401"/>
      <c r="FY401" s="211">
        <v>396</v>
      </c>
      <c r="FZ401">
        <v>172.14007214915421</v>
      </c>
      <c r="GA401">
        <v>122.92580978609948</v>
      </c>
      <c r="GB401">
        <v>31.026932389512503</v>
      </c>
      <c r="GC401">
        <v>9.1616887191452925</v>
      </c>
      <c r="GD401">
        <v>2.4561297341546808</v>
      </c>
      <c r="GE401">
        <v>3.7459550987783636</v>
      </c>
      <c r="GF401">
        <v>30.204435188941439</v>
      </c>
      <c r="GG401">
        <v>34.896617870506866</v>
      </c>
      <c r="GH401">
        <v>19.612971380725718</v>
      </c>
      <c r="GI401">
        <v>82.293102485836272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1070.2136228917511</v>
      </c>
      <c r="AO402">
        <v>147.74139131953652</v>
      </c>
      <c r="AP402">
        <v>1183.2854503184533</v>
      </c>
      <c r="AQ402">
        <v>381.71981013946811</v>
      </c>
      <c r="AR402">
        <v>144.64861180327793</v>
      </c>
      <c r="AS402">
        <v>1546.200092610299</v>
      </c>
      <c r="AT402">
        <v>66.945192265710077</v>
      </c>
      <c r="AU402">
        <v>254.91859560119758</v>
      </c>
      <c r="AV402"/>
      <c r="AW402"/>
      <c r="FY402" s="211">
        <v>397</v>
      </c>
      <c r="FZ402">
        <v>94.721479204227251</v>
      </c>
      <c r="GA402">
        <v>85.379065300976578</v>
      </c>
      <c r="GB402">
        <v>29.836805094642671</v>
      </c>
      <c r="GC402">
        <v>7.7497143325019486</v>
      </c>
      <c r="GD402">
        <v>3.2049335722520507</v>
      </c>
      <c r="GE402">
        <v>4.7866091106997617</v>
      </c>
      <c r="GF402">
        <v>9.2493386471276597</v>
      </c>
      <c r="GG402">
        <v>14.188063690026073</v>
      </c>
      <c r="GH402">
        <v>28.358198203943857</v>
      </c>
      <c r="GI402">
        <v>65.598432931862149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1090.2818473361197</v>
      </c>
      <c r="AO403">
        <v>162.97325701352301</v>
      </c>
      <c r="AP403">
        <v>1363.205140296425</v>
      </c>
      <c r="AQ403">
        <v>445.61931478204843</v>
      </c>
      <c r="AR403">
        <v>155.76118953834649</v>
      </c>
      <c r="AS403">
        <v>1555.8424089704781</v>
      </c>
      <c r="AT403">
        <v>73.964150114495268</v>
      </c>
      <c r="AU403">
        <v>129.99794273202446</v>
      </c>
      <c r="AV403"/>
      <c r="AW403"/>
      <c r="FY403" s="211">
        <v>398</v>
      </c>
      <c r="FZ403">
        <v>69.103974613265706</v>
      </c>
      <c r="GA403">
        <v>34.255784751149967</v>
      </c>
      <c r="GB403">
        <v>15.596061552647015</v>
      </c>
      <c r="GC403">
        <v>6.8686804874747285</v>
      </c>
      <c r="GD403">
        <v>4.1508179443288515</v>
      </c>
      <c r="GE403">
        <v>8.0466488955909288</v>
      </c>
      <c r="GF403">
        <v>34.626001332224966</v>
      </c>
      <c r="GG403">
        <v>40.983694110501347</v>
      </c>
      <c r="GH403">
        <v>20.185626066846563</v>
      </c>
      <c r="GI403">
        <v>63.842893819198942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1073.0077438741903</v>
      </c>
      <c r="AO404">
        <v>168.67842382194536</v>
      </c>
      <c r="AP404">
        <v>1456.9477757158998</v>
      </c>
      <c r="AQ404">
        <v>445.14739618681506</v>
      </c>
      <c r="AR404">
        <v>165.85029222418993</v>
      </c>
      <c r="AS404">
        <v>1670.0196852267454</v>
      </c>
      <c r="AT404">
        <v>82.517594503994587</v>
      </c>
      <c r="AU404">
        <v>156.14244444361572</v>
      </c>
      <c r="AV404"/>
      <c r="AW404"/>
      <c r="FY404" s="211">
        <v>399</v>
      </c>
      <c r="FZ404">
        <v>207.68412206624367</v>
      </c>
      <c r="GA404">
        <v>110.30650672938145</v>
      </c>
      <c r="GB404">
        <v>22.813429166840134</v>
      </c>
      <c r="GC404">
        <v>7.4729755280957537</v>
      </c>
      <c r="GD404">
        <v>2.6815250247950502</v>
      </c>
      <c r="GE404">
        <v>4.7938551054130389</v>
      </c>
      <c r="GF404">
        <v>45.039355278895918</v>
      </c>
      <c r="GG404">
        <v>54.682692659022528</v>
      </c>
      <c r="GH404">
        <v>22.074591757276952</v>
      </c>
      <c r="GI404">
        <v>81.266024545400782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8">+C4</f>
        <v>39646</v>
      </c>
      <c r="C405" s="61">
        <v>0</v>
      </c>
      <c r="D405" s="61">
        <f t="shared" ref="D405:D414" si="379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4.0899159663865534</v>
      </c>
      <c r="E405" s="108" t="e">
        <f t="shared" ref="E405:E414" si="380">IF(D405=0,0.00000001,(1-$A$43/100)*($A$39*(D405^($A$41))))</f>
        <v>#VALUE!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1298.6357030585536</v>
      </c>
      <c r="AO405">
        <v>160.86351135464926</v>
      </c>
      <c r="AP405">
        <v>1384.4175896371773</v>
      </c>
      <c r="AQ405">
        <v>475.87991483114297</v>
      </c>
      <c r="AR405">
        <v>158.67831196813896</v>
      </c>
      <c r="AS405">
        <v>1816.7145616050318</v>
      </c>
      <c r="AT405">
        <v>77.983716033372318</v>
      </c>
      <c r="AU405">
        <v>267.85294773204492</v>
      </c>
      <c r="AV405"/>
      <c r="AW405"/>
      <c r="FY405" s="211">
        <v>400</v>
      </c>
      <c r="FZ405">
        <v>146.86451520817531</v>
      </c>
      <c r="GA405">
        <v>77.816495509630641</v>
      </c>
      <c r="GB405">
        <v>29.890775538083965</v>
      </c>
      <c r="GC405">
        <v>9.6953596600654208</v>
      </c>
      <c r="GD405">
        <v>3.6653516625257931</v>
      </c>
      <c r="GE405">
        <v>6.0120531249642362</v>
      </c>
      <c r="GF405">
        <v>29.685499968851232</v>
      </c>
      <c r="GG405">
        <v>35.478031688682819</v>
      </c>
      <c r="GH405">
        <v>19.766550834338581</v>
      </c>
      <c r="GI405">
        <v>75.969802242725606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8"/>
        <v>39673</v>
      </c>
      <c r="C406" s="61">
        <f>B406-B405</f>
        <v>27</v>
      </c>
      <c r="D406" s="61">
        <f t="shared" si="379"/>
        <v>2.9206034789260564</v>
      </c>
      <c r="E406" s="108" t="e">
        <f t="shared" si="380"/>
        <v>#VALUE!</v>
      </c>
      <c r="F406" s="19" t="e">
        <f t="shared" ref="F406:F414" si="381">IF(C374&lt;1,0,LN(E406/E405)/E21)</f>
        <v>#VALUE!</v>
      </c>
      <c r="G406" s="19">
        <f t="shared" ref="G406:G414" si="382">IF(D406=0, 0, 0.051-(0.068*LN(D406))+(0.006*A406))</f>
        <v>3.4818261926157792E-2</v>
      </c>
      <c r="H406" s="19">
        <f t="shared" ref="H406:H414" si="383">+IF((G406&gt;0),G406,0)</f>
        <v>3.4818261926157792E-2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1298.516920669307</v>
      </c>
      <c r="AO406">
        <v>181.78721169913635</v>
      </c>
      <c r="AP406">
        <v>1538.417636850701</v>
      </c>
      <c r="AQ406">
        <v>575.60497665175205</v>
      </c>
      <c r="AR406">
        <v>174.56001671555364</v>
      </c>
      <c r="AS406">
        <v>1861.3935612214095</v>
      </c>
      <c r="AT406">
        <v>83.105868813033396</v>
      </c>
      <c r="AU406">
        <v>58.5359387275277</v>
      </c>
      <c r="AV406"/>
      <c r="AW406"/>
      <c r="FY406" s="211">
        <v>401</v>
      </c>
      <c r="FZ406">
        <v>167.34758276871943</v>
      </c>
      <c r="GA406">
        <v>168.19137722989908</v>
      </c>
      <c r="GB406">
        <v>53.343149080592831</v>
      </c>
      <c r="GC406">
        <v>9.0440213696506451</v>
      </c>
      <c r="GD406">
        <v>3.25076029881436</v>
      </c>
      <c r="GE406">
        <v>6.2865126968263443</v>
      </c>
      <c r="GF406">
        <v>40.174264140428008</v>
      </c>
      <c r="GG406">
        <v>47.988599361761089</v>
      </c>
      <c r="GH406">
        <v>24.834189519124752</v>
      </c>
      <c r="GI406">
        <v>86.892841115019323</v>
      </c>
      <c r="GJ406"/>
      <c r="GK406"/>
      <c r="GL406"/>
      <c r="GM406"/>
    </row>
    <row r="407" spans="1:195" s="7" customFormat="1">
      <c r="A407" s="189">
        <v>4.03</v>
      </c>
      <c r="B407" s="71">
        <f t="shared" si="378"/>
        <v>39714</v>
      </c>
      <c r="C407" s="61">
        <f>B407-$B$405</f>
        <v>68</v>
      </c>
      <c r="D407" s="61">
        <f t="shared" si="379"/>
        <v>2.0698665417934907</v>
      </c>
      <c r="E407" s="108" t="e">
        <f t="shared" si="380"/>
        <v>#VALUE!</v>
      </c>
      <c r="F407" s="19" t="e">
        <f t="shared" si="381"/>
        <v>#VALUE!</v>
      </c>
      <c r="G407" s="19">
        <f t="shared" si="382"/>
        <v>2.5711078980799492E-2</v>
      </c>
      <c r="H407" s="19">
        <f t="shared" si="383"/>
        <v>2.5711078980799492E-2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1403.1077073662454</v>
      </c>
      <c r="AO407">
        <v>164.35007818417625</v>
      </c>
      <c r="AP407">
        <v>1473.0327290045079</v>
      </c>
      <c r="AQ407">
        <v>528.54545320009868</v>
      </c>
      <c r="AR407">
        <v>159.58427827108926</v>
      </c>
      <c r="AS407">
        <v>1811.641850168822</v>
      </c>
      <c r="AT407">
        <v>77.849019206932667</v>
      </c>
      <c r="AU407">
        <v>504.13119082695721</v>
      </c>
      <c r="AV407"/>
      <c r="AW407"/>
      <c r="FY407" s="211">
        <v>402</v>
      </c>
      <c r="FZ407">
        <v>97.71432506067498</v>
      </c>
      <c r="GA407">
        <v>69.043035916488677</v>
      </c>
      <c r="GB407">
        <v>33.910089434123499</v>
      </c>
      <c r="GC407">
        <v>9.4370149833504389</v>
      </c>
      <c r="GD407">
        <v>3.7710362651160985</v>
      </c>
      <c r="GE407">
        <v>6.9276524154067314</v>
      </c>
      <c r="GF407">
        <v>39.458062668761315</v>
      </c>
      <c r="GG407">
        <v>47.88173033060373</v>
      </c>
      <c r="GH407">
        <v>24.386886415015166</v>
      </c>
      <c r="GI407">
        <v>79.524977657678733</v>
      </c>
      <c r="GJ407"/>
      <c r="GK407"/>
      <c r="GL407"/>
      <c r="GM407"/>
    </row>
    <row r="408" spans="1:195" s="7" customFormat="1">
      <c r="A408" s="189">
        <v>0.78</v>
      </c>
      <c r="B408" s="71">
        <f t="shared" si="378"/>
        <v>39747</v>
      </c>
      <c r="C408" s="61">
        <f t="shared" ref="C408:C414" si="384">B408-$B$405</f>
        <v>101</v>
      </c>
      <c r="D408" s="61">
        <f t="shared" si="379"/>
        <v>2.1365843511760723</v>
      </c>
      <c r="E408" s="108" t="e">
        <f t="shared" si="380"/>
        <v>#VALUE!</v>
      </c>
      <c r="F408" s="19" t="e">
        <f t="shared" si="381"/>
        <v>#VALUE!</v>
      </c>
      <c r="G408" s="19">
        <f t="shared" si="382"/>
        <v>4.0538249694410632E-3</v>
      </c>
      <c r="H408" s="19">
        <f t="shared" si="383"/>
        <v>4.0538249694410632E-3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966.11354530996755</v>
      </c>
      <c r="AO408">
        <v>127.70670753557917</v>
      </c>
      <c r="AP408">
        <v>1065.2819869751875</v>
      </c>
      <c r="AQ408">
        <v>453.54513479632647</v>
      </c>
      <c r="AR408">
        <v>121.81490809738102</v>
      </c>
      <c r="AS408">
        <v>1341.9007137657738</v>
      </c>
      <c r="AT408">
        <v>60.402627381469564</v>
      </c>
      <c r="AU408">
        <v>105.61190205714091</v>
      </c>
      <c r="AV408"/>
      <c r="AW408"/>
      <c r="FY408" s="211">
        <v>403</v>
      </c>
      <c r="FZ408">
        <v>149.84852275236577</v>
      </c>
      <c r="GA408">
        <v>153.99318111436995</v>
      </c>
      <c r="GB408">
        <v>33.340308803225987</v>
      </c>
      <c r="GC408">
        <v>6.1382827729774458</v>
      </c>
      <c r="GD408">
        <v>4.0382733191709548</v>
      </c>
      <c r="GE408">
        <v>7.0947712962993474</v>
      </c>
      <c r="GF408">
        <v>18.802889355964204</v>
      </c>
      <c r="GG408">
        <v>24.69594332577919</v>
      </c>
      <c r="GH408">
        <v>28.665138671830995</v>
      </c>
      <c r="GI408">
        <v>72.519858045363478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8"/>
        <v>39775</v>
      </c>
      <c r="C409" s="61">
        <f t="shared" si="384"/>
        <v>129</v>
      </c>
      <c r="D409" s="61">
        <f t="shared" si="379"/>
        <v>2.5126678943821656</v>
      </c>
      <c r="E409" s="108" t="e">
        <f t="shared" si="380"/>
        <v>#VALUE!</v>
      </c>
      <c r="F409" s="19" t="e">
        <f t="shared" si="381"/>
        <v>#VALUE!</v>
      </c>
      <c r="G409" s="19">
        <f t="shared" si="382"/>
        <v>-1.0811466445535545E-2</v>
      </c>
      <c r="H409" s="19">
        <f t="shared" si="383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1108.5537980756437</v>
      </c>
      <c r="AO409">
        <v>167.04191694136472</v>
      </c>
      <c r="AP409">
        <v>1332.2770549799884</v>
      </c>
      <c r="AQ409">
        <v>388.2236683104984</v>
      </c>
      <c r="AR409">
        <v>163.63972897839119</v>
      </c>
      <c r="AS409">
        <v>1738.792276833479</v>
      </c>
      <c r="AT409">
        <v>76.77923240466977</v>
      </c>
      <c r="AU409">
        <v>142.12591825244348</v>
      </c>
      <c r="AV409"/>
      <c r="AW409"/>
      <c r="FY409" s="211">
        <v>404</v>
      </c>
      <c r="FZ409">
        <v>121.96212372029896</v>
      </c>
      <c r="GA409">
        <v>61.298530807692146</v>
      </c>
      <c r="GB409">
        <v>22.062285669266789</v>
      </c>
      <c r="GC409">
        <v>8.0809219185920842</v>
      </c>
      <c r="GD409">
        <v>3.2561144983529755</v>
      </c>
      <c r="GE409">
        <v>4.5139392169966701</v>
      </c>
      <c r="GF409">
        <v>35.435189707100577</v>
      </c>
      <c r="GG409">
        <v>46.226703669784236</v>
      </c>
      <c r="GH409">
        <v>22.981868405317769</v>
      </c>
      <c r="GI409">
        <v>75.517872486739975</v>
      </c>
      <c r="GJ409"/>
      <c r="GK409"/>
      <c r="GL409"/>
      <c r="GM409"/>
    </row>
    <row r="410" spans="1:195" s="7" customFormat="1">
      <c r="A410" s="189">
        <v>0.21</v>
      </c>
      <c r="B410" s="71">
        <f t="shared" si="378"/>
        <v>39799</v>
      </c>
      <c r="C410" s="61">
        <f t="shared" si="384"/>
        <v>153</v>
      </c>
      <c r="D410" s="61">
        <f t="shared" si="379"/>
        <v>2.3235695756737016</v>
      </c>
      <c r="E410" s="108" t="e">
        <f t="shared" si="380"/>
        <v>#VALUE!</v>
      </c>
      <c r="F410" s="19" t="e">
        <f t="shared" si="381"/>
        <v>#VALUE!</v>
      </c>
      <c r="G410" s="19">
        <f t="shared" si="382"/>
        <v>-5.071113713542544E-3</v>
      </c>
      <c r="H410" s="19">
        <f t="shared" si="383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867.46601498927123</v>
      </c>
      <c r="AO410">
        <v>142.77758313507834</v>
      </c>
      <c r="AP410">
        <v>1310.1747338147675</v>
      </c>
      <c r="AQ410">
        <v>359.68850455052478</v>
      </c>
      <c r="AR410">
        <v>141.79678504867942</v>
      </c>
      <c r="AS410">
        <v>1426.1306331018138</v>
      </c>
      <c r="AT410">
        <v>75.789080629371043</v>
      </c>
      <c r="AU410">
        <v>151.1797296652351</v>
      </c>
      <c r="AV410"/>
      <c r="AW410"/>
      <c r="FY410" s="211">
        <v>405</v>
      </c>
      <c r="FZ410">
        <v>121.12297980915862</v>
      </c>
      <c r="GA410">
        <v>53.799147351330632</v>
      </c>
      <c r="GB410">
        <v>27.200635276921542</v>
      </c>
      <c r="GC410">
        <v>9.7462706276488316</v>
      </c>
      <c r="GD410">
        <v>3.7034545413725701</v>
      </c>
      <c r="GE410">
        <v>6.3344836088372016</v>
      </c>
      <c r="GF410">
        <v>16.061420840657206</v>
      </c>
      <c r="GG410">
        <v>22.628934592923411</v>
      </c>
      <c r="GH410">
        <v>23.767679148772956</v>
      </c>
      <c r="GI410">
        <v>67.532449973462107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4"/>
        <v>201</v>
      </c>
      <c r="D411" s="61">
        <f t="shared" si="379"/>
        <v>2.0618392633852451</v>
      </c>
      <c r="E411" s="108" t="e">
        <f t="shared" si="380"/>
        <v>#VALUE!</v>
      </c>
      <c r="F411" s="19" t="e">
        <f t="shared" si="381"/>
        <v>#VALUE!</v>
      </c>
      <c r="G411" s="19">
        <f t="shared" si="382"/>
        <v>9.475306708670965E-3</v>
      </c>
      <c r="H411" s="19">
        <f t="shared" si="383"/>
        <v>9.475306708670965E-3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1248.9118154383825</v>
      </c>
      <c r="AO411">
        <v>168.02476441496444</v>
      </c>
      <c r="AP411">
        <v>1376.651870572636</v>
      </c>
      <c r="AQ411">
        <v>509.47716259216503</v>
      </c>
      <c r="AR411">
        <v>164.35091135901115</v>
      </c>
      <c r="AS411">
        <v>1767.8358687748487</v>
      </c>
      <c r="AT411">
        <v>77.294442386483993</v>
      </c>
      <c r="AU411">
        <v>185.57273357451538</v>
      </c>
      <c r="AV411"/>
      <c r="AW411"/>
      <c r="FY411" s="211">
        <v>406</v>
      </c>
      <c r="FZ411">
        <v>94.246744199033643</v>
      </c>
      <c r="GA411">
        <v>97.288064014991065</v>
      </c>
      <c r="GB411">
        <v>32.7531392990225</v>
      </c>
      <c r="GC411">
        <v>10.374962825259018</v>
      </c>
      <c r="GD411">
        <v>3.4581211881957774</v>
      </c>
      <c r="GE411">
        <v>4.4883242607066851</v>
      </c>
      <c r="GF411">
        <v>28.607826307336829</v>
      </c>
      <c r="GG411">
        <v>41.013473326850324</v>
      </c>
      <c r="GH411">
        <v>24.153755319744484</v>
      </c>
      <c r="GI411">
        <v>78.639604621764562</v>
      </c>
      <c r="GJ411"/>
      <c r="GK411"/>
      <c r="GL411"/>
      <c r="GM411"/>
    </row>
    <row r="412" spans="1:195" s="7" customFormat="1">
      <c r="A412" s="189">
        <v>4</v>
      </c>
      <c r="B412" s="71">
        <f t="shared" si="378"/>
        <v>39910</v>
      </c>
      <c r="C412" s="61">
        <f t="shared" si="384"/>
        <v>264</v>
      </c>
      <c r="D412" s="61">
        <f t="shared" si="379"/>
        <v>2.4986214670058136</v>
      </c>
      <c r="E412" s="108" t="e">
        <f t="shared" si="380"/>
        <v>#VALUE!</v>
      </c>
      <c r="F412" s="19" t="e">
        <f t="shared" si="381"/>
        <v>#VALUE!</v>
      </c>
      <c r="G412" s="19">
        <f t="shared" si="382"/>
        <v>1.2729736671722697E-2</v>
      </c>
      <c r="H412" s="19">
        <f t="shared" si="383"/>
        <v>1.2729736671722697E-2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1187.1450989479783</v>
      </c>
      <c r="AO412">
        <v>182.55364049798229</v>
      </c>
      <c r="AP412">
        <v>1498.7745826377136</v>
      </c>
      <c r="AQ412">
        <v>508.46371480285484</v>
      </c>
      <c r="AR412">
        <v>180.83790602572606</v>
      </c>
      <c r="AS412">
        <v>1917.73880088491</v>
      </c>
      <c r="AT412">
        <v>88.434066323681563</v>
      </c>
      <c r="AU412">
        <v>199.18582956781037</v>
      </c>
      <c r="AV412"/>
      <c r="AW412"/>
      <c r="FY412" s="211">
        <v>407</v>
      </c>
      <c r="FZ412">
        <v>112.85150247592553</v>
      </c>
      <c r="GA412">
        <v>87.020403894513777</v>
      </c>
      <c r="GB412">
        <v>26.093713891135735</v>
      </c>
      <c r="GC412">
        <v>7.6669473755333168</v>
      </c>
      <c r="GD412">
        <v>3.1519749505373711</v>
      </c>
      <c r="GE412">
        <v>5.0393189575492485</v>
      </c>
      <c r="GF412">
        <v>27.85736326550197</v>
      </c>
      <c r="GG412">
        <v>38.182119812003002</v>
      </c>
      <c r="GH412">
        <v>25.501236866939635</v>
      </c>
      <c r="GI412">
        <v>80.172111438289733</v>
      </c>
      <c r="GJ412"/>
      <c r="GK412"/>
      <c r="GL412"/>
      <c r="GM412"/>
    </row>
    <row r="413" spans="1:195" s="7" customFormat="1">
      <c r="A413" s="190">
        <v>7.33</v>
      </c>
      <c r="B413" s="71">
        <f t="shared" si="378"/>
        <v>39949</v>
      </c>
      <c r="C413" s="61">
        <f t="shared" si="384"/>
        <v>303</v>
      </c>
      <c r="D413" s="61">
        <f t="shared" si="379"/>
        <v>3.7549905881142069</v>
      </c>
      <c r="E413" s="108" t="e">
        <f t="shared" si="380"/>
        <v>#VALUE!</v>
      </c>
      <c r="F413" s="19" t="e">
        <f t="shared" si="381"/>
        <v>#VALUE!</v>
      </c>
      <c r="G413" s="19">
        <f t="shared" si="382"/>
        <v>5.0101670471258408E-3</v>
      </c>
      <c r="H413" s="19">
        <f t="shared" si="383"/>
        <v>5.0101670471258408E-3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921.11231879425065</v>
      </c>
      <c r="AO413">
        <v>147.39096415962985</v>
      </c>
      <c r="AP413">
        <v>1159.406668170325</v>
      </c>
      <c r="AQ413">
        <v>343.07264008826002</v>
      </c>
      <c r="AR413">
        <v>143.07024733662269</v>
      </c>
      <c r="AS413">
        <v>1496.9465932890259</v>
      </c>
      <c r="AT413">
        <v>71.397947649901354</v>
      </c>
      <c r="AU413">
        <v>80.929484862522699</v>
      </c>
      <c r="AV413"/>
      <c r="AW413"/>
      <c r="FY413" s="211">
        <v>408</v>
      </c>
      <c r="FZ413">
        <v>116.0603182677594</v>
      </c>
      <c r="GA413">
        <v>67.646885451203445</v>
      </c>
      <c r="GB413">
        <v>30.060069298953469</v>
      </c>
      <c r="GC413">
        <v>10.469216814611331</v>
      </c>
      <c r="GD413">
        <v>3.6438410073018979</v>
      </c>
      <c r="GE413">
        <v>5.8725020642330135</v>
      </c>
      <c r="GF413">
        <v>18.038458549757351</v>
      </c>
      <c r="GG413">
        <v>20.713307481607544</v>
      </c>
      <c r="GH413">
        <v>15.381126380594091</v>
      </c>
      <c r="GI413">
        <v>64.956662121347236</v>
      </c>
      <c r="GJ413"/>
      <c r="GK413"/>
      <c r="GL413"/>
      <c r="GM413"/>
    </row>
    <row r="414" spans="1:195" s="7" customFormat="1">
      <c r="A414" s="189">
        <v>10.51</v>
      </c>
      <c r="B414" s="71">
        <f t="shared" si="378"/>
        <v>39987</v>
      </c>
      <c r="C414" s="61">
        <f t="shared" si="384"/>
        <v>341</v>
      </c>
      <c r="D414" s="61">
        <f t="shared" si="379"/>
        <v>2.386758259319373</v>
      </c>
      <c r="E414" s="108" t="e">
        <f t="shared" si="380"/>
        <v>#VALUE!</v>
      </c>
      <c r="F414" s="19" t="e">
        <f t="shared" si="381"/>
        <v>#VALUE!</v>
      </c>
      <c r="G414" s="19">
        <f t="shared" si="382"/>
        <v>5.4904347350305062E-2</v>
      </c>
      <c r="H414" s="19">
        <f t="shared" si="383"/>
        <v>5.4904347350305062E-2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1002.2298996257707</v>
      </c>
      <c r="AO414">
        <v>152.93926045565271</v>
      </c>
      <c r="AP414">
        <v>1200.5298759238667</v>
      </c>
      <c r="AQ414">
        <v>297.66018357322906</v>
      </c>
      <c r="AR414">
        <v>147.59523519377234</v>
      </c>
      <c r="AS414">
        <v>1554.5359912930862</v>
      </c>
      <c r="AT414">
        <v>65.080379405321267</v>
      </c>
      <c r="AU414">
        <v>219.37646867192493</v>
      </c>
      <c r="AV414"/>
      <c r="AW414"/>
      <c r="FY414" s="211">
        <v>409</v>
      </c>
      <c r="FZ414">
        <v>156.25615212928398</v>
      </c>
      <c r="GA414">
        <v>116.82571478856778</v>
      </c>
      <c r="GB414">
        <v>39.538344004107572</v>
      </c>
      <c r="GC414">
        <v>11.41286084128841</v>
      </c>
      <c r="GD414">
        <v>3.5680139910371875</v>
      </c>
      <c r="GE414">
        <v>3.8991086886383588</v>
      </c>
      <c r="GF414">
        <v>6.0170503507349391</v>
      </c>
      <c r="GG414">
        <v>8.8615478766422928</v>
      </c>
      <c r="GH414">
        <v>27.55163709715708</v>
      </c>
      <c r="GI414">
        <v>73.525243411014827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1229.2490477926315</v>
      </c>
      <c r="AO415">
        <v>169.33242102530917</v>
      </c>
      <c r="AP415">
        <v>1406.5243532743434</v>
      </c>
      <c r="AQ415">
        <v>558.81507786136524</v>
      </c>
      <c r="AR415">
        <v>167.41715741704661</v>
      </c>
      <c r="AS415">
        <v>1730.3437665585318</v>
      </c>
      <c r="AT415">
        <v>79.091983495542209</v>
      </c>
      <c r="AU415">
        <v>157.48532319271735</v>
      </c>
      <c r="AV415"/>
      <c r="AW415"/>
      <c r="FY415" s="211">
        <v>410</v>
      </c>
      <c r="FZ415">
        <v>164.28829684147766</v>
      </c>
      <c r="GA415">
        <v>121.37318783628817</v>
      </c>
      <c r="GB415">
        <v>29.406899069414028</v>
      </c>
      <c r="GC415">
        <v>8.6775035206103972</v>
      </c>
      <c r="GD415">
        <v>4.2236173100370085</v>
      </c>
      <c r="GE415">
        <v>5.0733562414752074</v>
      </c>
      <c r="GF415">
        <v>32.915349975818671</v>
      </c>
      <c r="GG415">
        <v>45.729172496777579</v>
      </c>
      <c r="GH415">
        <v>25.474972913948786</v>
      </c>
      <c r="GI415">
        <v>83.283721278484961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1119.474608540572</v>
      </c>
      <c r="AO416">
        <v>159.20099972625107</v>
      </c>
      <c r="AP416">
        <v>1298.5550769173281</v>
      </c>
      <c r="AQ416">
        <v>434.84443543804355</v>
      </c>
      <c r="AR416">
        <v>158.38815361869243</v>
      </c>
      <c r="AS416">
        <v>1712.1205101627347</v>
      </c>
      <c r="AT416">
        <v>79.63657306331136</v>
      </c>
      <c r="AU416">
        <v>314.29790385455505</v>
      </c>
      <c r="AV416"/>
      <c r="AW416"/>
      <c r="FY416" s="211">
        <v>411</v>
      </c>
      <c r="FZ416">
        <v>141.96026019406608</v>
      </c>
      <c r="GA416">
        <v>126.36121428087107</v>
      </c>
      <c r="GB416">
        <v>25.211812171376508</v>
      </c>
      <c r="GC416">
        <v>6.3178066120183338</v>
      </c>
      <c r="GD416">
        <v>2.4387051047840518</v>
      </c>
      <c r="GE416">
        <v>5.5816197460910013</v>
      </c>
      <c r="GF416">
        <v>30.93049065660135</v>
      </c>
      <c r="GG416">
        <v>35.313889062657097</v>
      </c>
      <c r="GH416">
        <v>19.303397247570661</v>
      </c>
      <c r="GI416">
        <v>72.297005925088243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1415.1695152070847</v>
      </c>
      <c r="AO417">
        <v>167.21386750856487</v>
      </c>
      <c r="AP417">
        <v>1478.3928491836866</v>
      </c>
      <c r="AQ417">
        <v>607.35329758083583</v>
      </c>
      <c r="AR417">
        <v>171.72344891826089</v>
      </c>
      <c r="AS417">
        <v>1853.2440905897781</v>
      </c>
      <c r="AT417">
        <v>86.22035544135413</v>
      </c>
      <c r="AU417">
        <v>326.54541573334467</v>
      </c>
      <c r="AV417"/>
      <c r="AW417"/>
      <c r="FY417" s="211">
        <v>412</v>
      </c>
      <c r="FZ417">
        <v>206.46164667460556</v>
      </c>
      <c r="GA417">
        <v>123.41222428068909</v>
      </c>
      <c r="GB417">
        <v>20.352478926349697</v>
      </c>
      <c r="GC417">
        <v>7.9251554565414706</v>
      </c>
      <c r="GD417">
        <v>3.5735142165862248</v>
      </c>
      <c r="GE417">
        <v>6.4346325044248562</v>
      </c>
      <c r="GF417">
        <v>26.386442780296804</v>
      </c>
      <c r="GG417">
        <v>34.389210017827544</v>
      </c>
      <c r="GH417">
        <v>32.866742491252687</v>
      </c>
      <c r="GI417">
        <v>76.320344268458882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1237.9707292458409</v>
      </c>
      <c r="AO418">
        <v>160.13232968316268</v>
      </c>
      <c r="AP418">
        <v>1276.6965537333415</v>
      </c>
      <c r="AQ418">
        <v>412.05481114721937</v>
      </c>
      <c r="AR418">
        <v>155.9976108531707</v>
      </c>
      <c r="AS418">
        <v>1689.769277938052</v>
      </c>
      <c r="AT418">
        <v>72.120558179514248</v>
      </c>
      <c r="AU418">
        <v>214.43072332039472</v>
      </c>
      <c r="AV418"/>
      <c r="AW418"/>
      <c r="FY418" s="211">
        <v>413</v>
      </c>
      <c r="FZ418">
        <v>172.16511240270646</v>
      </c>
      <c r="GA418">
        <v>112.93773796609237</v>
      </c>
      <c r="GB418">
        <v>29.348601944055133</v>
      </c>
      <c r="GC418">
        <v>9.1545577008418171</v>
      </c>
      <c r="GD418">
        <v>3.6170937286462905</v>
      </c>
      <c r="GE418">
        <v>5.7617551822552393</v>
      </c>
      <c r="GF418">
        <v>28.058916282083203</v>
      </c>
      <c r="GG418">
        <v>33.13854775668792</v>
      </c>
      <c r="GH418">
        <v>26.212893859047771</v>
      </c>
      <c r="GI418">
        <v>78.419706692778618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1077.1009645454214</v>
      </c>
      <c r="AO419">
        <v>160.57840586828235</v>
      </c>
      <c r="AP419">
        <v>1423.0065787490325</v>
      </c>
      <c r="AQ419">
        <v>499.1371694573474</v>
      </c>
      <c r="AR419">
        <v>155.89453162638023</v>
      </c>
      <c r="AS419">
        <v>1616.2242994153783</v>
      </c>
      <c r="AT419">
        <v>75.364246979861747</v>
      </c>
      <c r="AU419">
        <v>32.933758250746479</v>
      </c>
      <c r="AV419"/>
      <c r="AW419"/>
      <c r="FY419" s="211">
        <v>414</v>
      </c>
      <c r="FZ419">
        <v>205.42626569753784</v>
      </c>
      <c r="GA419">
        <v>164.77713959804012</v>
      </c>
      <c r="GB419">
        <v>30.693084105426454</v>
      </c>
      <c r="GC419">
        <v>6.706813888556475</v>
      </c>
      <c r="GD419">
        <v>3.5981628912931063</v>
      </c>
      <c r="GE419">
        <v>4.2122869782536831</v>
      </c>
      <c r="GF419">
        <v>26.773342337872052</v>
      </c>
      <c r="GG419">
        <v>38.277932694624582</v>
      </c>
      <c r="GH419">
        <v>26.069377849496981</v>
      </c>
      <c r="GI419">
        <v>88.091705620493414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1122.7828951127888</v>
      </c>
      <c r="AO420">
        <v>162.26895548146109</v>
      </c>
      <c r="AP420">
        <v>1300.6422638013082</v>
      </c>
      <c r="AQ420">
        <v>401.3355501001422</v>
      </c>
      <c r="AR420">
        <v>159.36283170355082</v>
      </c>
      <c r="AS420">
        <v>1674.9877945929404</v>
      </c>
      <c r="AT420">
        <v>77.723446752511009</v>
      </c>
      <c r="AU420">
        <v>282.11973033621069</v>
      </c>
      <c r="AV420"/>
      <c r="AW420"/>
      <c r="FY420" s="211">
        <v>415</v>
      </c>
      <c r="FZ420">
        <v>120.70695619393607</v>
      </c>
      <c r="GA420">
        <v>72.92995182410391</v>
      </c>
      <c r="GB420">
        <v>29.144641487037511</v>
      </c>
      <c r="GC420">
        <v>7.9209094292858104</v>
      </c>
      <c r="GD420">
        <v>2.8145819330498165</v>
      </c>
      <c r="GE420">
        <v>4.8854244770988817</v>
      </c>
      <c r="GF420">
        <v>45.003420923899938</v>
      </c>
      <c r="GG420">
        <v>60.559904878188931</v>
      </c>
      <c r="GH420">
        <v>35.990002481646208</v>
      </c>
      <c r="GI420">
        <v>77.418253986434053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971.3885978854471</v>
      </c>
      <c r="AO421">
        <v>176.27344375874335</v>
      </c>
      <c r="AP421">
        <v>1538.2749586453792</v>
      </c>
      <c r="AQ421">
        <v>351.89745577108511</v>
      </c>
      <c r="AR421">
        <v>173.47528757244856</v>
      </c>
      <c r="AS421">
        <v>1770.180320638643</v>
      </c>
      <c r="AT421">
        <v>82.294361182436077</v>
      </c>
      <c r="AU421">
        <v>111.28072366935385</v>
      </c>
      <c r="AV421"/>
      <c r="AW421"/>
      <c r="FY421" s="211">
        <v>416</v>
      </c>
      <c r="FZ421">
        <v>143.46656374571617</v>
      </c>
      <c r="GA421">
        <v>84.039144106455069</v>
      </c>
      <c r="GB421">
        <v>20.925997333814102</v>
      </c>
      <c r="GC421">
        <v>7.6534541463810317</v>
      </c>
      <c r="GD421">
        <v>3.7335193793710815</v>
      </c>
      <c r="GE421">
        <v>6.7724568015883548</v>
      </c>
      <c r="GF421">
        <v>30.024465172526135</v>
      </c>
      <c r="GG421">
        <v>35.700206204550341</v>
      </c>
      <c r="GH421">
        <v>20.36653327272839</v>
      </c>
      <c r="GI421">
        <v>67.174063070237693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v>0.5</v>
      </c>
      <c r="H422" s="45">
        <v>1</v>
      </c>
      <c r="I422" s="45">
        <v>2</v>
      </c>
      <c r="J422" s="45">
        <v>3</v>
      </c>
      <c r="K422" s="45">
        <v>4</v>
      </c>
      <c r="L422" s="45">
        <v>5</v>
      </c>
      <c r="M422" s="45">
        <v>6</v>
      </c>
      <c r="N422" s="45">
        <v>7</v>
      </c>
      <c r="O422" s="46">
        <v>8</v>
      </c>
      <c r="P422" s="46">
        <v>9</v>
      </c>
      <c r="Q422" s="47">
        <v>10</v>
      </c>
      <c r="R422" s="46">
        <v>11</v>
      </c>
      <c r="S422" s="47">
        <v>12</v>
      </c>
      <c r="T422" s="46">
        <v>13</v>
      </c>
      <c r="U422" s="47">
        <v>14</v>
      </c>
      <c r="V422" s="46">
        <v>15</v>
      </c>
      <c r="W422" s="47">
        <v>16</v>
      </c>
      <c r="X422" s="46">
        <v>17</v>
      </c>
      <c r="Y422" s="47">
        <v>18</v>
      </c>
      <c r="Z422" s="46">
        <v>19</v>
      </c>
      <c r="AA422" s="47">
        <v>20</v>
      </c>
      <c r="AB422" s="46">
        <v>21</v>
      </c>
      <c r="AC422" s="47">
        <v>22</v>
      </c>
      <c r="AD422" s="46">
        <v>23</v>
      </c>
      <c r="AE422" s="47">
        <v>24</v>
      </c>
      <c r="AF422" s="46">
        <v>25</v>
      </c>
      <c r="AG422" s="47">
        <v>26</v>
      </c>
      <c r="AH422" s="46">
        <v>27</v>
      </c>
      <c r="AI422" s="47">
        <v>28</v>
      </c>
      <c r="AJ422" s="46">
        <v>29</v>
      </c>
      <c r="AK422" s="47">
        <v>30</v>
      </c>
      <c r="AL422" s="4"/>
      <c r="AM422" s="43">
        <v>406</v>
      </c>
      <c r="AN422">
        <v>1156.9119591477684</v>
      </c>
      <c r="AO422">
        <v>170.18042005940478</v>
      </c>
      <c r="AP422">
        <v>1451.8821793904931</v>
      </c>
      <c r="AQ422">
        <v>415.02401536290495</v>
      </c>
      <c r="AR422">
        <v>162.25619077236277</v>
      </c>
      <c r="AS422">
        <v>1749.1780356420413</v>
      </c>
      <c r="AT422">
        <v>77.217092419465715</v>
      </c>
      <c r="AU422">
        <v>109.01956647051402</v>
      </c>
      <c r="AV422"/>
      <c r="AW422"/>
      <c r="FY422" s="211">
        <v>417</v>
      </c>
      <c r="FZ422">
        <v>125.08669635362642</v>
      </c>
      <c r="GA422">
        <v>129.15807223522631</v>
      </c>
      <c r="GB422">
        <v>34.130582980893976</v>
      </c>
      <c r="GC422">
        <v>8.5116137509091896</v>
      </c>
      <c r="GD422">
        <v>1.8826232955531594</v>
      </c>
      <c r="GE422">
        <v>2.9484194693808421</v>
      </c>
      <c r="GF422">
        <v>37.409727845874826</v>
      </c>
      <c r="GG422">
        <v>47.382368639614064</v>
      </c>
      <c r="GH422">
        <v>19.634052334681179</v>
      </c>
      <c r="GI422">
        <v>77.850792891438743</v>
      </c>
      <c r="GJ422"/>
      <c r="GK422"/>
      <c r="GL422"/>
      <c r="GM422"/>
    </row>
    <row r="423" spans="1:195" s="7" customFormat="1">
      <c r="A423" s="4"/>
      <c r="B423" s="48" t="s">
        <v>38</v>
      </c>
      <c r="C423" s="107" t="e">
        <f t="shared" ref="C423:C432" si="385">SUM(G423:AK423)</f>
        <v>#VALUE!</v>
      </c>
      <c r="D423" s="191">
        <f>$A$405</f>
        <v>13.69</v>
      </c>
      <c r="E423" s="8"/>
      <c r="F423" s="124"/>
      <c r="G423" s="107" t="e">
        <f>(($A$453-$A$455*LN(G$422)+($A$457*$D423))*($E21*G37))</f>
        <v>#VALUE!</v>
      </c>
      <c r="H423" s="107" t="e">
        <f t="shared" ref="H423:AK423" si="386">(($A$453-$A$455*LN(H$422)+($A$457*$D423))*($E21*H37))</f>
        <v>#VALUE!</v>
      </c>
      <c r="I423" s="107" t="e">
        <f t="shared" si="386"/>
        <v>#VALUE!</v>
      </c>
      <c r="J423" s="107" t="e">
        <f t="shared" si="386"/>
        <v>#VALUE!</v>
      </c>
      <c r="K423" s="107" t="e">
        <f t="shared" si="386"/>
        <v>#VALUE!</v>
      </c>
      <c r="L423" s="107" t="e">
        <f t="shared" si="386"/>
        <v>#VALUE!</v>
      </c>
      <c r="M423" s="107" t="e">
        <f t="shared" si="386"/>
        <v>#VALUE!</v>
      </c>
      <c r="N423" s="107" t="e">
        <f t="shared" si="386"/>
        <v>#VALUE!</v>
      </c>
      <c r="O423" s="107" t="e">
        <f t="shared" si="386"/>
        <v>#VALUE!</v>
      </c>
      <c r="P423" s="107" t="e">
        <f t="shared" si="386"/>
        <v>#VALUE!</v>
      </c>
      <c r="Q423" s="107" t="e">
        <f t="shared" si="386"/>
        <v>#VALUE!</v>
      </c>
      <c r="R423" s="107" t="e">
        <f t="shared" si="386"/>
        <v>#VALUE!</v>
      </c>
      <c r="S423" s="107" t="e">
        <f t="shared" si="386"/>
        <v>#VALUE!</v>
      </c>
      <c r="T423" s="107" t="e">
        <f t="shared" si="386"/>
        <v>#VALUE!</v>
      </c>
      <c r="U423" s="107" t="e">
        <f t="shared" si="386"/>
        <v>#VALUE!</v>
      </c>
      <c r="V423" s="107" t="e">
        <f t="shared" si="386"/>
        <v>#VALUE!</v>
      </c>
      <c r="W423" s="107" t="e">
        <f t="shared" si="386"/>
        <v>#VALUE!</v>
      </c>
      <c r="X423" s="107" t="e">
        <f t="shared" si="386"/>
        <v>#VALUE!</v>
      </c>
      <c r="Y423" s="107" t="e">
        <f t="shared" si="386"/>
        <v>#VALUE!</v>
      </c>
      <c r="Z423" s="107" t="e">
        <f t="shared" si="386"/>
        <v>#VALUE!</v>
      </c>
      <c r="AA423" s="107" t="e">
        <f t="shared" si="386"/>
        <v>#VALUE!</v>
      </c>
      <c r="AB423" s="107" t="e">
        <f t="shared" si="386"/>
        <v>#VALUE!</v>
      </c>
      <c r="AC423" s="107" t="e">
        <f t="shared" si="386"/>
        <v>#VALUE!</v>
      </c>
      <c r="AD423" s="107" t="e">
        <f t="shared" si="386"/>
        <v>#VALUE!</v>
      </c>
      <c r="AE423" s="107" t="e">
        <f t="shared" si="386"/>
        <v>#VALUE!</v>
      </c>
      <c r="AF423" s="107" t="e">
        <f t="shared" si="386"/>
        <v>#VALUE!</v>
      </c>
      <c r="AG423" s="107" t="e">
        <f t="shared" si="386"/>
        <v>#VALUE!</v>
      </c>
      <c r="AH423" s="107" t="e">
        <f t="shared" si="386"/>
        <v>#VALUE!</v>
      </c>
      <c r="AI423" s="107" t="e">
        <f t="shared" si="386"/>
        <v>#VALUE!</v>
      </c>
      <c r="AJ423" s="107" t="e">
        <f t="shared" si="386"/>
        <v>#VALUE!</v>
      </c>
      <c r="AK423" s="107" t="e">
        <f t="shared" si="386"/>
        <v>#VALUE!</v>
      </c>
      <c r="AL423" s="4"/>
      <c r="AM423" s="43">
        <v>407</v>
      </c>
      <c r="AN423">
        <v>1122.9079424669762</v>
      </c>
      <c r="AO423">
        <v>185.18572550941394</v>
      </c>
      <c r="AP423">
        <v>1397.7658940796364</v>
      </c>
      <c r="AQ423">
        <v>413.53669292792932</v>
      </c>
      <c r="AR423">
        <v>177.52105245307541</v>
      </c>
      <c r="AS423">
        <v>1894.0030761912303</v>
      </c>
      <c r="AT423">
        <v>87.940242971862702</v>
      </c>
      <c r="AU423">
        <v>184.17081750269136</v>
      </c>
      <c r="AV423"/>
      <c r="AW423"/>
      <c r="FY423" s="211">
        <v>418</v>
      </c>
      <c r="FZ423">
        <v>193.82220195879864</v>
      </c>
      <c r="GA423">
        <v>131.28197598320537</v>
      </c>
      <c r="GB423">
        <v>32.811285966284949</v>
      </c>
      <c r="GC423">
        <v>9.2592420792397476</v>
      </c>
      <c r="GD423">
        <v>4.3880928475227128</v>
      </c>
      <c r="GE423">
        <v>7.4629617451703201</v>
      </c>
      <c r="GF423">
        <v>39.792209089797879</v>
      </c>
      <c r="GG423">
        <v>50.487034413243784</v>
      </c>
      <c r="GH423">
        <v>22.61221907543738</v>
      </c>
      <c r="GI423">
        <v>88.527770551438365</v>
      </c>
      <c r="GJ423"/>
      <c r="GK423"/>
      <c r="GL423"/>
      <c r="GM423"/>
    </row>
    <row r="424" spans="1:195" s="7" customFormat="1">
      <c r="A424" s="4"/>
      <c r="B424" s="48" t="s">
        <v>39</v>
      </c>
      <c r="C424" s="107" t="e">
        <f t="shared" si="385"/>
        <v>#VALUE!</v>
      </c>
      <c r="D424" s="191">
        <f>$A$406</f>
        <v>9.4499999999999993</v>
      </c>
      <c r="E424" s="8"/>
      <c r="F424" s="124"/>
      <c r="G424" s="107" t="e">
        <f t="shared" ref="G424:G432" si="387">(($A$453-$A$455*LN(G$422)+($A$457*$D424))*($E22*G38))</f>
        <v>#VALUE!</v>
      </c>
      <c r="H424" s="107" t="e">
        <f t="shared" ref="H424:V424" si="388">(($A$453-$A$455*LN(H$422)+($A$457*$D424))*($E22*H38))</f>
        <v>#VALUE!</v>
      </c>
      <c r="I424" s="107" t="e">
        <f t="shared" si="388"/>
        <v>#VALUE!</v>
      </c>
      <c r="J424" s="107" t="e">
        <f t="shared" si="388"/>
        <v>#VALUE!</v>
      </c>
      <c r="K424" s="107" t="e">
        <f t="shared" si="388"/>
        <v>#VALUE!</v>
      </c>
      <c r="L424" s="107" t="e">
        <f t="shared" si="388"/>
        <v>#VALUE!</v>
      </c>
      <c r="M424" s="107" t="e">
        <f t="shared" si="388"/>
        <v>#VALUE!</v>
      </c>
      <c r="N424" s="107" t="e">
        <f t="shared" si="388"/>
        <v>#VALUE!</v>
      </c>
      <c r="O424" s="107" t="e">
        <f t="shared" si="388"/>
        <v>#VALUE!</v>
      </c>
      <c r="P424" s="107" t="e">
        <f t="shared" si="388"/>
        <v>#VALUE!</v>
      </c>
      <c r="Q424" s="107" t="e">
        <f t="shared" si="388"/>
        <v>#VALUE!</v>
      </c>
      <c r="R424" s="107" t="e">
        <f t="shared" si="388"/>
        <v>#VALUE!</v>
      </c>
      <c r="S424" s="107" t="e">
        <f t="shared" si="388"/>
        <v>#VALUE!</v>
      </c>
      <c r="T424" s="107" t="e">
        <f t="shared" si="388"/>
        <v>#VALUE!</v>
      </c>
      <c r="U424" s="107" t="e">
        <f t="shared" si="388"/>
        <v>#VALUE!</v>
      </c>
      <c r="V424" s="107" t="e">
        <f t="shared" si="388"/>
        <v>#VALUE!</v>
      </c>
      <c r="W424" s="107" t="e">
        <f t="shared" ref="W424:AK424" si="389">(($A$453-$A$455*LN(W$422)+($A$457*$D424))*($E22*W38))</f>
        <v>#VALUE!</v>
      </c>
      <c r="X424" s="107" t="e">
        <f t="shared" si="389"/>
        <v>#VALUE!</v>
      </c>
      <c r="Y424" s="107" t="e">
        <f t="shared" si="389"/>
        <v>#VALUE!</v>
      </c>
      <c r="Z424" s="107" t="e">
        <f t="shared" si="389"/>
        <v>#VALUE!</v>
      </c>
      <c r="AA424" s="107" t="e">
        <f t="shared" si="389"/>
        <v>#VALUE!</v>
      </c>
      <c r="AB424" s="107" t="e">
        <f t="shared" si="389"/>
        <v>#VALUE!</v>
      </c>
      <c r="AC424" s="107" t="e">
        <f t="shared" si="389"/>
        <v>#VALUE!</v>
      </c>
      <c r="AD424" s="107" t="e">
        <f t="shared" si="389"/>
        <v>#VALUE!</v>
      </c>
      <c r="AE424" s="107" t="e">
        <f t="shared" si="389"/>
        <v>#VALUE!</v>
      </c>
      <c r="AF424" s="107" t="e">
        <f t="shared" si="389"/>
        <v>#VALUE!</v>
      </c>
      <c r="AG424" s="107" t="e">
        <f t="shared" si="389"/>
        <v>#VALUE!</v>
      </c>
      <c r="AH424" s="107" t="e">
        <f t="shared" si="389"/>
        <v>#VALUE!</v>
      </c>
      <c r="AI424" s="107" t="e">
        <f t="shared" si="389"/>
        <v>#VALUE!</v>
      </c>
      <c r="AJ424" s="107" t="e">
        <f t="shared" si="389"/>
        <v>#VALUE!</v>
      </c>
      <c r="AK424" s="107" t="e">
        <f t="shared" si="389"/>
        <v>#VALUE!</v>
      </c>
      <c r="AL424" s="4"/>
      <c r="AM424" s="43">
        <v>408</v>
      </c>
      <c r="AN424">
        <v>976.27712519826378</v>
      </c>
      <c r="AO424">
        <v>144.47929337497459</v>
      </c>
      <c r="AP424">
        <v>1143.8027006889963</v>
      </c>
      <c r="AQ424">
        <v>352.84238743736876</v>
      </c>
      <c r="AR424">
        <v>141.89650728341175</v>
      </c>
      <c r="AS424">
        <v>1509.7716230157994</v>
      </c>
      <c r="AT424">
        <v>68.146366882362159</v>
      </c>
      <c r="AU424">
        <v>142.31010302091107</v>
      </c>
      <c r="AV424"/>
      <c r="AW424"/>
      <c r="FY424" s="211">
        <v>419</v>
      </c>
      <c r="FZ424">
        <v>112.55306103594971</v>
      </c>
      <c r="GA424">
        <v>47.115705496974144</v>
      </c>
      <c r="GB424">
        <v>15.845453088133125</v>
      </c>
      <c r="GC424">
        <v>7.9991415084105686</v>
      </c>
      <c r="GD424">
        <v>4.6295834325166245</v>
      </c>
      <c r="GE424">
        <v>6.2307078196338104</v>
      </c>
      <c r="GF424">
        <v>24.652928757415964</v>
      </c>
      <c r="GG424">
        <v>29.768833986408925</v>
      </c>
      <c r="GH424">
        <v>16.105247342465738</v>
      </c>
      <c r="GI424">
        <v>59.813164547009187</v>
      </c>
      <c r="GJ424"/>
      <c r="GK424"/>
      <c r="GL424"/>
      <c r="GM424"/>
    </row>
    <row r="425" spans="1:195" s="7" customFormat="1">
      <c r="A425" s="4"/>
      <c r="B425" s="48" t="s">
        <v>40</v>
      </c>
      <c r="C425" s="107" t="e">
        <f t="shared" si="385"/>
        <v>#VALUE!</v>
      </c>
      <c r="D425" s="191">
        <f>A$407</f>
        <v>4.03</v>
      </c>
      <c r="E425" s="8"/>
      <c r="F425" s="124"/>
      <c r="G425" s="107" t="e">
        <f t="shared" si="387"/>
        <v>#VALUE!</v>
      </c>
      <c r="H425" s="107" t="e">
        <f t="shared" ref="H425:V425" si="390">(($A$453-$A$455*LN(H$422)+($A$457*$D425))*($E23*H39))</f>
        <v>#VALUE!</v>
      </c>
      <c r="I425" s="107" t="e">
        <f t="shared" si="390"/>
        <v>#VALUE!</v>
      </c>
      <c r="J425" s="107" t="e">
        <f t="shared" si="390"/>
        <v>#VALUE!</v>
      </c>
      <c r="K425" s="107" t="e">
        <f t="shared" si="390"/>
        <v>#VALUE!</v>
      </c>
      <c r="L425" s="107" t="e">
        <f t="shared" si="390"/>
        <v>#VALUE!</v>
      </c>
      <c r="M425" s="107" t="e">
        <f t="shared" si="390"/>
        <v>#VALUE!</v>
      </c>
      <c r="N425" s="107" t="e">
        <f t="shared" si="390"/>
        <v>#VALUE!</v>
      </c>
      <c r="O425" s="107" t="e">
        <f t="shared" si="390"/>
        <v>#VALUE!</v>
      </c>
      <c r="P425" s="107" t="e">
        <f t="shared" si="390"/>
        <v>#VALUE!</v>
      </c>
      <c r="Q425" s="107" t="e">
        <f t="shared" si="390"/>
        <v>#VALUE!</v>
      </c>
      <c r="R425" s="107" t="e">
        <f t="shared" si="390"/>
        <v>#VALUE!</v>
      </c>
      <c r="S425" s="107" t="e">
        <f t="shared" si="390"/>
        <v>#VALUE!</v>
      </c>
      <c r="T425" s="107" t="e">
        <f t="shared" si="390"/>
        <v>#VALUE!</v>
      </c>
      <c r="U425" s="107" t="e">
        <f t="shared" si="390"/>
        <v>#VALUE!</v>
      </c>
      <c r="V425" s="107" t="e">
        <f t="shared" si="390"/>
        <v>#VALUE!</v>
      </c>
      <c r="W425" s="107" t="e">
        <f t="shared" ref="W425:AK425" si="391">(($A$453-$A$455*LN(W$422)+($A$457*$D425))*($E23*W39))</f>
        <v>#VALUE!</v>
      </c>
      <c r="X425" s="107" t="e">
        <f t="shared" si="391"/>
        <v>#VALUE!</v>
      </c>
      <c r="Y425" s="107" t="e">
        <f t="shared" si="391"/>
        <v>#VALUE!</v>
      </c>
      <c r="Z425" s="107" t="e">
        <f t="shared" si="391"/>
        <v>#VALUE!</v>
      </c>
      <c r="AA425" s="107" t="e">
        <f t="shared" si="391"/>
        <v>#VALUE!</v>
      </c>
      <c r="AB425" s="107" t="e">
        <f t="shared" si="391"/>
        <v>#VALUE!</v>
      </c>
      <c r="AC425" s="107" t="e">
        <f t="shared" si="391"/>
        <v>#VALUE!</v>
      </c>
      <c r="AD425" s="107" t="e">
        <f t="shared" si="391"/>
        <v>#VALUE!</v>
      </c>
      <c r="AE425" s="107" t="e">
        <f t="shared" si="391"/>
        <v>#VALUE!</v>
      </c>
      <c r="AF425" s="107" t="e">
        <f t="shared" si="391"/>
        <v>#VALUE!</v>
      </c>
      <c r="AG425" s="107" t="e">
        <f t="shared" si="391"/>
        <v>#VALUE!</v>
      </c>
      <c r="AH425" s="107" t="e">
        <f t="shared" si="391"/>
        <v>#VALUE!</v>
      </c>
      <c r="AI425" s="107" t="e">
        <f t="shared" si="391"/>
        <v>#VALUE!</v>
      </c>
      <c r="AJ425" s="107" t="e">
        <f t="shared" si="391"/>
        <v>#VALUE!</v>
      </c>
      <c r="AK425" s="107" t="e">
        <f t="shared" si="391"/>
        <v>#VALUE!</v>
      </c>
      <c r="AL425" s="4"/>
      <c r="AM425" s="43">
        <v>409</v>
      </c>
      <c r="AN425">
        <v>1027.9849861379091</v>
      </c>
      <c r="AO425">
        <v>156.88344414648336</v>
      </c>
      <c r="AP425">
        <v>1233.2404556142374</v>
      </c>
      <c r="AQ425">
        <v>447.45567317847247</v>
      </c>
      <c r="AR425">
        <v>154.94794176265441</v>
      </c>
      <c r="AS425">
        <v>1717.2450164853658</v>
      </c>
      <c r="AT425">
        <v>79.407530704289329</v>
      </c>
      <c r="AU425">
        <v>9.9954355865428397</v>
      </c>
      <c r="AV425"/>
      <c r="AW425"/>
      <c r="FY425" s="211">
        <v>420</v>
      </c>
      <c r="FZ425">
        <v>113.39577191105882</v>
      </c>
      <c r="GA425">
        <v>87.75541792010398</v>
      </c>
      <c r="GB425">
        <v>23.524344749832313</v>
      </c>
      <c r="GC425">
        <v>5.6198157217578881</v>
      </c>
      <c r="GD425">
        <v>1.7043250068048148</v>
      </c>
      <c r="GE425">
        <v>2.8167100462630552</v>
      </c>
      <c r="GF425">
        <v>40.548988639954281</v>
      </c>
      <c r="GG425">
        <v>52.871196502053408</v>
      </c>
      <c r="GH425">
        <v>26.231134302711084</v>
      </c>
      <c r="GI425">
        <v>69.440641322371079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 t="e">
        <f t="shared" si="385"/>
        <v>#VALUE!</v>
      </c>
      <c r="D426" s="191">
        <f>A$408</f>
        <v>0.78</v>
      </c>
      <c r="E426" s="8"/>
      <c r="F426" s="124"/>
      <c r="G426" s="107" t="e">
        <f t="shared" si="387"/>
        <v>#VALUE!</v>
      </c>
      <c r="H426" s="107" t="e">
        <f t="shared" ref="H426:V426" si="392">(($A$453-$A$455*LN(H$422)+($A$457*$D426))*($E24*H40))</f>
        <v>#VALUE!</v>
      </c>
      <c r="I426" s="107" t="e">
        <f t="shared" si="392"/>
        <v>#VALUE!</v>
      </c>
      <c r="J426" s="107" t="e">
        <f t="shared" si="392"/>
        <v>#VALUE!</v>
      </c>
      <c r="K426" s="107" t="e">
        <f t="shared" si="392"/>
        <v>#VALUE!</v>
      </c>
      <c r="L426" s="107" t="e">
        <f t="shared" si="392"/>
        <v>#VALUE!</v>
      </c>
      <c r="M426" s="107" t="e">
        <f t="shared" si="392"/>
        <v>#VALUE!</v>
      </c>
      <c r="N426" s="107" t="e">
        <f t="shared" si="392"/>
        <v>#VALUE!</v>
      </c>
      <c r="O426" s="107" t="e">
        <f t="shared" si="392"/>
        <v>#VALUE!</v>
      </c>
      <c r="P426" s="107" t="e">
        <f t="shared" si="392"/>
        <v>#VALUE!</v>
      </c>
      <c r="Q426" s="107" t="e">
        <f t="shared" si="392"/>
        <v>#VALUE!</v>
      </c>
      <c r="R426" s="107" t="e">
        <f t="shared" si="392"/>
        <v>#VALUE!</v>
      </c>
      <c r="S426" s="107" t="e">
        <f t="shared" si="392"/>
        <v>#VALUE!</v>
      </c>
      <c r="T426" s="107" t="e">
        <f t="shared" si="392"/>
        <v>#VALUE!</v>
      </c>
      <c r="U426" s="107" t="e">
        <f t="shared" si="392"/>
        <v>#VALUE!</v>
      </c>
      <c r="V426" s="107" t="e">
        <f t="shared" si="392"/>
        <v>#VALUE!</v>
      </c>
      <c r="W426" s="107" t="e">
        <f t="shared" ref="W426:AK426" si="393">(($A$453-$A$455*LN(W$422)+($A$457*$D426))*($E24*W40))</f>
        <v>#VALUE!</v>
      </c>
      <c r="X426" s="107" t="e">
        <f t="shared" si="393"/>
        <v>#VALUE!</v>
      </c>
      <c r="Y426" s="107" t="e">
        <f t="shared" si="393"/>
        <v>#VALUE!</v>
      </c>
      <c r="Z426" s="107" t="e">
        <f t="shared" si="393"/>
        <v>#VALUE!</v>
      </c>
      <c r="AA426" s="107" t="e">
        <f t="shared" si="393"/>
        <v>#VALUE!</v>
      </c>
      <c r="AB426" s="107" t="e">
        <f t="shared" si="393"/>
        <v>#VALUE!</v>
      </c>
      <c r="AC426" s="107" t="e">
        <f t="shared" si="393"/>
        <v>#VALUE!</v>
      </c>
      <c r="AD426" s="107" t="e">
        <f t="shared" si="393"/>
        <v>#VALUE!</v>
      </c>
      <c r="AE426" s="107" t="e">
        <f t="shared" si="393"/>
        <v>#VALUE!</v>
      </c>
      <c r="AF426" s="107" t="e">
        <f t="shared" si="393"/>
        <v>#VALUE!</v>
      </c>
      <c r="AG426" s="107" t="e">
        <f t="shared" si="393"/>
        <v>#VALUE!</v>
      </c>
      <c r="AH426" s="107" t="e">
        <f t="shared" si="393"/>
        <v>#VALUE!</v>
      </c>
      <c r="AI426" s="107" t="e">
        <f t="shared" si="393"/>
        <v>#VALUE!</v>
      </c>
      <c r="AJ426" s="107" t="e">
        <f t="shared" si="393"/>
        <v>#VALUE!</v>
      </c>
      <c r="AK426" s="107" t="e">
        <f t="shared" si="393"/>
        <v>#VALUE!</v>
      </c>
      <c r="AL426" s="4"/>
      <c r="AM426" s="43">
        <v>410</v>
      </c>
      <c r="AN426">
        <v>1233.5828657055006</v>
      </c>
      <c r="AO426">
        <v>163.43210690612619</v>
      </c>
      <c r="AP426">
        <v>1340.5768894961118</v>
      </c>
      <c r="AQ426">
        <v>520.44607748433248</v>
      </c>
      <c r="AR426">
        <v>157.92869745632075</v>
      </c>
      <c r="AS426">
        <v>1791.4299720976046</v>
      </c>
      <c r="AT426">
        <v>78.667336605140619</v>
      </c>
      <c r="AU426">
        <v>103.05439216152459</v>
      </c>
      <c r="AV426"/>
      <c r="AW426"/>
      <c r="FY426" s="211">
        <v>421</v>
      </c>
      <c r="FZ426">
        <v>84.893123746215508</v>
      </c>
      <c r="GA426">
        <v>35.571909394139965</v>
      </c>
      <c r="GB426">
        <v>25.749890842862477</v>
      </c>
      <c r="GC426">
        <v>9.3693447332369271</v>
      </c>
      <c r="GD426">
        <v>2.0474947407267945</v>
      </c>
      <c r="GE426">
        <v>2.6734705616420507</v>
      </c>
      <c r="GF426">
        <v>18.965352217617053</v>
      </c>
      <c r="GG426">
        <v>25.194821921854107</v>
      </c>
      <c r="GH426">
        <v>32.425275970402254</v>
      </c>
      <c r="GI426">
        <v>69.1061200391581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 t="e">
        <f t="shared" si="385"/>
        <v>#VALUE!</v>
      </c>
      <c r="D427" s="191">
        <f>A$409</f>
        <v>0.14000000000000001</v>
      </c>
      <c r="E427" s="8"/>
      <c r="F427" s="124"/>
      <c r="G427" s="107" t="e">
        <f t="shared" si="387"/>
        <v>#VALUE!</v>
      </c>
      <c r="H427" s="107" t="e">
        <f t="shared" ref="H427:V427" si="394">(($A$453-$A$455*LN(H$422)+($A$457*$D427))*($E25*H41))</f>
        <v>#VALUE!</v>
      </c>
      <c r="I427" s="107" t="e">
        <f t="shared" si="394"/>
        <v>#VALUE!</v>
      </c>
      <c r="J427" s="107" t="e">
        <f t="shared" si="394"/>
        <v>#VALUE!</v>
      </c>
      <c r="K427" s="107" t="e">
        <f t="shared" si="394"/>
        <v>#VALUE!</v>
      </c>
      <c r="L427" s="107" t="e">
        <f t="shared" si="394"/>
        <v>#VALUE!</v>
      </c>
      <c r="M427" s="107" t="e">
        <f t="shared" si="394"/>
        <v>#VALUE!</v>
      </c>
      <c r="N427" s="107" t="e">
        <f t="shared" si="394"/>
        <v>#VALUE!</v>
      </c>
      <c r="O427" s="107" t="e">
        <f t="shared" si="394"/>
        <v>#VALUE!</v>
      </c>
      <c r="P427" s="107" t="e">
        <f t="shared" si="394"/>
        <v>#VALUE!</v>
      </c>
      <c r="Q427" s="107" t="e">
        <f t="shared" si="394"/>
        <v>#VALUE!</v>
      </c>
      <c r="R427" s="107" t="e">
        <f t="shared" si="394"/>
        <v>#VALUE!</v>
      </c>
      <c r="S427" s="107" t="e">
        <f t="shared" si="394"/>
        <v>#VALUE!</v>
      </c>
      <c r="T427" s="107" t="e">
        <f t="shared" si="394"/>
        <v>#VALUE!</v>
      </c>
      <c r="U427" s="107" t="e">
        <f t="shared" si="394"/>
        <v>#VALUE!</v>
      </c>
      <c r="V427" s="107" t="e">
        <f t="shared" si="394"/>
        <v>#VALUE!</v>
      </c>
      <c r="W427" s="107" t="e">
        <f t="shared" ref="W427:AK427" si="395">(($A$453-$A$455*LN(W$422)+($A$457*$D427))*($E25*W41))</f>
        <v>#VALUE!</v>
      </c>
      <c r="X427" s="107" t="e">
        <f t="shared" si="395"/>
        <v>#VALUE!</v>
      </c>
      <c r="Y427" s="107" t="e">
        <f t="shared" si="395"/>
        <v>#VALUE!</v>
      </c>
      <c r="Z427" s="107" t="e">
        <f t="shared" si="395"/>
        <v>#VALUE!</v>
      </c>
      <c r="AA427" s="107" t="e">
        <f t="shared" si="395"/>
        <v>#VALUE!</v>
      </c>
      <c r="AB427" s="107" t="e">
        <f t="shared" si="395"/>
        <v>#VALUE!</v>
      </c>
      <c r="AC427" s="107" t="e">
        <f t="shared" si="395"/>
        <v>#VALUE!</v>
      </c>
      <c r="AD427" s="107" t="e">
        <f t="shared" si="395"/>
        <v>#VALUE!</v>
      </c>
      <c r="AE427" s="107" t="e">
        <f t="shared" si="395"/>
        <v>#VALUE!</v>
      </c>
      <c r="AF427" s="107" t="e">
        <f t="shared" si="395"/>
        <v>#VALUE!</v>
      </c>
      <c r="AG427" s="107" t="e">
        <f t="shared" si="395"/>
        <v>#VALUE!</v>
      </c>
      <c r="AH427" s="107" t="e">
        <f t="shared" si="395"/>
        <v>#VALUE!</v>
      </c>
      <c r="AI427" s="107" t="e">
        <f t="shared" si="395"/>
        <v>#VALUE!</v>
      </c>
      <c r="AJ427" s="107" t="e">
        <f t="shared" si="395"/>
        <v>#VALUE!</v>
      </c>
      <c r="AK427" s="107" t="e">
        <f t="shared" si="395"/>
        <v>#VALUE!</v>
      </c>
      <c r="AL427" s="4"/>
      <c r="AM427" s="43">
        <v>411</v>
      </c>
      <c r="AN427">
        <v>1108.9524909005588</v>
      </c>
      <c r="AO427">
        <v>167.86279024966097</v>
      </c>
      <c r="AP427">
        <v>1413.3601808809667</v>
      </c>
      <c r="AQ427">
        <v>465.71620100112438</v>
      </c>
      <c r="AR427">
        <v>160.55607259549765</v>
      </c>
      <c r="AS427">
        <v>1637.3411059923073</v>
      </c>
      <c r="AT427">
        <v>73.171223353915693</v>
      </c>
      <c r="AU427">
        <v>182.49216693990581</v>
      </c>
      <c r="AV427"/>
      <c r="AW427"/>
      <c r="FY427" s="211">
        <v>422</v>
      </c>
      <c r="FZ427">
        <v>76.373356134555365</v>
      </c>
      <c r="GA427">
        <v>68.274764894598974</v>
      </c>
      <c r="GB427">
        <v>27.719937663476188</v>
      </c>
      <c r="GC427">
        <v>7.3985123900950995</v>
      </c>
      <c r="GD427">
        <v>3.1180877896755455</v>
      </c>
      <c r="GE427">
        <v>4.4160531925008586</v>
      </c>
      <c r="GF427">
        <v>27.69551170899793</v>
      </c>
      <c r="GG427">
        <v>35.569390758229389</v>
      </c>
      <c r="GH427">
        <v>24.152881669367307</v>
      </c>
      <c r="GI427">
        <v>64.651319210585854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 t="e">
        <f t="shared" si="385"/>
        <v>#VALUE!</v>
      </c>
      <c r="D428" s="191">
        <f>A$410</f>
        <v>0.21</v>
      </c>
      <c r="E428" s="8"/>
      <c r="F428" s="124"/>
      <c r="G428" s="107" t="e">
        <f t="shared" si="387"/>
        <v>#VALUE!</v>
      </c>
      <c r="H428" s="107" t="e">
        <f t="shared" ref="H428:V428" si="396">(($A$453-$A$455*LN(H$422)+($A$457*$D428))*($E26*H42))</f>
        <v>#VALUE!</v>
      </c>
      <c r="I428" s="107" t="e">
        <f t="shared" si="396"/>
        <v>#VALUE!</v>
      </c>
      <c r="J428" s="107" t="e">
        <f t="shared" si="396"/>
        <v>#VALUE!</v>
      </c>
      <c r="K428" s="107" t="e">
        <f t="shared" si="396"/>
        <v>#VALUE!</v>
      </c>
      <c r="L428" s="107" t="e">
        <f t="shared" si="396"/>
        <v>#VALUE!</v>
      </c>
      <c r="M428" s="107" t="e">
        <f t="shared" si="396"/>
        <v>#VALUE!</v>
      </c>
      <c r="N428" s="107" t="e">
        <f t="shared" si="396"/>
        <v>#VALUE!</v>
      </c>
      <c r="O428" s="107" t="e">
        <f t="shared" si="396"/>
        <v>#VALUE!</v>
      </c>
      <c r="P428" s="107" t="e">
        <f t="shared" si="396"/>
        <v>#VALUE!</v>
      </c>
      <c r="Q428" s="107" t="e">
        <f t="shared" si="396"/>
        <v>#VALUE!</v>
      </c>
      <c r="R428" s="107" t="e">
        <f t="shared" si="396"/>
        <v>#VALUE!</v>
      </c>
      <c r="S428" s="107" t="e">
        <f t="shared" si="396"/>
        <v>#VALUE!</v>
      </c>
      <c r="T428" s="107" t="e">
        <f t="shared" si="396"/>
        <v>#VALUE!</v>
      </c>
      <c r="U428" s="107" t="e">
        <f t="shared" si="396"/>
        <v>#VALUE!</v>
      </c>
      <c r="V428" s="107" t="e">
        <f t="shared" si="396"/>
        <v>#VALUE!</v>
      </c>
      <c r="W428" s="107" t="e">
        <f t="shared" ref="W428:AK428" si="397">(($A$453-$A$455*LN(W$422)+($A$457*$D428))*($E26*W42))</f>
        <v>#VALUE!</v>
      </c>
      <c r="X428" s="107" t="e">
        <f t="shared" si="397"/>
        <v>#VALUE!</v>
      </c>
      <c r="Y428" s="107" t="e">
        <f t="shared" si="397"/>
        <v>#VALUE!</v>
      </c>
      <c r="Z428" s="107" t="e">
        <f t="shared" si="397"/>
        <v>#VALUE!</v>
      </c>
      <c r="AA428" s="107" t="e">
        <f t="shared" si="397"/>
        <v>#VALUE!</v>
      </c>
      <c r="AB428" s="107" t="e">
        <f t="shared" si="397"/>
        <v>#VALUE!</v>
      </c>
      <c r="AC428" s="107" t="e">
        <f t="shared" si="397"/>
        <v>#VALUE!</v>
      </c>
      <c r="AD428" s="107" t="e">
        <f t="shared" si="397"/>
        <v>#VALUE!</v>
      </c>
      <c r="AE428" s="107" t="e">
        <f t="shared" si="397"/>
        <v>#VALUE!</v>
      </c>
      <c r="AF428" s="107" t="e">
        <f t="shared" si="397"/>
        <v>#VALUE!</v>
      </c>
      <c r="AG428" s="107" t="e">
        <f t="shared" si="397"/>
        <v>#VALUE!</v>
      </c>
      <c r="AH428" s="107" t="e">
        <f t="shared" si="397"/>
        <v>#VALUE!</v>
      </c>
      <c r="AI428" s="107" t="e">
        <f t="shared" si="397"/>
        <v>#VALUE!</v>
      </c>
      <c r="AJ428" s="107" t="e">
        <f t="shared" si="397"/>
        <v>#VALUE!</v>
      </c>
      <c r="AK428" s="107" t="e">
        <f t="shared" si="397"/>
        <v>#VALUE!</v>
      </c>
      <c r="AL428" s="4"/>
      <c r="AM428" s="43">
        <v>412</v>
      </c>
      <c r="AN428">
        <v>1087.2210695040703</v>
      </c>
      <c r="AO428">
        <v>177.49405318871138</v>
      </c>
      <c r="AP428">
        <v>1577.1104667240061</v>
      </c>
      <c r="AQ428">
        <v>538.12239161703292</v>
      </c>
      <c r="AR428">
        <v>173.12072114266488</v>
      </c>
      <c r="AS428">
        <v>1735.7883798755936</v>
      </c>
      <c r="AT428">
        <v>85.926024612099425</v>
      </c>
      <c r="AU428">
        <v>87.820590212574885</v>
      </c>
      <c r="AV428"/>
      <c r="AW428"/>
      <c r="FY428" s="211">
        <v>423</v>
      </c>
      <c r="FZ428">
        <v>139.55158620211279</v>
      </c>
      <c r="GA428">
        <v>121.39388358827284</v>
      </c>
      <c r="GB428">
        <v>35.491995215634461</v>
      </c>
      <c r="GC428">
        <v>8.5617289533935974</v>
      </c>
      <c r="GD428">
        <v>2.5182326298112199</v>
      </c>
      <c r="GE428">
        <v>2.9099637479979457</v>
      </c>
      <c r="GF428">
        <v>20.723690504140713</v>
      </c>
      <c r="GG428">
        <v>26.619686735914481</v>
      </c>
      <c r="GH428">
        <v>15.964081054448075</v>
      </c>
      <c r="GI428">
        <v>75.153368051357972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 t="e">
        <f t="shared" si="385"/>
        <v>#VALUE!</v>
      </c>
      <c r="D429" s="191">
        <f>A$411</f>
        <v>1.28</v>
      </c>
      <c r="E429" s="8"/>
      <c r="F429" s="124"/>
      <c r="G429" s="107" t="e">
        <f t="shared" si="387"/>
        <v>#VALUE!</v>
      </c>
      <c r="H429" s="107" t="e">
        <f t="shared" ref="H429:V429" si="398">(($A$453-$A$455*LN(H$422)+($A$457*$D429))*($E27*H43))</f>
        <v>#VALUE!</v>
      </c>
      <c r="I429" s="107" t="e">
        <f t="shared" si="398"/>
        <v>#VALUE!</v>
      </c>
      <c r="J429" s="107" t="e">
        <f t="shared" si="398"/>
        <v>#VALUE!</v>
      </c>
      <c r="K429" s="107" t="e">
        <f t="shared" si="398"/>
        <v>#VALUE!</v>
      </c>
      <c r="L429" s="107" t="e">
        <f t="shared" si="398"/>
        <v>#VALUE!</v>
      </c>
      <c r="M429" s="107" t="e">
        <f t="shared" si="398"/>
        <v>#VALUE!</v>
      </c>
      <c r="N429" s="107" t="e">
        <f t="shared" si="398"/>
        <v>#VALUE!</v>
      </c>
      <c r="O429" s="107" t="e">
        <f t="shared" si="398"/>
        <v>#VALUE!</v>
      </c>
      <c r="P429" s="107" t="e">
        <f t="shared" si="398"/>
        <v>#VALUE!</v>
      </c>
      <c r="Q429" s="107" t="e">
        <f t="shared" si="398"/>
        <v>#VALUE!</v>
      </c>
      <c r="R429" s="107" t="e">
        <f t="shared" si="398"/>
        <v>#VALUE!</v>
      </c>
      <c r="S429" s="107" t="e">
        <f t="shared" si="398"/>
        <v>#VALUE!</v>
      </c>
      <c r="T429" s="107" t="e">
        <f t="shared" si="398"/>
        <v>#VALUE!</v>
      </c>
      <c r="U429" s="107" t="e">
        <f t="shared" si="398"/>
        <v>#VALUE!</v>
      </c>
      <c r="V429" s="107" t="e">
        <f t="shared" si="398"/>
        <v>#VALUE!</v>
      </c>
      <c r="W429" s="107" t="e">
        <f t="shared" ref="W429:AK429" si="399">(($A$453-$A$455*LN(W$422)+($A$457*$D429))*($E27*W43))</f>
        <v>#VALUE!</v>
      </c>
      <c r="X429" s="107" t="e">
        <f t="shared" si="399"/>
        <v>#VALUE!</v>
      </c>
      <c r="Y429" s="107" t="e">
        <f t="shared" si="399"/>
        <v>#VALUE!</v>
      </c>
      <c r="Z429" s="107" t="e">
        <f t="shared" si="399"/>
        <v>#VALUE!</v>
      </c>
      <c r="AA429" s="107" t="e">
        <f t="shared" si="399"/>
        <v>#VALUE!</v>
      </c>
      <c r="AB429" s="107" t="e">
        <f t="shared" si="399"/>
        <v>#VALUE!</v>
      </c>
      <c r="AC429" s="107" t="e">
        <f t="shared" si="399"/>
        <v>#VALUE!</v>
      </c>
      <c r="AD429" s="107" t="e">
        <f t="shared" si="399"/>
        <v>#VALUE!</v>
      </c>
      <c r="AE429" s="107" t="e">
        <f t="shared" si="399"/>
        <v>#VALUE!</v>
      </c>
      <c r="AF429" s="107" t="e">
        <f t="shared" si="399"/>
        <v>#VALUE!</v>
      </c>
      <c r="AG429" s="107" t="e">
        <f t="shared" si="399"/>
        <v>#VALUE!</v>
      </c>
      <c r="AH429" s="107" t="e">
        <f t="shared" si="399"/>
        <v>#VALUE!</v>
      </c>
      <c r="AI429" s="107" t="e">
        <f t="shared" si="399"/>
        <v>#VALUE!</v>
      </c>
      <c r="AJ429" s="107" t="e">
        <f t="shared" si="399"/>
        <v>#VALUE!</v>
      </c>
      <c r="AK429" s="107" t="e">
        <f t="shared" si="399"/>
        <v>#VALUE!</v>
      </c>
      <c r="AL429" s="4"/>
      <c r="AM429" s="43">
        <v>413</v>
      </c>
      <c r="AN429">
        <v>1169.0951918733301</v>
      </c>
      <c r="AO429">
        <v>175.09278571728265</v>
      </c>
      <c r="AP429">
        <v>1502.0168584886283</v>
      </c>
      <c r="AQ429">
        <v>498.81492351519478</v>
      </c>
      <c r="AR429">
        <v>172.39591104315932</v>
      </c>
      <c r="AS429">
        <v>1806.7891364750806</v>
      </c>
      <c r="AT429">
        <v>84.20104042360343</v>
      </c>
      <c r="AU429">
        <v>193.77801277218845</v>
      </c>
      <c r="AV429"/>
      <c r="AW429"/>
      <c r="FY429" s="211">
        <v>424</v>
      </c>
      <c r="FZ429">
        <v>140.08448930439627</v>
      </c>
      <c r="GA429">
        <v>94.3675515496586</v>
      </c>
      <c r="GB429">
        <v>32.358804688108826</v>
      </c>
      <c r="GC429">
        <v>7.7427981948533766</v>
      </c>
      <c r="GD429">
        <v>3.4371073982860465</v>
      </c>
      <c r="GE429">
        <v>4.3145627669811795</v>
      </c>
      <c r="GF429">
        <v>14.524258224332238</v>
      </c>
      <c r="GG429">
        <v>19.826073056981041</v>
      </c>
      <c r="GH429">
        <v>31.944304137180485</v>
      </c>
      <c r="GI429">
        <v>64.414854281399556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 t="e">
        <f t="shared" si="385"/>
        <v>#VALUE!</v>
      </c>
      <c r="D430" s="191">
        <f>A$412</f>
        <v>4</v>
      </c>
      <c r="E430" s="8"/>
      <c r="F430" s="124"/>
      <c r="G430" s="107" t="e">
        <f t="shared" si="387"/>
        <v>#VALUE!</v>
      </c>
      <c r="H430" s="107" t="e">
        <f t="shared" ref="H430:V430" si="400">(($A$453-$A$455*LN(H$422)+($A$457*$D430))*($E28*H44))</f>
        <v>#VALUE!</v>
      </c>
      <c r="I430" s="107" t="e">
        <f t="shared" si="400"/>
        <v>#VALUE!</v>
      </c>
      <c r="J430" s="107" t="e">
        <f t="shared" si="400"/>
        <v>#VALUE!</v>
      </c>
      <c r="K430" s="107" t="e">
        <f t="shared" si="400"/>
        <v>#VALUE!</v>
      </c>
      <c r="L430" s="107" t="e">
        <f t="shared" si="400"/>
        <v>#VALUE!</v>
      </c>
      <c r="M430" s="107" t="e">
        <f t="shared" si="400"/>
        <v>#VALUE!</v>
      </c>
      <c r="N430" s="107" t="e">
        <f t="shared" si="400"/>
        <v>#VALUE!</v>
      </c>
      <c r="O430" s="107" t="e">
        <f t="shared" si="400"/>
        <v>#VALUE!</v>
      </c>
      <c r="P430" s="107" t="e">
        <f t="shared" si="400"/>
        <v>#VALUE!</v>
      </c>
      <c r="Q430" s="107" t="e">
        <f t="shared" si="400"/>
        <v>#VALUE!</v>
      </c>
      <c r="R430" s="107" t="e">
        <f t="shared" si="400"/>
        <v>#VALUE!</v>
      </c>
      <c r="S430" s="107" t="e">
        <f t="shared" si="400"/>
        <v>#VALUE!</v>
      </c>
      <c r="T430" s="107" t="e">
        <f t="shared" si="400"/>
        <v>#VALUE!</v>
      </c>
      <c r="U430" s="107" t="e">
        <f t="shared" si="400"/>
        <v>#VALUE!</v>
      </c>
      <c r="V430" s="107" t="e">
        <f t="shared" si="400"/>
        <v>#VALUE!</v>
      </c>
      <c r="W430" s="107" t="e">
        <f t="shared" ref="W430:AK430" si="401">(($A$453-$A$455*LN(W$422)+($A$457*$D430))*($E28*W44))</f>
        <v>#VALUE!</v>
      </c>
      <c r="X430" s="107" t="e">
        <f t="shared" si="401"/>
        <v>#VALUE!</v>
      </c>
      <c r="Y430" s="107" t="e">
        <f t="shared" si="401"/>
        <v>#VALUE!</v>
      </c>
      <c r="Z430" s="107" t="e">
        <f t="shared" si="401"/>
        <v>#VALUE!</v>
      </c>
      <c r="AA430" s="107" t="e">
        <f t="shared" si="401"/>
        <v>#VALUE!</v>
      </c>
      <c r="AB430" s="107" t="e">
        <f t="shared" si="401"/>
        <v>#VALUE!</v>
      </c>
      <c r="AC430" s="107" t="e">
        <f t="shared" si="401"/>
        <v>#VALUE!</v>
      </c>
      <c r="AD430" s="107" t="e">
        <f t="shared" si="401"/>
        <v>#VALUE!</v>
      </c>
      <c r="AE430" s="107" t="e">
        <f t="shared" si="401"/>
        <v>#VALUE!</v>
      </c>
      <c r="AF430" s="107" t="e">
        <f t="shared" si="401"/>
        <v>#VALUE!</v>
      </c>
      <c r="AG430" s="107" t="e">
        <f t="shared" si="401"/>
        <v>#VALUE!</v>
      </c>
      <c r="AH430" s="107" t="e">
        <f t="shared" si="401"/>
        <v>#VALUE!</v>
      </c>
      <c r="AI430" s="107" t="e">
        <f t="shared" si="401"/>
        <v>#VALUE!</v>
      </c>
      <c r="AJ430" s="107" t="e">
        <f t="shared" si="401"/>
        <v>#VALUE!</v>
      </c>
      <c r="AK430" s="107" t="e">
        <f t="shared" si="401"/>
        <v>#VALUE!</v>
      </c>
      <c r="AL430" s="4"/>
      <c r="AM430" s="43">
        <v>414</v>
      </c>
      <c r="AN430">
        <v>1244.6114298230498</v>
      </c>
      <c r="AO430">
        <v>205.72735707351194</v>
      </c>
      <c r="AP430">
        <v>1690.9908693908335</v>
      </c>
      <c r="AQ430">
        <v>594.62611166159468</v>
      </c>
      <c r="AR430">
        <v>199.95735999173246</v>
      </c>
      <c r="AS430">
        <v>1989.0914241243011</v>
      </c>
      <c r="AT430">
        <v>97.706923770412814</v>
      </c>
      <c r="AU430">
        <v>-232.71165851192129</v>
      </c>
      <c r="AV430"/>
      <c r="AW430"/>
      <c r="FY430" s="211">
        <v>425</v>
      </c>
      <c r="FZ430">
        <v>158.47050934161263</v>
      </c>
      <c r="GA430">
        <v>115.26740578409218</v>
      </c>
      <c r="GB430">
        <v>29.823843545084102</v>
      </c>
      <c r="GC430">
        <v>8.7441365544420115</v>
      </c>
      <c r="GD430">
        <v>3.6190218878897085</v>
      </c>
      <c r="GE430">
        <v>5.4277819240751786</v>
      </c>
      <c r="GF430">
        <v>32.833794417692587</v>
      </c>
      <c r="GG430">
        <v>43.603109063427389</v>
      </c>
      <c r="GH430">
        <v>22.795629537216634</v>
      </c>
      <c r="GI430">
        <v>83.569643506247999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 t="e">
        <f t="shared" si="385"/>
        <v>#VALUE!</v>
      </c>
      <c r="D431" s="191">
        <f>A$413</f>
        <v>7.33</v>
      </c>
      <c r="E431" s="8"/>
      <c r="F431" s="124"/>
      <c r="G431" s="107" t="e">
        <f t="shared" si="387"/>
        <v>#VALUE!</v>
      </c>
      <c r="H431" s="107" t="e">
        <f t="shared" ref="H431:V431" si="402">(($A$453-$A$455*LN(H$422)+($A$457*$D431))*($E29*H45))</f>
        <v>#VALUE!</v>
      </c>
      <c r="I431" s="107" t="e">
        <f t="shared" si="402"/>
        <v>#VALUE!</v>
      </c>
      <c r="J431" s="107" t="e">
        <f t="shared" si="402"/>
        <v>#VALUE!</v>
      </c>
      <c r="K431" s="107" t="e">
        <f t="shared" si="402"/>
        <v>#VALUE!</v>
      </c>
      <c r="L431" s="107" t="e">
        <f t="shared" si="402"/>
        <v>#VALUE!</v>
      </c>
      <c r="M431" s="107" t="e">
        <f t="shared" si="402"/>
        <v>#VALUE!</v>
      </c>
      <c r="N431" s="107" t="e">
        <f t="shared" si="402"/>
        <v>#VALUE!</v>
      </c>
      <c r="O431" s="107" t="e">
        <f t="shared" si="402"/>
        <v>#VALUE!</v>
      </c>
      <c r="P431" s="107" t="e">
        <f t="shared" si="402"/>
        <v>#VALUE!</v>
      </c>
      <c r="Q431" s="107" t="e">
        <f t="shared" si="402"/>
        <v>#VALUE!</v>
      </c>
      <c r="R431" s="107" t="e">
        <f t="shared" si="402"/>
        <v>#VALUE!</v>
      </c>
      <c r="S431" s="107" t="e">
        <f t="shared" si="402"/>
        <v>#VALUE!</v>
      </c>
      <c r="T431" s="107" t="e">
        <f t="shared" si="402"/>
        <v>#VALUE!</v>
      </c>
      <c r="U431" s="107" t="e">
        <f t="shared" si="402"/>
        <v>#VALUE!</v>
      </c>
      <c r="V431" s="107" t="e">
        <f t="shared" si="402"/>
        <v>#VALUE!</v>
      </c>
      <c r="W431" s="107" t="e">
        <f t="shared" ref="W431:AK431" si="403">(($A$453-$A$455*LN(W$422)+($A$457*$D431))*($E29*W45))</f>
        <v>#VALUE!</v>
      </c>
      <c r="X431" s="107" t="e">
        <f t="shared" si="403"/>
        <v>#VALUE!</v>
      </c>
      <c r="Y431" s="107" t="e">
        <f t="shared" si="403"/>
        <v>#VALUE!</v>
      </c>
      <c r="Z431" s="107" t="e">
        <f t="shared" si="403"/>
        <v>#VALUE!</v>
      </c>
      <c r="AA431" s="107" t="e">
        <f t="shared" si="403"/>
        <v>#VALUE!</v>
      </c>
      <c r="AB431" s="107" t="e">
        <f t="shared" si="403"/>
        <v>#VALUE!</v>
      </c>
      <c r="AC431" s="107" t="e">
        <f t="shared" si="403"/>
        <v>#VALUE!</v>
      </c>
      <c r="AD431" s="107" t="e">
        <f t="shared" si="403"/>
        <v>#VALUE!</v>
      </c>
      <c r="AE431" s="107" t="e">
        <f t="shared" si="403"/>
        <v>#VALUE!</v>
      </c>
      <c r="AF431" s="107" t="e">
        <f t="shared" si="403"/>
        <v>#VALUE!</v>
      </c>
      <c r="AG431" s="107" t="e">
        <f t="shared" si="403"/>
        <v>#VALUE!</v>
      </c>
      <c r="AH431" s="107" t="e">
        <f t="shared" si="403"/>
        <v>#VALUE!</v>
      </c>
      <c r="AI431" s="107" t="e">
        <f t="shared" si="403"/>
        <v>#VALUE!</v>
      </c>
      <c r="AJ431" s="107" t="e">
        <f t="shared" si="403"/>
        <v>#VALUE!</v>
      </c>
      <c r="AK431" s="107" t="e">
        <f t="shared" si="403"/>
        <v>#VALUE!</v>
      </c>
      <c r="AL431" s="4"/>
      <c r="AM431" s="43">
        <v>415</v>
      </c>
      <c r="AN431">
        <v>1188.2156340987865</v>
      </c>
      <c r="AO431">
        <v>158.71285038727996</v>
      </c>
      <c r="AP431">
        <v>1414.5697133349936</v>
      </c>
      <c r="AQ431">
        <v>457.37404761468122</v>
      </c>
      <c r="AR431">
        <v>155.56998473797526</v>
      </c>
      <c r="AS431">
        <v>1668.6312133552578</v>
      </c>
      <c r="AT431">
        <v>75.318099401794626</v>
      </c>
      <c r="AU431">
        <v>282.84755625381587</v>
      </c>
      <c r="AV431"/>
      <c r="AW431"/>
      <c r="FY431" s="211">
        <v>426</v>
      </c>
      <c r="FZ431">
        <v>142.94319754077245</v>
      </c>
      <c r="GA431">
        <v>88.041024171396444</v>
      </c>
      <c r="GB431">
        <v>35.260013818054922</v>
      </c>
      <c r="GC431">
        <v>9.8863661568611505</v>
      </c>
      <c r="GD431">
        <v>3.3234257489725936</v>
      </c>
      <c r="GE431">
        <v>5.218374826263914</v>
      </c>
      <c r="GF431">
        <v>49.726510995906835</v>
      </c>
      <c r="GG431">
        <v>63.955251382644072</v>
      </c>
      <c r="GH431">
        <v>32.251077669557134</v>
      </c>
      <c r="GI431">
        <v>96.055877030522154</v>
      </c>
      <c r="GJ431"/>
      <c r="GK431"/>
      <c r="GL431"/>
      <c r="GM431"/>
    </row>
    <row r="432" spans="1:195" s="7" customFormat="1">
      <c r="A432" s="4"/>
      <c r="B432" s="48" t="s">
        <v>122</v>
      </c>
      <c r="C432" s="107" t="e">
        <f t="shared" si="385"/>
        <v>#VALUE!</v>
      </c>
      <c r="D432" s="191">
        <f>A$414</f>
        <v>10.51</v>
      </c>
      <c r="E432" s="8"/>
      <c r="F432" s="124"/>
      <c r="G432" s="107" t="e">
        <f t="shared" si="387"/>
        <v>#VALUE!</v>
      </c>
      <c r="H432" s="107" t="e">
        <f t="shared" ref="H432:V432" si="404">(($A$453-$A$455*LN(H$422)+($A$457*$D432))*($E30*H46))</f>
        <v>#VALUE!</v>
      </c>
      <c r="I432" s="107" t="e">
        <f t="shared" si="404"/>
        <v>#VALUE!</v>
      </c>
      <c r="J432" s="107" t="e">
        <f t="shared" si="404"/>
        <v>#VALUE!</v>
      </c>
      <c r="K432" s="107" t="e">
        <f t="shared" si="404"/>
        <v>#VALUE!</v>
      </c>
      <c r="L432" s="107" t="e">
        <f t="shared" si="404"/>
        <v>#VALUE!</v>
      </c>
      <c r="M432" s="107" t="e">
        <f t="shared" si="404"/>
        <v>#VALUE!</v>
      </c>
      <c r="N432" s="107" t="e">
        <f t="shared" si="404"/>
        <v>#VALUE!</v>
      </c>
      <c r="O432" s="107" t="e">
        <f t="shared" si="404"/>
        <v>#VALUE!</v>
      </c>
      <c r="P432" s="107" t="e">
        <f t="shared" si="404"/>
        <v>#VALUE!</v>
      </c>
      <c r="Q432" s="107" t="e">
        <f t="shared" si="404"/>
        <v>#VALUE!</v>
      </c>
      <c r="R432" s="107" t="e">
        <f t="shared" si="404"/>
        <v>#VALUE!</v>
      </c>
      <c r="S432" s="107" t="e">
        <f t="shared" si="404"/>
        <v>#VALUE!</v>
      </c>
      <c r="T432" s="107" t="e">
        <f t="shared" si="404"/>
        <v>#VALUE!</v>
      </c>
      <c r="U432" s="107" t="e">
        <f t="shared" si="404"/>
        <v>#VALUE!</v>
      </c>
      <c r="V432" s="107" t="e">
        <f t="shared" si="404"/>
        <v>#VALUE!</v>
      </c>
      <c r="W432" s="107" t="e">
        <f t="shared" ref="W432:AK432" si="405">(($A$453-$A$455*LN(W$422)+($A$457*$D432))*($E30*W46))</f>
        <v>#VALUE!</v>
      </c>
      <c r="X432" s="107" t="e">
        <f t="shared" si="405"/>
        <v>#VALUE!</v>
      </c>
      <c r="Y432" s="107" t="e">
        <f t="shared" si="405"/>
        <v>#VALUE!</v>
      </c>
      <c r="Z432" s="107" t="e">
        <f t="shared" si="405"/>
        <v>#VALUE!</v>
      </c>
      <c r="AA432" s="107" t="e">
        <f t="shared" si="405"/>
        <v>#VALUE!</v>
      </c>
      <c r="AB432" s="107" t="e">
        <f t="shared" si="405"/>
        <v>#VALUE!</v>
      </c>
      <c r="AC432" s="107" t="e">
        <f t="shared" si="405"/>
        <v>#VALUE!</v>
      </c>
      <c r="AD432" s="107" t="e">
        <f t="shared" si="405"/>
        <v>#VALUE!</v>
      </c>
      <c r="AE432" s="107" t="e">
        <f t="shared" si="405"/>
        <v>#VALUE!</v>
      </c>
      <c r="AF432" s="107" t="e">
        <f t="shared" si="405"/>
        <v>#VALUE!</v>
      </c>
      <c r="AG432" s="107" t="e">
        <f t="shared" si="405"/>
        <v>#VALUE!</v>
      </c>
      <c r="AH432" s="107" t="e">
        <f t="shared" si="405"/>
        <v>#VALUE!</v>
      </c>
      <c r="AI432" s="107" t="e">
        <f t="shared" si="405"/>
        <v>#VALUE!</v>
      </c>
      <c r="AJ432" s="107" t="e">
        <f t="shared" si="405"/>
        <v>#VALUE!</v>
      </c>
      <c r="AK432" s="107" t="e">
        <f t="shared" si="405"/>
        <v>#VALUE!</v>
      </c>
      <c r="AL432" s="4"/>
      <c r="AM432" s="43">
        <v>416</v>
      </c>
      <c r="AN432">
        <v>1012.9072070933138</v>
      </c>
      <c r="AO432">
        <v>142.30008233059047</v>
      </c>
      <c r="AP432">
        <v>1213.943405275988</v>
      </c>
      <c r="AQ432">
        <v>419.85640323336838</v>
      </c>
      <c r="AR432">
        <v>140.5898733021188</v>
      </c>
      <c r="AS432">
        <v>1575.3341727017057</v>
      </c>
      <c r="AT432">
        <v>65.168889638826272</v>
      </c>
      <c r="AU432">
        <v>186.65394567981789</v>
      </c>
      <c r="AV432"/>
      <c r="AW432"/>
      <c r="FY432" s="211">
        <v>427</v>
      </c>
      <c r="FZ432">
        <v>124.51929101624243</v>
      </c>
      <c r="GA432">
        <v>90.974947598984073</v>
      </c>
      <c r="GB432">
        <v>27.001745144728467</v>
      </c>
      <c r="GC432">
        <v>7.2944441844497492</v>
      </c>
      <c r="GD432">
        <v>2.8856832606243099</v>
      </c>
      <c r="GE432">
        <v>5.511981322654659</v>
      </c>
      <c r="GF432">
        <v>15.17327316434805</v>
      </c>
      <c r="GG432">
        <v>17.775140119182652</v>
      </c>
      <c r="GH432">
        <v>17.741271606387389</v>
      </c>
      <c r="GI432">
        <v>73.350151756427891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1192.5508081538223</v>
      </c>
      <c r="AO433">
        <v>158.83152126051939</v>
      </c>
      <c r="AP433">
        <v>1390.8558971588257</v>
      </c>
      <c r="AQ433">
        <v>483.99494979719879</v>
      </c>
      <c r="AR433">
        <v>153.52148856919186</v>
      </c>
      <c r="AS433">
        <v>1693.8986116325113</v>
      </c>
      <c r="AT433">
        <v>71.070524219620864</v>
      </c>
      <c r="AU433">
        <v>179.27318571404717</v>
      </c>
      <c r="AV433"/>
      <c r="AW433"/>
      <c r="FY433" s="211">
        <v>428</v>
      </c>
      <c r="FZ433">
        <v>144.61515183284317</v>
      </c>
      <c r="GA433">
        <v>151.77763633128905</v>
      </c>
      <c r="GB433">
        <v>32.427261192932335</v>
      </c>
      <c r="GC433">
        <v>5.7605300795454655</v>
      </c>
      <c r="GD433">
        <v>2.6920122699915043</v>
      </c>
      <c r="GE433">
        <v>5.8508207015978053</v>
      </c>
      <c r="GF433">
        <v>22.413090031375191</v>
      </c>
      <c r="GG433">
        <v>28.819353509759225</v>
      </c>
      <c r="GH433">
        <v>22.030982032453391</v>
      </c>
      <c r="GI433">
        <v>73.561903434330546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1343.3273888031313</v>
      </c>
      <c r="AO434">
        <v>181.60279180651443</v>
      </c>
      <c r="AP434">
        <v>1505.5426355518894</v>
      </c>
      <c r="AQ434">
        <v>580.44499371013922</v>
      </c>
      <c r="AR434">
        <v>176.16187385306699</v>
      </c>
      <c r="AS434">
        <v>1896.315494031415</v>
      </c>
      <c r="AT434">
        <v>83.685793399050397</v>
      </c>
      <c r="AU434">
        <v>207.37735079041136</v>
      </c>
      <c r="AV434"/>
      <c r="AW434"/>
      <c r="FY434" s="211">
        <v>429</v>
      </c>
      <c r="FZ434">
        <v>133.61834389296257</v>
      </c>
      <c r="GA434">
        <v>123.27216577185956</v>
      </c>
      <c r="GB434">
        <v>35.75762770451756</v>
      </c>
      <c r="GC434">
        <v>8.5654906826318733</v>
      </c>
      <c r="GD434">
        <v>3.3852978560748701</v>
      </c>
      <c r="GE434">
        <v>5.0833855479475174</v>
      </c>
      <c r="GF434">
        <v>11.197871933760666</v>
      </c>
      <c r="GG434">
        <v>14.968962444106783</v>
      </c>
      <c r="GH434">
        <v>19.354368016850255</v>
      </c>
      <c r="GI434">
        <v>72.795522022142421</v>
      </c>
      <c r="GJ434"/>
      <c r="GK434"/>
      <c r="GL434"/>
      <c r="GM434"/>
    </row>
    <row r="435" spans="1:195" s="7" customFormat="1">
      <c r="A435" s="4"/>
      <c r="B435" s="52" t="s">
        <v>53</v>
      </c>
      <c r="C435" s="53" t="e">
        <f>SUM(C423:C434)</f>
        <v>#VALUE!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898.89204498021718</v>
      </c>
      <c r="AO435">
        <v>114.32541375429298</v>
      </c>
      <c r="AP435">
        <v>879.83870318227082</v>
      </c>
      <c r="AQ435">
        <v>324.7138270149178</v>
      </c>
      <c r="AR435">
        <v>111.99042688911403</v>
      </c>
      <c r="AS435">
        <v>1295.7375804584883</v>
      </c>
      <c r="AT435">
        <v>52.411968651763395</v>
      </c>
      <c r="AU435">
        <v>155.68870721218926</v>
      </c>
      <c r="AV435"/>
      <c r="AW435"/>
      <c r="FY435" s="211">
        <v>430</v>
      </c>
      <c r="FZ435">
        <v>174.15197470790486</v>
      </c>
      <c r="GA435">
        <v>129.54610353445653</v>
      </c>
      <c r="GB435">
        <v>26.863936105063274</v>
      </c>
      <c r="GC435">
        <v>8.0728639281974459</v>
      </c>
      <c r="GD435">
        <v>3.8467423754723882</v>
      </c>
      <c r="GE435">
        <v>5.628213904541898</v>
      </c>
      <c r="GF435">
        <v>11.274085116443795</v>
      </c>
      <c r="GG435">
        <v>16.700427284060233</v>
      </c>
      <c r="GH435">
        <v>24.963739329923357</v>
      </c>
      <c r="GI435">
        <v>77.220094374368742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1066.1534481120786</v>
      </c>
      <c r="AO436">
        <v>158.73257314959747</v>
      </c>
      <c r="AP436">
        <v>1416.1834013919408</v>
      </c>
      <c r="AQ436">
        <v>423.90834612291076</v>
      </c>
      <c r="AR436">
        <v>154.33222805940591</v>
      </c>
      <c r="AS436">
        <v>1718.7134124338929</v>
      </c>
      <c r="AT436">
        <v>77.882412490171859</v>
      </c>
      <c r="AU436">
        <v>311.98705621292254</v>
      </c>
      <c r="AV436"/>
      <c r="AW436"/>
      <c r="FY436" s="211">
        <v>431</v>
      </c>
      <c r="FZ436">
        <v>141.05684947259525</v>
      </c>
      <c r="GA436">
        <v>134.71055402742229</v>
      </c>
      <c r="GB436">
        <v>37.487595851754271</v>
      </c>
      <c r="GC436">
        <v>10.217509049566814</v>
      </c>
      <c r="GD436">
        <v>4.179045552361913</v>
      </c>
      <c r="GE436">
        <v>5.2916133450472245</v>
      </c>
      <c r="GF436">
        <v>10.357896619744398</v>
      </c>
      <c r="GG436">
        <v>13.794851514369309</v>
      </c>
      <c r="GH436">
        <v>28.657745004271415</v>
      </c>
      <c r="GI436">
        <v>76.476065421395035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935.61113260726711</v>
      </c>
      <c r="AO437">
        <v>173.35058374583696</v>
      </c>
      <c r="AP437">
        <v>1384.8834062221995</v>
      </c>
      <c r="AQ437">
        <v>305.9968041678552</v>
      </c>
      <c r="AR437">
        <v>168.46259736331785</v>
      </c>
      <c r="AS437">
        <v>1713.7189760832264</v>
      </c>
      <c r="AT437">
        <v>82.062537891158996</v>
      </c>
      <c r="AU437">
        <v>130.12423971167692</v>
      </c>
      <c r="AV437"/>
      <c r="AW437"/>
      <c r="FY437" s="211">
        <v>432</v>
      </c>
      <c r="FZ437">
        <v>139.85641196590657</v>
      </c>
      <c r="GA437">
        <v>109.24211607945884</v>
      </c>
      <c r="GB437">
        <v>37.119939182619781</v>
      </c>
      <c r="GC437">
        <v>8.9672204856436295</v>
      </c>
      <c r="GD437">
        <v>2.9339939627577376</v>
      </c>
      <c r="GE437">
        <v>7.5220539402670852</v>
      </c>
      <c r="GF437">
        <v>11.095223484998943</v>
      </c>
      <c r="GG437">
        <v>9.5514185032670404</v>
      </c>
      <c r="GH437">
        <v>20.326651214807693</v>
      </c>
      <c r="GI437">
        <v>64.849948525682379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1000.022053629132</v>
      </c>
      <c r="AO438">
        <v>148.39510292900925</v>
      </c>
      <c r="AP438">
        <v>1273.2892046992285</v>
      </c>
      <c r="AQ438">
        <v>339.36981541208252</v>
      </c>
      <c r="AR438">
        <v>147.70275438474502</v>
      </c>
      <c r="AS438">
        <v>1486.069043090981</v>
      </c>
      <c r="AT438">
        <v>69.054899234018379</v>
      </c>
      <c r="AU438">
        <v>158.83122041843774</v>
      </c>
      <c r="AV438"/>
      <c r="AW438"/>
      <c r="FY438" s="211">
        <v>433</v>
      </c>
      <c r="FZ438">
        <v>106.30402432575518</v>
      </c>
      <c r="GA438">
        <v>112.35653650107417</v>
      </c>
      <c r="GB438">
        <v>36.865602578156953</v>
      </c>
      <c r="GC438">
        <v>8.0125018320866719</v>
      </c>
      <c r="GD438">
        <v>3.0972319142210538</v>
      </c>
      <c r="GE438">
        <v>5.1908413148549544</v>
      </c>
      <c r="GF438">
        <v>48.59103653441408</v>
      </c>
      <c r="GG438">
        <v>60.547678721267118</v>
      </c>
      <c r="GH438">
        <v>31.993276638086794</v>
      </c>
      <c r="GI438">
        <v>86.663610610751348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1096.6877603442667</v>
      </c>
      <c r="AO439">
        <v>163.98528824687065</v>
      </c>
      <c r="AP439">
        <v>1366.8042504234663</v>
      </c>
      <c r="AQ439">
        <v>448.88821668308407</v>
      </c>
      <c r="AR439">
        <v>160.03901074889518</v>
      </c>
      <c r="AS439">
        <v>1623.8511403049386</v>
      </c>
      <c r="AT439">
        <v>75.326498705064282</v>
      </c>
      <c r="AU439">
        <v>166.75148907979278</v>
      </c>
      <c r="AV439"/>
      <c r="AW439"/>
      <c r="FY439" s="211">
        <v>434</v>
      </c>
      <c r="FZ439">
        <v>109.7612014193346</v>
      </c>
      <c r="GA439">
        <v>87.250206842006321</v>
      </c>
      <c r="GB439">
        <v>23.593499168124126</v>
      </c>
      <c r="GC439">
        <v>7.3767482154021247</v>
      </c>
      <c r="GD439">
        <v>2.1052930897995372</v>
      </c>
      <c r="GE439">
        <v>6.3583067618723792</v>
      </c>
      <c r="GF439">
        <v>21.454183609153596</v>
      </c>
      <c r="GG439">
        <v>20.742359201156923</v>
      </c>
      <c r="GH439">
        <v>23.338626733233131</v>
      </c>
      <c r="GI439">
        <v>59.001445374772125</v>
      </c>
      <c r="GJ439"/>
      <c r="GK439"/>
      <c r="GL439"/>
      <c r="GM439"/>
    </row>
    <row r="440" spans="1:195" s="7" customFormat="1">
      <c r="A440" s="1">
        <v>15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944.49312080431378</v>
      </c>
      <c r="AO440">
        <v>134.20992482726521</v>
      </c>
      <c r="AP440">
        <v>1129.7408282799024</v>
      </c>
      <c r="AQ440">
        <v>413.01480360217761</v>
      </c>
      <c r="AR440">
        <v>136.55520312965919</v>
      </c>
      <c r="AS440">
        <v>1470.161054926926</v>
      </c>
      <c r="AT440">
        <v>74.912403208486396</v>
      </c>
      <c r="AU440">
        <v>129.68339900005262</v>
      </c>
      <c r="AV440"/>
      <c r="AW440"/>
      <c r="FY440" s="211">
        <v>435</v>
      </c>
      <c r="FZ440">
        <v>93.957085029452941</v>
      </c>
      <c r="GA440">
        <v>78.893033287424302</v>
      </c>
      <c r="GB440">
        <v>25.756879149418001</v>
      </c>
      <c r="GC440">
        <v>6.3001676627705896</v>
      </c>
      <c r="GD440">
        <v>2.4937277768186075</v>
      </c>
      <c r="GE440">
        <v>5.9445178503842051</v>
      </c>
      <c r="GF440">
        <v>12.189540656894438</v>
      </c>
      <c r="GG440">
        <v>11.428168165889851</v>
      </c>
      <c r="GH440">
        <v>22.002233378078589</v>
      </c>
      <c r="GI440">
        <v>58.631767527552796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 t="e">
        <f t="shared" ref="C441:C450" si="406">SUM(G441:AK441)</f>
        <v>#VALUE!</v>
      </c>
      <c r="D441" s="191">
        <f>$A$405</f>
        <v>13.69</v>
      </c>
      <c r="E441" s="8"/>
      <c r="F441" s="124"/>
      <c r="G441" s="107" t="e">
        <f t="shared" ref="G441:G450" si="407">IF(G423&lt;=0, "0.000", G423)</f>
        <v>#VALUE!</v>
      </c>
      <c r="H441" s="107" t="e">
        <f t="shared" ref="H441:AK441" si="408">IF(H423&lt;=0, "0.000", H423)</f>
        <v>#VALUE!</v>
      </c>
      <c r="I441" s="107" t="e">
        <f t="shared" si="408"/>
        <v>#VALUE!</v>
      </c>
      <c r="J441" s="107" t="e">
        <f t="shared" si="408"/>
        <v>#VALUE!</v>
      </c>
      <c r="K441" s="107" t="e">
        <f t="shared" si="408"/>
        <v>#VALUE!</v>
      </c>
      <c r="L441" s="107" t="e">
        <f t="shared" si="408"/>
        <v>#VALUE!</v>
      </c>
      <c r="M441" s="107" t="e">
        <f t="shared" si="408"/>
        <v>#VALUE!</v>
      </c>
      <c r="N441" s="107" t="e">
        <f t="shared" si="408"/>
        <v>#VALUE!</v>
      </c>
      <c r="O441" s="107" t="e">
        <f t="shared" si="408"/>
        <v>#VALUE!</v>
      </c>
      <c r="P441" s="107" t="e">
        <f t="shared" si="408"/>
        <v>#VALUE!</v>
      </c>
      <c r="Q441" s="107" t="e">
        <f t="shared" si="408"/>
        <v>#VALUE!</v>
      </c>
      <c r="R441" s="107" t="e">
        <f t="shared" si="408"/>
        <v>#VALUE!</v>
      </c>
      <c r="S441" s="107" t="e">
        <f t="shared" si="408"/>
        <v>#VALUE!</v>
      </c>
      <c r="T441" s="107" t="e">
        <f t="shared" si="408"/>
        <v>#VALUE!</v>
      </c>
      <c r="U441" s="107" t="e">
        <f t="shared" si="408"/>
        <v>#VALUE!</v>
      </c>
      <c r="V441" s="107" t="e">
        <f t="shared" si="408"/>
        <v>#VALUE!</v>
      </c>
      <c r="W441" s="107" t="e">
        <f t="shared" si="408"/>
        <v>#VALUE!</v>
      </c>
      <c r="X441" s="107" t="e">
        <f t="shared" si="408"/>
        <v>#VALUE!</v>
      </c>
      <c r="Y441" s="107" t="e">
        <f t="shared" si="408"/>
        <v>#VALUE!</v>
      </c>
      <c r="Z441" s="107" t="e">
        <f t="shared" si="408"/>
        <v>#VALUE!</v>
      </c>
      <c r="AA441" s="107" t="e">
        <f t="shared" si="408"/>
        <v>#VALUE!</v>
      </c>
      <c r="AB441" s="107" t="e">
        <f t="shared" si="408"/>
        <v>#VALUE!</v>
      </c>
      <c r="AC441" s="107" t="e">
        <f t="shared" si="408"/>
        <v>#VALUE!</v>
      </c>
      <c r="AD441" s="107" t="e">
        <f t="shared" si="408"/>
        <v>#VALUE!</v>
      </c>
      <c r="AE441" s="107" t="e">
        <f t="shared" si="408"/>
        <v>#VALUE!</v>
      </c>
      <c r="AF441" s="107" t="e">
        <f t="shared" si="408"/>
        <v>#VALUE!</v>
      </c>
      <c r="AG441" s="107" t="e">
        <f t="shared" si="408"/>
        <v>#VALUE!</v>
      </c>
      <c r="AH441" s="107" t="e">
        <f t="shared" si="408"/>
        <v>#VALUE!</v>
      </c>
      <c r="AI441" s="107" t="e">
        <f t="shared" si="408"/>
        <v>#VALUE!</v>
      </c>
      <c r="AJ441" s="107" t="e">
        <f t="shared" si="408"/>
        <v>#VALUE!</v>
      </c>
      <c r="AK441" s="107" t="e">
        <f t="shared" si="408"/>
        <v>#VALUE!</v>
      </c>
      <c r="AL441" s="4"/>
      <c r="AM441" s="43">
        <v>425</v>
      </c>
      <c r="AN441">
        <v>1211.8911693096329</v>
      </c>
      <c r="AO441">
        <v>175.25216164952218</v>
      </c>
      <c r="AP441">
        <v>1394.8960624553538</v>
      </c>
      <c r="AQ441">
        <v>504.1548755617805</v>
      </c>
      <c r="AR441">
        <v>169.59416162205855</v>
      </c>
      <c r="AS441">
        <v>1824.5392982618516</v>
      </c>
      <c r="AT441">
        <v>84.990577118643003</v>
      </c>
      <c r="AU441">
        <v>130.19162714382634</v>
      </c>
      <c r="AV441"/>
      <c r="AW441"/>
      <c r="FY441" s="211">
        <v>436</v>
      </c>
      <c r="FZ441">
        <v>185.84707698900527</v>
      </c>
      <c r="GA441">
        <v>162.4443287283612</v>
      </c>
      <c r="GB441">
        <v>35.091808782789627</v>
      </c>
      <c r="GC441">
        <v>8.0944159256830552</v>
      </c>
      <c r="GD441">
        <v>2.6436486816129152</v>
      </c>
      <c r="GE441">
        <v>4.8654065992977866</v>
      </c>
      <c r="GF441">
        <v>24.39672010977257</v>
      </c>
      <c r="GG441">
        <v>33.088386550837278</v>
      </c>
      <c r="GH441">
        <v>31.142253247786247</v>
      </c>
      <c r="GI441">
        <v>85.813741756936921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 t="e">
        <f t="shared" si="406"/>
        <v>#VALUE!</v>
      </c>
      <c r="D442" s="191">
        <f>$A$406</f>
        <v>9.4499999999999993</v>
      </c>
      <c r="E442" s="8"/>
      <c r="F442" s="124"/>
      <c r="G442" s="173" t="e">
        <f t="shared" si="407"/>
        <v>#VALUE!</v>
      </c>
      <c r="H442" s="173" t="e">
        <f t="shared" ref="H442:V442" si="409">IF(H424&lt;=0, "0.000", H424)</f>
        <v>#VALUE!</v>
      </c>
      <c r="I442" s="173" t="e">
        <f t="shared" si="409"/>
        <v>#VALUE!</v>
      </c>
      <c r="J442" s="173" t="e">
        <f t="shared" si="409"/>
        <v>#VALUE!</v>
      </c>
      <c r="K442" s="173" t="e">
        <f t="shared" si="409"/>
        <v>#VALUE!</v>
      </c>
      <c r="L442" s="173" t="e">
        <f t="shared" si="409"/>
        <v>#VALUE!</v>
      </c>
      <c r="M442" s="173" t="e">
        <f t="shared" si="409"/>
        <v>#VALUE!</v>
      </c>
      <c r="N442" s="173" t="e">
        <f t="shared" si="409"/>
        <v>#VALUE!</v>
      </c>
      <c r="O442" s="173" t="e">
        <f t="shared" si="409"/>
        <v>#VALUE!</v>
      </c>
      <c r="P442" s="173" t="e">
        <f t="shared" si="409"/>
        <v>#VALUE!</v>
      </c>
      <c r="Q442" s="173" t="e">
        <f t="shared" si="409"/>
        <v>#VALUE!</v>
      </c>
      <c r="R442" s="173" t="e">
        <f t="shared" si="409"/>
        <v>#VALUE!</v>
      </c>
      <c r="S442" s="173" t="e">
        <f t="shared" si="409"/>
        <v>#VALUE!</v>
      </c>
      <c r="T442" s="173" t="e">
        <f t="shared" si="409"/>
        <v>#VALUE!</v>
      </c>
      <c r="U442" s="173" t="e">
        <f t="shared" si="409"/>
        <v>#VALUE!</v>
      </c>
      <c r="V442" s="173" t="e">
        <f t="shared" si="409"/>
        <v>#VALUE!</v>
      </c>
      <c r="W442" s="173" t="e">
        <f t="shared" ref="W442:AK442" si="410">IF(W424&lt;=0, "0.000", W424)</f>
        <v>#VALUE!</v>
      </c>
      <c r="X442" s="173" t="e">
        <f t="shared" si="410"/>
        <v>#VALUE!</v>
      </c>
      <c r="Y442" s="173" t="e">
        <f t="shared" si="410"/>
        <v>#VALUE!</v>
      </c>
      <c r="Z442" s="173" t="e">
        <f t="shared" si="410"/>
        <v>#VALUE!</v>
      </c>
      <c r="AA442" s="173" t="e">
        <f t="shared" si="410"/>
        <v>#VALUE!</v>
      </c>
      <c r="AB442" s="173" t="e">
        <f t="shared" si="410"/>
        <v>#VALUE!</v>
      </c>
      <c r="AC442" s="173" t="e">
        <f t="shared" si="410"/>
        <v>#VALUE!</v>
      </c>
      <c r="AD442" s="173" t="e">
        <f t="shared" si="410"/>
        <v>#VALUE!</v>
      </c>
      <c r="AE442" s="173" t="e">
        <f t="shared" si="410"/>
        <v>#VALUE!</v>
      </c>
      <c r="AF442" s="173" t="e">
        <f t="shared" si="410"/>
        <v>#VALUE!</v>
      </c>
      <c r="AG442" s="173" t="e">
        <f t="shared" si="410"/>
        <v>#VALUE!</v>
      </c>
      <c r="AH442" s="173" t="e">
        <f t="shared" si="410"/>
        <v>#VALUE!</v>
      </c>
      <c r="AI442" s="173" t="e">
        <f t="shared" si="410"/>
        <v>#VALUE!</v>
      </c>
      <c r="AJ442" s="173" t="e">
        <f t="shared" si="410"/>
        <v>#VALUE!</v>
      </c>
      <c r="AK442" s="173" t="e">
        <f t="shared" si="410"/>
        <v>#VALUE!</v>
      </c>
      <c r="AL442" s="4"/>
      <c r="AM442" s="43">
        <v>426</v>
      </c>
      <c r="AN442">
        <v>1460.2620811331801</v>
      </c>
      <c r="AO442">
        <v>195.25210559396089</v>
      </c>
      <c r="AP442">
        <v>1563.2592125819401</v>
      </c>
      <c r="AQ442">
        <v>526.6611193409517</v>
      </c>
      <c r="AR442">
        <v>191.85189551809401</v>
      </c>
      <c r="AS442">
        <v>2073.9290328445627</v>
      </c>
      <c r="AT442">
        <v>89.476845463473566</v>
      </c>
      <c r="AU442">
        <v>198.97067604491039</v>
      </c>
      <c r="AV442"/>
      <c r="AW442"/>
      <c r="FY442" s="211">
        <v>437</v>
      </c>
      <c r="FZ442">
        <v>103.17000733600086</v>
      </c>
      <c r="GA442">
        <v>115.30061423702776</v>
      </c>
      <c r="GB442">
        <v>38.972251325469493</v>
      </c>
      <c r="GC442">
        <v>9.0301805817284926</v>
      </c>
      <c r="GD442">
        <v>2.2530170830061267</v>
      </c>
      <c r="GE442">
        <v>4.2459997321278262</v>
      </c>
      <c r="GF442">
        <v>36.594079543880895</v>
      </c>
      <c r="GG442">
        <v>43.433788581247974</v>
      </c>
      <c r="GH442">
        <v>22.863323150030283</v>
      </c>
      <c r="GI442">
        <v>71.708913933518375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 t="e">
        <f t="shared" si="406"/>
        <v>#VALUE!</v>
      </c>
      <c r="D443" s="191">
        <f>A$407</f>
        <v>4.03</v>
      </c>
      <c r="E443" s="8"/>
      <c r="F443" s="124"/>
      <c r="G443" s="173" t="e">
        <f t="shared" si="407"/>
        <v>#VALUE!</v>
      </c>
      <c r="H443" s="173" t="e">
        <f t="shared" ref="H443:V443" si="411">IF(H425&lt;=0, "0.000", H425)</f>
        <v>#VALUE!</v>
      </c>
      <c r="I443" s="173" t="e">
        <f t="shared" si="411"/>
        <v>#VALUE!</v>
      </c>
      <c r="J443" s="173" t="e">
        <f t="shared" si="411"/>
        <v>#VALUE!</v>
      </c>
      <c r="K443" s="173" t="e">
        <f t="shared" si="411"/>
        <v>#VALUE!</v>
      </c>
      <c r="L443" s="173" t="e">
        <f t="shared" si="411"/>
        <v>#VALUE!</v>
      </c>
      <c r="M443" s="173" t="e">
        <f t="shared" si="411"/>
        <v>#VALUE!</v>
      </c>
      <c r="N443" s="173" t="e">
        <f t="shared" si="411"/>
        <v>#VALUE!</v>
      </c>
      <c r="O443" s="173" t="e">
        <f t="shared" si="411"/>
        <v>#VALUE!</v>
      </c>
      <c r="P443" s="173" t="e">
        <f t="shared" si="411"/>
        <v>#VALUE!</v>
      </c>
      <c r="Q443" s="173" t="e">
        <f t="shared" si="411"/>
        <v>#VALUE!</v>
      </c>
      <c r="R443" s="173" t="e">
        <f t="shared" si="411"/>
        <v>#VALUE!</v>
      </c>
      <c r="S443" s="173" t="e">
        <f t="shared" si="411"/>
        <v>#VALUE!</v>
      </c>
      <c r="T443" s="173" t="e">
        <f t="shared" si="411"/>
        <v>#VALUE!</v>
      </c>
      <c r="U443" s="173" t="e">
        <f t="shared" si="411"/>
        <v>#VALUE!</v>
      </c>
      <c r="V443" s="173" t="e">
        <f t="shared" si="411"/>
        <v>#VALUE!</v>
      </c>
      <c r="W443" s="173" t="e">
        <f t="shared" ref="W443:AK443" si="412">IF(W425&lt;=0, "0.000", W425)</f>
        <v>#VALUE!</v>
      </c>
      <c r="X443" s="173" t="e">
        <f t="shared" si="412"/>
        <v>#VALUE!</v>
      </c>
      <c r="Y443" s="173" t="e">
        <f t="shared" si="412"/>
        <v>#VALUE!</v>
      </c>
      <c r="Z443" s="173" t="e">
        <f t="shared" si="412"/>
        <v>#VALUE!</v>
      </c>
      <c r="AA443" s="173" t="e">
        <f t="shared" si="412"/>
        <v>#VALUE!</v>
      </c>
      <c r="AB443" s="173" t="e">
        <f t="shared" si="412"/>
        <v>#VALUE!</v>
      </c>
      <c r="AC443" s="173" t="e">
        <f t="shared" si="412"/>
        <v>#VALUE!</v>
      </c>
      <c r="AD443" s="173" t="e">
        <f t="shared" si="412"/>
        <v>#VALUE!</v>
      </c>
      <c r="AE443" s="173" t="e">
        <f t="shared" si="412"/>
        <v>#VALUE!</v>
      </c>
      <c r="AF443" s="173" t="e">
        <f t="shared" si="412"/>
        <v>#VALUE!</v>
      </c>
      <c r="AG443" s="173" t="e">
        <f t="shared" si="412"/>
        <v>#VALUE!</v>
      </c>
      <c r="AH443" s="173" t="e">
        <f t="shared" si="412"/>
        <v>#VALUE!</v>
      </c>
      <c r="AI443" s="173" t="e">
        <f t="shared" si="412"/>
        <v>#VALUE!</v>
      </c>
      <c r="AJ443" s="173" t="e">
        <f t="shared" si="412"/>
        <v>#VALUE!</v>
      </c>
      <c r="AK443" s="173" t="e">
        <f t="shared" si="412"/>
        <v>#VALUE!</v>
      </c>
      <c r="AL443" s="4"/>
      <c r="AM443" s="43">
        <v>427</v>
      </c>
      <c r="AN443">
        <v>994.27677145617383</v>
      </c>
      <c r="AO443">
        <v>169.82176366095558</v>
      </c>
      <c r="AP443">
        <v>1401.8653348597959</v>
      </c>
      <c r="AQ443">
        <v>382.22792917402967</v>
      </c>
      <c r="AR443">
        <v>164.25644166071217</v>
      </c>
      <c r="AS443">
        <v>1715.3740906029916</v>
      </c>
      <c r="AT443">
        <v>84.734960157750194</v>
      </c>
      <c r="AU443">
        <v>125.72517222101955</v>
      </c>
      <c r="AV443"/>
      <c r="AW443"/>
      <c r="FY443" s="211">
        <v>438</v>
      </c>
      <c r="FZ443">
        <v>179.92633023690476</v>
      </c>
      <c r="GA443">
        <v>120.19417146781512</v>
      </c>
      <c r="GB443">
        <v>32.894607623963282</v>
      </c>
      <c r="GC443">
        <v>8.1881400657293923</v>
      </c>
      <c r="GD443">
        <v>3.1321893634095241</v>
      </c>
      <c r="GE443">
        <v>5.9632356702736047</v>
      </c>
      <c r="GF443">
        <v>29.580923910711896</v>
      </c>
      <c r="GG443">
        <v>38.428981701522872</v>
      </c>
      <c r="GH443">
        <v>28.481678587543843</v>
      </c>
      <c r="GI443">
        <v>81.128380464137933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 t="e">
        <f t="shared" si="406"/>
        <v>#VALUE!</v>
      </c>
      <c r="D444" s="191">
        <f>A$408</f>
        <v>0.78</v>
      </c>
      <c r="E444" s="8"/>
      <c r="F444" s="124"/>
      <c r="G444" s="173" t="e">
        <f t="shared" si="407"/>
        <v>#VALUE!</v>
      </c>
      <c r="H444" s="173" t="e">
        <f t="shared" ref="H444:V444" si="413">IF(H426&lt;=0, "0.000", H426)</f>
        <v>#VALUE!</v>
      </c>
      <c r="I444" s="173" t="e">
        <f t="shared" si="413"/>
        <v>#VALUE!</v>
      </c>
      <c r="J444" s="173" t="e">
        <f t="shared" si="413"/>
        <v>#VALUE!</v>
      </c>
      <c r="K444" s="173" t="e">
        <f t="shared" si="413"/>
        <v>#VALUE!</v>
      </c>
      <c r="L444" s="173" t="e">
        <f t="shared" si="413"/>
        <v>#VALUE!</v>
      </c>
      <c r="M444" s="173" t="e">
        <f t="shared" si="413"/>
        <v>#VALUE!</v>
      </c>
      <c r="N444" s="173" t="e">
        <f t="shared" si="413"/>
        <v>#VALUE!</v>
      </c>
      <c r="O444" s="173" t="e">
        <f t="shared" si="413"/>
        <v>#VALUE!</v>
      </c>
      <c r="P444" s="173" t="e">
        <f t="shared" si="413"/>
        <v>#VALUE!</v>
      </c>
      <c r="Q444" s="173" t="e">
        <f t="shared" si="413"/>
        <v>#VALUE!</v>
      </c>
      <c r="R444" s="173" t="e">
        <f t="shared" si="413"/>
        <v>#VALUE!</v>
      </c>
      <c r="S444" s="173" t="e">
        <f t="shared" si="413"/>
        <v>#VALUE!</v>
      </c>
      <c r="T444" s="173" t="e">
        <f t="shared" si="413"/>
        <v>#VALUE!</v>
      </c>
      <c r="U444" s="173" t="e">
        <f t="shared" si="413"/>
        <v>#VALUE!</v>
      </c>
      <c r="V444" s="173" t="e">
        <f t="shared" si="413"/>
        <v>#VALUE!</v>
      </c>
      <c r="W444" s="173" t="e">
        <f t="shared" ref="W444:AK444" si="414">IF(W426&lt;=0, "0.000", W426)</f>
        <v>#VALUE!</v>
      </c>
      <c r="X444" s="173" t="e">
        <f t="shared" si="414"/>
        <v>#VALUE!</v>
      </c>
      <c r="Y444" s="173" t="e">
        <f t="shared" si="414"/>
        <v>#VALUE!</v>
      </c>
      <c r="Z444" s="173" t="e">
        <f t="shared" si="414"/>
        <v>#VALUE!</v>
      </c>
      <c r="AA444" s="173" t="e">
        <f t="shared" si="414"/>
        <v>#VALUE!</v>
      </c>
      <c r="AB444" s="173" t="e">
        <f t="shared" si="414"/>
        <v>#VALUE!</v>
      </c>
      <c r="AC444" s="173" t="e">
        <f t="shared" si="414"/>
        <v>#VALUE!</v>
      </c>
      <c r="AD444" s="173" t="e">
        <f t="shared" si="414"/>
        <v>#VALUE!</v>
      </c>
      <c r="AE444" s="173" t="e">
        <f t="shared" si="414"/>
        <v>#VALUE!</v>
      </c>
      <c r="AF444" s="173" t="e">
        <f t="shared" si="414"/>
        <v>#VALUE!</v>
      </c>
      <c r="AG444" s="173" t="e">
        <f t="shared" si="414"/>
        <v>#VALUE!</v>
      </c>
      <c r="AH444" s="173" t="e">
        <f t="shared" si="414"/>
        <v>#VALUE!</v>
      </c>
      <c r="AI444" s="173" t="e">
        <f t="shared" si="414"/>
        <v>#VALUE!</v>
      </c>
      <c r="AJ444" s="173" t="e">
        <f t="shared" si="414"/>
        <v>#VALUE!</v>
      </c>
      <c r="AK444" s="173" t="e">
        <f t="shared" si="414"/>
        <v>#VALUE!</v>
      </c>
      <c r="AL444" s="4"/>
      <c r="AM444" s="43">
        <v>428</v>
      </c>
      <c r="AN444">
        <v>1054.8605129102275</v>
      </c>
      <c r="AO444">
        <v>140.52699645023864</v>
      </c>
      <c r="AP444">
        <v>1207.4441337320573</v>
      </c>
      <c r="AQ444">
        <v>489.94874141611757</v>
      </c>
      <c r="AR444">
        <v>136.2121665175959</v>
      </c>
      <c r="AS444">
        <v>1511.2004593560525</v>
      </c>
      <c r="AT444">
        <v>67.734121636745613</v>
      </c>
      <c r="AU444">
        <v>12.643514627667017</v>
      </c>
      <c r="AV444"/>
      <c r="AW444"/>
      <c r="FY444" s="211">
        <v>439</v>
      </c>
      <c r="FZ444">
        <v>102.27579509228534</v>
      </c>
      <c r="GA444">
        <v>57.742930314579752</v>
      </c>
      <c r="GB444">
        <v>32.755666194509608</v>
      </c>
      <c r="GC444">
        <v>10.391302667254493</v>
      </c>
      <c r="GD444">
        <v>3.3113581409047477</v>
      </c>
      <c r="GE444">
        <v>5.0343128344872969</v>
      </c>
      <c r="GF444">
        <v>17.943670750912261</v>
      </c>
      <c r="GG444">
        <v>20.816732244517844</v>
      </c>
      <c r="GH444">
        <v>22.96036603231661</v>
      </c>
      <c r="GI444">
        <v>75.650925412787203</v>
      </c>
      <c r="GJ444"/>
      <c r="GK444"/>
      <c r="GL444"/>
      <c r="GM444"/>
    </row>
    <row r="445" spans="1:195" s="7" customFormat="1">
      <c r="A445" s="4"/>
      <c r="B445" s="48" t="s">
        <v>42</v>
      </c>
      <c r="C445" s="107" t="e">
        <f t="shared" si="406"/>
        <v>#VALUE!</v>
      </c>
      <c r="D445" s="191">
        <f>A$409</f>
        <v>0.14000000000000001</v>
      </c>
      <c r="E445" s="8"/>
      <c r="F445" s="124"/>
      <c r="G445" s="173" t="e">
        <f t="shared" si="407"/>
        <v>#VALUE!</v>
      </c>
      <c r="H445" s="173" t="e">
        <f t="shared" ref="H445:V445" si="415">IF(H427&lt;=0, "0.000", H427)</f>
        <v>#VALUE!</v>
      </c>
      <c r="I445" s="173" t="e">
        <f t="shared" si="415"/>
        <v>#VALUE!</v>
      </c>
      <c r="J445" s="173" t="e">
        <f t="shared" si="415"/>
        <v>#VALUE!</v>
      </c>
      <c r="K445" s="173" t="e">
        <f t="shared" si="415"/>
        <v>#VALUE!</v>
      </c>
      <c r="L445" s="173" t="e">
        <f t="shared" si="415"/>
        <v>#VALUE!</v>
      </c>
      <c r="M445" s="173" t="e">
        <f t="shared" si="415"/>
        <v>#VALUE!</v>
      </c>
      <c r="N445" s="173" t="e">
        <f t="shared" si="415"/>
        <v>#VALUE!</v>
      </c>
      <c r="O445" s="173" t="e">
        <f t="shared" si="415"/>
        <v>#VALUE!</v>
      </c>
      <c r="P445" s="173" t="e">
        <f t="shared" si="415"/>
        <v>#VALUE!</v>
      </c>
      <c r="Q445" s="173" t="e">
        <f t="shared" si="415"/>
        <v>#VALUE!</v>
      </c>
      <c r="R445" s="173" t="e">
        <f t="shared" si="415"/>
        <v>#VALUE!</v>
      </c>
      <c r="S445" s="173" t="e">
        <f t="shared" si="415"/>
        <v>#VALUE!</v>
      </c>
      <c r="T445" s="173" t="e">
        <f t="shared" si="415"/>
        <v>#VALUE!</v>
      </c>
      <c r="U445" s="173" t="e">
        <f t="shared" si="415"/>
        <v>#VALUE!</v>
      </c>
      <c r="V445" s="173" t="e">
        <f t="shared" si="415"/>
        <v>#VALUE!</v>
      </c>
      <c r="W445" s="173" t="e">
        <f t="shared" ref="W445:AK445" si="416">IF(W427&lt;=0, "0.000", W427)</f>
        <v>#VALUE!</v>
      </c>
      <c r="X445" s="173" t="e">
        <f t="shared" si="416"/>
        <v>#VALUE!</v>
      </c>
      <c r="Y445" s="173" t="e">
        <f t="shared" si="416"/>
        <v>#VALUE!</v>
      </c>
      <c r="Z445" s="173" t="e">
        <f t="shared" si="416"/>
        <v>#VALUE!</v>
      </c>
      <c r="AA445" s="173" t="e">
        <f t="shared" si="416"/>
        <v>#VALUE!</v>
      </c>
      <c r="AB445" s="173" t="e">
        <f t="shared" si="416"/>
        <v>#VALUE!</v>
      </c>
      <c r="AC445" s="173" t="e">
        <f t="shared" si="416"/>
        <v>#VALUE!</v>
      </c>
      <c r="AD445" s="173" t="e">
        <f t="shared" si="416"/>
        <v>#VALUE!</v>
      </c>
      <c r="AE445" s="173" t="e">
        <f t="shared" si="416"/>
        <v>#VALUE!</v>
      </c>
      <c r="AF445" s="173" t="e">
        <f t="shared" si="416"/>
        <v>#VALUE!</v>
      </c>
      <c r="AG445" s="173" t="e">
        <f t="shared" si="416"/>
        <v>#VALUE!</v>
      </c>
      <c r="AH445" s="173" t="e">
        <f t="shared" si="416"/>
        <v>#VALUE!</v>
      </c>
      <c r="AI445" s="173" t="e">
        <f t="shared" si="416"/>
        <v>#VALUE!</v>
      </c>
      <c r="AJ445" s="173" t="e">
        <f t="shared" si="416"/>
        <v>#VALUE!</v>
      </c>
      <c r="AK445" s="173" t="e">
        <f t="shared" si="416"/>
        <v>#VALUE!</v>
      </c>
      <c r="AL445" s="4"/>
      <c r="AM445" s="43">
        <v>429</v>
      </c>
      <c r="AN445">
        <v>1047.436667996664</v>
      </c>
      <c r="AO445">
        <v>163.42745347420606</v>
      </c>
      <c r="AP445">
        <v>1404.4926257481643</v>
      </c>
      <c r="AQ445">
        <v>427.99903587285417</v>
      </c>
      <c r="AR445">
        <v>158.07976344806269</v>
      </c>
      <c r="AS445">
        <v>1697.4689494090255</v>
      </c>
      <c r="AT445">
        <v>81.058379476784282</v>
      </c>
      <c r="AU445">
        <v>109.09667405803407</v>
      </c>
      <c r="AV445"/>
      <c r="AW445"/>
      <c r="FY445" s="211">
        <v>440</v>
      </c>
      <c r="FZ445">
        <v>190.33490182855141</v>
      </c>
      <c r="GA445">
        <v>114.8203381455117</v>
      </c>
      <c r="GB445">
        <v>31.816374334529392</v>
      </c>
      <c r="GC445">
        <v>8.6291926741077827</v>
      </c>
      <c r="GD445">
        <v>3.149123149111035</v>
      </c>
      <c r="GE445">
        <v>6.3186477791958326</v>
      </c>
      <c r="GF445">
        <v>12.825715243464918</v>
      </c>
      <c r="GG445">
        <v>15.409421095425508</v>
      </c>
      <c r="GH445">
        <v>30.174247808036323</v>
      </c>
      <c r="GI445">
        <v>77.876936802981348</v>
      </c>
      <c r="GJ445"/>
      <c r="GK445"/>
      <c r="GL445"/>
      <c r="GM445"/>
    </row>
    <row r="446" spans="1:195" s="7" customFormat="1">
      <c r="A446" s="4"/>
      <c r="B446" s="48" t="s">
        <v>118</v>
      </c>
      <c r="C446" s="107" t="e">
        <f t="shared" si="406"/>
        <v>#VALUE!</v>
      </c>
      <c r="D446" s="191">
        <f>A$410</f>
        <v>0.21</v>
      </c>
      <c r="E446" s="8"/>
      <c r="F446" s="124"/>
      <c r="G446" s="173" t="e">
        <f t="shared" si="407"/>
        <v>#VALUE!</v>
      </c>
      <c r="H446" s="173" t="e">
        <f t="shared" ref="H446:V446" si="417">IF(H428&lt;=0, "0.000", H428)</f>
        <v>#VALUE!</v>
      </c>
      <c r="I446" s="173" t="e">
        <f t="shared" si="417"/>
        <v>#VALUE!</v>
      </c>
      <c r="J446" s="173" t="e">
        <f t="shared" si="417"/>
        <v>#VALUE!</v>
      </c>
      <c r="K446" s="173" t="e">
        <f t="shared" si="417"/>
        <v>#VALUE!</v>
      </c>
      <c r="L446" s="173" t="e">
        <f t="shared" si="417"/>
        <v>#VALUE!</v>
      </c>
      <c r="M446" s="173" t="e">
        <f t="shared" si="417"/>
        <v>#VALUE!</v>
      </c>
      <c r="N446" s="173" t="e">
        <f t="shared" si="417"/>
        <v>#VALUE!</v>
      </c>
      <c r="O446" s="173" t="e">
        <f t="shared" si="417"/>
        <v>#VALUE!</v>
      </c>
      <c r="P446" s="173" t="e">
        <f t="shared" si="417"/>
        <v>#VALUE!</v>
      </c>
      <c r="Q446" s="173" t="e">
        <f t="shared" si="417"/>
        <v>#VALUE!</v>
      </c>
      <c r="R446" s="173" t="e">
        <f t="shared" si="417"/>
        <v>#VALUE!</v>
      </c>
      <c r="S446" s="173" t="e">
        <f t="shared" si="417"/>
        <v>#VALUE!</v>
      </c>
      <c r="T446" s="173" t="e">
        <f t="shared" si="417"/>
        <v>#VALUE!</v>
      </c>
      <c r="U446" s="173" t="e">
        <f t="shared" si="417"/>
        <v>#VALUE!</v>
      </c>
      <c r="V446" s="173" t="e">
        <f t="shared" si="417"/>
        <v>#VALUE!</v>
      </c>
      <c r="W446" s="173" t="e">
        <f t="shared" ref="W446:AK446" si="418">IF(W428&lt;=0, "0.000", W428)</f>
        <v>#VALUE!</v>
      </c>
      <c r="X446" s="173" t="e">
        <f t="shared" si="418"/>
        <v>#VALUE!</v>
      </c>
      <c r="Y446" s="173" t="e">
        <f t="shared" si="418"/>
        <v>#VALUE!</v>
      </c>
      <c r="Z446" s="173" t="e">
        <f t="shared" si="418"/>
        <v>#VALUE!</v>
      </c>
      <c r="AA446" s="173" t="e">
        <f t="shared" si="418"/>
        <v>#VALUE!</v>
      </c>
      <c r="AB446" s="173" t="e">
        <f t="shared" si="418"/>
        <v>#VALUE!</v>
      </c>
      <c r="AC446" s="173" t="e">
        <f t="shared" si="418"/>
        <v>#VALUE!</v>
      </c>
      <c r="AD446" s="173" t="e">
        <f t="shared" si="418"/>
        <v>#VALUE!</v>
      </c>
      <c r="AE446" s="173" t="e">
        <f t="shared" si="418"/>
        <v>#VALUE!</v>
      </c>
      <c r="AF446" s="173" t="e">
        <f t="shared" si="418"/>
        <v>#VALUE!</v>
      </c>
      <c r="AG446" s="173" t="e">
        <f t="shared" si="418"/>
        <v>#VALUE!</v>
      </c>
      <c r="AH446" s="173" t="e">
        <f t="shared" si="418"/>
        <v>#VALUE!</v>
      </c>
      <c r="AI446" s="173" t="e">
        <f t="shared" si="418"/>
        <v>#VALUE!</v>
      </c>
      <c r="AJ446" s="173" t="e">
        <f t="shared" si="418"/>
        <v>#VALUE!</v>
      </c>
      <c r="AK446" s="173" t="e">
        <f t="shared" si="418"/>
        <v>#VALUE!</v>
      </c>
      <c r="AL446" s="4"/>
      <c r="AM446" s="43">
        <v>430</v>
      </c>
      <c r="AN446">
        <v>1057.8485130512986</v>
      </c>
      <c r="AO446">
        <v>188.84460472781231</v>
      </c>
      <c r="AP446">
        <v>1603.360281712809</v>
      </c>
      <c r="AQ446">
        <v>478.26818066043245</v>
      </c>
      <c r="AR446">
        <v>185.8287757508802</v>
      </c>
      <c r="AS446">
        <v>1843.0323738014276</v>
      </c>
      <c r="AT446">
        <v>94.425364342403654</v>
      </c>
      <c r="AU446">
        <v>24.038074460662699</v>
      </c>
      <c r="AV446"/>
      <c r="AW446"/>
      <c r="FY446" s="211">
        <v>441</v>
      </c>
      <c r="FZ446">
        <v>183.03214027615545</v>
      </c>
      <c r="GA446">
        <v>121.95429196184935</v>
      </c>
      <c r="GB446">
        <v>22.250604485115307</v>
      </c>
      <c r="GC446">
        <v>6.3401038515800998</v>
      </c>
      <c r="GD446">
        <v>3.7895739653538651</v>
      </c>
      <c r="GE446">
        <v>9.1525397509714761</v>
      </c>
      <c r="GF446">
        <v>34.241749457941175</v>
      </c>
      <c r="GG446">
        <v>41.507909326299377</v>
      </c>
      <c r="GH446">
        <v>21.956859979031048</v>
      </c>
      <c r="GI446">
        <v>83.453369831687041</v>
      </c>
      <c r="GJ446"/>
      <c r="GK446"/>
      <c r="GL446"/>
      <c r="GM446"/>
    </row>
    <row r="447" spans="1:195" s="7" customFormat="1">
      <c r="A447" s="4"/>
      <c r="B447" s="48" t="s">
        <v>119</v>
      </c>
      <c r="C447" s="107" t="e">
        <f t="shared" si="406"/>
        <v>#VALUE!</v>
      </c>
      <c r="D447" s="191">
        <f>A$411</f>
        <v>1.28</v>
      </c>
      <c r="E447" s="8"/>
      <c r="F447" s="124"/>
      <c r="G447" s="173" t="e">
        <f t="shared" si="407"/>
        <v>#VALUE!</v>
      </c>
      <c r="H447" s="173" t="e">
        <f t="shared" ref="H447:V447" si="419">IF(H429&lt;=0, "0.000", H429)</f>
        <v>#VALUE!</v>
      </c>
      <c r="I447" s="173" t="e">
        <f t="shared" si="419"/>
        <v>#VALUE!</v>
      </c>
      <c r="J447" s="173" t="e">
        <f t="shared" si="419"/>
        <v>#VALUE!</v>
      </c>
      <c r="K447" s="173" t="e">
        <f t="shared" si="419"/>
        <v>#VALUE!</v>
      </c>
      <c r="L447" s="173" t="e">
        <f t="shared" si="419"/>
        <v>#VALUE!</v>
      </c>
      <c r="M447" s="173" t="e">
        <f t="shared" si="419"/>
        <v>#VALUE!</v>
      </c>
      <c r="N447" s="173" t="e">
        <f t="shared" si="419"/>
        <v>#VALUE!</v>
      </c>
      <c r="O447" s="173" t="e">
        <f t="shared" si="419"/>
        <v>#VALUE!</v>
      </c>
      <c r="P447" s="173" t="e">
        <f t="shared" si="419"/>
        <v>#VALUE!</v>
      </c>
      <c r="Q447" s="173" t="e">
        <f t="shared" si="419"/>
        <v>#VALUE!</v>
      </c>
      <c r="R447" s="173" t="e">
        <f t="shared" si="419"/>
        <v>#VALUE!</v>
      </c>
      <c r="S447" s="173" t="e">
        <f t="shared" si="419"/>
        <v>#VALUE!</v>
      </c>
      <c r="T447" s="173" t="e">
        <f t="shared" si="419"/>
        <v>#VALUE!</v>
      </c>
      <c r="U447" s="173" t="e">
        <f t="shared" si="419"/>
        <v>#VALUE!</v>
      </c>
      <c r="V447" s="173" t="e">
        <f t="shared" si="419"/>
        <v>#VALUE!</v>
      </c>
      <c r="W447" s="173" t="e">
        <f t="shared" ref="W447:AK447" si="420">IF(W429&lt;=0, "0.000", W429)</f>
        <v>#VALUE!</v>
      </c>
      <c r="X447" s="173" t="e">
        <f t="shared" si="420"/>
        <v>#VALUE!</v>
      </c>
      <c r="Y447" s="173" t="e">
        <f t="shared" si="420"/>
        <v>#VALUE!</v>
      </c>
      <c r="Z447" s="173" t="e">
        <f t="shared" si="420"/>
        <v>#VALUE!</v>
      </c>
      <c r="AA447" s="173" t="e">
        <f t="shared" si="420"/>
        <v>#VALUE!</v>
      </c>
      <c r="AB447" s="173" t="e">
        <f t="shared" si="420"/>
        <v>#VALUE!</v>
      </c>
      <c r="AC447" s="173" t="e">
        <f t="shared" si="420"/>
        <v>#VALUE!</v>
      </c>
      <c r="AD447" s="173" t="e">
        <f t="shared" si="420"/>
        <v>#VALUE!</v>
      </c>
      <c r="AE447" s="173" t="e">
        <f t="shared" si="420"/>
        <v>#VALUE!</v>
      </c>
      <c r="AF447" s="173" t="e">
        <f t="shared" si="420"/>
        <v>#VALUE!</v>
      </c>
      <c r="AG447" s="173" t="e">
        <f t="shared" si="420"/>
        <v>#VALUE!</v>
      </c>
      <c r="AH447" s="173" t="e">
        <f t="shared" si="420"/>
        <v>#VALUE!</v>
      </c>
      <c r="AI447" s="173" t="e">
        <f t="shared" si="420"/>
        <v>#VALUE!</v>
      </c>
      <c r="AJ447" s="173" t="e">
        <f t="shared" si="420"/>
        <v>#VALUE!</v>
      </c>
      <c r="AK447" s="173" t="e">
        <f t="shared" si="420"/>
        <v>#VALUE!</v>
      </c>
      <c r="AL447" s="4"/>
      <c r="AM447" s="43">
        <v>431</v>
      </c>
      <c r="AN447">
        <v>1102.56087355196</v>
      </c>
      <c r="AO447">
        <v>162.72342274391931</v>
      </c>
      <c r="AP447">
        <v>1349.5380552147565</v>
      </c>
      <c r="AQ447">
        <v>462.2297258585279</v>
      </c>
      <c r="AR447">
        <v>160.21575756212727</v>
      </c>
      <c r="AS447">
        <v>1703.4192145134002</v>
      </c>
      <c r="AT447">
        <v>82.291740514268</v>
      </c>
      <c r="AU447">
        <v>9.8487059239524513</v>
      </c>
      <c r="AV447"/>
      <c r="AW447"/>
      <c r="FY447" s="211">
        <v>442</v>
      </c>
      <c r="FZ447">
        <v>139.44777745665604</v>
      </c>
      <c r="GA447">
        <v>100.7140405687997</v>
      </c>
      <c r="GB447">
        <v>22.459986239405431</v>
      </c>
      <c r="GC447">
        <v>7.2526755155970495</v>
      </c>
      <c r="GD447">
        <v>2.662460822223423</v>
      </c>
      <c r="GE447">
        <v>6.2599458929668881</v>
      </c>
      <c r="GF447">
        <v>26.263181178951598</v>
      </c>
      <c r="GG447">
        <v>31.285345981772444</v>
      </c>
      <c r="GH447">
        <v>18.148138695759034</v>
      </c>
      <c r="GI447">
        <v>75.981699143825026</v>
      </c>
      <c r="GJ447"/>
      <c r="GK447"/>
      <c r="GL447"/>
      <c r="GM447"/>
    </row>
    <row r="448" spans="1:195" s="7" customFormat="1">
      <c r="A448" s="4"/>
      <c r="B448" s="48" t="s">
        <v>120</v>
      </c>
      <c r="C448" s="107" t="e">
        <f t="shared" si="406"/>
        <v>#VALUE!</v>
      </c>
      <c r="D448" s="191">
        <f>A$412</f>
        <v>4</v>
      </c>
      <c r="E448" s="8"/>
      <c r="F448" s="124"/>
      <c r="G448" s="173" t="e">
        <f t="shared" si="407"/>
        <v>#VALUE!</v>
      </c>
      <c r="H448" s="173" t="e">
        <f t="shared" ref="H448:V448" si="421">IF(H430&lt;=0, "0.000", H430)</f>
        <v>#VALUE!</v>
      </c>
      <c r="I448" s="173" t="e">
        <f t="shared" si="421"/>
        <v>#VALUE!</v>
      </c>
      <c r="J448" s="173" t="e">
        <f t="shared" si="421"/>
        <v>#VALUE!</v>
      </c>
      <c r="K448" s="173" t="e">
        <f t="shared" si="421"/>
        <v>#VALUE!</v>
      </c>
      <c r="L448" s="173" t="e">
        <f t="shared" si="421"/>
        <v>#VALUE!</v>
      </c>
      <c r="M448" s="173" t="e">
        <f t="shared" si="421"/>
        <v>#VALUE!</v>
      </c>
      <c r="N448" s="173" t="e">
        <f t="shared" si="421"/>
        <v>#VALUE!</v>
      </c>
      <c r="O448" s="173" t="e">
        <f t="shared" si="421"/>
        <v>#VALUE!</v>
      </c>
      <c r="P448" s="173" t="e">
        <f t="shared" si="421"/>
        <v>#VALUE!</v>
      </c>
      <c r="Q448" s="173" t="e">
        <f t="shared" si="421"/>
        <v>#VALUE!</v>
      </c>
      <c r="R448" s="173" t="e">
        <f t="shared" si="421"/>
        <v>#VALUE!</v>
      </c>
      <c r="S448" s="173" t="e">
        <f t="shared" si="421"/>
        <v>#VALUE!</v>
      </c>
      <c r="T448" s="173" t="e">
        <f t="shared" si="421"/>
        <v>#VALUE!</v>
      </c>
      <c r="U448" s="173" t="e">
        <f t="shared" si="421"/>
        <v>#VALUE!</v>
      </c>
      <c r="V448" s="173" t="e">
        <f t="shared" si="421"/>
        <v>#VALUE!</v>
      </c>
      <c r="W448" s="173" t="e">
        <f t="shared" ref="W448:AK448" si="422">IF(W430&lt;=0, "0.000", W430)</f>
        <v>#VALUE!</v>
      </c>
      <c r="X448" s="173" t="e">
        <f t="shared" si="422"/>
        <v>#VALUE!</v>
      </c>
      <c r="Y448" s="173" t="e">
        <f t="shared" si="422"/>
        <v>#VALUE!</v>
      </c>
      <c r="Z448" s="173" t="e">
        <f t="shared" si="422"/>
        <v>#VALUE!</v>
      </c>
      <c r="AA448" s="173" t="e">
        <f t="shared" si="422"/>
        <v>#VALUE!</v>
      </c>
      <c r="AB448" s="173" t="e">
        <f t="shared" si="422"/>
        <v>#VALUE!</v>
      </c>
      <c r="AC448" s="173" t="e">
        <f t="shared" si="422"/>
        <v>#VALUE!</v>
      </c>
      <c r="AD448" s="173" t="e">
        <f t="shared" si="422"/>
        <v>#VALUE!</v>
      </c>
      <c r="AE448" s="173" t="e">
        <f t="shared" si="422"/>
        <v>#VALUE!</v>
      </c>
      <c r="AF448" s="173" t="e">
        <f t="shared" si="422"/>
        <v>#VALUE!</v>
      </c>
      <c r="AG448" s="173" t="e">
        <f t="shared" si="422"/>
        <v>#VALUE!</v>
      </c>
      <c r="AH448" s="173" t="e">
        <f t="shared" si="422"/>
        <v>#VALUE!</v>
      </c>
      <c r="AI448" s="173" t="e">
        <f t="shared" si="422"/>
        <v>#VALUE!</v>
      </c>
      <c r="AJ448" s="173" t="e">
        <f t="shared" si="422"/>
        <v>#VALUE!</v>
      </c>
      <c r="AK448" s="173" t="e">
        <f t="shared" si="422"/>
        <v>#VALUE!</v>
      </c>
      <c r="AL448" s="4"/>
      <c r="AM448" s="43">
        <v>432</v>
      </c>
      <c r="AN448">
        <v>950.34765450447446</v>
      </c>
      <c r="AO448">
        <v>144.19578078565223</v>
      </c>
      <c r="AP448">
        <v>1226.1086183004984</v>
      </c>
      <c r="AQ448">
        <v>411.46497734540958</v>
      </c>
      <c r="AR448">
        <v>143.99188332888517</v>
      </c>
      <c r="AS448">
        <v>1481.7086838897624</v>
      </c>
      <c r="AT448">
        <v>71.401663184190042</v>
      </c>
      <c r="AU448">
        <v>63.852016061576364</v>
      </c>
      <c r="AV448"/>
      <c r="AW448"/>
      <c r="FY448" s="211">
        <v>443</v>
      </c>
      <c r="FZ448">
        <v>128.88811338891739</v>
      </c>
      <c r="GA448">
        <v>120.58027102291301</v>
      </c>
      <c r="GB448">
        <v>34.102578398419709</v>
      </c>
      <c r="GC448">
        <v>8.6731812749640191</v>
      </c>
      <c r="GD448">
        <v>4.8788807368303946</v>
      </c>
      <c r="GE448">
        <v>7.777763700466684</v>
      </c>
      <c r="GF448">
        <v>17.51344246910632</v>
      </c>
      <c r="GG448">
        <v>20.128183854049578</v>
      </c>
      <c r="GH448">
        <v>34.497715839999287</v>
      </c>
      <c r="GI448">
        <v>72.836148068770001</v>
      </c>
      <c r="GJ448"/>
      <c r="GK448"/>
      <c r="GL448"/>
      <c r="GM448"/>
    </row>
    <row r="449" spans="1:195" s="7" customFormat="1">
      <c r="A449" s="4"/>
      <c r="B449" s="48" t="s">
        <v>121</v>
      </c>
      <c r="C449" s="107" t="e">
        <f t="shared" si="406"/>
        <v>#VALUE!</v>
      </c>
      <c r="D449" s="191">
        <f>A$413</f>
        <v>7.33</v>
      </c>
      <c r="E449" s="8"/>
      <c r="F449" s="124"/>
      <c r="G449" s="173" t="e">
        <f t="shared" si="407"/>
        <v>#VALUE!</v>
      </c>
      <c r="H449" s="173" t="e">
        <f t="shared" ref="H449:V449" si="423">IF(H431&lt;=0, "0.000", H431)</f>
        <v>#VALUE!</v>
      </c>
      <c r="I449" s="173" t="e">
        <f t="shared" si="423"/>
        <v>#VALUE!</v>
      </c>
      <c r="J449" s="173" t="e">
        <f t="shared" si="423"/>
        <v>#VALUE!</v>
      </c>
      <c r="K449" s="173" t="e">
        <f t="shared" si="423"/>
        <v>#VALUE!</v>
      </c>
      <c r="L449" s="173" t="e">
        <f t="shared" si="423"/>
        <v>#VALUE!</v>
      </c>
      <c r="M449" s="173" t="e">
        <f t="shared" si="423"/>
        <v>#VALUE!</v>
      </c>
      <c r="N449" s="173" t="e">
        <f t="shared" si="423"/>
        <v>#VALUE!</v>
      </c>
      <c r="O449" s="173" t="e">
        <f t="shared" si="423"/>
        <v>#VALUE!</v>
      </c>
      <c r="P449" s="173" t="e">
        <f t="shared" si="423"/>
        <v>#VALUE!</v>
      </c>
      <c r="Q449" s="173" t="e">
        <f t="shared" si="423"/>
        <v>#VALUE!</v>
      </c>
      <c r="R449" s="173" t="e">
        <f t="shared" si="423"/>
        <v>#VALUE!</v>
      </c>
      <c r="S449" s="173" t="e">
        <f t="shared" si="423"/>
        <v>#VALUE!</v>
      </c>
      <c r="T449" s="173" t="e">
        <f t="shared" si="423"/>
        <v>#VALUE!</v>
      </c>
      <c r="U449" s="173" t="e">
        <f t="shared" si="423"/>
        <v>#VALUE!</v>
      </c>
      <c r="V449" s="173" t="e">
        <f t="shared" si="423"/>
        <v>#VALUE!</v>
      </c>
      <c r="W449" s="173" t="e">
        <f t="shared" ref="W449:AK449" si="424">IF(W431&lt;=0, "0.000", W431)</f>
        <v>#VALUE!</v>
      </c>
      <c r="X449" s="173" t="e">
        <f t="shared" si="424"/>
        <v>#VALUE!</v>
      </c>
      <c r="Y449" s="173" t="e">
        <f t="shared" si="424"/>
        <v>#VALUE!</v>
      </c>
      <c r="Z449" s="173" t="e">
        <f t="shared" si="424"/>
        <v>#VALUE!</v>
      </c>
      <c r="AA449" s="173" t="e">
        <f t="shared" si="424"/>
        <v>#VALUE!</v>
      </c>
      <c r="AB449" s="173" t="e">
        <f t="shared" si="424"/>
        <v>#VALUE!</v>
      </c>
      <c r="AC449" s="173" t="e">
        <f t="shared" si="424"/>
        <v>#VALUE!</v>
      </c>
      <c r="AD449" s="173" t="e">
        <f t="shared" si="424"/>
        <v>#VALUE!</v>
      </c>
      <c r="AE449" s="173" t="e">
        <f t="shared" si="424"/>
        <v>#VALUE!</v>
      </c>
      <c r="AF449" s="173" t="e">
        <f t="shared" si="424"/>
        <v>#VALUE!</v>
      </c>
      <c r="AG449" s="173" t="e">
        <f t="shared" si="424"/>
        <v>#VALUE!</v>
      </c>
      <c r="AH449" s="173" t="e">
        <f t="shared" si="424"/>
        <v>#VALUE!</v>
      </c>
      <c r="AI449" s="173" t="e">
        <f t="shared" si="424"/>
        <v>#VALUE!</v>
      </c>
      <c r="AJ449" s="173" t="e">
        <f t="shared" si="424"/>
        <v>#VALUE!</v>
      </c>
      <c r="AK449" s="173" t="e">
        <f t="shared" si="424"/>
        <v>#VALUE!</v>
      </c>
      <c r="AL449" s="4"/>
      <c r="AM449" s="43">
        <v>433</v>
      </c>
      <c r="AN449">
        <v>1365.9462538532991</v>
      </c>
      <c r="AO449">
        <v>165.67280140154284</v>
      </c>
      <c r="AP449">
        <v>1339.5843766950413</v>
      </c>
      <c r="AQ449">
        <v>499.62234097066823</v>
      </c>
      <c r="AR449">
        <v>158.64935055827112</v>
      </c>
      <c r="AS449">
        <v>1831.6181385155385</v>
      </c>
      <c r="AT449">
        <v>76.598360561056538</v>
      </c>
      <c r="AU449">
        <v>330.43331802949041</v>
      </c>
      <c r="AV449"/>
      <c r="AW449"/>
      <c r="FY449" s="211">
        <v>444</v>
      </c>
      <c r="FZ449">
        <v>140.7740972950408</v>
      </c>
      <c r="GA449">
        <v>126.01597566697249</v>
      </c>
      <c r="GB449">
        <v>34.997184705531097</v>
      </c>
      <c r="GC449">
        <v>7.4005870783483036</v>
      </c>
      <c r="GD449">
        <v>3.8983666962031567</v>
      </c>
      <c r="GE449">
        <v>6.113553742278885</v>
      </c>
      <c r="GF449">
        <v>26.936319946174113</v>
      </c>
      <c r="GG449">
        <v>33.429626108774563</v>
      </c>
      <c r="GH449">
        <v>17.683098493374523</v>
      </c>
      <c r="GI449">
        <v>73.514683248733661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 t="e">
        <f t="shared" si="406"/>
        <v>#VALUE!</v>
      </c>
      <c r="D450" s="191">
        <f>A$414</f>
        <v>10.51</v>
      </c>
      <c r="E450" s="8"/>
      <c r="F450" s="124"/>
      <c r="G450" s="173" t="e">
        <f t="shared" si="407"/>
        <v>#VALUE!</v>
      </c>
      <c r="H450" s="173" t="e">
        <f t="shared" ref="H450:V450" si="425">IF(H432&lt;=0, "0.000", H432)</f>
        <v>#VALUE!</v>
      </c>
      <c r="I450" s="173" t="e">
        <f t="shared" si="425"/>
        <v>#VALUE!</v>
      </c>
      <c r="J450" s="173" t="e">
        <f t="shared" si="425"/>
        <v>#VALUE!</v>
      </c>
      <c r="K450" s="173" t="e">
        <f t="shared" si="425"/>
        <v>#VALUE!</v>
      </c>
      <c r="L450" s="173" t="e">
        <f t="shared" si="425"/>
        <v>#VALUE!</v>
      </c>
      <c r="M450" s="173" t="e">
        <f t="shared" si="425"/>
        <v>#VALUE!</v>
      </c>
      <c r="N450" s="173" t="e">
        <f t="shared" si="425"/>
        <v>#VALUE!</v>
      </c>
      <c r="O450" s="173" t="e">
        <f t="shared" si="425"/>
        <v>#VALUE!</v>
      </c>
      <c r="P450" s="173" t="e">
        <f t="shared" si="425"/>
        <v>#VALUE!</v>
      </c>
      <c r="Q450" s="173" t="e">
        <f t="shared" si="425"/>
        <v>#VALUE!</v>
      </c>
      <c r="R450" s="173" t="e">
        <f t="shared" si="425"/>
        <v>#VALUE!</v>
      </c>
      <c r="S450" s="173" t="e">
        <f t="shared" si="425"/>
        <v>#VALUE!</v>
      </c>
      <c r="T450" s="173" t="e">
        <f t="shared" si="425"/>
        <v>#VALUE!</v>
      </c>
      <c r="U450" s="173" t="e">
        <f t="shared" si="425"/>
        <v>#VALUE!</v>
      </c>
      <c r="V450" s="173" t="e">
        <f t="shared" si="425"/>
        <v>#VALUE!</v>
      </c>
      <c r="W450" s="173" t="e">
        <f t="shared" ref="W450:AK450" si="426">IF(W432&lt;=0, "0.000", W432)</f>
        <v>#VALUE!</v>
      </c>
      <c r="X450" s="173" t="e">
        <f t="shared" si="426"/>
        <v>#VALUE!</v>
      </c>
      <c r="Y450" s="173" t="e">
        <f t="shared" si="426"/>
        <v>#VALUE!</v>
      </c>
      <c r="Z450" s="173" t="e">
        <f t="shared" si="426"/>
        <v>#VALUE!</v>
      </c>
      <c r="AA450" s="173" t="e">
        <f t="shared" si="426"/>
        <v>#VALUE!</v>
      </c>
      <c r="AB450" s="173" t="e">
        <f t="shared" si="426"/>
        <v>#VALUE!</v>
      </c>
      <c r="AC450" s="173" t="e">
        <f t="shared" si="426"/>
        <v>#VALUE!</v>
      </c>
      <c r="AD450" s="173" t="e">
        <f t="shared" si="426"/>
        <v>#VALUE!</v>
      </c>
      <c r="AE450" s="173" t="e">
        <f t="shared" si="426"/>
        <v>#VALUE!</v>
      </c>
      <c r="AF450" s="173" t="e">
        <f t="shared" si="426"/>
        <v>#VALUE!</v>
      </c>
      <c r="AG450" s="173" t="e">
        <f t="shared" si="426"/>
        <v>#VALUE!</v>
      </c>
      <c r="AH450" s="173" t="e">
        <f t="shared" si="426"/>
        <v>#VALUE!</v>
      </c>
      <c r="AI450" s="173" t="e">
        <f t="shared" si="426"/>
        <v>#VALUE!</v>
      </c>
      <c r="AJ450" s="173" t="e">
        <f t="shared" si="426"/>
        <v>#VALUE!</v>
      </c>
      <c r="AK450" s="173" t="e">
        <f t="shared" si="426"/>
        <v>#VALUE!</v>
      </c>
      <c r="AL450" s="4"/>
      <c r="AM450" s="43">
        <v>434</v>
      </c>
      <c r="AN450">
        <v>902.49754146436169</v>
      </c>
      <c r="AO450">
        <v>135.86200220325509</v>
      </c>
      <c r="AP450">
        <v>1174.0142675862883</v>
      </c>
      <c r="AQ450">
        <v>360.98187041485488</v>
      </c>
      <c r="AR450">
        <v>129.32659053345262</v>
      </c>
      <c r="AS450">
        <v>1344.3423118314649</v>
      </c>
      <c r="AT450">
        <v>61.011022324016984</v>
      </c>
      <c r="AU450">
        <v>122.02653883728253</v>
      </c>
      <c r="AV450"/>
      <c r="AW450"/>
      <c r="FY450" s="211">
        <v>445</v>
      </c>
      <c r="FZ450">
        <v>87.663995973245392</v>
      </c>
      <c r="GA450">
        <v>90.66579475773888</v>
      </c>
      <c r="GB450">
        <v>32.040009689947162</v>
      </c>
      <c r="GC450">
        <v>10.979004867415707</v>
      </c>
      <c r="GD450">
        <v>4.1196094984996012</v>
      </c>
      <c r="GE450">
        <v>5.7976747127598909</v>
      </c>
      <c r="GF450">
        <v>41.342083810057993</v>
      </c>
      <c r="GG450">
        <v>50.624891834549707</v>
      </c>
      <c r="GH450">
        <v>18.430026957844635</v>
      </c>
      <c r="GI450">
        <v>98.571477817520446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841.40242902582941</v>
      </c>
      <c r="AO451">
        <v>132.57233319793011</v>
      </c>
      <c r="AP451">
        <v>1004.0332437749539</v>
      </c>
      <c r="AQ451">
        <v>317.5971204846843</v>
      </c>
      <c r="AR451">
        <v>130.3803922737294</v>
      </c>
      <c r="AS451">
        <v>1301.4911715859437</v>
      </c>
      <c r="AT451">
        <v>65.508766724591752</v>
      </c>
      <c r="AU451">
        <v>72.685448195766568</v>
      </c>
      <c r="AV451"/>
      <c r="AW451"/>
      <c r="FY451" s="211">
        <v>446</v>
      </c>
      <c r="FZ451">
        <v>103.58982944713938</v>
      </c>
      <c r="GA451">
        <v>89.647304150806093</v>
      </c>
      <c r="GB451">
        <v>33.212988661227136</v>
      </c>
      <c r="GC451">
        <v>9.0622920288371418</v>
      </c>
      <c r="GD451">
        <v>2.8719521512583226</v>
      </c>
      <c r="GE451">
        <v>5.600938014723182</v>
      </c>
      <c r="GF451">
        <v>35.562837771411736</v>
      </c>
      <c r="GG451">
        <v>42.956635546873649</v>
      </c>
      <c r="GH451">
        <v>17.066225526114938</v>
      </c>
      <c r="GI451">
        <v>72.913173419383682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1230.665370524054</v>
      </c>
      <c r="AO452">
        <v>200.90217365362534</v>
      </c>
      <c r="AP452">
        <v>1725.6537740260637</v>
      </c>
      <c r="AQ452">
        <v>573.42778737208289</v>
      </c>
      <c r="AR452">
        <v>194.38414704840272</v>
      </c>
      <c r="AS452">
        <v>1969.2604009307322</v>
      </c>
      <c r="AT452">
        <v>92.145049450228598</v>
      </c>
      <c r="AU452">
        <v>26.675648584298514</v>
      </c>
      <c r="AV452"/>
      <c r="AW452"/>
      <c r="FY452" s="211">
        <v>447</v>
      </c>
      <c r="FZ452">
        <v>114.3372771619091</v>
      </c>
      <c r="GA452">
        <v>52.41636850738066</v>
      </c>
      <c r="GB452">
        <v>24.373497227272519</v>
      </c>
      <c r="GC452">
        <v>9.2843344717504195</v>
      </c>
      <c r="GD452">
        <v>3.5378728676979723</v>
      </c>
      <c r="GE452">
        <v>5.7518061004364931</v>
      </c>
      <c r="GF452">
        <v>21.593631511544743</v>
      </c>
      <c r="GG452">
        <v>27.132008792107708</v>
      </c>
      <c r="GH452">
        <v>28.258416777639795</v>
      </c>
      <c r="GI452">
        <v>72.726060615056184</v>
      </c>
      <c r="GJ452"/>
      <c r="GK452"/>
      <c r="GL452"/>
      <c r="GM452"/>
    </row>
    <row r="453" spans="1:195" s="7" customFormat="1">
      <c r="A453" s="1">
        <v>5.0999999999999997E-2</v>
      </c>
      <c r="B453" s="52" t="s">
        <v>53</v>
      </c>
      <c r="C453" s="53" t="e">
        <f>SUM(C441:C452)</f>
        <v>#VALUE!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1177.0354395457457</v>
      </c>
      <c r="AO453">
        <v>147.76187394440967</v>
      </c>
      <c r="AP453">
        <v>1258.6553978817296</v>
      </c>
      <c r="AQ453">
        <v>447.572175504038</v>
      </c>
      <c r="AR453">
        <v>142.03007606896938</v>
      </c>
      <c r="AS453">
        <v>1546.8146380831413</v>
      </c>
      <c r="AT453">
        <v>66.944935955059961</v>
      </c>
      <c r="AU453">
        <v>164.2599065052874</v>
      </c>
      <c r="AV453"/>
      <c r="AW453"/>
      <c r="FY453" s="211">
        <v>448</v>
      </c>
      <c r="FZ453">
        <v>117.09906096994906</v>
      </c>
      <c r="GA453">
        <v>83.631943518528004</v>
      </c>
      <c r="GB453">
        <v>30.261677469545983</v>
      </c>
      <c r="GC453">
        <v>6.5697007525750157</v>
      </c>
      <c r="GD453">
        <v>3.5967883156806302</v>
      </c>
      <c r="GE453">
        <v>6.5648160163354365</v>
      </c>
      <c r="GF453">
        <v>25.880685937758813</v>
      </c>
      <c r="GG453">
        <v>33.575187917280871</v>
      </c>
      <c r="GH453">
        <v>19.607010173076738</v>
      </c>
      <c r="GI453">
        <v>71.988779585609649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1187.7584135762777</v>
      </c>
      <c r="AO454">
        <v>186.4696736864058</v>
      </c>
      <c r="AP454">
        <v>1686.3113117454072</v>
      </c>
      <c r="AQ454">
        <v>527.9186390920122</v>
      </c>
      <c r="AR454">
        <v>188.76249112968304</v>
      </c>
      <c r="AS454">
        <v>1907.8102930415553</v>
      </c>
      <c r="AT454">
        <v>90.856412758221765</v>
      </c>
      <c r="AU454">
        <v>212.23346153468947</v>
      </c>
      <c r="AV454"/>
      <c r="AW454"/>
      <c r="FY454" s="211">
        <v>449</v>
      </c>
      <c r="FZ454">
        <v>104.67017893617403</v>
      </c>
      <c r="GA454">
        <v>88.088071533644765</v>
      </c>
      <c r="GB454">
        <v>28.17891041880948</v>
      </c>
      <c r="GC454">
        <v>8.2291386146840786</v>
      </c>
      <c r="GD454">
        <v>3.4451379479688242</v>
      </c>
      <c r="GE454">
        <v>6.4111353149713963</v>
      </c>
      <c r="GF454">
        <v>30.500784250866083</v>
      </c>
      <c r="GG454">
        <v>36.539642301296148</v>
      </c>
      <c r="GH454">
        <v>17.993897541958219</v>
      </c>
      <c r="GI454">
        <v>70.237174047412978</v>
      </c>
      <c r="GJ454"/>
      <c r="GK454"/>
      <c r="GL454"/>
      <c r="GM454"/>
    </row>
    <row r="455" spans="1:195" s="7" customFormat="1" ht="15.6">
      <c r="A455" s="1">
        <v>6.8000000000000005E-2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9"/>
      <c r="P455" s="229"/>
      <c r="Q455" s="229"/>
      <c r="R455" s="22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1071.8084670378296</v>
      </c>
      <c r="AO455">
        <v>181.52273093585598</v>
      </c>
      <c r="AP455">
        <v>1341.5805576868936</v>
      </c>
      <c r="AQ455">
        <v>348.88305968455518</v>
      </c>
      <c r="AR455">
        <v>177.65788918461229</v>
      </c>
      <c r="AS455">
        <v>1765.6439145118163</v>
      </c>
      <c r="AT455">
        <v>89.419019357616278</v>
      </c>
      <c r="AU455">
        <v>293.39565231353674</v>
      </c>
      <c r="AV455"/>
      <c r="AW455"/>
      <c r="FY455" s="211">
        <v>450</v>
      </c>
      <c r="FZ455">
        <v>87.919621987091233</v>
      </c>
      <c r="GA455">
        <v>76.194948192825763</v>
      </c>
      <c r="GB455">
        <v>27.489819065265053</v>
      </c>
      <c r="GC455">
        <v>8.4377910234908668</v>
      </c>
      <c r="GD455">
        <v>3.6504412871566858</v>
      </c>
      <c r="GE455">
        <v>4.1812139465323153</v>
      </c>
      <c r="GF455">
        <v>25.821477617665607</v>
      </c>
      <c r="GG455">
        <v>35.076519427459687</v>
      </c>
      <c r="GH455">
        <v>24.853536201257739</v>
      </c>
      <c r="GI455">
        <v>69.671556304933375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1061.7567602808081</v>
      </c>
      <c r="AO456">
        <v>172.68752453681236</v>
      </c>
      <c r="AP456">
        <v>1445.9674652604276</v>
      </c>
      <c r="AQ456">
        <v>491.35489886091523</v>
      </c>
      <c r="AR456">
        <v>170.74522816880889</v>
      </c>
      <c r="AS456">
        <v>1763.7019203314733</v>
      </c>
      <c r="AT456">
        <v>89.75227002227281</v>
      </c>
      <c r="AU456">
        <v>108.14456505884927</v>
      </c>
      <c r="AV456"/>
      <c r="AW456"/>
      <c r="FY456" s="211">
        <v>451</v>
      </c>
      <c r="FZ456">
        <v>75.781337169366211</v>
      </c>
      <c r="GA456">
        <v>46.855118332777117</v>
      </c>
      <c r="GB456">
        <v>22.365250674946338</v>
      </c>
      <c r="GC456">
        <v>8.2336818294021334</v>
      </c>
      <c r="GD456">
        <v>3.0578713708748411</v>
      </c>
      <c r="GE456">
        <v>4.4920770396821776</v>
      </c>
      <c r="GF456">
        <v>42.51610728757484</v>
      </c>
      <c r="GG456">
        <v>55.485672348846002</v>
      </c>
      <c r="GH456">
        <v>35.231937406476824</v>
      </c>
      <c r="GI456">
        <v>75.732872761789594</v>
      </c>
      <c r="GJ456"/>
      <c r="GK456"/>
      <c r="GL456"/>
      <c r="GM456"/>
    </row>
    <row r="457" spans="1:195" s="7" customFormat="1">
      <c r="A457" s="1">
        <v>6.0000000000000001E-3</v>
      </c>
      <c r="B457" s="4"/>
      <c r="C457" s="100">
        <v>0.5</v>
      </c>
      <c r="D457" s="101">
        <f>SUM($E$228:$E$347)/$A$438</f>
        <v>25.659269447941828</v>
      </c>
      <c r="E457" s="97" t="e">
        <f>+G36</f>
        <v>#VALUE!</v>
      </c>
      <c r="F457" s="102">
        <f>+D457-D459</f>
        <v>-254.92817174419099</v>
      </c>
      <c r="G457" s="101" t="e">
        <f>+D457*E457</f>
        <v>#VALUE!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1227.9494624095128</v>
      </c>
      <c r="AO457">
        <v>182.22908316869123</v>
      </c>
      <c r="AP457">
        <v>1505.6487049180441</v>
      </c>
      <c r="AQ457">
        <v>527.67914288598422</v>
      </c>
      <c r="AR457">
        <v>175.17499665512119</v>
      </c>
      <c r="AS457">
        <v>1790.5835304267639</v>
      </c>
      <c r="AT457">
        <v>81.517842158670447</v>
      </c>
      <c r="AU457">
        <v>51.582646206045723</v>
      </c>
      <c r="AV457"/>
      <c r="AW457"/>
      <c r="FY457" s="211">
        <v>452</v>
      </c>
      <c r="FZ457">
        <v>107.22694515952537</v>
      </c>
      <c r="GA457">
        <v>121.3973068736225</v>
      </c>
      <c r="GB457">
        <v>44.81346818768715</v>
      </c>
      <c r="GC457">
        <v>7.6648993040507634</v>
      </c>
      <c r="GD457">
        <v>2.1952448219662113</v>
      </c>
      <c r="GE457">
        <v>4.994399595892407</v>
      </c>
      <c r="GF457">
        <v>40.142658885204348</v>
      </c>
      <c r="GG457">
        <v>47.895886442011104</v>
      </c>
      <c r="GH457">
        <v>26.867207746810866</v>
      </c>
      <c r="GI457">
        <v>79.983376053081784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 t="e">
        <f>+SQRT(E457*E459)</f>
        <v>#VALUE!</v>
      </c>
      <c r="I458" s="101" t="e">
        <f>+H458*F457</f>
        <v>#VALUE!</v>
      </c>
      <c r="J458" s="101" t="e">
        <f>+I458*$A$440</f>
        <v>#VALUE!</v>
      </c>
      <c r="K458" s="61" t="e">
        <f>IF(J458&lt;0,0,J458)</f>
        <v>#VALUE!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1083.7468269840926</v>
      </c>
      <c r="AO458">
        <v>180.83668455025378</v>
      </c>
      <c r="AP458">
        <v>1557.4490895508511</v>
      </c>
      <c r="AQ458">
        <v>430.47525149595657</v>
      </c>
      <c r="AR458">
        <v>170.726596927597</v>
      </c>
      <c r="AS458">
        <v>1792.7843473879705</v>
      </c>
      <c r="AT458">
        <v>78.97703135190693</v>
      </c>
      <c r="AU458">
        <v>135.12128172069097</v>
      </c>
      <c r="AV458"/>
      <c r="AW458"/>
      <c r="FY458" s="211">
        <v>453</v>
      </c>
      <c r="FZ458">
        <v>167.85067309644094</v>
      </c>
      <c r="GA458">
        <v>100.86466495626466</v>
      </c>
      <c r="GB458">
        <v>21.173800456936419</v>
      </c>
      <c r="GC458">
        <v>9.6802693533678461</v>
      </c>
      <c r="GD458">
        <v>3.3449726823435881</v>
      </c>
      <c r="GE458">
        <v>4.2208099833752142</v>
      </c>
      <c r="GF458">
        <v>28.23519739167579</v>
      </c>
      <c r="GG458">
        <v>33.950173562333909</v>
      </c>
      <c r="GH458">
        <v>32.504989208846546</v>
      </c>
      <c r="GI458">
        <v>74.403954337927388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280.58744119213281</v>
      </c>
      <c r="E459" s="97" t="e">
        <f>+H36</f>
        <v>#VALUE!</v>
      </c>
      <c r="F459" s="102">
        <f>+D459-D461</f>
        <v>-122.57325431534451</v>
      </c>
      <c r="G459" s="101" t="e">
        <f>+D459*E459</f>
        <v>#VALUE!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1120.6398131792582</v>
      </c>
      <c r="AO459">
        <v>163.02564387859601</v>
      </c>
      <c r="AP459">
        <v>1392.6486328547508</v>
      </c>
      <c r="AQ459">
        <v>449.87627875443638</v>
      </c>
      <c r="AR459">
        <v>158.84840177504276</v>
      </c>
      <c r="AS459">
        <v>1693.2323833895432</v>
      </c>
      <c r="AT459">
        <v>84.605829757933478</v>
      </c>
      <c r="AU459">
        <v>87.021451374476868</v>
      </c>
      <c r="AV459"/>
      <c r="AW459"/>
      <c r="FY459" s="211">
        <v>454</v>
      </c>
      <c r="FZ459">
        <v>140.57822267657977</v>
      </c>
      <c r="GA459">
        <v>183.50274904149191</v>
      </c>
      <c r="GB459">
        <v>57.967727662193639</v>
      </c>
      <c r="GC459">
        <v>10.400010040992537</v>
      </c>
      <c r="GD459">
        <v>4.2073378088072868</v>
      </c>
      <c r="GE459">
        <v>5.2371891819468033</v>
      </c>
      <c r="GF459">
        <v>24.963882627372204</v>
      </c>
      <c r="GG459">
        <v>30.566724061828882</v>
      </c>
      <c r="GH459">
        <v>26.27020180077696</v>
      </c>
      <c r="GI459">
        <v>89.173198617579288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 t="e">
        <f>+SQRT(E459*E461)</f>
        <v>#VALUE!</v>
      </c>
      <c r="I460" s="101" t="e">
        <f>+H460*F459</f>
        <v>#VALUE!</v>
      </c>
      <c r="J460" s="101" t="e">
        <f>+I460*$A$440</f>
        <v>#VALUE!</v>
      </c>
      <c r="K460" s="61" t="e">
        <f>IF(AND(J460&lt;0, J458&lt;0), 0, J460)</f>
        <v>#VALUE!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1114.0138534121484</v>
      </c>
      <c r="AO460">
        <v>151.41394579951594</v>
      </c>
      <c r="AP460">
        <v>1269.1623982346471</v>
      </c>
      <c r="AQ460">
        <v>470.76349298143163</v>
      </c>
      <c r="AR460">
        <v>148.99954390914851</v>
      </c>
      <c r="AS460">
        <v>1661.7417656635225</v>
      </c>
      <c r="AT460">
        <v>74.990386730596839</v>
      </c>
      <c r="AU460">
        <v>198.9305373391764</v>
      </c>
      <c r="AV460"/>
      <c r="AW460"/>
      <c r="FY460" s="211">
        <v>455</v>
      </c>
      <c r="FZ460">
        <v>180.61905798894216</v>
      </c>
      <c r="GA460">
        <v>201.28011773722938</v>
      </c>
      <c r="GB460">
        <v>49.67829994233837</v>
      </c>
      <c r="GC460">
        <v>7.7279178944355884</v>
      </c>
      <c r="GD460">
        <v>3.4835468211669993</v>
      </c>
      <c r="GE460">
        <v>6.4258877292262504</v>
      </c>
      <c r="GF460">
        <v>32.038029335078704</v>
      </c>
      <c r="GG460">
        <v>39.081315707121725</v>
      </c>
      <c r="GH460">
        <v>24.923062436490042</v>
      </c>
      <c r="GI460">
        <v>95.916557578581475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403.16069550747733</v>
      </c>
      <c r="E461" s="97" t="e">
        <f>+I36</f>
        <v>#VALUE!</v>
      </c>
      <c r="F461" s="102">
        <f>+D461-D463</f>
        <v>165.89603172003808</v>
      </c>
      <c r="G461" s="101" t="e">
        <f>+D461*E461</f>
        <v>#VALUE!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1431.445580474837</v>
      </c>
      <c r="AO461">
        <v>218.80424811217071</v>
      </c>
      <c r="AP461">
        <v>1638.9002856938027</v>
      </c>
      <c r="AQ461">
        <v>440.23456991957937</v>
      </c>
      <c r="AR461">
        <v>207.77049338922455</v>
      </c>
      <c r="AS461">
        <v>2390.663967699561</v>
      </c>
      <c r="AT461">
        <v>102.15015470556234</v>
      </c>
      <c r="AU461">
        <v>531.26173995760826</v>
      </c>
      <c r="AV461"/>
      <c r="AW461"/>
      <c r="FY461" s="211">
        <v>456</v>
      </c>
      <c r="FZ461">
        <v>99.208332329060383</v>
      </c>
      <c r="GA461">
        <v>116.0991668881634</v>
      </c>
      <c r="GB461">
        <v>36.8405596169452</v>
      </c>
      <c r="GC461">
        <v>6.9883343602297492</v>
      </c>
      <c r="GD461">
        <v>2.4941036907059235</v>
      </c>
      <c r="GE461">
        <v>4.3658809785848938</v>
      </c>
      <c r="GF461">
        <v>31.881929697486143</v>
      </c>
      <c r="GG461">
        <v>41.889099971102304</v>
      </c>
      <c r="GH461">
        <v>18.869844045508064</v>
      </c>
      <c r="GI461">
        <v>72.68692271764877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 t="e">
        <f>+SQRT(E461*E463)</f>
        <v>#VALUE!</v>
      </c>
      <c r="I462" s="101" t="e">
        <f>+H462*F461</f>
        <v>#VALUE!</v>
      </c>
      <c r="J462" s="101" t="e">
        <f>+I462*$A$440</f>
        <v>#VALUE!</v>
      </c>
      <c r="K462" s="61" t="e">
        <f>IF(AND(J462&lt;0, J460&lt;0), 0, J462)</f>
        <v>#VALUE!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1123.9732341890515</v>
      </c>
      <c r="AO462">
        <v>145.66575348346299</v>
      </c>
      <c r="AP462">
        <v>1141.2123409494682</v>
      </c>
      <c r="AQ462">
        <v>412.4841767177752</v>
      </c>
      <c r="AR462">
        <v>143.84037876993602</v>
      </c>
      <c r="AS462">
        <v>1563.3056862121639</v>
      </c>
      <c r="AT462">
        <v>69.730638631443057</v>
      </c>
      <c r="AU462">
        <v>170.65479472314013</v>
      </c>
      <c r="AV462"/>
      <c r="AW462"/>
      <c r="FY462" s="211">
        <v>457</v>
      </c>
      <c r="FZ462">
        <v>211.93776103985343</v>
      </c>
      <c r="GA462">
        <v>148.75766277302645</v>
      </c>
      <c r="GB462">
        <v>33.273605883859467</v>
      </c>
      <c r="GC462">
        <v>10.207212199374666</v>
      </c>
      <c r="GD462">
        <v>3.9543292506406669</v>
      </c>
      <c r="GE462">
        <v>6.208565145632063</v>
      </c>
      <c r="GF462">
        <v>34.284011169058878</v>
      </c>
      <c r="GG462">
        <v>42.147921055870398</v>
      </c>
      <c r="GH462">
        <v>14.319383343671431</v>
      </c>
      <c r="GI462">
        <v>78.346218903116181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237.26466378743925</v>
      </c>
      <c r="E463" s="97" t="e">
        <f>+J36</f>
        <v>#VALUE!</v>
      </c>
      <c r="F463" s="102">
        <f>+D463-D465</f>
        <v>70.658892421441408</v>
      </c>
      <c r="G463" s="101" t="e">
        <f>+D463*E463</f>
        <v>#VALUE!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1004.8136357647949</v>
      </c>
      <c r="AO463">
        <v>165.47712944993879</v>
      </c>
      <c r="AP463">
        <v>1353.911777297295</v>
      </c>
      <c r="AQ463">
        <v>359.41127403279563</v>
      </c>
      <c r="AR463">
        <v>164.45133431246506</v>
      </c>
      <c r="AS463">
        <v>1603.2271115889396</v>
      </c>
      <c r="AT463">
        <v>80.845063715970625</v>
      </c>
      <c r="AU463">
        <v>191.06580691840028</v>
      </c>
      <c r="AV463"/>
      <c r="AW463"/>
      <c r="FY463" s="211">
        <v>458</v>
      </c>
      <c r="FZ463">
        <v>163.08529072496697</v>
      </c>
      <c r="GA463">
        <v>114.24586711233697</v>
      </c>
      <c r="GB463">
        <v>25.15526325662686</v>
      </c>
      <c r="GC463">
        <v>6.8435286465040965</v>
      </c>
      <c r="GD463">
        <v>2.3926585126354869</v>
      </c>
      <c r="GE463">
        <v>3.7795113694469071</v>
      </c>
      <c r="GF463">
        <v>38.181729970169783</v>
      </c>
      <c r="GG463">
        <v>52.182338317316209</v>
      </c>
      <c r="GH463">
        <v>29.183344171901275</v>
      </c>
      <c r="GI463">
        <v>83.762100783018525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 t="e">
        <f>+SQRT(E463*E465)</f>
        <v>#VALUE!</v>
      </c>
      <c r="I464" s="101" t="e">
        <f>+H464*F463</f>
        <v>#VALUE!</v>
      </c>
      <c r="J464" s="101" t="e">
        <f>+I464*$A$440</f>
        <v>#VALUE!</v>
      </c>
      <c r="K464" s="61" t="e">
        <f>IF(AND(J464&lt;0, J462&lt;0), 0, J464)</f>
        <v>#VALUE!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1040.8843727325243</v>
      </c>
      <c r="AO464">
        <v>138.87956765253983</v>
      </c>
      <c r="AP464">
        <v>1071.5472389766708</v>
      </c>
      <c r="AQ464">
        <v>398.77565065634019</v>
      </c>
      <c r="AR464">
        <v>138.95703607406733</v>
      </c>
      <c r="AS464">
        <v>1544.6742530501042</v>
      </c>
      <c r="AT464">
        <v>68.61808892681465</v>
      </c>
      <c r="AU464">
        <v>170.12440080082851</v>
      </c>
      <c r="AV464"/>
      <c r="AW464"/>
      <c r="FY464" s="211">
        <v>459</v>
      </c>
      <c r="FZ464">
        <v>142.08955788292053</v>
      </c>
      <c r="GA464">
        <v>111.86685571942111</v>
      </c>
      <c r="GB464">
        <v>24.897648264600644</v>
      </c>
      <c r="GC464">
        <v>7.098009696008984</v>
      </c>
      <c r="GD464">
        <v>1.778714793216895</v>
      </c>
      <c r="GE464">
        <v>3.9501930355447961</v>
      </c>
      <c r="GF464">
        <v>45.734885593211196</v>
      </c>
      <c r="GG464">
        <v>57.556746071184442</v>
      </c>
      <c r="GH464">
        <v>25.40859942546016</v>
      </c>
      <c r="GI464">
        <v>76.817179873175832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166.60577136599784</v>
      </c>
      <c r="E465" s="97" t="e">
        <f>+K36</f>
        <v>#VALUE!</v>
      </c>
      <c r="F465" s="102">
        <f>+D465-D467</f>
        <v>109.8025603173472</v>
      </c>
      <c r="G465" s="101" t="e">
        <f>+D465*E465</f>
        <v>#VALUE!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1100.9179199737323</v>
      </c>
      <c r="AO465">
        <v>158.96858676830402</v>
      </c>
      <c r="AP465">
        <v>1336.7331194788169</v>
      </c>
      <c r="AQ465">
        <v>394.29407090778602</v>
      </c>
      <c r="AR465">
        <v>151.72375178752134</v>
      </c>
      <c r="AS465">
        <v>1564.2517957784328</v>
      </c>
      <c r="AT465">
        <v>69.752176623966747</v>
      </c>
      <c r="AU465">
        <v>191.63757163703951</v>
      </c>
      <c r="AV465"/>
      <c r="AW465"/>
      <c r="FY465" s="211">
        <v>460</v>
      </c>
      <c r="FZ465">
        <v>143.60278533507014</v>
      </c>
      <c r="GA465">
        <v>116.92926820195657</v>
      </c>
      <c r="GB465">
        <v>32.459452146454943</v>
      </c>
      <c r="GC465">
        <v>7.1135323451583918</v>
      </c>
      <c r="GD465">
        <v>2.7121973188660773</v>
      </c>
      <c r="GE465">
        <v>5.2952429595394648</v>
      </c>
      <c r="GF465">
        <v>37.943644067751791</v>
      </c>
      <c r="GG465">
        <v>47.920516960973401</v>
      </c>
      <c r="GH465">
        <v>32.010877532389948</v>
      </c>
      <c r="GI465">
        <v>76.2133019405818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 t="e">
        <f>+SQRT(E465*E467)</f>
        <v>#VALUE!</v>
      </c>
      <c r="I466" s="101" t="e">
        <f>+H466*F465</f>
        <v>#VALUE!</v>
      </c>
      <c r="J466" s="101" t="e">
        <f>+I466*$A$440</f>
        <v>#VALUE!</v>
      </c>
      <c r="K466" s="61" t="e">
        <f>IF(AND(J466&lt;0, J464&lt;0), 0, J466)</f>
        <v>#VALUE!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1055.3394983452822</v>
      </c>
      <c r="AO466">
        <v>161.50459364497624</v>
      </c>
      <c r="AP466">
        <v>1298.7106572819523</v>
      </c>
      <c r="AQ466">
        <v>363.29692505367836</v>
      </c>
      <c r="AR466">
        <v>154.65646420849851</v>
      </c>
      <c r="AS466">
        <v>1519.9334153460957</v>
      </c>
      <c r="AT466">
        <v>74.536057470327179</v>
      </c>
      <c r="AU466">
        <v>141.86325245676059</v>
      </c>
      <c r="AV466"/>
      <c r="AW466"/>
      <c r="FY466" s="211">
        <v>461</v>
      </c>
      <c r="FZ466">
        <v>129.09761039993515</v>
      </c>
      <c r="GA466">
        <v>92.369153161078358</v>
      </c>
      <c r="GB466">
        <v>42.399786023365145</v>
      </c>
      <c r="GC466">
        <v>10.156510502846485</v>
      </c>
      <c r="GD466">
        <v>3.2930633779145682</v>
      </c>
      <c r="GE466">
        <v>5.3953818313002735</v>
      </c>
      <c r="GF466">
        <v>43.920241652337417</v>
      </c>
      <c r="GG466">
        <v>53.524133403964584</v>
      </c>
      <c r="GH466">
        <v>17.161060210460608</v>
      </c>
      <c r="GI466">
        <v>82.237862914529273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56.803211048650638</v>
      </c>
      <c r="E467" s="97" t="e">
        <f>L36</f>
        <v>#VALUE!</v>
      </c>
      <c r="F467" s="102">
        <f>+D467-D469</f>
        <v>35.095876930195161</v>
      </c>
      <c r="G467" s="101" t="e">
        <f>+D467*E467</f>
        <v>#VALUE!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1191.7499370182445</v>
      </c>
      <c r="AO467">
        <v>183.66793839920507</v>
      </c>
      <c r="AP467">
        <v>1543.2306188552964</v>
      </c>
      <c r="AQ467">
        <v>369.75192622173608</v>
      </c>
      <c r="AR467">
        <v>173.33739826726236</v>
      </c>
      <c r="AS467">
        <v>1823.5640828837677</v>
      </c>
      <c r="AT467">
        <v>86.348411511737837</v>
      </c>
      <c r="AU467">
        <v>294.88805687254637</v>
      </c>
      <c r="AV467"/>
      <c r="AW467"/>
      <c r="FY467" s="211">
        <v>462</v>
      </c>
      <c r="FZ467">
        <v>104.05861600423667</v>
      </c>
      <c r="GA467">
        <v>68.100606050973596</v>
      </c>
      <c r="GB467">
        <v>31.949551088982677</v>
      </c>
      <c r="GC467">
        <v>9.5301951702955421</v>
      </c>
      <c r="GD467">
        <v>3.6013835111167083</v>
      </c>
      <c r="GE467">
        <v>5.3887558778624669</v>
      </c>
      <c r="GF467">
        <v>14.866412199131924</v>
      </c>
      <c r="GG467">
        <v>19.723210952222757</v>
      </c>
      <c r="GH467">
        <v>23.237429058089873</v>
      </c>
      <c r="GI467">
        <v>63.715477728767901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 t="e">
        <f>+SQRT(E467*E469)</f>
        <v>#VALUE!</v>
      </c>
      <c r="I468" s="101" t="e">
        <f>+H468*F467</f>
        <v>#VALUE!</v>
      </c>
      <c r="J468" s="101" t="e">
        <f>+I468*$A$440</f>
        <v>#VALUE!</v>
      </c>
      <c r="K468" s="61" t="e">
        <f>IF(AND(J468&lt;0, J466&lt;0), 0, J468)</f>
        <v>#VALUE!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1279.120588305638</v>
      </c>
      <c r="AO468">
        <v>169.52331675383545</v>
      </c>
      <c r="AP468">
        <v>1495.2000124022084</v>
      </c>
      <c r="AQ468">
        <v>483.18139306985245</v>
      </c>
      <c r="AR468">
        <v>165.31805238098926</v>
      </c>
      <c r="AS468">
        <v>1784.412224987683</v>
      </c>
      <c r="AT468">
        <v>82.313897931547359</v>
      </c>
      <c r="AU468">
        <v>435.85753687307579</v>
      </c>
      <c r="AV468"/>
      <c r="AW468"/>
      <c r="FY468" s="211">
        <v>463</v>
      </c>
      <c r="FZ468">
        <v>162.03958324542373</v>
      </c>
      <c r="GA468">
        <v>124.66093781683306</v>
      </c>
      <c r="GB468">
        <v>35.211044346847309</v>
      </c>
      <c r="GC468">
        <v>10.031557779485553</v>
      </c>
      <c r="GD468">
        <v>5.2051613279524096</v>
      </c>
      <c r="GE468">
        <v>7.737738089785708</v>
      </c>
      <c r="GF468">
        <v>54.631718390301891</v>
      </c>
      <c r="GG468">
        <v>70.043335983629134</v>
      </c>
      <c r="GH468">
        <v>33.197120694048593</v>
      </c>
      <c r="GI468">
        <v>94.626803565532995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21.707334118455478</v>
      </c>
      <c r="E469" s="97" t="e">
        <f>M36</f>
        <v>#VALUE!</v>
      </c>
      <c r="F469" s="102">
        <f>+D469-D471</f>
        <v>7.8158401249206673</v>
      </c>
      <c r="G469" s="101" t="e">
        <f>+D469*E469</f>
        <v>#VALUE!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1075.000369880627</v>
      </c>
      <c r="AO469">
        <v>167.37958100720169</v>
      </c>
      <c r="AP469">
        <v>1410.2364831462046</v>
      </c>
      <c r="AQ469">
        <v>476.22950502951232</v>
      </c>
      <c r="AR469">
        <v>161.82036473031553</v>
      </c>
      <c r="AS469">
        <v>1621.5910838997131</v>
      </c>
      <c r="AT469">
        <v>77.968118632302648</v>
      </c>
      <c r="AU469">
        <v>90.660914596092482</v>
      </c>
      <c r="AV469"/>
      <c r="AW469"/>
      <c r="FY469" s="211">
        <v>464</v>
      </c>
      <c r="FZ469">
        <v>190.65976067065515</v>
      </c>
      <c r="GA469">
        <v>122.54673743583295</v>
      </c>
      <c r="GB469">
        <v>31.837048060381722</v>
      </c>
      <c r="GC469">
        <v>10.268637426461899</v>
      </c>
      <c r="GD469">
        <v>3.5728891692889957</v>
      </c>
      <c r="GE469">
        <v>7.4325455080759166</v>
      </c>
      <c r="GF469">
        <v>46.893369198173126</v>
      </c>
      <c r="GG469">
        <v>51.976930266055369</v>
      </c>
      <c r="GH469">
        <v>21.461920197350583</v>
      </c>
      <c r="GI469">
        <v>94.495903412424241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 t="e">
        <f>+SQRT(E469*E471)</f>
        <v>#VALUE!</v>
      </c>
      <c r="I470" s="101" t="e">
        <f>+H470*F469</f>
        <v>#VALUE!</v>
      </c>
      <c r="J470" s="101" t="e">
        <f>+I470*$A$440</f>
        <v>#VALUE!</v>
      </c>
      <c r="K470" s="61" t="e">
        <f>IF(AND(J470&lt;0, J468&lt;0), 0, J470)</f>
        <v>#VALUE!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1424.9650658690343</v>
      </c>
      <c r="AO470">
        <v>188.7912426406169</v>
      </c>
      <c r="AP470">
        <v>1577.594323810976</v>
      </c>
      <c r="AQ470">
        <v>572.86724351956923</v>
      </c>
      <c r="AR470">
        <v>184.93824656975025</v>
      </c>
      <c r="AS470">
        <v>2059.694506412698</v>
      </c>
      <c r="AT470">
        <v>93.942864658887402</v>
      </c>
      <c r="AU470">
        <v>231.60949221856376</v>
      </c>
      <c r="AV470"/>
      <c r="AW470"/>
      <c r="FY470" s="211">
        <v>465</v>
      </c>
      <c r="FZ470">
        <v>113.44262786481772</v>
      </c>
      <c r="GA470">
        <v>67.550977467287964</v>
      </c>
      <c r="GB470">
        <v>27.673216619545293</v>
      </c>
      <c r="GC470">
        <v>8.5114968155804451</v>
      </c>
      <c r="GD470">
        <v>3.3338229479545172</v>
      </c>
      <c r="GE470">
        <v>5.8943317300036888</v>
      </c>
      <c r="GF470">
        <v>46.659218182165674</v>
      </c>
      <c r="GG470">
        <v>60.576202405419117</v>
      </c>
      <c r="GH470">
        <v>26.421645409271918</v>
      </c>
      <c r="GI470">
        <v>81.535916919320613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13.891493993534811</v>
      </c>
      <c r="E471" s="97" t="e">
        <f>+N36</f>
        <v>#VALUE!</v>
      </c>
      <c r="F471" s="102">
        <f>+D471-D473</f>
        <v>11.49991236088175</v>
      </c>
      <c r="G471" s="101" t="e">
        <f>+D471*E471</f>
        <v>#VALUE!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1450.9078657881942</v>
      </c>
      <c r="AO471">
        <v>196.03796695985008</v>
      </c>
      <c r="AP471">
        <v>1645.7132659166812</v>
      </c>
      <c r="AQ471">
        <v>641.17379317061057</v>
      </c>
      <c r="AR471">
        <v>192.01995607742208</v>
      </c>
      <c r="AS471">
        <v>2085.1107399284015</v>
      </c>
      <c r="AT471">
        <v>91.02086336907</v>
      </c>
      <c r="AU471">
        <v>67.576893085746889</v>
      </c>
      <c r="AV471"/>
      <c r="AW471"/>
      <c r="FY471" s="211">
        <v>466</v>
      </c>
      <c r="FZ471">
        <v>92.907918988940409</v>
      </c>
      <c r="GA471">
        <v>104.23776231604509</v>
      </c>
      <c r="GB471">
        <v>38.390739329052174</v>
      </c>
      <c r="GC471">
        <v>8.3904306291400452</v>
      </c>
      <c r="GD471">
        <v>3.6140986666324686</v>
      </c>
      <c r="GE471">
        <v>7.1051788274815761</v>
      </c>
      <c r="GF471">
        <v>29.758549806204687</v>
      </c>
      <c r="GG471">
        <v>36.091929840253151</v>
      </c>
      <c r="GH471">
        <v>21.266335870677896</v>
      </c>
      <c r="GI471">
        <v>69.361687262855753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 t="e">
        <f>+SQRT(E471*E473)</f>
        <v>#VALUE!</v>
      </c>
      <c r="I472" s="101" t="e">
        <f>+H472*F471</f>
        <v>#VALUE!</v>
      </c>
      <c r="J472" s="101" t="e">
        <f>+I472*$A$440</f>
        <v>#VALUE!</v>
      </c>
      <c r="K472" s="61" t="e">
        <f>IF(AND(J472&lt;0, J470&lt;0), 0, J472)</f>
        <v>#VALUE!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1102.4003342677911</v>
      </c>
      <c r="AO472">
        <v>145.63534605616442</v>
      </c>
      <c r="AP472">
        <v>1206.8647396446941</v>
      </c>
      <c r="AQ472">
        <v>431.32417429543483</v>
      </c>
      <c r="AR472">
        <v>142.65778400810512</v>
      </c>
      <c r="AS472">
        <v>1587.6602586920503</v>
      </c>
      <c r="AT472">
        <v>73.664958102098552</v>
      </c>
      <c r="AU472">
        <v>305.16586124400067</v>
      </c>
      <c r="AV472"/>
      <c r="AW472"/>
      <c r="FY472" s="211">
        <v>467</v>
      </c>
      <c r="FZ472">
        <v>118.16970055993697</v>
      </c>
      <c r="GA472">
        <v>123.49960614554713</v>
      </c>
      <c r="GB472">
        <v>39.295635568273887</v>
      </c>
      <c r="GC472">
        <v>7.7815476051801546</v>
      </c>
      <c r="GD472">
        <v>3.6602567293461883</v>
      </c>
      <c r="GE472">
        <v>5.2810475275268516</v>
      </c>
      <c r="GF472">
        <v>32.88398534940103</v>
      </c>
      <c r="GG472">
        <v>41.20699162246968</v>
      </c>
      <c r="GH472">
        <v>21.535275979521305</v>
      </c>
      <c r="GI472">
        <v>82.953565418344326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2.391581632653061</v>
      </c>
      <c r="E473" s="97" t="e">
        <f>O36</f>
        <v>#VALUE!</v>
      </c>
      <c r="F473" s="102">
        <f>+D473-D475</f>
        <v>0.29472016079158969</v>
      </c>
      <c r="G473" s="101" t="e">
        <f>+D473*E473</f>
        <v>#VALUE!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1227.7024227594334</v>
      </c>
      <c r="AO473">
        <v>158.67928828040107</v>
      </c>
      <c r="AP473">
        <v>1378.4836123130183</v>
      </c>
      <c r="AQ473">
        <v>583.43667076410361</v>
      </c>
      <c r="AR473">
        <v>153.77018620133899</v>
      </c>
      <c r="AS473">
        <v>1779.6667002291765</v>
      </c>
      <c r="AT473">
        <v>72.747533467300471</v>
      </c>
      <c r="AU473">
        <v>70.627271807515342</v>
      </c>
      <c r="AV473"/>
      <c r="AW473"/>
      <c r="FY473" s="211">
        <v>468</v>
      </c>
      <c r="FZ473">
        <v>99.976599059541158</v>
      </c>
      <c r="GA473">
        <v>82.39424543931959</v>
      </c>
      <c r="GB473">
        <v>29.163065062242026</v>
      </c>
      <c r="GC473">
        <v>8.6996538600731803</v>
      </c>
      <c r="GD473">
        <v>4.2687986650663259</v>
      </c>
      <c r="GE473">
        <v>7.4211106647170642</v>
      </c>
      <c r="GF473">
        <v>57.528140403079554</v>
      </c>
      <c r="GG473">
        <v>67.710560141182</v>
      </c>
      <c r="GH473">
        <v>27.888104388861521</v>
      </c>
      <c r="GI473">
        <v>86.003285590179246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 t="e">
        <f>+SQRT(E473*E475)</f>
        <v>#VALUE!</v>
      </c>
      <c r="I474" s="101" t="e">
        <f>+H474*F473</f>
        <v>#VALUE!</v>
      </c>
      <c r="J474" s="101" t="e">
        <f>+I474*$A$440</f>
        <v>#VALUE!</v>
      </c>
      <c r="K474" s="61" t="e">
        <f>IF(AND(J474&lt;0, J472&lt;0), 0, J474)</f>
        <v>#VALUE!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1211.5174221832208</v>
      </c>
      <c r="AO474">
        <v>177.55129597456897</v>
      </c>
      <c r="AP474">
        <v>1522.3578581930672</v>
      </c>
      <c r="AQ474">
        <v>518.81163286492301</v>
      </c>
      <c r="AR474">
        <v>173.52481642950053</v>
      </c>
      <c r="AS474">
        <v>1800.9329950959038</v>
      </c>
      <c r="AT474">
        <v>84.781886043718771</v>
      </c>
      <c r="AU474">
        <v>103.54797218848125</v>
      </c>
      <c r="AV474"/>
      <c r="AW474"/>
      <c r="FY474" s="211">
        <v>469</v>
      </c>
      <c r="FZ474">
        <v>86.10063807796891</v>
      </c>
      <c r="GA474">
        <v>46.972447647298928</v>
      </c>
      <c r="GB474">
        <v>24.047115104439793</v>
      </c>
      <c r="GC474">
        <v>8.4498895235876965</v>
      </c>
      <c r="GD474">
        <v>2.2966658221475793</v>
      </c>
      <c r="GE474">
        <v>3.0124828059791584</v>
      </c>
      <c r="GF474">
        <v>23.804794655702089</v>
      </c>
      <c r="GG474">
        <v>30.491073580627035</v>
      </c>
      <c r="GH474">
        <v>23.180264938090815</v>
      </c>
      <c r="GI474">
        <v>68.707537175118645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2.0968614718614713</v>
      </c>
      <c r="E475" s="97" t="e">
        <f>P36</f>
        <v>#VALUE!</v>
      </c>
      <c r="F475" s="102">
        <f>+D475-D477</f>
        <v>1.3953308596165734</v>
      </c>
      <c r="G475" s="101" t="e">
        <f>+D475*E475</f>
        <v>#VALUE!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1188.340025402814</v>
      </c>
      <c r="AO475">
        <v>160.47585661289654</v>
      </c>
      <c r="AP475">
        <v>1427.9417383190623</v>
      </c>
      <c r="AQ475">
        <v>497.19839035474456</v>
      </c>
      <c r="AR475">
        <v>154.17219867993148</v>
      </c>
      <c r="AS475">
        <v>1723.0784896595321</v>
      </c>
      <c r="AT475">
        <v>73.737908881890306</v>
      </c>
      <c r="AU475">
        <v>257.05179184174898</v>
      </c>
      <c r="AV475"/>
      <c r="AW475"/>
      <c r="FY475" s="211">
        <v>470</v>
      </c>
      <c r="FZ475">
        <v>151.09640761494069</v>
      </c>
      <c r="GA475">
        <v>119.35468676377029</v>
      </c>
      <c r="GB475">
        <v>32.41371489978502</v>
      </c>
      <c r="GC475">
        <v>9.3273874249573421</v>
      </c>
      <c r="GD475">
        <v>3.8051232367483587</v>
      </c>
      <c r="GE475">
        <v>6.9021993000465391</v>
      </c>
      <c r="GF475">
        <v>12.870654958248952</v>
      </c>
      <c r="GG475">
        <v>13.212505959176557</v>
      </c>
      <c r="GH475">
        <v>21.602211267744817</v>
      </c>
      <c r="GI475">
        <v>82.64285446410868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 t="e">
        <f>+SQRT(E475*E477)</f>
        <v>#VALUE!</v>
      </c>
      <c r="I476" s="101" t="e">
        <f>+H476*F475</f>
        <v>#VALUE!</v>
      </c>
      <c r="J476" s="101" t="e">
        <f>+I476*$A$440</f>
        <v>#VALUE!</v>
      </c>
      <c r="K476" s="61" t="e">
        <f>IF(AND(J476&lt;0, J474&lt;0), 0, J476)</f>
        <v>#VALUE!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1215.1009836647763</v>
      </c>
      <c r="AO476">
        <v>163.80200189638873</v>
      </c>
      <c r="AP476">
        <v>1444.8394965407579</v>
      </c>
      <c r="AQ476">
        <v>502.2008188087425</v>
      </c>
      <c r="AR476">
        <v>160.00336774045195</v>
      </c>
      <c r="AS476">
        <v>1787.1234367516763</v>
      </c>
      <c r="AT476">
        <v>75.13063565117541</v>
      </c>
      <c r="AU476">
        <v>162.75495780345443</v>
      </c>
      <c r="AV476"/>
      <c r="AW476"/>
      <c r="FY476" s="211">
        <v>471</v>
      </c>
      <c r="FZ476">
        <v>188.84501707674286</v>
      </c>
      <c r="GA476">
        <v>121.61711978808266</v>
      </c>
      <c r="GB476">
        <v>24.671584386280394</v>
      </c>
      <c r="GC476">
        <v>5.4437717496937204</v>
      </c>
      <c r="GD476">
        <v>3.4687079622281587</v>
      </c>
      <c r="GE476">
        <v>6.5332042005833877</v>
      </c>
      <c r="GF476">
        <v>21.779598498158258</v>
      </c>
      <c r="GG476">
        <v>29.236984043201787</v>
      </c>
      <c r="GH476">
        <v>22.993397624166406</v>
      </c>
      <c r="GI476">
        <v>73.44507571251313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0.70153061224489799</v>
      </c>
      <c r="E477" s="97" t="e">
        <f>Q36</f>
        <v>#VALUE!</v>
      </c>
      <c r="F477" s="102">
        <f>+D477-D479</f>
        <v>0.59523809523809523</v>
      </c>
      <c r="G477" s="101" t="e">
        <f>+D477*E477</f>
        <v>#VALUE!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1296.507951074052</v>
      </c>
      <c r="AO477">
        <v>147.85095154652845</v>
      </c>
      <c r="AP477">
        <v>1189.3234295409331</v>
      </c>
      <c r="AQ477">
        <v>479.55480347773187</v>
      </c>
      <c r="AR477">
        <v>147.55175513776425</v>
      </c>
      <c r="AS477">
        <v>1733.9203817732905</v>
      </c>
      <c r="AT477">
        <v>73.461136581686603</v>
      </c>
      <c r="AU477">
        <v>376.91804237911469</v>
      </c>
      <c r="AV477"/>
      <c r="AW477"/>
      <c r="FY477" s="211">
        <v>472</v>
      </c>
      <c r="FZ477">
        <v>118.18875503084888</v>
      </c>
      <c r="GA477">
        <v>112.07884096489127</v>
      </c>
      <c r="GB477">
        <v>33.461621663914634</v>
      </c>
      <c r="GC477">
        <v>9.9122608533323309</v>
      </c>
      <c r="GD477">
        <v>3.7415002036329614</v>
      </c>
      <c r="GE477">
        <v>5.7778764378776382</v>
      </c>
      <c r="GF477">
        <v>13.503686684425118</v>
      </c>
      <c r="GG477">
        <v>16.61810991992834</v>
      </c>
      <c r="GH477">
        <v>17.976223125697118</v>
      </c>
      <c r="GI477">
        <v>59.944466990647008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 t="e">
        <f>+SQRT(E477*E479)</f>
        <v>#VALUE!</v>
      </c>
      <c r="I478" s="101" t="e">
        <f>+H478*F477</f>
        <v>#VALUE!</v>
      </c>
      <c r="J478" s="101" t="e">
        <f>+I478*$A$440</f>
        <v>#VALUE!</v>
      </c>
      <c r="K478" s="61" t="e">
        <f>IF(AND(J478&lt;0, J476&lt;0), 0, J478)</f>
        <v>#VALUE!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928.80091964068174</v>
      </c>
      <c r="AO478">
        <v>137.9538256559353</v>
      </c>
      <c r="AP478">
        <v>1087.9563565334256</v>
      </c>
      <c r="AQ478">
        <v>344.17163764168009</v>
      </c>
      <c r="AR478">
        <v>137.13459650985104</v>
      </c>
      <c r="AS478">
        <v>1440.3413704841184</v>
      </c>
      <c r="AT478">
        <v>67.754580965050039</v>
      </c>
      <c r="AU478">
        <v>113.63671062750493</v>
      </c>
      <c r="AV478"/>
      <c r="AW478"/>
      <c r="FY478" s="211">
        <v>473</v>
      </c>
      <c r="FZ478">
        <v>111.8220853808179</v>
      </c>
      <c r="GA478">
        <v>124.37728364471111</v>
      </c>
      <c r="GB478">
        <v>33.048572649729508</v>
      </c>
      <c r="GC478">
        <v>6.2403387237869055</v>
      </c>
      <c r="GD478">
        <v>3.3662290937876427</v>
      </c>
      <c r="GE478">
        <v>5.6505249181531818</v>
      </c>
      <c r="GF478">
        <v>26.093010439341242</v>
      </c>
      <c r="GG478">
        <v>34.814794623446815</v>
      </c>
      <c r="GH478">
        <v>28.478536152190486</v>
      </c>
      <c r="GI478">
        <v>67.723387921370161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0.10629251700680271</v>
      </c>
      <c r="E479" s="97" t="e">
        <f>R36</f>
        <v>#VALUE!</v>
      </c>
      <c r="F479" s="102">
        <f>+D479-D481</f>
        <v>-0.21258503401360546</v>
      </c>
      <c r="G479" s="101" t="e">
        <f>+D479*E479</f>
        <v>#VALUE!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1550.012967222387</v>
      </c>
      <c r="AO479">
        <v>207.12319695533347</v>
      </c>
      <c r="AP479">
        <v>1852.3324545077708</v>
      </c>
      <c r="AQ479">
        <v>597.38500123984034</v>
      </c>
      <c r="AR479">
        <v>203.49462290874729</v>
      </c>
      <c r="AS479">
        <v>2184.4586054956949</v>
      </c>
      <c r="AT479">
        <v>102.56225995773077</v>
      </c>
      <c r="AU479">
        <v>541.13492682333356</v>
      </c>
      <c r="AV479"/>
      <c r="AW479"/>
      <c r="FY479" s="211">
        <v>474</v>
      </c>
      <c r="FZ479">
        <v>159.88366980102651</v>
      </c>
      <c r="GA479">
        <v>109.83489639549354</v>
      </c>
      <c r="GB479">
        <v>27.93297908558489</v>
      </c>
      <c r="GC479">
        <v>7.7913367900841344</v>
      </c>
      <c r="GD479">
        <v>2.5447566519578824</v>
      </c>
      <c r="GE479">
        <v>5.3322223373385977</v>
      </c>
      <c r="GF479">
        <v>19.793416357064885</v>
      </c>
      <c r="GG479">
        <v>24.702828228832132</v>
      </c>
      <c r="GH479">
        <v>28.640399640053023</v>
      </c>
      <c r="GI479">
        <v>70.360682179128872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 t="e">
        <f>+SQRT(E479*E481)</f>
        <v>#VALUE!</v>
      </c>
      <c r="I480" s="101" t="e">
        <f>+H480*F479</f>
        <v>#VALUE!</v>
      </c>
      <c r="J480" s="101" t="e">
        <f>+I480*$A$440</f>
        <v>#VALUE!</v>
      </c>
      <c r="K480" s="61" t="e">
        <f>IF(AND(J480&lt;0, J478&lt;0), 0, J480)</f>
        <v>#VALUE!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1457.5002282013315</v>
      </c>
      <c r="AO480">
        <v>221.0029415829907</v>
      </c>
      <c r="AP480">
        <v>1908.6964244862372</v>
      </c>
      <c r="AQ480">
        <v>581.1457413446999</v>
      </c>
      <c r="AR480">
        <v>214.04115604336934</v>
      </c>
      <c r="AS480">
        <v>2187.5997544048632</v>
      </c>
      <c r="AT480">
        <v>98.836466273026758</v>
      </c>
      <c r="AU480">
        <v>446.0050389004308</v>
      </c>
      <c r="AV480"/>
      <c r="AW480"/>
      <c r="FY480" s="211">
        <v>475</v>
      </c>
      <c r="FZ480">
        <v>147.87373418632563</v>
      </c>
      <c r="GA480">
        <v>133.5926643914627</v>
      </c>
      <c r="GB480">
        <v>35.801711260506991</v>
      </c>
      <c r="GC480">
        <v>8.5239388992760983</v>
      </c>
      <c r="GD480">
        <v>2.9344715512171025</v>
      </c>
      <c r="GE480">
        <v>5.9266414542255061</v>
      </c>
      <c r="GF480">
        <v>21.869894624684743</v>
      </c>
      <c r="GG480">
        <v>27.233875031276053</v>
      </c>
      <c r="GH480">
        <v>19.122154552703616</v>
      </c>
      <c r="GI480">
        <v>77.803911368401913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0.31887755102040816</v>
      </c>
      <c r="E481" s="97" t="e">
        <f>+S36</f>
        <v>#VALUE!</v>
      </c>
      <c r="F481" s="102">
        <f>+D481-D483</f>
        <v>-0.2779958137100994</v>
      </c>
      <c r="G481" s="101" t="e">
        <f>+D481*E481</f>
        <v>#VALUE!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1217.1396594933958</v>
      </c>
      <c r="AO481">
        <v>166.67848453474966</v>
      </c>
      <c r="AP481">
        <v>1389.2829494668315</v>
      </c>
      <c r="AQ481">
        <v>441.59945636136695</v>
      </c>
      <c r="AR481">
        <v>166.57098269908377</v>
      </c>
      <c r="AS481">
        <v>1773.7313461666311</v>
      </c>
      <c r="AT481">
        <v>78.092719901088998</v>
      </c>
      <c r="AU481">
        <v>292.32305181772091</v>
      </c>
      <c r="AV481"/>
      <c r="AW481"/>
      <c r="FY481" s="211">
        <v>476</v>
      </c>
      <c r="FZ481">
        <v>161.58206970760361</v>
      </c>
      <c r="GA481">
        <v>145.62007006823984</v>
      </c>
      <c r="GB481">
        <v>32.202575993978286</v>
      </c>
      <c r="GC481">
        <v>6.9661190494747336</v>
      </c>
      <c r="GD481">
        <v>2.5672645918202948</v>
      </c>
      <c r="GE481">
        <v>3.422498136256876</v>
      </c>
      <c r="GF481">
        <v>35.266435497283041</v>
      </c>
      <c r="GG481">
        <v>44.203807235247552</v>
      </c>
      <c r="GH481">
        <v>24.443318027365365</v>
      </c>
      <c r="GI481">
        <v>73.204272332890653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 t="e">
        <f>+SQRT(E481*E483)</f>
        <v>#VALUE!</v>
      </c>
      <c r="I482" s="101" t="e">
        <f>+H482*F481</f>
        <v>#VALUE!</v>
      </c>
      <c r="J482" s="101" t="e">
        <f>+I482*$A$440</f>
        <v>#VALUE!</v>
      </c>
      <c r="K482" s="61" t="e">
        <f>IF(AND(J482&lt;0, J480&lt;0), 0, J482)</f>
        <v>#VALUE!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1118.8384619651072</v>
      </c>
      <c r="AO482">
        <v>130.82778637525371</v>
      </c>
      <c r="AP482">
        <v>1137.3266874624114</v>
      </c>
      <c r="AQ482">
        <v>411.12463153728322</v>
      </c>
      <c r="AR482">
        <v>128.34570550171401</v>
      </c>
      <c r="AS482">
        <v>1443.4768655151972</v>
      </c>
      <c r="AT482">
        <v>62.087901869160738</v>
      </c>
      <c r="AU482">
        <v>142.42602924169657</v>
      </c>
      <c r="AV482"/>
      <c r="AW482"/>
      <c r="FY482" s="211">
        <v>477</v>
      </c>
      <c r="FZ482">
        <v>181.22039501683167</v>
      </c>
      <c r="GA482">
        <v>124.17716398559348</v>
      </c>
      <c r="GB482">
        <v>31.21508190050865</v>
      </c>
      <c r="GC482">
        <v>7.1868830402569532</v>
      </c>
      <c r="GD482">
        <v>3.7479053170456238</v>
      </c>
      <c r="GE482">
        <v>5.242801403431061</v>
      </c>
      <c r="GF482">
        <v>23.815882343551777</v>
      </c>
      <c r="GG482">
        <v>32.922456343390451</v>
      </c>
      <c r="GH482">
        <v>22.749096085316328</v>
      </c>
      <c r="GI482">
        <v>87.313116107962784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0.59687336473050756</v>
      </c>
      <c r="E483" s="97" t="e">
        <f>+T36</f>
        <v>#VALUE!</v>
      </c>
      <c r="F483" s="102">
        <f>+D483-D485</f>
        <v>0.38428833071690216</v>
      </c>
      <c r="G483" s="101" t="e">
        <f>+D483*E483</f>
        <v>#VALUE!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1297.0366934292695</v>
      </c>
      <c r="AO483">
        <v>200.01622827093621</v>
      </c>
      <c r="AP483">
        <v>1704.5932826524645</v>
      </c>
      <c r="AQ483">
        <v>476.2676125055475</v>
      </c>
      <c r="AR483">
        <v>191.1756006843475</v>
      </c>
      <c r="AS483">
        <v>1873.6774146216835</v>
      </c>
      <c r="AT483">
        <v>90.552295939342216</v>
      </c>
      <c r="AU483">
        <v>286.80771352523203</v>
      </c>
      <c r="AV483"/>
      <c r="AW483"/>
      <c r="FY483" s="211">
        <v>478</v>
      </c>
      <c r="FZ483">
        <v>224.85179290353975</v>
      </c>
      <c r="GA483">
        <v>168.1036375357549</v>
      </c>
      <c r="GB483">
        <v>31.233469271383768</v>
      </c>
      <c r="GC483">
        <v>7.1726422572762178</v>
      </c>
      <c r="GD483">
        <v>4.722053067343384</v>
      </c>
      <c r="GE483">
        <v>7.9748561306855432</v>
      </c>
      <c r="GF483">
        <v>32.774019032718492</v>
      </c>
      <c r="GG483">
        <v>40.838636830880631</v>
      </c>
      <c r="GH483">
        <v>17.346473699160523</v>
      </c>
      <c r="GI483">
        <v>77.482759730753486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 t="e">
        <f>+SQRT(E483*E485)</f>
        <v>#VALUE!</v>
      </c>
      <c r="I484" s="101" t="e">
        <f>+H484*F483</f>
        <v>#VALUE!</v>
      </c>
      <c r="J484" s="101" t="e">
        <f>+I484*$A$440</f>
        <v>#VALUE!</v>
      </c>
      <c r="K484" s="61" t="e">
        <f>IF(AND(J484&lt;0, J482&lt;0), 0, J484)</f>
        <v>#VALUE!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1417.8509699270166</v>
      </c>
      <c r="AO484">
        <v>174.63849861665156</v>
      </c>
      <c r="AP484">
        <v>1493.7524311108409</v>
      </c>
      <c r="AQ484">
        <v>471.05356327426165</v>
      </c>
      <c r="AR484">
        <v>170.27151525659153</v>
      </c>
      <c r="AS484">
        <v>1846.0474252536749</v>
      </c>
      <c r="AT484">
        <v>82.960151076852512</v>
      </c>
      <c r="AU484">
        <v>579.00594301605747</v>
      </c>
      <c r="AV484"/>
      <c r="AW484"/>
      <c r="FY484" s="211">
        <v>479</v>
      </c>
      <c r="FZ484">
        <v>148.58022863923273</v>
      </c>
      <c r="GA484">
        <v>124.03544767125797</v>
      </c>
      <c r="GB484">
        <v>33.298465271583403</v>
      </c>
      <c r="GC484">
        <v>6.7619414827138096</v>
      </c>
      <c r="GD484">
        <v>3.7568375520471591</v>
      </c>
      <c r="GE484">
        <v>7.7062318680296897</v>
      </c>
      <c r="GF484">
        <v>38.647828665627046</v>
      </c>
      <c r="GG484">
        <v>47.197105226182693</v>
      </c>
      <c r="GH484">
        <v>20.060735811539629</v>
      </c>
      <c r="GI484">
        <v>83.609513982682188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0.21258503401360543</v>
      </c>
      <c r="E485" s="97" t="e">
        <f>+U36</f>
        <v>#VALUE!</v>
      </c>
      <c r="F485" s="102">
        <f>+D485-D487</f>
        <v>0</v>
      </c>
      <c r="G485" s="101" t="e">
        <f>+D485*E485</f>
        <v>#VALUE!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980.83093644570363</v>
      </c>
      <c r="AO485">
        <v>165.37401407384698</v>
      </c>
      <c r="AP485">
        <v>1366.1237800791903</v>
      </c>
      <c r="AQ485">
        <v>317.06290933096068</v>
      </c>
      <c r="AR485">
        <v>159.34340340986918</v>
      </c>
      <c r="AS485">
        <v>1666.2024942075075</v>
      </c>
      <c r="AT485">
        <v>76.643621024316602</v>
      </c>
      <c r="AU485">
        <v>278.39034095383897</v>
      </c>
      <c r="AV485"/>
      <c r="AW485"/>
      <c r="FY485" s="211">
        <v>480</v>
      </c>
      <c r="FZ485">
        <v>128.27780411717188</v>
      </c>
      <c r="GA485">
        <v>91.561633242396994</v>
      </c>
      <c r="GB485">
        <v>31.658224897175209</v>
      </c>
      <c r="GC485">
        <v>7.9121468998949833</v>
      </c>
      <c r="GD485">
        <v>3.2406123179693163</v>
      </c>
      <c r="GE485">
        <v>5.7913581963713714</v>
      </c>
      <c r="GF485">
        <v>36.657475557947954</v>
      </c>
      <c r="GG485">
        <v>49.706836902952183</v>
      </c>
      <c r="GH485">
        <v>32.239087018435484</v>
      </c>
      <c r="GI485">
        <v>76.596540453724757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 t="e">
        <f>+SQRT(E485*E487)</f>
        <v>#VALUE!</v>
      </c>
      <c r="I486" s="101" t="e">
        <f>+H486*F485</f>
        <v>#VALUE!</v>
      </c>
      <c r="J486" s="101" t="e">
        <f>+I486*$A$440</f>
        <v>#VALUE!</v>
      </c>
      <c r="K486" s="61" t="e">
        <f>IF(AND(J486&lt;0, J484&lt;0), 0, J486)</f>
        <v>#VALUE!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1121.084113979525</v>
      </c>
      <c r="AO486">
        <v>191.89276304495576</v>
      </c>
      <c r="AP486">
        <v>1466.1619386871912</v>
      </c>
      <c r="AQ486">
        <v>453.22774588952728</v>
      </c>
      <c r="AR486">
        <v>187.33737555677692</v>
      </c>
      <c r="AS486">
        <v>2031.475536697573</v>
      </c>
      <c r="AT486">
        <v>96.609152100739252</v>
      </c>
      <c r="AU486">
        <v>94.864300480267133</v>
      </c>
      <c r="AV486"/>
      <c r="AW486"/>
      <c r="FY486" s="211">
        <v>481</v>
      </c>
      <c r="FZ486">
        <v>183.55143494484489</v>
      </c>
      <c r="GA486">
        <v>161.89815890983508</v>
      </c>
      <c r="GB486">
        <v>43.613756235069218</v>
      </c>
      <c r="GC486">
        <v>10.535448599466983</v>
      </c>
      <c r="GD486">
        <v>3.5423349007739491</v>
      </c>
      <c r="GE486">
        <v>4.3873820033212718</v>
      </c>
      <c r="GF486">
        <v>43.867656790295541</v>
      </c>
      <c r="GG486">
        <v>57.073565450600775</v>
      </c>
      <c r="GH486">
        <v>29.950771351126861</v>
      </c>
      <c r="GI486">
        <v>102.13503484465852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0.21258503401360543</v>
      </c>
      <c r="E487" s="97" t="e">
        <f>V36</f>
        <v>#VALUE!</v>
      </c>
      <c r="F487" s="102">
        <f>+D487-D489</f>
        <v>0.21258503401360543</v>
      </c>
      <c r="G487" s="101" t="e">
        <f>+D487*E487</f>
        <v>#VALUE!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1030.9142626506568</v>
      </c>
      <c r="AO487">
        <v>161.6919972551535</v>
      </c>
      <c r="AP487">
        <v>1393.5115030643406</v>
      </c>
      <c r="AQ487">
        <v>498.03446104165079</v>
      </c>
      <c r="AR487">
        <v>161.89250681469858</v>
      </c>
      <c r="AS487">
        <v>1725.1304775599717</v>
      </c>
      <c r="AT487">
        <v>82.767941717724909</v>
      </c>
      <c r="AU487">
        <v>142.8035969907468</v>
      </c>
      <c r="AV487"/>
      <c r="AW487"/>
      <c r="FY487" s="211">
        <v>482</v>
      </c>
      <c r="FZ487">
        <v>117.46898159495979</v>
      </c>
      <c r="GA487">
        <v>93.349847958293964</v>
      </c>
      <c r="GB487">
        <v>36.118461366489228</v>
      </c>
      <c r="GC487">
        <v>12.531529465041793</v>
      </c>
      <c r="GD487">
        <v>5.9160137375148842</v>
      </c>
      <c r="GE487">
        <v>7.221343849177889</v>
      </c>
      <c r="GF487">
        <v>21.01637338996143</v>
      </c>
      <c r="GG487">
        <v>27.273102306489374</v>
      </c>
      <c r="GH487">
        <v>17.199722288037119</v>
      </c>
      <c r="GI487">
        <v>67.213625779884339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 t="e">
        <f>+SQRT(E487*E489)</f>
        <v>#VALUE!</v>
      </c>
      <c r="I488" s="101" t="e">
        <f>+H488*F487</f>
        <v>#VALUE!</v>
      </c>
      <c r="J488" s="101" t="e">
        <f>+I488*$A$440</f>
        <v>#VALUE!</v>
      </c>
      <c r="K488" s="61" t="e">
        <f>IF(AND(J488&lt;0, J486&lt;0), 0, J488)</f>
        <v>#VALUE!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942.11474583971562</v>
      </c>
      <c r="AO488">
        <v>129.30671780060575</v>
      </c>
      <c r="AP488">
        <v>1097.8007387704436</v>
      </c>
      <c r="AQ488">
        <v>391.20334187519529</v>
      </c>
      <c r="AR488">
        <v>124.72174424981446</v>
      </c>
      <c r="AS488">
        <v>1308.8316869259629</v>
      </c>
      <c r="AT488">
        <v>56.08798380192269</v>
      </c>
      <c r="AU488">
        <v>7.395111587566511</v>
      </c>
      <c r="AV488"/>
      <c r="AW488"/>
      <c r="FY488" s="211">
        <v>483</v>
      </c>
      <c r="FZ488">
        <v>95.389368512778802</v>
      </c>
      <c r="GA488">
        <v>92.031361319462889</v>
      </c>
      <c r="GB488">
        <v>38.876015513464303</v>
      </c>
      <c r="GC488">
        <v>8.3165180276323021</v>
      </c>
      <c r="GD488">
        <v>2.9114782525192178</v>
      </c>
      <c r="GE488">
        <v>6.5125188508692542</v>
      </c>
      <c r="GF488">
        <v>21.517525737482977</v>
      </c>
      <c r="GG488">
        <v>24.754601599360093</v>
      </c>
      <c r="GH488">
        <v>24.462246818025935</v>
      </c>
      <c r="GI488">
        <v>73.156209244560927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 t="e">
        <f>W36</f>
        <v>#VALUE!</v>
      </c>
      <c r="F489" s="102">
        <f>+D489-D491</f>
        <v>0</v>
      </c>
      <c r="G489" s="101" t="e">
        <f>+D489*E489</f>
        <v>#VALUE!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1067.3032340130267</v>
      </c>
      <c r="AO489">
        <v>136.99241682716917</v>
      </c>
      <c r="AP489">
        <v>1128.0193441335118</v>
      </c>
      <c r="AQ489">
        <v>441.61476354733492</v>
      </c>
      <c r="AR489">
        <v>132.22956047981566</v>
      </c>
      <c r="AS489">
        <v>1462.2433588085755</v>
      </c>
      <c r="AT489">
        <v>63.680289888409511</v>
      </c>
      <c r="AU489">
        <v>59.27054389743769</v>
      </c>
      <c r="AV489"/>
      <c r="AW489"/>
      <c r="FY489" s="211">
        <v>484</v>
      </c>
      <c r="FZ489">
        <v>121.51914522030324</v>
      </c>
      <c r="GA489">
        <v>74.131864581473394</v>
      </c>
      <c r="GB489">
        <v>19.783917222228062</v>
      </c>
      <c r="GC489">
        <v>9.5183336655618831</v>
      </c>
      <c r="GD489">
        <v>4.1062452916830541</v>
      </c>
      <c r="GE489">
        <v>4.8118666337215208</v>
      </c>
      <c r="GF489">
        <v>22.248186685584585</v>
      </c>
      <c r="GG489">
        <v>28.596033164201799</v>
      </c>
      <c r="GH489">
        <v>23.18739104672445</v>
      </c>
      <c r="GI489">
        <v>69.886887600297996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 t="e">
        <f>+SQRT(E489*E491)</f>
        <v>#VALUE!</v>
      </c>
      <c r="I490" s="101" t="e">
        <f>+H490*F489</f>
        <v>#VALUE!</v>
      </c>
      <c r="J490" s="101" t="e">
        <f>+I490*$A$440</f>
        <v>#VALUE!</v>
      </c>
      <c r="K490" s="61" t="e">
        <f>IF(AND(J490&lt;0, J488&lt;0), 0, J490)</f>
        <v>#VALUE!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1006.253006048745</v>
      </c>
      <c r="AO490">
        <v>162.05728007707597</v>
      </c>
      <c r="AP490">
        <v>1420.8275781456639</v>
      </c>
      <c r="AQ490">
        <v>456.81718746656441</v>
      </c>
      <c r="AR490">
        <v>159.10860062638554</v>
      </c>
      <c r="AS490">
        <v>1697.6976013206456</v>
      </c>
      <c r="AT490">
        <v>81.001589804351099</v>
      </c>
      <c r="AU490">
        <v>135.11253082634974</v>
      </c>
      <c r="AV490"/>
      <c r="AW490"/>
      <c r="FY490" s="211">
        <v>485</v>
      </c>
      <c r="FZ490">
        <v>60.635373688228938</v>
      </c>
      <c r="GA490">
        <v>56.309021775787627</v>
      </c>
      <c r="GB490">
        <v>21.826486006683137</v>
      </c>
      <c r="GC490">
        <v>7.8965495778684565</v>
      </c>
      <c r="GD490">
        <v>1.9957460869861281</v>
      </c>
      <c r="GE490">
        <v>1.9677696786967585</v>
      </c>
      <c r="GF490">
        <v>35.193746269208653</v>
      </c>
      <c r="GG490">
        <v>47.890931547844602</v>
      </c>
      <c r="GH490">
        <v>19.694550273393151</v>
      </c>
      <c r="GI490">
        <v>64.796827868394672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 t="e">
        <f>X36</f>
        <v>#VALUE!</v>
      </c>
      <c r="F491" s="102">
        <f>+D491-D493</f>
        <v>0</v>
      </c>
      <c r="G491" s="101" t="e">
        <f>+D491*E491</f>
        <v>#VALUE!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1105.7063503375646</v>
      </c>
      <c r="AO491">
        <v>161.46923255044641</v>
      </c>
      <c r="AP491">
        <v>1379.2979192502373</v>
      </c>
      <c r="AQ491">
        <v>480.68299732008029</v>
      </c>
      <c r="AR491">
        <v>155.96612941735017</v>
      </c>
      <c r="AS491">
        <v>1689.104852262637</v>
      </c>
      <c r="AT491">
        <v>77.386229654391101</v>
      </c>
      <c r="AU491">
        <v>94.861244711667553</v>
      </c>
      <c r="AV491"/>
      <c r="AW491"/>
      <c r="FY491" s="211">
        <v>486</v>
      </c>
      <c r="FZ491">
        <v>183.92937659182877</v>
      </c>
      <c r="GA491">
        <v>162.43105301054391</v>
      </c>
      <c r="GB491">
        <v>33.018134481845657</v>
      </c>
      <c r="GC491">
        <v>9.6455903974148107</v>
      </c>
      <c r="GD491">
        <v>4.1263141530977663</v>
      </c>
      <c r="GE491">
        <v>5.9202782797887767</v>
      </c>
      <c r="GF491">
        <v>33.111277159130481</v>
      </c>
      <c r="GG491">
        <v>42.099170771985357</v>
      </c>
      <c r="GH491">
        <v>27.056473927028822</v>
      </c>
      <c r="GI491">
        <v>87.65885443463516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 t="e">
        <f>+SQRT(E491*E493)</f>
        <v>#VALUE!</v>
      </c>
      <c r="I492" s="101" t="e">
        <f>+H492*F491</f>
        <v>#VALUE!</v>
      </c>
      <c r="J492" s="101" t="e">
        <f>+I492*$A$440</f>
        <v>#VALUE!</v>
      </c>
      <c r="K492" s="61" t="e">
        <f>IF(AND(J492&lt;0, J490&lt;0), 0, J492)</f>
        <v>#VALUE!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1171.9047771729329</v>
      </c>
      <c r="AO492">
        <v>155.66015288698108</v>
      </c>
      <c r="AP492">
        <v>1381.4619767258496</v>
      </c>
      <c r="AQ492">
        <v>529.47843064016024</v>
      </c>
      <c r="AR492">
        <v>150.47116228351416</v>
      </c>
      <c r="AS492">
        <v>1615.9829051602351</v>
      </c>
      <c r="AT492">
        <v>67.137796805007056</v>
      </c>
      <c r="AU492">
        <v>27.341491155313236</v>
      </c>
      <c r="AV492"/>
      <c r="AW492"/>
      <c r="FY492" s="211">
        <v>487</v>
      </c>
      <c r="FZ492">
        <v>200.29807473336703</v>
      </c>
      <c r="GA492">
        <v>147.76137253128576</v>
      </c>
      <c r="GB492">
        <v>25.123988279944779</v>
      </c>
      <c r="GC492">
        <v>9.4082675605972668</v>
      </c>
      <c r="GD492">
        <v>4.4787037607962068</v>
      </c>
      <c r="GE492">
        <v>7.5174387558580165</v>
      </c>
      <c r="GF492">
        <v>54.757158226019335</v>
      </c>
      <c r="GG492">
        <v>71.320790618761706</v>
      </c>
      <c r="GH492">
        <v>24.068145054520784</v>
      </c>
      <c r="GI492">
        <v>93.336538252855078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 t="e">
        <f>+Y36</f>
        <v>#VALUE!</v>
      </c>
      <c r="F493" s="102">
        <f>+D493-D495</f>
        <v>0</v>
      </c>
      <c r="G493" s="101" t="e">
        <f>+D493*E493</f>
        <v>#VALUE!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1194.5314695466518</v>
      </c>
      <c r="AO493">
        <v>209.36310641274832</v>
      </c>
      <c r="AP493">
        <v>1790.6834551791928</v>
      </c>
      <c r="AQ493">
        <v>519.59078154388885</v>
      </c>
      <c r="AR493">
        <v>206.14066692900099</v>
      </c>
      <c r="AS493">
        <v>2100.0858073185482</v>
      </c>
      <c r="AT493">
        <v>106.60881497713655</v>
      </c>
      <c r="AU493">
        <v>280.04947892627138</v>
      </c>
      <c r="AV493"/>
      <c r="AW493"/>
      <c r="FY493" s="211">
        <v>488</v>
      </c>
      <c r="FZ493">
        <v>110.10370805602626</v>
      </c>
      <c r="GA493">
        <v>80.024530964796128</v>
      </c>
      <c r="GB493">
        <v>24.089685714013584</v>
      </c>
      <c r="GC493">
        <v>6.5389528226082003</v>
      </c>
      <c r="GD493">
        <v>3.7754530000738895</v>
      </c>
      <c r="GE493">
        <v>6.9165673132011865</v>
      </c>
      <c r="GF493">
        <v>16.759539021867361</v>
      </c>
      <c r="GG493">
        <v>22.988197071637774</v>
      </c>
      <c r="GH493">
        <v>28.90509204243407</v>
      </c>
      <c r="GI493">
        <v>66.355766803464618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 t="e">
        <f>+SQRT(E493*E495)</f>
        <v>#VALUE!</v>
      </c>
      <c r="I494" s="101" t="e">
        <f>+H494*F493</f>
        <v>#VALUE!</v>
      </c>
      <c r="J494" s="101" t="e">
        <f>+I494*$A$440</f>
        <v>#VALUE!</v>
      </c>
      <c r="K494" s="61" t="e">
        <f>IF(AND(J494&lt;0, J492&lt;0), 0, J494)</f>
        <v>#VALUE!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1199.2133791157744</v>
      </c>
      <c r="AO494">
        <v>151.94492050548931</v>
      </c>
      <c r="AP494">
        <v>1381.6547709401252</v>
      </c>
      <c r="AQ494">
        <v>612.50034045949678</v>
      </c>
      <c r="AR494">
        <v>148.9929698646844</v>
      </c>
      <c r="AS494">
        <v>1703.7371681024422</v>
      </c>
      <c r="AT494">
        <v>70.195201329454164</v>
      </c>
      <c r="AU494">
        <v>50.895845552843525</v>
      </c>
      <c r="AV494"/>
      <c r="AW494"/>
      <c r="FY494" s="211">
        <v>489</v>
      </c>
      <c r="FZ494">
        <v>89.88596141340453</v>
      </c>
      <c r="GA494">
        <v>92.780265171182691</v>
      </c>
      <c r="GB494">
        <v>31.858514231661132</v>
      </c>
      <c r="GC494">
        <v>7.6605017741875994</v>
      </c>
      <c r="GD494">
        <v>3.3585473707055185</v>
      </c>
      <c r="GE494">
        <v>6.0193957429934439</v>
      </c>
      <c r="GF494">
        <v>17.659938356407636</v>
      </c>
      <c r="GG494">
        <v>22.548233656195411</v>
      </c>
      <c r="GH494">
        <v>25.546450040869509</v>
      </c>
      <c r="GI494">
        <v>66.118427034465824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 t="e">
        <f>Z36</f>
        <v>#VALUE!</v>
      </c>
      <c r="F495" s="102">
        <f>+D495-D497</f>
        <v>0</v>
      </c>
      <c r="G495" s="101" t="e">
        <f>+D495*E495</f>
        <v>#VALUE!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1307.506278782052</v>
      </c>
      <c r="AO495">
        <v>190.92666742744379</v>
      </c>
      <c r="AP495">
        <v>1619.0578813553527</v>
      </c>
      <c r="AQ495">
        <v>513.65433617089639</v>
      </c>
      <c r="AR495">
        <v>183.39225763905344</v>
      </c>
      <c r="AS495">
        <v>1873.0429110091727</v>
      </c>
      <c r="AT495">
        <v>82.256228759149479</v>
      </c>
      <c r="AU495">
        <v>260.78583895058563</v>
      </c>
      <c r="AV495"/>
      <c r="AW495"/>
      <c r="FY495" s="211">
        <v>490</v>
      </c>
      <c r="FZ495">
        <v>135.35371896726448</v>
      </c>
      <c r="GA495">
        <v>105.856101990894</v>
      </c>
      <c r="GB495">
        <v>31.290787867762553</v>
      </c>
      <c r="GC495">
        <v>7.4432289246392038</v>
      </c>
      <c r="GD495">
        <v>2.4187763574225585</v>
      </c>
      <c r="GE495">
        <v>4.1264848089907327</v>
      </c>
      <c r="GF495">
        <v>16.746622179046309</v>
      </c>
      <c r="GG495">
        <v>23.048238080091721</v>
      </c>
      <c r="GH495">
        <v>25.913010501319185</v>
      </c>
      <c r="GI495">
        <v>72.392593404651635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 t="e">
        <f>+SQRT(E495*E497)</f>
        <v>#VALUE!</v>
      </c>
      <c r="I496" s="101" t="e">
        <f>+H496*F495</f>
        <v>#VALUE!</v>
      </c>
      <c r="J496" s="101" t="e">
        <f>+I496*$A$440</f>
        <v>#VALUE!</v>
      </c>
      <c r="K496" s="61" t="e">
        <f>IF(AND(J496&lt;0, J494&lt;0), 0, J496)</f>
        <v>#VALUE!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1193.7065047345691</v>
      </c>
      <c r="AO496">
        <v>173.91755583874925</v>
      </c>
      <c r="AP496">
        <v>1512.8052633246014</v>
      </c>
      <c r="AQ496">
        <v>463.64171960404019</v>
      </c>
      <c r="AR496">
        <v>168.17364819811132</v>
      </c>
      <c r="AS496">
        <v>1722.9582704677489</v>
      </c>
      <c r="AT496">
        <v>80.711575788363049</v>
      </c>
      <c r="AU496">
        <v>246.86251070269259</v>
      </c>
      <c r="AV496"/>
      <c r="AW496"/>
      <c r="FY496" s="211">
        <v>491</v>
      </c>
      <c r="FZ496">
        <v>148.33819879497293</v>
      </c>
      <c r="GA496">
        <v>67.56572700233869</v>
      </c>
      <c r="GB496">
        <v>18.186894271909221</v>
      </c>
      <c r="GC496">
        <v>8.1425899360555025</v>
      </c>
      <c r="GD496">
        <v>4.4665348928414357</v>
      </c>
      <c r="GE496">
        <v>7.313697017790675</v>
      </c>
      <c r="GF496">
        <v>22.382388213483377</v>
      </c>
      <c r="GG496">
        <v>27.380663287502443</v>
      </c>
      <c r="GH496">
        <v>22.078735362912607</v>
      </c>
      <c r="GI496">
        <v>68.366713915707592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 t="e">
        <f>AA36</f>
        <v>#VALUE!</v>
      </c>
      <c r="F497" s="102">
        <f>+D497-D499</f>
        <v>0</v>
      </c>
      <c r="G497" s="101" t="e">
        <f>+D497*E497</f>
        <v>#VALUE!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1549.7839288065954</v>
      </c>
      <c r="AO497">
        <v>216.20872262920139</v>
      </c>
      <c r="AP497">
        <v>1803.7282533189425</v>
      </c>
      <c r="AQ497">
        <v>640.55554402999303</v>
      </c>
      <c r="AR497">
        <v>208.20851461498199</v>
      </c>
      <c r="AS497">
        <v>2343.5855669422153</v>
      </c>
      <c r="AT497">
        <v>102.03341693106343</v>
      </c>
      <c r="AU497">
        <v>159.85582727861402</v>
      </c>
      <c r="AV497"/>
      <c r="AW497"/>
      <c r="FY497" s="211">
        <v>492</v>
      </c>
      <c r="FZ497">
        <v>171.38707458936287</v>
      </c>
      <c r="GA497">
        <v>156.15025330292326</v>
      </c>
      <c r="GB497">
        <v>30.142447470744258</v>
      </c>
      <c r="GC497">
        <v>6.7924657859450521</v>
      </c>
      <c r="GD497">
        <v>3.8742789945441225</v>
      </c>
      <c r="GE497">
        <v>7.0474676396519129</v>
      </c>
      <c r="GF497">
        <v>24.18725574128036</v>
      </c>
      <c r="GG497">
        <v>29.569694090155121</v>
      </c>
      <c r="GH497">
        <v>29.339702983288451</v>
      </c>
      <c r="GI497">
        <v>90.365007115536216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 t="e">
        <f>+SQRT(E497*E499)</f>
        <v>#VALUE!</v>
      </c>
      <c r="I498" s="101" t="e">
        <f>+H498*F497</f>
        <v>#VALUE!</v>
      </c>
      <c r="J498" s="101" t="e">
        <f>+I498*$A$440</f>
        <v>#VALUE!</v>
      </c>
      <c r="K498" s="61" t="e">
        <f>IF(AND(J498&lt;0, J496&lt;0), 0, J498)</f>
        <v>#VALUE!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1076.1579032817222</v>
      </c>
      <c r="AO498">
        <v>126.65446434768717</v>
      </c>
      <c r="AP498">
        <v>997.61720052114629</v>
      </c>
      <c r="AQ498">
        <v>405.30900173584979</v>
      </c>
      <c r="AR498">
        <v>125.24297640456501</v>
      </c>
      <c r="AS498">
        <v>1366.2877298203787</v>
      </c>
      <c r="AT498">
        <v>58.888694678723482</v>
      </c>
      <c r="AU498">
        <v>75.817473327818647</v>
      </c>
      <c r="AV498"/>
      <c r="AW498"/>
      <c r="FY498" s="211">
        <v>493</v>
      </c>
      <c r="FZ498">
        <v>112.92322434629811</v>
      </c>
      <c r="GA498">
        <v>96.556309837665296</v>
      </c>
      <c r="GB498">
        <v>32.637002662012151</v>
      </c>
      <c r="GC498">
        <v>10.062917009364687</v>
      </c>
      <c r="GD498">
        <v>3.4171195196925543</v>
      </c>
      <c r="GE498">
        <v>5.3414621108964617</v>
      </c>
      <c r="GF498">
        <v>27.435104926005515</v>
      </c>
      <c r="GG498">
        <v>32.00568277759487</v>
      </c>
      <c r="GH498">
        <v>29.662201323655012</v>
      </c>
      <c r="GI498">
        <v>81.195571287068461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 t="e">
        <f>AB36</f>
        <v>#VALUE!</v>
      </c>
      <c r="F499" s="102">
        <f>+D499-D501</f>
        <v>0</v>
      </c>
      <c r="G499" s="101" t="e">
        <f>+D499*E499</f>
        <v>#VALUE!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1097.0501310327197</v>
      </c>
      <c r="AO499">
        <v>162.25887316742484</v>
      </c>
      <c r="AP499">
        <v>1308.8785807283809</v>
      </c>
      <c r="AQ499">
        <v>387.92784387615677</v>
      </c>
      <c r="AR499">
        <v>157.17279348882187</v>
      </c>
      <c r="AS499">
        <v>1632.4377933954452</v>
      </c>
      <c r="AT499">
        <v>76.421534624117257</v>
      </c>
      <c r="AU499">
        <v>216.15499270267384</v>
      </c>
      <c r="AV499"/>
      <c r="AW499"/>
      <c r="FY499" s="211">
        <v>494</v>
      </c>
      <c r="FZ499">
        <v>84.771451549416796</v>
      </c>
      <c r="GA499">
        <v>88.75548770394829</v>
      </c>
      <c r="GB499">
        <v>30.10180899034496</v>
      </c>
      <c r="GC499">
        <v>8.8813345618003741</v>
      </c>
      <c r="GD499">
        <v>3.7395035153764775</v>
      </c>
      <c r="GE499">
        <v>7.3806757581108755</v>
      </c>
      <c r="GF499">
        <v>29.666121740325643</v>
      </c>
      <c r="GG499">
        <v>35.775262237574516</v>
      </c>
      <c r="GH499">
        <v>26.579439055855502</v>
      </c>
      <c r="GI499">
        <v>77.814006104215693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 t="e">
        <f>+SQRT(E499*E501)</f>
        <v>#VALUE!</v>
      </c>
      <c r="I500" s="101" t="e">
        <f>+H500*F499</f>
        <v>#VALUE!</v>
      </c>
      <c r="J500" s="101" t="e">
        <f>+I500*$A$440</f>
        <v>#VALUE!</v>
      </c>
      <c r="K500" s="61" t="e">
        <f>IF(AND(J500&lt;0, J498&lt;0), 0, J500)</f>
        <v>#VALUE!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1031.6100018445334</v>
      </c>
      <c r="AO500">
        <v>170.97012530629644</v>
      </c>
      <c r="AP500">
        <v>1415.4139875890614</v>
      </c>
      <c r="AQ500">
        <v>377.78987111177997</v>
      </c>
      <c r="AR500">
        <v>165.2599285723858</v>
      </c>
      <c r="AS500">
        <v>1681.8305338256475</v>
      </c>
      <c r="AT500">
        <v>78.415908098884245</v>
      </c>
      <c r="AU500">
        <v>167.88686150937929</v>
      </c>
      <c r="AV500"/>
      <c r="AW500"/>
      <c r="FY500" s="211">
        <v>495</v>
      </c>
      <c r="FZ500">
        <v>93.830917651643915</v>
      </c>
      <c r="GA500">
        <v>63.422223992718109</v>
      </c>
      <c r="GB500">
        <v>30.577656732889995</v>
      </c>
      <c r="GC500">
        <v>7.2418173452664192</v>
      </c>
      <c r="GD500">
        <v>2.8639964706795151</v>
      </c>
      <c r="GE500">
        <v>5.2161945323848649</v>
      </c>
      <c r="GF500">
        <v>19.5172943248397</v>
      </c>
      <c r="GG500">
        <v>23.455101686792894</v>
      </c>
      <c r="GH500">
        <v>16.086512499373878</v>
      </c>
      <c r="GI500">
        <v>64.12605939593189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 t="e">
        <f>AC36</f>
        <v>#VALUE!</v>
      </c>
      <c r="F501" s="102">
        <f>+D501-D503</f>
        <v>0</v>
      </c>
      <c r="G501" s="101" t="e">
        <f>+D501*E501</f>
        <v>#VALUE!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978.18805238650532</v>
      </c>
      <c r="AO501">
        <v>139.66164262284161</v>
      </c>
      <c r="AP501">
        <v>1116.2931413553392</v>
      </c>
      <c r="AQ501">
        <v>318.20700277309209</v>
      </c>
      <c r="AR501">
        <v>133.00610921237399</v>
      </c>
      <c r="AS501">
        <v>1468.8009514941282</v>
      </c>
      <c r="AT501">
        <v>65.428897104735242</v>
      </c>
      <c r="AU501">
        <v>-330.91889481941513</v>
      </c>
      <c r="AV501"/>
      <c r="AW501"/>
      <c r="FY501" s="211">
        <v>496</v>
      </c>
      <c r="FZ501">
        <v>115.61482609405107</v>
      </c>
      <c r="GA501">
        <v>143.330580374112</v>
      </c>
      <c r="GB501">
        <v>46.349376166822395</v>
      </c>
      <c r="GC501">
        <v>7.6208740960929475</v>
      </c>
      <c r="GD501">
        <v>2.8713136999395692</v>
      </c>
      <c r="GE501">
        <v>5.4834890085842556</v>
      </c>
      <c r="GF501">
        <v>44.159601052516635</v>
      </c>
      <c r="GG501">
        <v>54.277898136812546</v>
      </c>
      <c r="GH501">
        <v>25.785430013685637</v>
      </c>
      <c r="GI501">
        <v>85.749252838644949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 t="e">
        <f>+SQRT(E501*E503)</f>
        <v>#VALUE!</v>
      </c>
      <c r="I502" s="101" t="e">
        <f>+H502*F501</f>
        <v>#VALUE!</v>
      </c>
      <c r="J502" s="101" t="e">
        <f>+I502*$A$440</f>
        <v>#VALUE!</v>
      </c>
      <c r="K502" s="61" t="e">
        <f>IF(AND(J502&lt;0, J500&lt;0), 0, J502)</f>
        <v>#VALUE!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1321.6797326810038</v>
      </c>
      <c r="AO502">
        <v>171.55212541638562</v>
      </c>
      <c r="AP502">
        <v>1427.1561802005549</v>
      </c>
      <c r="AQ502">
        <v>588.99652320729956</v>
      </c>
      <c r="AR502">
        <v>166.52904560012024</v>
      </c>
      <c r="AS502">
        <v>1799.1299004718601</v>
      </c>
      <c r="AT502">
        <v>81.238588114833334</v>
      </c>
      <c r="AU502">
        <v>144.85383961590273</v>
      </c>
      <c r="AV502"/>
      <c r="AW502"/>
      <c r="FY502" s="211">
        <v>497</v>
      </c>
      <c r="FZ502">
        <v>208.88880960978804</v>
      </c>
      <c r="GA502">
        <v>134.90853779711369</v>
      </c>
      <c r="GB502">
        <v>23.045604954989756</v>
      </c>
      <c r="GC502">
        <v>6.8449507552900091</v>
      </c>
      <c r="GD502">
        <v>3.0105275907428473</v>
      </c>
      <c r="GE502">
        <v>4.8458969879921554</v>
      </c>
      <c r="GF502">
        <v>16.958631018304523</v>
      </c>
      <c r="GG502">
        <v>23.075319941859753</v>
      </c>
      <c r="GH502">
        <v>28.216450200127923</v>
      </c>
      <c r="GI502">
        <v>70.812159586790017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 t="e">
        <f>+AD36</f>
        <v>#VALUE!</v>
      </c>
      <c r="F503" s="102">
        <f>+D503-D505</f>
        <v>0</v>
      </c>
      <c r="G503" s="101" t="e">
        <f>+D503*E503</f>
        <v>#VALUE!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1431.8114619677649</v>
      </c>
      <c r="AO503">
        <v>182.88396329040697</v>
      </c>
      <c r="AP503">
        <v>1631.3755649822599</v>
      </c>
      <c r="AQ503">
        <v>638.07047777400601</v>
      </c>
      <c r="AR503">
        <v>174.61419984415787</v>
      </c>
      <c r="AS503">
        <v>1944.9085882123923</v>
      </c>
      <c r="AT503">
        <v>85.33623949735528</v>
      </c>
      <c r="AU503">
        <v>223.87147530919239</v>
      </c>
      <c r="AV503"/>
      <c r="AW503"/>
      <c r="FY503" s="211">
        <v>498</v>
      </c>
      <c r="FZ503">
        <v>71.155321179157411</v>
      </c>
      <c r="GA503">
        <v>47.674692810214758</v>
      </c>
      <c r="GB503">
        <v>28.776871877690247</v>
      </c>
      <c r="GC503">
        <v>9.9770004982717655</v>
      </c>
      <c r="GD503">
        <v>2.9910290234443737</v>
      </c>
      <c r="GE503">
        <v>5.7540313705884323</v>
      </c>
      <c r="GF503">
        <v>37.911696734609642</v>
      </c>
      <c r="GG503">
        <v>44.727613020912401</v>
      </c>
      <c r="GH503">
        <v>28.365012790115202</v>
      </c>
      <c r="GI503">
        <v>70.174588037171389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 t="e">
        <f>+SQRT(E503*E505)</f>
        <v>#VALUE!</v>
      </c>
      <c r="I504" s="101" t="e">
        <f>+H504*F503</f>
        <v>#VALUE!</v>
      </c>
      <c r="J504" s="101" t="e">
        <f>+I504*$A$440</f>
        <v>#VALUE!</v>
      </c>
      <c r="K504" s="61" t="e">
        <f>IF(AND(J504&lt;0, J502&lt;0), 0, J504)</f>
        <v>#VALUE!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945.22755422888258</v>
      </c>
      <c r="AO504">
        <v>145.89279776939898</v>
      </c>
      <c r="AP504">
        <v>1181.8483333988011</v>
      </c>
      <c r="AQ504">
        <v>366.45749281012309</v>
      </c>
      <c r="AR504">
        <v>142.87534942083181</v>
      </c>
      <c r="AS504">
        <v>1482.4841326655012</v>
      </c>
      <c r="AT504">
        <v>71.632814219144009</v>
      </c>
      <c r="AU504">
        <v>81.362372204037456</v>
      </c>
      <c r="AV504"/>
      <c r="AW504"/>
      <c r="FY504" s="211">
        <v>499</v>
      </c>
      <c r="FZ504">
        <v>177.52156621979316</v>
      </c>
      <c r="GA504">
        <v>122.57285132639075</v>
      </c>
      <c r="GB504">
        <v>22.235433215031648</v>
      </c>
      <c r="GC504">
        <v>7.256746717265397</v>
      </c>
      <c r="GD504">
        <v>3.223554059871292</v>
      </c>
      <c r="GE504">
        <v>6.4449138527897301</v>
      </c>
      <c r="GF504">
        <v>26.766205027143883</v>
      </c>
      <c r="GG504">
        <v>31.748130496130692</v>
      </c>
      <c r="GH504">
        <v>23.366888161540256</v>
      </c>
      <c r="GI504">
        <v>73.294893978688322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 t="e">
        <f>+AE36</f>
        <v>#VALUE!</v>
      </c>
      <c r="F505" s="102">
        <f>+D505-D507</f>
        <v>0</v>
      </c>
      <c r="G505" s="101" t="e">
        <f>+D505*E505</f>
        <v>#VALUE!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983.34376984420419</v>
      </c>
      <c r="AO505">
        <v>129.68937839724344</v>
      </c>
      <c r="AP505">
        <v>989.16064563257464</v>
      </c>
      <c r="AQ505">
        <v>363.43623479207326</v>
      </c>
      <c r="AR505">
        <v>128.65214950367175</v>
      </c>
      <c r="AS505">
        <v>1412.322071219151</v>
      </c>
      <c r="AT505">
        <v>62.161044149621858</v>
      </c>
      <c r="AU505">
        <v>97.585914049025376</v>
      </c>
      <c r="AV505"/>
      <c r="AW505"/>
      <c r="FY505" s="211">
        <v>500</v>
      </c>
      <c r="FZ505">
        <v>103.48412041311671</v>
      </c>
      <c r="GA505">
        <v>76.453935665321296</v>
      </c>
      <c r="GB505">
        <v>27.230820077864912</v>
      </c>
      <c r="GC505">
        <v>8.9821009599266368</v>
      </c>
      <c r="GD505">
        <v>3.4280512843899933</v>
      </c>
      <c r="GE505">
        <v>3.1599263045478807</v>
      </c>
      <c r="GF505">
        <v>20.770873875977703</v>
      </c>
      <c r="GG505">
        <v>30.259923562266362</v>
      </c>
      <c r="GH505">
        <v>23.863997689156609</v>
      </c>
      <c r="GI505">
        <v>68.07783927905605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 t="e">
        <f>+SQRT(E505*E507)</f>
        <v>#VALUE!</v>
      </c>
      <c r="I506" s="101" t="e">
        <f>+H506*F505</f>
        <v>#VALUE!</v>
      </c>
      <c r="J506" s="101" t="e">
        <f>+I506*$A$440</f>
        <v>#VALUE!</v>
      </c>
      <c r="K506" s="61" t="e">
        <f>IF(AND(J506&lt;0, J504&lt;0), 0, J506)</f>
        <v>#VALUE!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1019.2618391575845</v>
      </c>
      <c r="AO506">
        <v>174.16380519620674</v>
      </c>
      <c r="AP506">
        <v>1440.1902835857261</v>
      </c>
      <c r="AQ506">
        <v>424.58956308208241</v>
      </c>
      <c r="AR506">
        <v>173.03788723543215</v>
      </c>
      <c r="AS506">
        <v>1775.7402866117432</v>
      </c>
      <c r="AT506">
        <v>88.099695807784371</v>
      </c>
      <c r="AU506">
        <v>137.95978214894228</v>
      </c>
      <c r="AV506"/>
      <c r="AW506"/>
      <c r="FY506" s="211">
        <v>501</v>
      </c>
      <c r="FZ506">
        <v>92.428849326340426</v>
      </c>
      <c r="GA506">
        <v>61.168655567308278</v>
      </c>
      <c r="GB506">
        <v>27.985535697100222</v>
      </c>
      <c r="GC506">
        <v>8.8565526695133698</v>
      </c>
      <c r="GD506">
        <v>2.1315192968226171</v>
      </c>
      <c r="GE506">
        <v>3.3361969786918593</v>
      </c>
      <c r="GF506">
        <v>30.192561440413115</v>
      </c>
      <c r="GG506">
        <v>38.38499133899974</v>
      </c>
      <c r="GH506">
        <v>22.843862463568325</v>
      </c>
      <c r="GI506">
        <v>68.541539008914611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 t="e">
        <f>+AF36</f>
        <v>#VALUE!</v>
      </c>
      <c r="F507" s="102">
        <f>+D507-D509</f>
        <v>0</v>
      </c>
      <c r="G507" s="101" t="e">
        <f>+D507*E507</f>
        <v>#VALUE!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998.51326428220545</v>
      </c>
      <c r="AO507">
        <v>160.54796099904166</v>
      </c>
      <c r="AP507">
        <v>1349.3307884406954</v>
      </c>
      <c r="AQ507">
        <v>394.22214269551444</v>
      </c>
      <c r="AR507">
        <v>156.03378066040992</v>
      </c>
      <c r="AS507">
        <v>1603.3126779538738</v>
      </c>
      <c r="AT507">
        <v>72.637253747992148</v>
      </c>
      <c r="AU507">
        <v>113.23996378736666</v>
      </c>
      <c r="AV507"/>
      <c r="AW507"/>
      <c r="FY507" s="211">
        <v>502</v>
      </c>
      <c r="FZ507">
        <v>143.54047275043001</v>
      </c>
      <c r="GA507">
        <v>104.62274028233678</v>
      </c>
      <c r="GB507">
        <v>28.884582178861734</v>
      </c>
      <c r="GC507">
        <v>7.1055289934965096</v>
      </c>
      <c r="GD507">
        <v>3.5184914372824982</v>
      </c>
      <c r="GE507">
        <v>5.4231779261905881</v>
      </c>
      <c r="GF507">
        <v>6.326198704707009</v>
      </c>
      <c r="GG507">
        <v>8.218844595215943</v>
      </c>
      <c r="GH507">
        <v>18.092316322251655</v>
      </c>
      <c r="GI507">
        <v>64.479169496566385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 t="e">
        <f>+SQRT(E507*E509)</f>
        <v>#VALUE!</v>
      </c>
      <c r="I508" s="101" t="e">
        <f>+H508*F507</f>
        <v>#VALUE!</v>
      </c>
      <c r="J508" s="101" t="e">
        <f>+I508*$A$440</f>
        <v>#VALUE!</v>
      </c>
      <c r="K508" s="61" t="e">
        <f>IF(AND(J508&lt;0, J506&lt;0), 0, J508)</f>
        <v>#VALUE!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1299.739044626743</v>
      </c>
      <c r="AO508">
        <v>221.31788102901299</v>
      </c>
      <c r="AP508">
        <v>1824.9132343483425</v>
      </c>
      <c r="AQ508">
        <v>548.85564771343172</v>
      </c>
      <c r="AR508">
        <v>210.44289425265853</v>
      </c>
      <c r="AS508">
        <v>2211.1378850874589</v>
      </c>
      <c r="AT508">
        <v>102.03474187294192</v>
      </c>
      <c r="AU508">
        <v>80.905469492167597</v>
      </c>
      <c r="AV508"/>
      <c r="AW508"/>
      <c r="FY508" s="211">
        <v>503</v>
      </c>
      <c r="FZ508">
        <v>117.88309045490205</v>
      </c>
      <c r="GA508">
        <v>138.96191995700403</v>
      </c>
      <c r="GB508">
        <v>48.054653705248022</v>
      </c>
      <c r="GC508">
        <v>7.3301467065152082</v>
      </c>
      <c r="GD508">
        <v>3.2355860313223976</v>
      </c>
      <c r="GE508">
        <v>6.7176931562632056</v>
      </c>
      <c r="GF508">
        <v>23.807450366189933</v>
      </c>
      <c r="GG508">
        <v>29.012912516359481</v>
      </c>
      <c r="GH508">
        <v>29.807103089659851</v>
      </c>
      <c r="GI508">
        <v>90.218520823481128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 t="e">
        <f>AG36</f>
        <v>#VALUE!</v>
      </c>
      <c r="F509" s="102">
        <f>+D509-D511</f>
        <v>0</v>
      </c>
      <c r="G509" s="101" t="e">
        <f>+D509*E509</f>
        <v>#VALUE!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1172.8227786946941</v>
      </c>
      <c r="AO509">
        <v>173.27948724799117</v>
      </c>
      <c r="AP509">
        <v>1347.975872816266</v>
      </c>
      <c r="AQ509">
        <v>431.2365958002531</v>
      </c>
      <c r="AR509">
        <v>168.12442209355854</v>
      </c>
      <c r="AS509">
        <v>1916.1854171112884</v>
      </c>
      <c r="AT509">
        <v>86.264760804091154</v>
      </c>
      <c r="AU509">
        <v>228.74635661744406</v>
      </c>
      <c r="AV509"/>
      <c r="AW509"/>
      <c r="FY509" s="211">
        <v>504</v>
      </c>
      <c r="FZ509">
        <v>92.201321021965015</v>
      </c>
      <c r="GA509">
        <v>96.096687273992529</v>
      </c>
      <c r="GB509">
        <v>36.386433359496515</v>
      </c>
      <c r="GC509">
        <v>7.5050562761620565</v>
      </c>
      <c r="GD509">
        <v>1.36458956348121</v>
      </c>
      <c r="GE509">
        <v>3.6942297019496597</v>
      </c>
      <c r="GF509">
        <v>24.790602911490936</v>
      </c>
      <c r="GG509">
        <v>29.368180151058734</v>
      </c>
      <c r="GH509">
        <v>26.842668905234955</v>
      </c>
      <c r="GI509">
        <v>67.917599588699275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 t="e">
        <f>+SQRT(E509*E511)</f>
        <v>#VALUE!</v>
      </c>
      <c r="I510" s="101" t="e">
        <f>+H510*F509</f>
        <v>#VALUE!</v>
      </c>
      <c r="J510" s="101" t="e">
        <f>+I510*$A$440</f>
        <v>#VALUE!</v>
      </c>
      <c r="K510" s="61" t="e">
        <f>IF(AND(J510&lt;0, J508&lt;0), 0, J510)</f>
        <v>#VALUE!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1168.6027555961525</v>
      </c>
      <c r="AO510">
        <v>166.52835410947915</v>
      </c>
      <c r="AP510">
        <v>1333.6464415375901</v>
      </c>
      <c r="AQ510">
        <v>393.46509121696914</v>
      </c>
      <c r="AR510">
        <v>162.02618432225307</v>
      </c>
      <c r="AS510">
        <v>1768.1727664879854</v>
      </c>
      <c r="AT510">
        <v>78.229732212688305</v>
      </c>
      <c r="AU510">
        <v>222.7067860791559</v>
      </c>
      <c r="AV510"/>
      <c r="AW510"/>
      <c r="FY510" s="211">
        <v>505</v>
      </c>
      <c r="FZ510">
        <v>238.85054748005447</v>
      </c>
      <c r="GA510">
        <v>228.47115148077629</v>
      </c>
      <c r="GB510">
        <v>42.260432632987687</v>
      </c>
      <c r="GC510">
        <v>6.7749698905522102</v>
      </c>
      <c r="GD510">
        <v>2.3947506921506561</v>
      </c>
      <c r="GE510">
        <v>5.2973556762683698</v>
      </c>
      <c r="GF510">
        <v>26.706236230013246</v>
      </c>
      <c r="GG510">
        <v>34.04160524925998</v>
      </c>
      <c r="GH510">
        <v>22.620926198615578</v>
      </c>
      <c r="GI510">
        <v>88.300877840969576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 t="e">
        <f>+AH36</f>
        <v>#VALUE!</v>
      </c>
      <c r="F511" s="102">
        <f>+D511-D513</f>
        <v>0</v>
      </c>
      <c r="G511" s="101" t="e">
        <f>+D511*E511</f>
        <v>#VALUE!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944.77980110762837</v>
      </c>
      <c r="AO511">
        <v>144.60945944098896</v>
      </c>
      <c r="AP511">
        <v>1070.1440893332519</v>
      </c>
      <c r="AQ511">
        <v>326.33777463252113</v>
      </c>
      <c r="AR511">
        <v>140.39171227925996</v>
      </c>
      <c r="AS511">
        <v>1447.3719410627725</v>
      </c>
      <c r="AT511">
        <v>67.533557115789591</v>
      </c>
      <c r="AU511">
        <v>193.0767871814711</v>
      </c>
      <c r="AV511"/>
      <c r="AW511"/>
      <c r="FY511" s="211">
        <v>506</v>
      </c>
      <c r="FZ511">
        <v>137.48005220313013</v>
      </c>
      <c r="GA511">
        <v>117.66492471389822</v>
      </c>
      <c r="GB511">
        <v>31.603858467471415</v>
      </c>
      <c r="GC511">
        <v>8.3053892481776206</v>
      </c>
      <c r="GD511">
        <v>2.5852506367348997</v>
      </c>
      <c r="GE511">
        <v>5.3500873592777198</v>
      </c>
      <c r="GF511">
        <v>33.684665924776148</v>
      </c>
      <c r="GG511">
        <v>41.951146168548547</v>
      </c>
      <c r="GH511">
        <v>27.501959925765814</v>
      </c>
      <c r="GI511">
        <v>78.966934276726107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 t="e">
        <f>+SQRT(E511*E513)</f>
        <v>#VALUE!</v>
      </c>
      <c r="I512" s="101" t="e">
        <f>+H512*F511</f>
        <v>#VALUE!</v>
      </c>
      <c r="J512" s="101" t="e">
        <f>+I512*$A$440</f>
        <v>#VALUE!</v>
      </c>
      <c r="K512" s="61" t="e">
        <f>IF(AND(J512&lt;0, J510&lt;0), 0, J512)</f>
        <v>#VALUE!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1362.3058572543885</v>
      </c>
      <c r="AO512">
        <v>168.10266274993734</v>
      </c>
      <c r="AP512">
        <v>1405.059877546747</v>
      </c>
      <c r="AQ512">
        <v>531.24264148126201</v>
      </c>
      <c r="AR512">
        <v>164.017832920964</v>
      </c>
      <c r="AS512">
        <v>1858.9465684676968</v>
      </c>
      <c r="AT512">
        <v>78.458195694645681</v>
      </c>
      <c r="AU512">
        <v>280.98752882916324</v>
      </c>
      <c r="AV512"/>
      <c r="AW512"/>
      <c r="FY512" s="211">
        <v>507</v>
      </c>
      <c r="FZ512">
        <v>136.33122139265976</v>
      </c>
      <c r="GA512">
        <v>123.9602044439989</v>
      </c>
      <c r="GB512">
        <v>36.276901194626447</v>
      </c>
      <c r="GC512">
        <v>8.6793434309257833</v>
      </c>
      <c r="GD512">
        <v>3.808611391750004</v>
      </c>
      <c r="GE512">
        <v>6.1783733790230109</v>
      </c>
      <c r="GF512">
        <v>35.341265378516439</v>
      </c>
      <c r="GG512">
        <v>46.78209460066843</v>
      </c>
      <c r="GH512">
        <v>33.521964163033495</v>
      </c>
      <c r="GI512">
        <v>83.771620295148182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 t="e">
        <f>AI36</f>
        <v>#VALUE!</v>
      </c>
      <c r="F513" s="102">
        <f>+D513-D515</f>
        <v>0</v>
      </c>
      <c r="G513" s="101" t="e">
        <f>+D513*E513</f>
        <v>#VALUE!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975.97512578704448</v>
      </c>
      <c r="AO513">
        <v>144.72846223914155</v>
      </c>
      <c r="AP513">
        <v>1235.7736605087214</v>
      </c>
      <c r="AQ513">
        <v>520.60688844299875</v>
      </c>
      <c r="AR513">
        <v>143.10087424809916</v>
      </c>
      <c r="AS513">
        <v>1617.1548158222126</v>
      </c>
      <c r="AT513">
        <v>71.219105842630199</v>
      </c>
      <c r="AU513">
        <v>-20.359770259981559</v>
      </c>
      <c r="AV513"/>
      <c r="AW513"/>
      <c r="FY513" s="211">
        <v>508</v>
      </c>
      <c r="FZ513">
        <v>124.81207287471842</v>
      </c>
      <c r="GA513">
        <v>64.960309990559693</v>
      </c>
      <c r="GB513">
        <v>19.781882571940677</v>
      </c>
      <c r="GC513">
        <v>6.4655917444125777</v>
      </c>
      <c r="GD513">
        <v>2.348005394428986</v>
      </c>
      <c r="GE513">
        <v>5.6946878673428767</v>
      </c>
      <c r="GF513">
        <v>41.865451299995172</v>
      </c>
      <c r="GG513">
        <v>52.825855272220714</v>
      </c>
      <c r="GH513">
        <v>21.48119088887692</v>
      </c>
      <c r="GI513">
        <v>74.970342923719571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 t="e">
        <f>+SQRT(E513*E515)</f>
        <v>#VALUE!</v>
      </c>
      <c r="I514" s="101" t="e">
        <f>+H514*F513</f>
        <v>#VALUE!</v>
      </c>
      <c r="J514" s="101" t="e">
        <f>+I514*$A$440</f>
        <v>#VALUE!</v>
      </c>
      <c r="K514" s="61" t="e">
        <f>IF(AND(J514&lt;0, J512&lt;0), 0, J514)</f>
        <v>#VALUE!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1117.0919328208943</v>
      </c>
      <c r="AO514">
        <v>158.14278949782496</v>
      </c>
      <c r="AP514">
        <v>1305.7264380038873</v>
      </c>
      <c r="AQ514">
        <v>347.50785734217561</v>
      </c>
      <c r="AR514">
        <v>154.55521543971713</v>
      </c>
      <c r="AS514">
        <v>1521.5477766353729</v>
      </c>
      <c r="AT514">
        <v>73.252409053335896</v>
      </c>
      <c r="AU514">
        <v>346.29530605793036</v>
      </c>
      <c r="AV514"/>
      <c r="AW514"/>
      <c r="FY514" s="211">
        <v>509</v>
      </c>
      <c r="FZ514">
        <v>171.76947808100445</v>
      </c>
      <c r="GA514">
        <v>146.07481553264174</v>
      </c>
      <c r="GB514">
        <v>42.037645205572275</v>
      </c>
      <c r="GC514">
        <v>8.186147166058813</v>
      </c>
      <c r="GD514">
        <v>2.5840666437760644</v>
      </c>
      <c r="GE514">
        <v>4.1594049577355108</v>
      </c>
      <c r="GF514">
        <v>12.582479565346096</v>
      </c>
      <c r="GG514">
        <v>13.816247496758342</v>
      </c>
      <c r="GH514">
        <v>13.87156547941558</v>
      </c>
      <c r="GI514">
        <v>71.7959768170698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 t="e">
        <f>AJ36</f>
        <v>#VALUE!</v>
      </c>
      <c r="F515" s="102">
        <f>+D515-D517</f>
        <v>0</v>
      </c>
      <c r="G515" s="101" t="e">
        <f>+D515*E515</f>
        <v>#VALUE!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1047.8976167566727</v>
      </c>
      <c r="AO515">
        <v>171.45705722015072</v>
      </c>
      <c r="AP515">
        <v>1531.9704307576824</v>
      </c>
      <c r="AQ515">
        <v>494.43118305464509</v>
      </c>
      <c r="AR515">
        <v>169.58207838684103</v>
      </c>
      <c r="AS515">
        <v>1749.3456353464835</v>
      </c>
      <c r="AT515">
        <v>85.671260703853321</v>
      </c>
      <c r="AU515">
        <v>202.42563366411321</v>
      </c>
      <c r="AV515"/>
      <c r="AW515"/>
      <c r="FY515" s="211">
        <v>510</v>
      </c>
      <c r="FZ515">
        <v>112.29256709259784</v>
      </c>
      <c r="GA515">
        <v>140.53251847146646</v>
      </c>
      <c r="GB515">
        <v>51.025408731212899</v>
      </c>
      <c r="GC515">
        <v>8.1265035955863354</v>
      </c>
      <c r="GD515">
        <v>2.8152897777147841</v>
      </c>
      <c r="GE515">
        <v>5.9410265654917964</v>
      </c>
      <c r="GF515">
        <v>27.711341697961394</v>
      </c>
      <c r="GG515">
        <v>33.792540603307131</v>
      </c>
      <c r="GH515">
        <v>28.911039273966118</v>
      </c>
      <c r="GI515">
        <v>86.896739851416825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 t="e">
        <f>+SQRT(E515*E517)</f>
        <v>#VALUE!</v>
      </c>
      <c r="I516" s="101" t="e">
        <f>+H516*F515</f>
        <v>#VALUE!</v>
      </c>
      <c r="J516" s="101" t="e">
        <f>+I516*$A$440</f>
        <v>#VALUE!</v>
      </c>
      <c r="K516" s="61" t="e">
        <f>IF(AND(J516&lt;0, J514&lt;0), 0, J516)</f>
        <v>#VALUE!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967.27869196234622</v>
      </c>
      <c r="AO516">
        <v>136.29530977510746</v>
      </c>
      <c r="AP516">
        <v>1017.9978286407168</v>
      </c>
      <c r="AQ516">
        <v>365.71158911162416</v>
      </c>
      <c r="AR516">
        <v>132.79367135509713</v>
      </c>
      <c r="AS516">
        <v>1501.1267784320028</v>
      </c>
      <c r="AT516">
        <v>67.643852817884948</v>
      </c>
      <c r="AU516">
        <v>110.33592360712457</v>
      </c>
      <c r="AV516"/>
      <c r="AW516"/>
      <c r="FY516" s="211">
        <v>511</v>
      </c>
      <c r="FZ516">
        <v>143.1114194437618</v>
      </c>
      <c r="GA516">
        <v>90.259724449719158</v>
      </c>
      <c r="GB516">
        <v>25.432557466235156</v>
      </c>
      <c r="GC516">
        <v>6.5907714787860971</v>
      </c>
      <c r="GD516">
        <v>3.3252590252980405</v>
      </c>
      <c r="GE516">
        <v>6.2217801640185098</v>
      </c>
      <c r="GF516">
        <v>30.547724124882642</v>
      </c>
      <c r="GG516">
        <v>39.337459224064808</v>
      </c>
      <c r="GH516">
        <v>23.911398093086902</v>
      </c>
      <c r="GI516">
        <v>70.005578923357476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 t="e">
        <f>AK36</f>
        <v>#VALUE!</v>
      </c>
      <c r="F517" s="102">
        <f>+D517-D517</f>
        <v>0</v>
      </c>
      <c r="G517" s="101" t="e">
        <f>+D517*E517</f>
        <v>#VALUE!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1035.9059805986003</v>
      </c>
      <c r="AO517">
        <v>153.48621946503033</v>
      </c>
      <c r="AP517">
        <v>1285.4745971438431</v>
      </c>
      <c r="AQ517">
        <v>355.87026378767257</v>
      </c>
      <c r="AR517">
        <v>145.97592230976423</v>
      </c>
      <c r="AS517">
        <v>1606.8252882842544</v>
      </c>
      <c r="AT517">
        <v>69.292785211065947</v>
      </c>
      <c r="AU517">
        <v>258.95188578445925</v>
      </c>
      <c r="AV517"/>
      <c r="AW517"/>
      <c r="FY517" s="211">
        <v>512</v>
      </c>
      <c r="FZ517">
        <v>149.02823241438301</v>
      </c>
      <c r="GA517">
        <v>71.819406205607265</v>
      </c>
      <c r="GB517">
        <v>22.206009270994159</v>
      </c>
      <c r="GC517">
        <v>7.9332336937239427</v>
      </c>
      <c r="GD517">
        <v>3.2795841374173853</v>
      </c>
      <c r="GE517">
        <v>5.2037222181845202</v>
      </c>
      <c r="GF517">
        <v>30.375019227263962</v>
      </c>
      <c r="GG517">
        <v>39.744979779631308</v>
      </c>
      <c r="GH517">
        <v>26.243976636643161</v>
      </c>
      <c r="GI517">
        <v>74.020388166299128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 t="e">
        <f>+SQRT(E517*E517)</f>
        <v>#VALUE!</v>
      </c>
      <c r="I518" s="101" t="e">
        <f>+H518*F517</f>
        <v>#VALUE!</v>
      </c>
      <c r="J518" s="101" t="e">
        <f>+I518*$A$440</f>
        <v>#VALUE!</v>
      </c>
      <c r="K518" s="61" t="e">
        <f>IF(AND(J518&lt;0, J516&lt;0), 0, J518)</f>
        <v>#VALUE!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886.38556642859453</v>
      </c>
      <c r="AO518">
        <v>139.9338007572772</v>
      </c>
      <c r="AP518">
        <v>1043.4186299843011</v>
      </c>
      <c r="AQ518">
        <v>390.21152268733914</v>
      </c>
      <c r="AR518">
        <v>139.54336875867932</v>
      </c>
      <c r="AS518">
        <v>1492.3963997377416</v>
      </c>
      <c r="AT518">
        <v>71.243535327795257</v>
      </c>
      <c r="AU518">
        <v>63.824659315192505</v>
      </c>
      <c r="AV518"/>
      <c r="AW518"/>
      <c r="FY518" s="211">
        <v>513</v>
      </c>
      <c r="FZ518">
        <v>154.36984262501704</v>
      </c>
      <c r="GA518">
        <v>96.439731529305476</v>
      </c>
      <c r="GB518">
        <v>31.008878935949411</v>
      </c>
      <c r="GC518">
        <v>9.1453859488152176</v>
      </c>
      <c r="GD518">
        <v>4.5801065625325208</v>
      </c>
      <c r="GE518">
        <v>8.0925465224691848</v>
      </c>
      <c r="GF518">
        <v>12.41038801722452</v>
      </c>
      <c r="GG518">
        <v>15.24724561640017</v>
      </c>
      <c r="GH518">
        <v>29.35299532520277</v>
      </c>
      <c r="GI518">
        <v>70.517966933137586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1332.0176611542481</v>
      </c>
      <c r="AO519">
        <v>193.744544122576</v>
      </c>
      <c r="AP519">
        <v>1473.4693617103148</v>
      </c>
      <c r="AQ519">
        <v>495.02907680694528</v>
      </c>
      <c r="AR519">
        <v>189.61850183050896</v>
      </c>
      <c r="AS519">
        <v>2037.1019065415028</v>
      </c>
      <c r="AT519">
        <v>94.509579696857671</v>
      </c>
      <c r="AU519">
        <v>168.38737449468994</v>
      </c>
      <c r="AV519"/>
      <c r="AW519"/>
      <c r="FY519" s="211">
        <v>514</v>
      </c>
      <c r="FZ519">
        <v>100.09527126469628</v>
      </c>
      <c r="GA519">
        <v>82.801289762865323</v>
      </c>
      <c r="GB519">
        <v>32.61934996340802</v>
      </c>
      <c r="GC519">
        <v>9.2945586986591202</v>
      </c>
      <c r="GD519">
        <v>4.1822992007044331</v>
      </c>
      <c r="GE519">
        <v>6.8144034416229005</v>
      </c>
      <c r="GF519">
        <v>35.894355082968225</v>
      </c>
      <c r="GG519">
        <v>44.934708401512552</v>
      </c>
      <c r="GH519">
        <v>22.12899862475313</v>
      </c>
      <c r="GI519">
        <v>72.881547366490622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 t="e">
        <f>SUM(G457:G517)</f>
        <v>#VALUE!</v>
      </c>
      <c r="H520" s="63" t="s">
        <v>30</v>
      </c>
      <c r="I520" s="101" t="e">
        <f>SUM(K458:K518)</f>
        <v>#VALUE!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1010.8852766473501</v>
      </c>
      <c r="AO520">
        <v>143.56975366612866</v>
      </c>
      <c r="AP520">
        <v>1157.3494681794373</v>
      </c>
      <c r="AQ520">
        <v>386.16736875353087</v>
      </c>
      <c r="AR520">
        <v>143.75751443319044</v>
      </c>
      <c r="AS520">
        <v>1534.8110070471687</v>
      </c>
      <c r="AT520">
        <v>72.827487226337027</v>
      </c>
      <c r="AU520">
        <v>257.70013350941053</v>
      </c>
      <c r="AV520"/>
      <c r="AW520"/>
      <c r="FY520" s="211">
        <v>515</v>
      </c>
      <c r="FZ520">
        <v>130.77932558301941</v>
      </c>
      <c r="GA520">
        <v>123.23388465309495</v>
      </c>
      <c r="GB520">
        <v>37.990353317023192</v>
      </c>
      <c r="GC520">
        <v>9.0482049341473409</v>
      </c>
      <c r="GD520">
        <v>3.4525432344867726</v>
      </c>
      <c r="GE520">
        <v>4.3644863355858767</v>
      </c>
      <c r="GF520">
        <v>20.568179291750216</v>
      </c>
      <c r="GG520">
        <v>28.95413732766464</v>
      </c>
      <c r="GH520">
        <v>27.39682707158423</v>
      </c>
      <c r="GI520">
        <v>86.355142609379982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1295.0115208872041</v>
      </c>
      <c r="AO521">
        <v>177.03953905066254</v>
      </c>
      <c r="AP521">
        <v>1540.6748359139881</v>
      </c>
      <c r="AQ521">
        <v>695.71885337164804</v>
      </c>
      <c r="AR521">
        <v>170.35840487918094</v>
      </c>
      <c r="AS521">
        <v>1970.3991820131921</v>
      </c>
      <c r="AT521">
        <v>87.693595618635129</v>
      </c>
      <c r="AU521">
        <v>-53.28665392698376</v>
      </c>
      <c r="AV521"/>
      <c r="AW521"/>
      <c r="FY521" s="211">
        <v>516</v>
      </c>
      <c r="FZ521">
        <v>69.834028955331704</v>
      </c>
      <c r="GA521">
        <v>66.548720305188411</v>
      </c>
      <c r="GB521">
        <v>30.374591468395177</v>
      </c>
      <c r="GC521">
        <v>9.1364653698366443</v>
      </c>
      <c r="GD521">
        <v>2.582756563898621</v>
      </c>
      <c r="GE521">
        <v>4.9044674413154166</v>
      </c>
      <c r="GF521">
        <v>13.324384405512966</v>
      </c>
      <c r="GG521">
        <v>18.301979851951788</v>
      </c>
      <c r="GH521">
        <v>28.347515517489828</v>
      </c>
      <c r="GI521">
        <v>59.528605153584458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 t="e">
        <f>+I520/G520</f>
        <v>#VALUE!</v>
      </c>
      <c r="G522" s="63"/>
      <c r="H522" s="63" t="s">
        <v>101</v>
      </c>
      <c r="I522">
        <v>354.82888793945313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1233.076536904663</v>
      </c>
      <c r="AO522">
        <v>184.45771392434807</v>
      </c>
      <c r="AP522">
        <v>1656.4595490968218</v>
      </c>
      <c r="AQ522">
        <v>485.09426892450665</v>
      </c>
      <c r="AR522">
        <v>177.10789862636616</v>
      </c>
      <c r="AS522">
        <v>1890.4272436047902</v>
      </c>
      <c r="AT522">
        <v>80.469545161522277</v>
      </c>
      <c r="AU522">
        <v>172.23023826947244</v>
      </c>
      <c r="AV522"/>
      <c r="AW522"/>
      <c r="FY522" s="211">
        <v>517</v>
      </c>
      <c r="FZ522">
        <v>135.82973893506355</v>
      </c>
      <c r="GA522">
        <v>67.452257096065651</v>
      </c>
      <c r="GB522">
        <v>27.413704746919162</v>
      </c>
      <c r="GC522">
        <v>11.484895483530725</v>
      </c>
      <c r="GD522">
        <v>4.1020199041341954</v>
      </c>
      <c r="GE522">
        <v>5.2225269127974547</v>
      </c>
      <c r="GF522">
        <v>33.324111090927062</v>
      </c>
      <c r="GG522">
        <v>44.043548602765213</v>
      </c>
      <c r="GH522">
        <v>21.852998998106713</v>
      </c>
      <c r="GI522">
        <v>87.957290043952568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 t="e">
        <f>+I523/G520</f>
        <v>#VALUE!</v>
      </c>
      <c r="G523" s="63"/>
      <c r="H523" s="63" t="s">
        <v>103</v>
      </c>
      <c r="I523" s="123" t="e">
        <f>+I520*(365/I522)</f>
        <v>#VALUE!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1302.124014217806</v>
      </c>
      <c r="AO523">
        <v>185.85874858365861</v>
      </c>
      <c r="AP523">
        <v>1604.317889166296</v>
      </c>
      <c r="AQ523">
        <v>514.65159967035038</v>
      </c>
      <c r="AR523">
        <v>183.4218214166159</v>
      </c>
      <c r="AS523">
        <v>1956.7870346793557</v>
      </c>
      <c r="AT523">
        <v>87.792899546672871</v>
      </c>
      <c r="AU523">
        <v>181.9431433563505</v>
      </c>
      <c r="AV523"/>
      <c r="AW523"/>
      <c r="FY523" s="211">
        <v>518</v>
      </c>
      <c r="FZ523">
        <v>137.07551761040349</v>
      </c>
      <c r="GA523">
        <v>122.78838248604873</v>
      </c>
      <c r="GB523">
        <v>35.103066316954134</v>
      </c>
      <c r="GC523">
        <v>7.843990145921854</v>
      </c>
      <c r="GD523">
        <v>2.7854197667929834</v>
      </c>
      <c r="GE523">
        <v>3.7000136488664825</v>
      </c>
      <c r="GF523">
        <v>28.843444382751354</v>
      </c>
      <c r="GG523">
        <v>40.681979662132235</v>
      </c>
      <c r="GH523">
        <v>21.008422002992546</v>
      </c>
      <c r="GI523">
        <v>82.930406655354133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1085.8759687053016</v>
      </c>
      <c r="AO524">
        <v>160.1526862891792</v>
      </c>
      <c r="AP524">
        <v>1343.9897344747567</v>
      </c>
      <c r="AQ524">
        <v>415.20539082821563</v>
      </c>
      <c r="AR524">
        <v>156.94357314696012</v>
      </c>
      <c r="AS524">
        <v>1680.4710342958094</v>
      </c>
      <c r="AT524">
        <v>75.433394607842871</v>
      </c>
      <c r="AU524">
        <v>222.080217463292</v>
      </c>
      <c r="AV524"/>
      <c r="AW524"/>
      <c r="FY524" s="211">
        <v>519</v>
      </c>
      <c r="FZ524">
        <v>161.6322716604331</v>
      </c>
      <c r="GA524">
        <v>115.08129204459695</v>
      </c>
      <c r="GB524">
        <v>20.685837732228748</v>
      </c>
      <c r="GC524">
        <v>5.4802165479236766</v>
      </c>
      <c r="GD524">
        <v>2.7821557982995797</v>
      </c>
      <c r="GE524">
        <v>5.0199950998162075</v>
      </c>
      <c r="GF524">
        <v>40.658722725110366</v>
      </c>
      <c r="GG524">
        <v>53.673386108731194</v>
      </c>
      <c r="GH524">
        <v>26.055540725375554</v>
      </c>
      <c r="GI524">
        <v>76.524640211061168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999.491036234935</v>
      </c>
      <c r="AO525">
        <v>148.200926491556</v>
      </c>
      <c r="AP525">
        <v>1300.3963033659777</v>
      </c>
      <c r="AQ525">
        <v>486.87782694537862</v>
      </c>
      <c r="AR525">
        <v>148.66430792986282</v>
      </c>
      <c r="AS525">
        <v>1582.6660340727847</v>
      </c>
      <c r="AT525">
        <v>79.839573624683908</v>
      </c>
      <c r="AU525">
        <v>109.0986358793342</v>
      </c>
      <c r="AV525"/>
      <c r="AW525"/>
      <c r="FY525" s="211">
        <v>520</v>
      </c>
      <c r="FZ525">
        <v>190.67673684639431</v>
      </c>
      <c r="GA525">
        <v>188.40504002923845</v>
      </c>
      <c r="GB525">
        <v>45.240756999811403</v>
      </c>
      <c r="GC525">
        <v>9.3801209864447088</v>
      </c>
      <c r="GD525">
        <v>5.5421923685536152</v>
      </c>
      <c r="GE525">
        <v>7.1844286228307812</v>
      </c>
      <c r="GF525">
        <v>35.217580464759948</v>
      </c>
      <c r="GG525">
        <v>48.584126409183369</v>
      </c>
      <c r="GH525">
        <v>24.69555004431411</v>
      </c>
      <c r="GI525">
        <v>94.330572240327029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1298.9192829968865</v>
      </c>
      <c r="AO526">
        <v>172.78188375649142</v>
      </c>
      <c r="AP526">
        <v>1367.737979868934</v>
      </c>
      <c r="AQ526">
        <v>498.04497566072166</v>
      </c>
      <c r="AR526">
        <v>171.42118657358634</v>
      </c>
      <c r="AS526">
        <v>1950.3077590091002</v>
      </c>
      <c r="AT526">
        <v>85.658713374952242</v>
      </c>
      <c r="AU526">
        <v>228.99789965142241</v>
      </c>
      <c r="AV526"/>
      <c r="AW526"/>
      <c r="FY526" s="211">
        <v>521</v>
      </c>
      <c r="FZ526">
        <v>111.21455183038911</v>
      </c>
      <c r="GA526">
        <v>96.155927332440228</v>
      </c>
      <c r="GB526">
        <v>36.295476064249733</v>
      </c>
      <c r="GC526">
        <v>8.5068001294351276</v>
      </c>
      <c r="GD526">
        <v>1.991195414938367</v>
      </c>
      <c r="GE526">
        <v>3.541614069929091</v>
      </c>
      <c r="GF526">
        <v>14.083721511815895</v>
      </c>
      <c r="GG526">
        <v>17.846953991271846</v>
      </c>
      <c r="GH526">
        <v>30.935183159079255</v>
      </c>
      <c r="GI526">
        <v>64.566636683041821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1072.9800731382888</v>
      </c>
      <c r="AO527">
        <v>163.3221783032306</v>
      </c>
      <c r="AP527">
        <v>1458.8091473926556</v>
      </c>
      <c r="AQ527">
        <v>438.7436723932106</v>
      </c>
      <c r="AR527">
        <v>162.96900025568445</v>
      </c>
      <c r="AS527">
        <v>1643.2039198104644</v>
      </c>
      <c r="AT527">
        <v>75.150061405539589</v>
      </c>
      <c r="AU527">
        <v>67.791878291915324</v>
      </c>
      <c r="AV527"/>
      <c r="AW527"/>
      <c r="FY527" s="211">
        <v>522</v>
      </c>
      <c r="FZ527">
        <v>93.602427652191409</v>
      </c>
      <c r="GA527">
        <v>54.357055135012274</v>
      </c>
      <c r="GB527">
        <v>21.451398900453711</v>
      </c>
      <c r="GC527">
        <v>8.0453021742993034</v>
      </c>
      <c r="GD527">
        <v>3.2624340213668375</v>
      </c>
      <c r="GE527">
        <v>4.7613872514417004</v>
      </c>
      <c r="GF527">
        <v>41.823399235287482</v>
      </c>
      <c r="GG527">
        <v>53.268189759322247</v>
      </c>
      <c r="GH527">
        <v>27.157515080604636</v>
      </c>
      <c r="GI527">
        <v>74.621363793023193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1078.9356170399508</v>
      </c>
      <c r="AO528">
        <v>170.44979119035068</v>
      </c>
      <c r="AP528">
        <v>1527.3394565055137</v>
      </c>
      <c r="AQ528">
        <v>429.85455175014783</v>
      </c>
      <c r="AR528">
        <v>170.21235182007155</v>
      </c>
      <c r="AS528">
        <v>1744.6617889014883</v>
      </c>
      <c r="AT528">
        <v>81.412719093804625</v>
      </c>
      <c r="AU528">
        <v>235.69249174318554</v>
      </c>
      <c r="AV528"/>
      <c r="AW528"/>
      <c r="FY528" s="211">
        <v>523</v>
      </c>
      <c r="FZ528">
        <v>131.57765920918084</v>
      </c>
      <c r="GA528">
        <v>77.309038453875004</v>
      </c>
      <c r="GB528">
        <v>21.692291603252944</v>
      </c>
      <c r="GC528">
        <v>8.8025113748475405</v>
      </c>
      <c r="GD528">
        <v>3.3573484174598947</v>
      </c>
      <c r="GE528">
        <v>4.059409082400621</v>
      </c>
      <c r="GF528">
        <v>17.758362119883525</v>
      </c>
      <c r="GG528">
        <v>25.15620646540545</v>
      </c>
      <c r="GH528">
        <v>28.164911145098404</v>
      </c>
      <c r="GI528">
        <v>65.601392527530649</v>
      </c>
      <c r="GJ528"/>
      <c r="GK528"/>
      <c r="GL528"/>
      <c r="GM528"/>
    </row>
    <row r="529" spans="1:195" s="7" customFormat="1" ht="15.6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1021.6251001314919</v>
      </c>
      <c r="AO529">
        <v>163.23266724918304</v>
      </c>
      <c r="AP529">
        <v>1411.0459470059011</v>
      </c>
      <c r="AQ529">
        <v>431.16508801605391</v>
      </c>
      <c r="AR529">
        <v>161.58951183065923</v>
      </c>
      <c r="AS529">
        <v>1630.7556555818862</v>
      </c>
      <c r="AT529">
        <v>82.667741036352908</v>
      </c>
      <c r="AU529">
        <v>92.884755757614229</v>
      </c>
      <c r="AV529"/>
      <c r="AW529"/>
      <c r="FY529" s="211">
        <v>524</v>
      </c>
      <c r="FZ529">
        <v>187.46309022696002</v>
      </c>
      <c r="GA529">
        <v>150.45873914959279</v>
      </c>
      <c r="GB529">
        <v>39.809057701627879</v>
      </c>
      <c r="GC529">
        <v>7.1920606608353399</v>
      </c>
      <c r="GD529">
        <v>3.3827677255876889</v>
      </c>
      <c r="GE529">
        <v>5.9527570970514114</v>
      </c>
      <c r="GF529">
        <v>30.421119328984627</v>
      </c>
      <c r="GG529">
        <v>39.748110033545593</v>
      </c>
      <c r="GH529">
        <v>20.588149209676093</v>
      </c>
      <c r="GI529">
        <v>90.119944406886674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1146.1503094638388</v>
      </c>
      <c r="AO530">
        <v>136.03840164255735</v>
      </c>
      <c r="AP530">
        <v>1126.4913998370944</v>
      </c>
      <c r="AQ530">
        <v>411.64678180768061</v>
      </c>
      <c r="AR530">
        <v>131.80147978967486</v>
      </c>
      <c r="AS530">
        <v>1535.5984934958399</v>
      </c>
      <c r="AT530">
        <v>60.168715298517974</v>
      </c>
      <c r="AU530">
        <v>197.33538410799343</v>
      </c>
      <c r="AV530"/>
      <c r="AW530"/>
      <c r="FY530" s="211">
        <v>525</v>
      </c>
      <c r="FZ530">
        <v>154.0954294139116</v>
      </c>
      <c r="GA530">
        <v>119.45435810125386</v>
      </c>
      <c r="GB530">
        <v>32.201444976198005</v>
      </c>
      <c r="GC530">
        <v>7.9457952132749874</v>
      </c>
      <c r="GD530">
        <v>2.6334667396704003</v>
      </c>
      <c r="GE530">
        <v>4.4677032925762479</v>
      </c>
      <c r="GF530">
        <v>45.597457281117165</v>
      </c>
      <c r="GG530">
        <v>57.612435024131869</v>
      </c>
      <c r="GH530">
        <v>19.225577586684565</v>
      </c>
      <c r="GI530">
        <v>81.656986811728785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531.25000000000011</v>
      </c>
      <c r="E531" s="108" t="e">
        <f>E405</f>
        <v>#VALUE!</v>
      </c>
      <c r="F531" s="102"/>
      <c r="G531" s="101" t="e">
        <f>D531*E531</f>
        <v>#VALUE!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1253.2808810590275</v>
      </c>
      <c r="AO531">
        <v>211.61209846206117</v>
      </c>
      <c r="AP531">
        <v>1700.571871492873</v>
      </c>
      <c r="AQ531">
        <v>472.1430843577366</v>
      </c>
      <c r="AR531">
        <v>202.59043977695919</v>
      </c>
      <c r="AS531">
        <v>2085.79735442423</v>
      </c>
      <c r="AT531">
        <v>99.763261370464463</v>
      </c>
      <c r="AU531">
        <v>173.76572569474419</v>
      </c>
      <c r="AV531"/>
      <c r="AW531"/>
      <c r="FY531" s="211">
        <v>526</v>
      </c>
      <c r="FZ531">
        <v>153.8802575029591</v>
      </c>
      <c r="GA531">
        <v>114.98261592193748</v>
      </c>
      <c r="GB531">
        <v>27.56965354010832</v>
      </c>
      <c r="GC531">
        <v>9.3299668304004015</v>
      </c>
      <c r="GD531">
        <v>3.2482325307382212</v>
      </c>
      <c r="GE531">
        <v>6.431540676735672</v>
      </c>
      <c r="GF531">
        <v>11.311721963576311</v>
      </c>
      <c r="GG531">
        <v>12.745627351730317</v>
      </c>
      <c r="GH531">
        <v>21.431491132550615</v>
      </c>
      <c r="GI531">
        <v>69.446098015410016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 t="e">
        <f>E533-E531</f>
        <v>#VALUE!</v>
      </c>
      <c r="I532" s="101">
        <f>AVERAGE(D531:D533)</f>
        <v>677.19173085901036</v>
      </c>
      <c r="J532" s="101" t="e">
        <f>I532*H532</f>
        <v>#VALUE!</v>
      </c>
      <c r="K532" s="61" t="e">
        <f>J532/(C533-C531)</f>
        <v>#VALUE!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861.22813079511491</v>
      </c>
      <c r="AO532">
        <v>124.84608031074046</v>
      </c>
      <c r="AP532">
        <v>964.69240328524404</v>
      </c>
      <c r="AQ532">
        <v>302.88351503250499</v>
      </c>
      <c r="AR532">
        <v>120.35193506509395</v>
      </c>
      <c r="AS532">
        <v>1379.2774402571881</v>
      </c>
      <c r="AT532">
        <v>57.741128457930337</v>
      </c>
      <c r="AU532">
        <v>77.604303594345794</v>
      </c>
      <c r="AV532"/>
      <c r="AW532"/>
      <c r="FY532" s="211">
        <v>527</v>
      </c>
      <c r="FZ532">
        <v>179.91325014131706</v>
      </c>
      <c r="GA532">
        <v>105.3329924274331</v>
      </c>
      <c r="GB532">
        <v>28.269914815382407</v>
      </c>
      <c r="GC532">
        <v>9.7420069026522835</v>
      </c>
      <c r="GD532">
        <v>3.6694117527726817</v>
      </c>
      <c r="GE532">
        <v>3.7136459330957288</v>
      </c>
      <c r="GF532">
        <v>20.266342517986359</v>
      </c>
      <c r="GG532">
        <v>28.249191372597675</v>
      </c>
      <c r="GH532">
        <v>20.758567467407911</v>
      </c>
      <c r="GI532">
        <v>81.812302947083992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823.13346171802061</v>
      </c>
      <c r="E533" s="108" t="e">
        <f>E406</f>
        <v>#VALUE!</v>
      </c>
      <c r="F533" s="102"/>
      <c r="G533" s="101" t="e">
        <f>D533*E533</f>
        <v>#VALUE!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1222.8151200673697</v>
      </c>
      <c r="AO533">
        <v>184.72918571981432</v>
      </c>
      <c r="AP533">
        <v>1456.3992575732161</v>
      </c>
      <c r="AQ533">
        <v>438.68309181426235</v>
      </c>
      <c r="AR533">
        <v>181.24938618764494</v>
      </c>
      <c r="AS533">
        <v>2057.5185157956839</v>
      </c>
      <c r="AT533">
        <v>90.268969782186289</v>
      </c>
      <c r="AU533">
        <v>217.6401875804888</v>
      </c>
      <c r="AV533"/>
      <c r="AW533"/>
      <c r="FY533" s="211">
        <v>528</v>
      </c>
      <c r="FZ533">
        <v>231.90088706749549</v>
      </c>
      <c r="GA533">
        <v>182.92609677787405</v>
      </c>
      <c r="GB533">
        <v>42.797044211519484</v>
      </c>
      <c r="GC533">
        <v>10.132453514026665</v>
      </c>
      <c r="GD533">
        <v>3.4264971175560142</v>
      </c>
      <c r="GE533">
        <v>4.1799535173923079</v>
      </c>
      <c r="GF533">
        <v>4.2433074509546955</v>
      </c>
      <c r="GG533">
        <v>6.6819749556506611</v>
      </c>
      <c r="GH533">
        <v>28.39070463099981</v>
      </c>
      <c r="GI533">
        <v>77.177823824259477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 t="e">
        <f>E535-E533</f>
        <v>#VALUE!</v>
      </c>
      <c r="I534" s="101">
        <f>AVERAGE(D533:D535)</f>
        <v>1206.0235760971054</v>
      </c>
      <c r="J534" s="101" t="e">
        <f>I534*H534</f>
        <v>#VALUE!</v>
      </c>
      <c r="K534" s="61" t="e">
        <f>J534/(C535-C533)</f>
        <v>#VALUE!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1192.3900869704817</v>
      </c>
      <c r="AO534">
        <v>177.41934850749999</v>
      </c>
      <c r="AP534">
        <v>1446.8786564170878</v>
      </c>
      <c r="AQ534">
        <v>482.76064267821795</v>
      </c>
      <c r="AR534">
        <v>170.39906634735419</v>
      </c>
      <c r="AS534">
        <v>1850.954177298735</v>
      </c>
      <c r="AT534">
        <v>84.305388435446645</v>
      </c>
      <c r="AU534">
        <v>33.163091082100451</v>
      </c>
      <c r="AV534"/>
      <c r="AW534"/>
      <c r="FY534" s="211">
        <v>529</v>
      </c>
      <c r="FZ534">
        <v>90.72456946186</v>
      </c>
      <c r="GA534">
        <v>91.677660050341586</v>
      </c>
      <c r="GB534">
        <v>31.20784251263607</v>
      </c>
      <c r="GC534">
        <v>6.043315577202657</v>
      </c>
      <c r="GD534">
        <v>2.998887447528702</v>
      </c>
      <c r="GE534">
        <v>6.6066908805113789</v>
      </c>
      <c r="GF534">
        <v>44.856219676185091</v>
      </c>
      <c r="GG534">
        <v>58.816400817634332</v>
      </c>
      <c r="GH534">
        <v>22.647160433168835</v>
      </c>
      <c r="GI534">
        <v>81.208010943418685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1588.9136904761901</v>
      </c>
      <c r="E535" s="108" t="e">
        <f>E407</f>
        <v>#VALUE!</v>
      </c>
      <c r="F535" s="102"/>
      <c r="G535" s="101" t="e">
        <f>D535*E535</f>
        <v>#VALUE!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1148.6479454493326</v>
      </c>
      <c r="AO535">
        <v>163.30655925325149</v>
      </c>
      <c r="AP535">
        <v>1502.6664300740822</v>
      </c>
      <c r="AQ535">
        <v>507.59405865357661</v>
      </c>
      <c r="AR535">
        <v>157.63867413744359</v>
      </c>
      <c r="AS535">
        <v>1728.1780962010066</v>
      </c>
      <c r="AT535">
        <v>75.175672936554733</v>
      </c>
      <c r="AU535">
        <v>223.9715176015568</v>
      </c>
      <c r="AV535"/>
      <c r="AW535"/>
      <c r="FY535" s="211">
        <v>530</v>
      </c>
      <c r="FZ535">
        <v>129.3466355636736</v>
      </c>
      <c r="GA535">
        <v>109.31973540075396</v>
      </c>
      <c r="GB535">
        <v>33.599480135115719</v>
      </c>
      <c r="GC535">
        <v>7.9289726426388514</v>
      </c>
      <c r="GD535">
        <v>2.7416415896855169</v>
      </c>
      <c r="GE535">
        <v>4.8058959820583382</v>
      </c>
      <c r="GF535">
        <v>25.004926645034466</v>
      </c>
      <c r="GG535">
        <v>30.728155992361209</v>
      </c>
      <c r="GH535">
        <v>30.496683796106161</v>
      </c>
      <c r="GI535">
        <v>72.296555392742562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 t="e">
        <f>E537-E535</f>
        <v>#VALUE!</v>
      </c>
      <c r="I536" s="101">
        <f>AVERAGE(D535:D537)</f>
        <v>1799.0915244956195</v>
      </c>
      <c r="J536" s="101" t="e">
        <f>I536*H536</f>
        <v>#VALUE!</v>
      </c>
      <c r="K536" s="61" t="e">
        <f>J536/(C537-C535)</f>
        <v>#VALUE!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1450.7497572241634</v>
      </c>
      <c r="AO536">
        <v>179.56095207290451</v>
      </c>
      <c r="AP536">
        <v>1538.9957367496991</v>
      </c>
      <c r="AQ536">
        <v>649.25710501185767</v>
      </c>
      <c r="AR536">
        <v>176.11953727207595</v>
      </c>
      <c r="AS536">
        <v>1933.1065653385615</v>
      </c>
      <c r="AT536">
        <v>87.492519493438309</v>
      </c>
      <c r="AU536">
        <v>-119.31417174079667</v>
      </c>
      <c r="AV536"/>
      <c r="AW536"/>
      <c r="FY536" s="211">
        <v>531</v>
      </c>
      <c r="FZ536">
        <v>105.41150563430904</v>
      </c>
      <c r="GA536">
        <v>99.207655560169357</v>
      </c>
      <c r="GB536">
        <v>38.127768435135579</v>
      </c>
      <c r="GC536">
        <v>9.6975434993578347</v>
      </c>
      <c r="GD536">
        <v>3.0875472215229074</v>
      </c>
      <c r="GE536">
        <v>3.7694651932074734</v>
      </c>
      <c r="GF536">
        <v>34.729609345022062</v>
      </c>
      <c r="GG536">
        <v>44.685507561125178</v>
      </c>
      <c r="GH536">
        <v>25.890221606657654</v>
      </c>
      <c r="GI536">
        <v>80.20575776958232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2009.2693585150487</v>
      </c>
      <c r="E537" s="108" t="e">
        <f>E408</f>
        <v>#VALUE!</v>
      </c>
      <c r="F537" s="102"/>
      <c r="G537" s="101" t="e">
        <f>D537*E537</f>
        <v>#VALUE!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953.1281225899105</v>
      </c>
      <c r="AO537">
        <v>144.25125453144273</v>
      </c>
      <c r="AP537">
        <v>1200.2238294138747</v>
      </c>
      <c r="AQ537">
        <v>385.13806018659045</v>
      </c>
      <c r="AR537">
        <v>144.4394502813428</v>
      </c>
      <c r="AS537">
        <v>1573.3486607333941</v>
      </c>
      <c r="AT537">
        <v>69.787241795421053</v>
      </c>
      <c r="AU537">
        <v>136.91618628096194</v>
      </c>
      <c r="AV537"/>
      <c r="AW537"/>
      <c r="FY537" s="211">
        <v>532</v>
      </c>
      <c r="FZ537">
        <v>101.22362110855724</v>
      </c>
      <c r="GA537">
        <v>89.55731783810981</v>
      </c>
      <c r="GB537">
        <v>24.672775913555746</v>
      </c>
      <c r="GC537">
        <v>6.9844591877998692</v>
      </c>
      <c r="GD537">
        <v>2.2483694636426668</v>
      </c>
      <c r="GE537">
        <v>5.1950805271722373</v>
      </c>
      <c r="GF537">
        <v>17.493591960115992</v>
      </c>
      <c r="GG537">
        <v>18.10362806896643</v>
      </c>
      <c r="GH537">
        <v>24.616423211292183</v>
      </c>
      <c r="GI537">
        <v>58.668411156598843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 t="e">
        <f>E539-E537</f>
        <v>#VALUE!</v>
      </c>
      <c r="I538" s="101">
        <f>AVERAGE(D537:D539)</f>
        <v>1485.0923928402378</v>
      </c>
      <c r="J538" s="101" t="e">
        <f>I538*H538</f>
        <v>#VALUE!</v>
      </c>
      <c r="K538" s="61" t="e">
        <f>J538/(C539-C537)</f>
        <v>#VALUE!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1171.399511335369</v>
      </c>
      <c r="AO538">
        <v>184.41849879019418</v>
      </c>
      <c r="AP538">
        <v>1634.7041386866795</v>
      </c>
      <c r="AQ538">
        <v>382.35047300300278</v>
      </c>
      <c r="AR538">
        <v>179.22341843547031</v>
      </c>
      <c r="AS538">
        <v>1751.195296886393</v>
      </c>
      <c r="AT538">
        <v>79.350747798250197</v>
      </c>
      <c r="AU538">
        <v>346.95605429269028</v>
      </c>
      <c r="AV538"/>
      <c r="AW538"/>
      <c r="FY538" s="211">
        <v>533</v>
      </c>
      <c r="FZ538">
        <v>105.21774853578377</v>
      </c>
      <c r="GA538">
        <v>76.08375008588871</v>
      </c>
      <c r="GB538">
        <v>30.434792224844131</v>
      </c>
      <c r="GC538">
        <v>8.2086121543560555</v>
      </c>
      <c r="GD538">
        <v>2.9545894787158078</v>
      </c>
      <c r="GE538">
        <v>6.2913525947999567</v>
      </c>
      <c r="GF538">
        <v>30.589221299074836</v>
      </c>
      <c r="GG538">
        <v>33.204007979428049</v>
      </c>
      <c r="GH538">
        <v>14.580402886286585</v>
      </c>
      <c r="GI538">
        <v>68.021211297093529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960.9154271654271</v>
      </c>
      <c r="E539" s="108" t="e">
        <f>E409</f>
        <v>#VALUE!</v>
      </c>
      <c r="F539" s="102"/>
      <c r="G539" s="101" t="e">
        <f>D539*E539</f>
        <v>#VALUE!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910.96272050164112</v>
      </c>
      <c r="AO539">
        <v>147.09598041220372</v>
      </c>
      <c r="AP539">
        <v>1245.6612302399162</v>
      </c>
      <c r="AQ539">
        <v>383.4791303989349</v>
      </c>
      <c r="AR539">
        <v>143.71670490783595</v>
      </c>
      <c r="AS539">
        <v>1472.3861143974698</v>
      </c>
      <c r="AT539">
        <v>68.749034025554465</v>
      </c>
      <c r="AU539">
        <v>-7.0522131995484614</v>
      </c>
      <c r="AV539"/>
      <c r="AW539"/>
      <c r="FY539" s="211">
        <v>534</v>
      </c>
      <c r="FZ539">
        <v>131.79785878962434</v>
      </c>
      <c r="GA539">
        <v>74.247477834706189</v>
      </c>
      <c r="GB539">
        <v>27.473644947151531</v>
      </c>
      <c r="GC539">
        <v>8.0904096601221518</v>
      </c>
      <c r="GD539">
        <v>2.8275521261307057</v>
      </c>
      <c r="GE539">
        <v>5.2998252236423138</v>
      </c>
      <c r="GF539">
        <v>33.563825998948772</v>
      </c>
      <c r="GG539">
        <v>43.450333251163698</v>
      </c>
      <c r="GH539">
        <v>32.718253337699608</v>
      </c>
      <c r="GI539">
        <v>75.712662135504488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 t="e">
        <f>E541-E539</f>
        <v>#VALUE!</v>
      </c>
      <c r="I540" s="101">
        <f>AVERAGE(D539:D541)</f>
        <v>1305.0857965405676</v>
      </c>
      <c r="J540" s="101" t="e">
        <f>I540*H540</f>
        <v>#VALUE!</v>
      </c>
      <c r="K540" s="61" t="e">
        <f>J540/(C541-C539)</f>
        <v>#VALUE!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1312.0663685195075</v>
      </c>
      <c r="AO540">
        <v>184.48758606402887</v>
      </c>
      <c r="AP540">
        <v>1532.8169062282875</v>
      </c>
      <c r="AQ540">
        <v>575.13579554074806</v>
      </c>
      <c r="AR540">
        <v>182.41021868018839</v>
      </c>
      <c r="AS540">
        <v>1900.8301790315534</v>
      </c>
      <c r="AT540">
        <v>88.639963433005292</v>
      </c>
      <c r="AU540">
        <v>149.39488564957554</v>
      </c>
      <c r="AV540"/>
      <c r="AW540"/>
      <c r="FY540" s="211">
        <v>535</v>
      </c>
      <c r="FZ540">
        <v>66.298499614495285</v>
      </c>
      <c r="GA540">
        <v>28.934877580710079</v>
      </c>
      <c r="GB540">
        <v>19.613927531484038</v>
      </c>
      <c r="GC540">
        <v>7.7597778231564423</v>
      </c>
      <c r="GD540">
        <v>3.4598387038771024</v>
      </c>
      <c r="GE540">
        <v>6.0925235690980024</v>
      </c>
      <c r="GF540">
        <v>26.04051236321417</v>
      </c>
      <c r="GG540">
        <v>29.232696311664053</v>
      </c>
      <c r="GH540">
        <v>19.140452634083239</v>
      </c>
      <c r="GI540">
        <v>56.369451669942045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1649.2561659157079</v>
      </c>
      <c r="E541" s="108" t="e">
        <f>E410</f>
        <v>#VALUE!</v>
      </c>
      <c r="F541" s="102"/>
      <c r="G541" s="101" t="e">
        <f>D541*E541</f>
        <v>#VALUE!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1275.9226239207032</v>
      </c>
      <c r="AO541">
        <v>169.62229885285325</v>
      </c>
      <c r="AP541">
        <v>1476.7831431600341</v>
      </c>
      <c r="AQ541">
        <v>524.89065444054745</v>
      </c>
      <c r="AR541">
        <v>165.28623330954147</v>
      </c>
      <c r="AS541">
        <v>1767.6398653798215</v>
      </c>
      <c r="AT541">
        <v>76.197063866601056</v>
      </c>
      <c r="AU541">
        <v>194.84048385936384</v>
      </c>
      <c r="AV541"/>
      <c r="AW541"/>
      <c r="FY541" s="211">
        <v>536</v>
      </c>
      <c r="FZ541">
        <v>115.10662189979499</v>
      </c>
      <c r="GA541">
        <v>95.258404256749614</v>
      </c>
      <c r="GB541">
        <v>32.984066229973195</v>
      </c>
      <c r="GC541">
        <v>9.2616634199348482</v>
      </c>
      <c r="GD541">
        <v>3.8222040980248257</v>
      </c>
      <c r="GE541">
        <v>6.5256507497319216</v>
      </c>
      <c r="GF541">
        <v>17.069926447084345</v>
      </c>
      <c r="GG541">
        <v>22.435293948258284</v>
      </c>
      <c r="GH541">
        <v>21.487761482758998</v>
      </c>
      <c r="GI541">
        <v>69.09670301537335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 t="e">
        <f>E543-E541</f>
        <v>#VALUE!</v>
      </c>
      <c r="I542" s="101">
        <f>AVERAGE(D541:D543)</f>
        <v>1063.2619805272984</v>
      </c>
      <c r="J542" s="101" t="e">
        <f>I542*H542</f>
        <v>#VALUE!</v>
      </c>
      <c r="K542" s="61" t="e">
        <f>J542/(C543-C541)</f>
        <v>#VALUE!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961.1109818085024</v>
      </c>
      <c r="AO542">
        <v>167.00643391422787</v>
      </c>
      <c r="AP542">
        <v>1379.8750388995381</v>
      </c>
      <c r="AQ542">
        <v>430.37720546614645</v>
      </c>
      <c r="AR542">
        <v>159.55090472225794</v>
      </c>
      <c r="AS542">
        <v>1573.0457963393235</v>
      </c>
      <c r="AT542">
        <v>78.04371880200695</v>
      </c>
      <c r="AU542">
        <v>-44.692463532661051</v>
      </c>
      <c r="AV542"/>
      <c r="AW542"/>
      <c r="FY542" s="211">
        <v>537</v>
      </c>
      <c r="FZ542">
        <v>126.93331939564597</v>
      </c>
      <c r="GA542">
        <v>106.66164192930751</v>
      </c>
      <c r="GB542">
        <v>34.403592002707285</v>
      </c>
      <c r="GC542">
        <v>8.0774964796116571</v>
      </c>
      <c r="GD542">
        <v>2.4917051861002895</v>
      </c>
      <c r="GE542">
        <v>5.4448790953391555</v>
      </c>
      <c r="GF542">
        <v>11.29477301893721</v>
      </c>
      <c r="GG542">
        <v>13.210170547146735</v>
      </c>
      <c r="GH542">
        <v>19.649986200386248</v>
      </c>
      <c r="GI542">
        <v>64.081225925193692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477.26779513888891</v>
      </c>
      <c r="E543" s="108" t="e">
        <f>E411</f>
        <v>#VALUE!</v>
      </c>
      <c r="F543" s="102"/>
      <c r="G543" s="101" t="e">
        <f>D543*E543</f>
        <v>#VALUE!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1149.4121718408878</v>
      </c>
      <c r="AO543">
        <v>176.62311782838626</v>
      </c>
      <c r="AP543">
        <v>1407.1648720583958</v>
      </c>
      <c r="AQ543">
        <v>481.72762627772926</v>
      </c>
      <c r="AR543">
        <v>176.08998790843719</v>
      </c>
      <c r="AS543">
        <v>1844.5191244675841</v>
      </c>
      <c r="AT543">
        <v>86.30869010181614</v>
      </c>
      <c r="AU543">
        <v>-3.6238716470950862</v>
      </c>
      <c r="AV543"/>
      <c r="AW543"/>
      <c r="FY543" s="211">
        <v>538</v>
      </c>
      <c r="FZ543">
        <v>163.17457176301608</v>
      </c>
      <c r="GA543">
        <v>126.14988503788452</v>
      </c>
      <c r="GB543">
        <v>33.856557667983139</v>
      </c>
      <c r="GC543">
        <v>8.5046951113766873</v>
      </c>
      <c r="GD543">
        <v>4.1574285344272965</v>
      </c>
      <c r="GE543">
        <v>6.0109319733899191</v>
      </c>
      <c r="GF543">
        <v>66.027568861660143</v>
      </c>
      <c r="GG543">
        <v>84.609936033913016</v>
      </c>
      <c r="GH543">
        <v>22.153175628753093</v>
      </c>
      <c r="GI543">
        <v>97.090194981758899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 t="e">
        <f>E545-E543</f>
        <v>#VALUE!</v>
      </c>
      <c r="I544" s="101">
        <f>AVERAGE(D543:D545)</f>
        <v>1713.809018342391</v>
      </c>
      <c r="J544" s="101" t="e">
        <f>I544*H544</f>
        <v>#VALUE!</v>
      </c>
      <c r="K544" s="61" t="e">
        <f>J544/(C545-C543)</f>
        <v>#VALUE!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1096.1680782548185</v>
      </c>
      <c r="AO544">
        <v>170.31873693479008</v>
      </c>
      <c r="AP544">
        <v>1447.0702962719722</v>
      </c>
      <c r="AQ544">
        <v>591.85674306772876</v>
      </c>
      <c r="AR544">
        <v>169.32506162900833</v>
      </c>
      <c r="AS544">
        <v>1819.6807820813638</v>
      </c>
      <c r="AT544">
        <v>89.095092064049069</v>
      </c>
      <c r="AU544">
        <v>-133.25269570660527</v>
      </c>
      <c r="AV544"/>
      <c r="AW544"/>
      <c r="FY544" s="211">
        <v>539</v>
      </c>
      <c r="FZ544">
        <v>164.86048814535627</v>
      </c>
      <c r="GA544">
        <v>104.23004957740008</v>
      </c>
      <c r="GB544">
        <v>29.869892009313908</v>
      </c>
      <c r="GC544">
        <v>10.516698849382481</v>
      </c>
      <c r="GD544">
        <v>4.1186609172525106</v>
      </c>
      <c r="GE544">
        <v>5.7006920777602144</v>
      </c>
      <c r="GF544">
        <v>11.441839313477148</v>
      </c>
      <c r="GG544">
        <v>16.484637581640964</v>
      </c>
      <c r="GH544">
        <v>22.443249153403549</v>
      </c>
      <c r="GI544">
        <v>64.713109327249967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2950.3502415458934</v>
      </c>
      <c r="E545" s="108" t="e">
        <f>E412</f>
        <v>#VALUE!</v>
      </c>
      <c r="F545" s="102"/>
      <c r="G545" s="101" t="e">
        <f>D545*E545</f>
        <v>#VALUE!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1256.5592764366359</v>
      </c>
      <c r="AO545">
        <v>184.74073982430789</v>
      </c>
      <c r="AP545">
        <v>1626.6925756417172</v>
      </c>
      <c r="AQ545">
        <v>436.78675780048735</v>
      </c>
      <c r="AR545">
        <v>180.49320895616722</v>
      </c>
      <c r="AS545">
        <v>1971.3728067532138</v>
      </c>
      <c r="AT545">
        <v>81.560158491826101</v>
      </c>
      <c r="AU545">
        <v>334.12311952495645</v>
      </c>
      <c r="AV545"/>
      <c r="AW545"/>
      <c r="FY545" s="211">
        <v>540</v>
      </c>
      <c r="FZ545">
        <v>117.18897393214776</v>
      </c>
      <c r="GA545">
        <v>81.569549626146355</v>
      </c>
      <c r="GB545">
        <v>29.784416139859903</v>
      </c>
      <c r="GC545">
        <v>11.492120191986508</v>
      </c>
      <c r="GD545">
        <v>3.464271531069488</v>
      </c>
      <c r="GE545">
        <v>4.7728703479021659</v>
      </c>
      <c r="GF545">
        <v>24.375058276070408</v>
      </c>
      <c r="GG545">
        <v>30.990669044103122</v>
      </c>
      <c r="GH545">
        <v>36.906055514611964</v>
      </c>
      <c r="GI545">
        <v>85.37063388315525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 t="e">
        <f>E547-E545</f>
        <v>#VALUE!</v>
      </c>
      <c r="I546" s="101">
        <f>AVERAGE(D545:D547)</f>
        <v>1842.8407127450971</v>
      </c>
      <c r="J546" s="101" t="e">
        <f>I546*H546</f>
        <v>#VALUE!</v>
      </c>
      <c r="K546" s="61" t="e">
        <f>J546/(C547-C545)</f>
        <v>#VALUE!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1092.8623670073164</v>
      </c>
      <c r="AO546">
        <v>152.66975993993384</v>
      </c>
      <c r="AP546">
        <v>1295.7152539257477</v>
      </c>
      <c r="AQ546">
        <v>446.26868314017037</v>
      </c>
      <c r="AR546">
        <v>150.04726934927615</v>
      </c>
      <c r="AS546">
        <v>1538.8239812452143</v>
      </c>
      <c r="AT546">
        <v>69.876412697678958</v>
      </c>
      <c r="AU546">
        <v>107.90455977324359</v>
      </c>
      <c r="AV546"/>
      <c r="AW546"/>
      <c r="FY546" s="211">
        <v>541</v>
      </c>
      <c r="FZ546">
        <v>187.87668165630265</v>
      </c>
      <c r="GA546">
        <v>143.31725493786323</v>
      </c>
      <c r="GB546">
        <v>35.995322469472484</v>
      </c>
      <c r="GC546">
        <v>7.1172145444303077</v>
      </c>
      <c r="GD546">
        <v>4.7407014655033803</v>
      </c>
      <c r="GE546">
        <v>8.9025710184608382</v>
      </c>
      <c r="GF546">
        <v>56.807665129449717</v>
      </c>
      <c r="GG546">
        <v>69.195397530392199</v>
      </c>
      <c r="GH546">
        <v>13.451072562856895</v>
      </c>
      <c r="GI546">
        <v>85.015956469412245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735.33118394430073</v>
      </c>
      <c r="E547" s="108" t="e">
        <f>E413</f>
        <v>#VALUE!</v>
      </c>
      <c r="F547" s="102"/>
      <c r="G547" s="101" t="e">
        <f>D547*E547</f>
        <v>#VALUE!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1242.0137396335535</v>
      </c>
      <c r="AO547">
        <v>174.01363537330911</v>
      </c>
      <c r="AP547">
        <v>1390.7180699650094</v>
      </c>
      <c r="AQ547">
        <v>444.8125818260894</v>
      </c>
      <c r="AR547">
        <v>172.91808366576575</v>
      </c>
      <c r="AS547">
        <v>1735.9190746493884</v>
      </c>
      <c r="AT547">
        <v>79.107583389411175</v>
      </c>
      <c r="AU547">
        <v>143.08925979707209</v>
      </c>
      <c r="AV547"/>
      <c r="AW547"/>
      <c r="FY547" s="211">
        <v>542</v>
      </c>
      <c r="FZ547">
        <v>79.051925748998727</v>
      </c>
      <c r="GA547">
        <v>82.471499157619249</v>
      </c>
      <c r="GB547">
        <v>37.608287265317372</v>
      </c>
      <c r="GC547">
        <v>10.654021647202949</v>
      </c>
      <c r="GD547">
        <v>3.9320575668478908</v>
      </c>
      <c r="GE547">
        <v>6.5482796587421745</v>
      </c>
      <c r="GF547">
        <v>13.539042305173867</v>
      </c>
      <c r="GG547">
        <v>18.218313900192886</v>
      </c>
      <c r="GH547">
        <v>21.303237331366478</v>
      </c>
      <c r="GI547">
        <v>68.108856742214954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#VALUE!</v>
      </c>
      <c r="I548" s="101">
        <f>AVERAGE(D547:D549)</f>
        <v>492.90234090425531</v>
      </c>
      <c r="J548" s="101" t="e">
        <f>I548*H548</f>
        <v>#VALUE!</v>
      </c>
      <c r="K548" s="61" t="e">
        <f>J548/(C549-C547)</f>
        <v>#VALUE!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888.35607646083156</v>
      </c>
      <c r="AO548">
        <v>140.05361492241582</v>
      </c>
      <c r="AP548">
        <v>1198.6896528078828</v>
      </c>
      <c r="AQ548">
        <v>348.76367843581102</v>
      </c>
      <c r="AR548">
        <v>139.45518969408226</v>
      </c>
      <c r="AS548">
        <v>1440.9790334629365</v>
      </c>
      <c r="AT548">
        <v>69.34216766985098</v>
      </c>
      <c r="AU548">
        <v>170.30341827017608</v>
      </c>
      <c r="AV548"/>
      <c r="AW548"/>
      <c r="FY548" s="211">
        <v>543</v>
      </c>
      <c r="FZ548">
        <v>132.8199453339422</v>
      </c>
      <c r="GA548">
        <v>116.81481207712636</v>
      </c>
      <c r="GB548">
        <v>33.468838585372161</v>
      </c>
      <c r="GC548">
        <v>9.1599999122725606</v>
      </c>
      <c r="GD548">
        <v>3.8493978095004295</v>
      </c>
      <c r="GE548">
        <v>4.6400097563183671</v>
      </c>
      <c r="GF548">
        <v>15.127874759600104</v>
      </c>
      <c r="GG548">
        <v>21.139180228112934</v>
      </c>
      <c r="GH548">
        <v>28.391119274068611</v>
      </c>
      <c r="GI548">
        <v>77.2113488992361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250.47349786420983</v>
      </c>
      <c r="E549" s="108" t="e">
        <f>E414</f>
        <v>#VALUE!</v>
      </c>
      <c r="F549" s="102"/>
      <c r="G549" s="101" t="e">
        <f>D549*E549</f>
        <v>#VALUE!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1070.9039942993286</v>
      </c>
      <c r="AO549">
        <v>151.90392773753138</v>
      </c>
      <c r="AP549">
        <v>1222.8550864878259</v>
      </c>
      <c r="AQ549">
        <v>375.58568853627145</v>
      </c>
      <c r="AR549">
        <v>149.29205141437106</v>
      </c>
      <c r="AS549">
        <v>1654.7318106136206</v>
      </c>
      <c r="AT549">
        <v>69.680597370304511</v>
      </c>
      <c r="AU549">
        <v>392.45726614320671</v>
      </c>
      <c r="AV549"/>
      <c r="AW549"/>
      <c r="FY549" s="211">
        <v>544</v>
      </c>
      <c r="FZ549">
        <v>146.80788641087986</v>
      </c>
      <c r="GA549">
        <v>119.05199971733077</v>
      </c>
      <c r="GB549">
        <v>29.192942103107228</v>
      </c>
      <c r="GC549">
        <v>9.0491847228423872</v>
      </c>
      <c r="GD549">
        <v>2.659877095168552</v>
      </c>
      <c r="GE549">
        <v>3.5905796383798441</v>
      </c>
      <c r="GF549">
        <v>59.004343395141909</v>
      </c>
      <c r="GG549">
        <v>76.456506355377485</v>
      </c>
      <c r="GH549">
        <v>17.677123912231107</v>
      </c>
      <c r="GI549">
        <v>95.032308247701295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#VALUE!</v>
      </c>
      <c r="I550" s="101">
        <f>AVERAGE(D549:D551)</f>
        <v>125.23674893210492</v>
      </c>
      <c r="J550" s="101" t="e">
        <f>I550*H550</f>
        <v>#VALUE!</v>
      </c>
      <c r="K550" s="61" t="e">
        <f>J550/(C551-C549)</f>
        <v>#VALUE!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1117.2615690994862</v>
      </c>
      <c r="AO550">
        <v>150.66513095504757</v>
      </c>
      <c r="AP550">
        <v>1203.3771150699122</v>
      </c>
      <c r="AQ550">
        <v>435.18184330469376</v>
      </c>
      <c r="AR550">
        <v>147.65594253171108</v>
      </c>
      <c r="AS550">
        <v>1575.5834836459253</v>
      </c>
      <c r="AT550">
        <v>70.84619501606862</v>
      </c>
      <c r="AU550">
        <v>114.41342068806637</v>
      </c>
      <c r="AV550"/>
      <c r="AW550"/>
      <c r="FY550" s="211">
        <v>545</v>
      </c>
      <c r="FZ550">
        <v>117.58151723816317</v>
      </c>
      <c r="GA550">
        <v>124.12601601832449</v>
      </c>
      <c r="GB550">
        <v>42.357392639784571</v>
      </c>
      <c r="GC550">
        <v>9.1466856817948585</v>
      </c>
      <c r="GD550">
        <v>3.3535786984024014</v>
      </c>
      <c r="GE550">
        <v>6.8786186653390597</v>
      </c>
      <c r="GF550">
        <v>30.27035041770791</v>
      </c>
      <c r="GG550">
        <v>36.057646713058602</v>
      </c>
      <c r="GH550">
        <v>21.39591563085181</v>
      </c>
      <c r="GI550">
        <v>82.504378632984995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889.02858118562403</v>
      </c>
      <c r="AO551">
        <v>133.43174426029128</v>
      </c>
      <c r="AP551">
        <v>989.96205739306959</v>
      </c>
      <c r="AQ551">
        <v>262.94255780172443</v>
      </c>
      <c r="AR551">
        <v>131.05283013659854</v>
      </c>
      <c r="AS551">
        <v>1330.6986003719915</v>
      </c>
      <c r="AT551">
        <v>57.513976249170888</v>
      </c>
      <c r="AU551">
        <v>196.00301145843019</v>
      </c>
      <c r="AV551"/>
      <c r="AW551"/>
      <c r="FY551" s="211">
        <v>546</v>
      </c>
      <c r="FZ551">
        <v>132.70042353072944</v>
      </c>
      <c r="GA551">
        <v>114.55507992272834</v>
      </c>
      <c r="GB551">
        <v>34.223128361804804</v>
      </c>
      <c r="GC551">
        <v>8.9385454076952833</v>
      </c>
      <c r="GD551">
        <v>3.6725268721657391</v>
      </c>
      <c r="GE551">
        <v>5.869578424316912</v>
      </c>
      <c r="GF551">
        <v>7.185880273743912</v>
      </c>
      <c r="GG551">
        <v>6.7958452510184433</v>
      </c>
      <c r="GH551">
        <v>13.721987419087764</v>
      </c>
      <c r="GI551">
        <v>62.595046303835197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1025.9525020768583</v>
      </c>
      <c r="AO552">
        <v>160.46135906879147</v>
      </c>
      <c r="AP552">
        <v>1338.8036794062882</v>
      </c>
      <c r="AQ552">
        <v>393.04829554768435</v>
      </c>
      <c r="AR552">
        <v>151.49557972242349</v>
      </c>
      <c r="AS552">
        <v>1598.7358237721271</v>
      </c>
      <c r="AT552">
        <v>74.826412302779403</v>
      </c>
      <c r="AU552">
        <v>84.972403854221596</v>
      </c>
      <c r="AV552"/>
      <c r="AW552"/>
      <c r="FY552" s="211">
        <v>547</v>
      </c>
      <c r="FZ552">
        <v>205.83189199766201</v>
      </c>
      <c r="GA552">
        <v>186.45234574330988</v>
      </c>
      <c r="GB552">
        <v>48.632013705447612</v>
      </c>
      <c r="GC552">
        <v>8.2416925970836878</v>
      </c>
      <c r="GD552">
        <v>3.6121815255586238</v>
      </c>
      <c r="GE552">
        <v>6.237884727816434</v>
      </c>
      <c r="GF552">
        <v>22.462435997384127</v>
      </c>
      <c r="GG552">
        <v>27.288090008239276</v>
      </c>
      <c r="GH552">
        <v>23.983995530584124</v>
      </c>
      <c r="GI552">
        <v>93.571156113157031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953.36216954639281</v>
      </c>
      <c r="AO553">
        <v>160.21716302268572</v>
      </c>
      <c r="AP553">
        <v>1400.1864214808686</v>
      </c>
      <c r="AQ553">
        <v>392.24878978037577</v>
      </c>
      <c r="AR553">
        <v>156.29304677249033</v>
      </c>
      <c r="AS553">
        <v>1587.6031289521736</v>
      </c>
      <c r="AT553">
        <v>78.337687607825501</v>
      </c>
      <c r="AU553">
        <v>88.516768764158599</v>
      </c>
      <c r="AV553"/>
      <c r="AW553"/>
      <c r="FY553" s="211">
        <v>548</v>
      </c>
      <c r="FZ553">
        <v>122.95677732666313</v>
      </c>
      <c r="GA553">
        <v>120.8388833606714</v>
      </c>
      <c r="GB553">
        <v>35.236260131171328</v>
      </c>
      <c r="GC553">
        <v>6.8466862727866893</v>
      </c>
      <c r="GD553">
        <v>2.9792143056848435</v>
      </c>
      <c r="GE553">
        <v>5.3950496636978933</v>
      </c>
      <c r="GF553">
        <v>25.702078053031158</v>
      </c>
      <c r="GG553">
        <v>32.618589458204589</v>
      </c>
      <c r="GH553">
        <v>29.255359435768497</v>
      </c>
      <c r="GI553">
        <v>77.213712114274927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1606.9749637472096</v>
      </c>
      <c r="AO554">
        <v>202.48369338016209</v>
      </c>
      <c r="AP554">
        <v>1733.0370320748</v>
      </c>
      <c r="AQ554">
        <v>611.73494559416281</v>
      </c>
      <c r="AR554">
        <v>197.7876376212439</v>
      </c>
      <c r="AS554">
        <v>2202.8590748880802</v>
      </c>
      <c r="AT554">
        <v>89.180245398146894</v>
      </c>
      <c r="AU554">
        <v>458.63966173988814</v>
      </c>
      <c r="AV554"/>
      <c r="AW554"/>
      <c r="FY554" s="211">
        <v>549</v>
      </c>
      <c r="FZ554">
        <v>138.13447247545969</v>
      </c>
      <c r="GA554">
        <v>121.56802927081461</v>
      </c>
      <c r="GB554">
        <v>33.473822244259971</v>
      </c>
      <c r="GC554">
        <v>6.1589371949317684</v>
      </c>
      <c r="GD554">
        <v>3.2257913884931</v>
      </c>
      <c r="GE554">
        <v>5.8981427110560078</v>
      </c>
      <c r="GF554">
        <v>19.929214392432776</v>
      </c>
      <c r="GG554">
        <v>26.854521085021215</v>
      </c>
      <c r="GH554">
        <v>24.175977688354038</v>
      </c>
      <c r="GI554">
        <v>67.982399503994273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932.48860534684354</v>
      </c>
      <c r="AO555">
        <v>127.96286393037721</v>
      </c>
      <c r="AP555">
        <v>1032.6827707693903</v>
      </c>
      <c r="AQ555">
        <v>434.3793169522371</v>
      </c>
      <c r="AR555">
        <v>126.22424825325403</v>
      </c>
      <c r="AS555">
        <v>1411.3807593622087</v>
      </c>
      <c r="AT555">
        <v>63.166605769926775</v>
      </c>
      <c r="AU555">
        <v>4.599110034691563</v>
      </c>
      <c r="AV555"/>
      <c r="AW555"/>
      <c r="FY555" s="211">
        <v>550</v>
      </c>
      <c r="FZ555">
        <v>130.07624757430332</v>
      </c>
      <c r="GA555">
        <v>119.39959554349616</v>
      </c>
      <c r="GB555">
        <v>29.180672415981817</v>
      </c>
      <c r="GC555">
        <v>8.0043065415752892</v>
      </c>
      <c r="GD555">
        <v>3.1656863619893389</v>
      </c>
      <c r="GE555">
        <v>6.1299264511202187</v>
      </c>
      <c r="GF555">
        <v>34.214885666865698</v>
      </c>
      <c r="GG555">
        <v>39.639442832999059</v>
      </c>
      <c r="GH555">
        <v>22.246471483376354</v>
      </c>
      <c r="GI555">
        <v>77.468463462744907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#VALUE!</v>
      </c>
      <c r="H556" s="63" t="s">
        <v>103</v>
      </c>
      <c r="I556" s="123" t="e">
        <f>SUM(J532:J552)+G531</f>
        <v>#VALUE!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1206.9990589362119</v>
      </c>
      <c r="AO556">
        <v>215.82256313129295</v>
      </c>
      <c r="AP556">
        <v>1827.0379847607569</v>
      </c>
      <c r="AQ556">
        <v>425.91461848705296</v>
      </c>
      <c r="AR556">
        <v>209.11083254605859</v>
      </c>
      <c r="AS556">
        <v>2171.3062215394266</v>
      </c>
      <c r="AT556">
        <v>105.20436005752832</v>
      </c>
      <c r="AU556">
        <v>298.8483654031283</v>
      </c>
      <c r="AV556"/>
      <c r="AW556"/>
      <c r="FY556" s="211">
        <v>551</v>
      </c>
      <c r="FZ556">
        <v>114.55256769585426</v>
      </c>
      <c r="GA556">
        <v>75.102091653359167</v>
      </c>
      <c r="GB556">
        <v>28.977792791828158</v>
      </c>
      <c r="GC556">
        <v>9.7495313581332699</v>
      </c>
      <c r="GD556">
        <v>3.3513526023559272</v>
      </c>
      <c r="GE556">
        <v>4.7579393113884212</v>
      </c>
      <c r="GF556">
        <v>24.916823762943082</v>
      </c>
      <c r="GG556">
        <v>33.4010011197187</v>
      </c>
      <c r="GH556">
        <v>23.829291055739354</v>
      </c>
      <c r="GI556">
        <v>69.377205963333182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1451.0295552353246</v>
      </c>
      <c r="AO557">
        <v>162.07105738828326</v>
      </c>
      <c r="AP557">
        <v>1454.1273289774842</v>
      </c>
      <c r="AQ557">
        <v>612.41983778414385</v>
      </c>
      <c r="AR557">
        <v>161.74304138268505</v>
      </c>
      <c r="AS557">
        <v>1812.4285913462627</v>
      </c>
      <c r="AT557">
        <v>76.351301445814627</v>
      </c>
      <c r="AU557">
        <v>253.38564947359873</v>
      </c>
      <c r="AV557"/>
      <c r="AW557"/>
      <c r="FY557" s="211">
        <v>552</v>
      </c>
      <c r="FZ557">
        <v>178.12457825870626</v>
      </c>
      <c r="GA557">
        <v>120.22432030344024</v>
      </c>
      <c r="GB557">
        <v>27.215037189649944</v>
      </c>
      <c r="GC557">
        <v>8.1410255559899589</v>
      </c>
      <c r="GD557">
        <v>2.8611525107537887</v>
      </c>
      <c r="GE557">
        <v>4.7824265442518969</v>
      </c>
      <c r="GF557">
        <v>35.181183459369549</v>
      </c>
      <c r="GG557">
        <v>43.279949621847024</v>
      </c>
      <c r="GH557">
        <v>18.910762703875221</v>
      </c>
      <c r="GI557">
        <v>73.350569397172038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1027.7862030497831</v>
      </c>
      <c r="AO558">
        <v>142.28328419161534</v>
      </c>
      <c r="AP558">
        <v>1035.6313103792477</v>
      </c>
      <c r="AQ558">
        <v>341.43552132367654</v>
      </c>
      <c r="AR558">
        <v>135.71957281660036</v>
      </c>
      <c r="AS558">
        <v>1526.4409828603516</v>
      </c>
      <c r="AT558">
        <v>64.07860020120782</v>
      </c>
      <c r="AU558">
        <v>100.32845514651812</v>
      </c>
      <c r="AV558"/>
      <c r="AW558"/>
      <c r="FY558" s="211">
        <v>553</v>
      </c>
      <c r="FZ558">
        <v>164.09435544842054</v>
      </c>
      <c r="GA558">
        <v>114.99907648937027</v>
      </c>
      <c r="GB558">
        <v>32.77142429838419</v>
      </c>
      <c r="GC558">
        <v>8.1047249676562245</v>
      </c>
      <c r="GD558">
        <v>1.5487314974396267</v>
      </c>
      <c r="GE558">
        <v>3.9551437284884239</v>
      </c>
      <c r="GF558">
        <v>51.047862601280755</v>
      </c>
      <c r="GG558">
        <v>65.012755816090532</v>
      </c>
      <c r="GH558">
        <v>19.133566969709765</v>
      </c>
      <c r="GI558">
        <v>90.736740405032805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 t="e">
        <f>I556/G556</f>
        <v>#VALUE!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1069.4693411374251</v>
      </c>
      <c r="AO559">
        <v>158.28486584814172</v>
      </c>
      <c r="AP559">
        <v>1207.7521047228979</v>
      </c>
      <c r="AQ559">
        <v>442.62252663554983</v>
      </c>
      <c r="AR559">
        <v>158.90008008772739</v>
      </c>
      <c r="AS559">
        <v>1880.6227794180072</v>
      </c>
      <c r="AT559">
        <v>81.225190904677689</v>
      </c>
      <c r="AU559">
        <v>97.314136842996191</v>
      </c>
      <c r="AV559"/>
      <c r="AW559"/>
      <c r="FY559" s="211">
        <v>554</v>
      </c>
      <c r="FZ559">
        <v>116.40770592210714</v>
      </c>
      <c r="GA559">
        <v>50.95819697056568</v>
      </c>
      <c r="GB559">
        <v>24.717242095664741</v>
      </c>
      <c r="GC559">
        <v>9.1687249554730439</v>
      </c>
      <c r="GD559">
        <v>3.7103207934995837</v>
      </c>
      <c r="GE559">
        <v>7.1485036026483915</v>
      </c>
      <c r="GF559">
        <v>36.089299136464803</v>
      </c>
      <c r="GG559">
        <v>44.63696557124684</v>
      </c>
      <c r="GH559">
        <v>21.70668357653857</v>
      </c>
      <c r="GI559">
        <v>75.745350470230747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1475.2417923778571</v>
      </c>
      <c r="AO560">
        <v>210.80032725695378</v>
      </c>
      <c r="AP560">
        <v>1859.5299435039847</v>
      </c>
      <c r="AQ560">
        <v>558.52275159816043</v>
      </c>
      <c r="AR560">
        <v>200.53181806899798</v>
      </c>
      <c r="AS560">
        <v>2231.4621233861108</v>
      </c>
      <c r="AT560">
        <v>92.966414066241668</v>
      </c>
      <c r="AU560">
        <v>330.52285438967215</v>
      </c>
      <c r="AV560"/>
      <c r="AW560"/>
      <c r="FY560" s="211">
        <v>555</v>
      </c>
      <c r="FZ560">
        <v>101.61802523392744</v>
      </c>
      <c r="GA560">
        <v>110.23751734222557</v>
      </c>
      <c r="GB560">
        <v>28.422453564548583</v>
      </c>
      <c r="GC560">
        <v>7.2237724943408255</v>
      </c>
      <c r="GD560">
        <v>2.5968294967810239</v>
      </c>
      <c r="GE560">
        <v>4.5147590710982826</v>
      </c>
      <c r="GF560">
        <v>15.704809906697161</v>
      </c>
      <c r="GG560">
        <v>18.137502057443172</v>
      </c>
      <c r="GH560">
        <v>19.227129488274034</v>
      </c>
      <c r="GI560">
        <v>65.766314961747696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1293.8345586241478</v>
      </c>
      <c r="AO561">
        <v>180.51059825553875</v>
      </c>
      <c r="AP561">
        <v>1441.1159874276066</v>
      </c>
      <c r="AQ561">
        <v>473.6721003364118</v>
      </c>
      <c r="AR561">
        <v>172.5054958533662</v>
      </c>
      <c r="AS561">
        <v>1783.6880659557175</v>
      </c>
      <c r="AT561">
        <v>80.218166995905577</v>
      </c>
      <c r="AU561">
        <v>226.59783798394136</v>
      </c>
      <c r="AV561"/>
      <c r="AW561"/>
      <c r="FY561" s="211">
        <v>556</v>
      </c>
      <c r="FZ561">
        <v>258.12718194010137</v>
      </c>
      <c r="GA561">
        <v>171.42548558440444</v>
      </c>
      <c r="GB561">
        <v>32.054373729198083</v>
      </c>
      <c r="GC561">
        <v>8.3876737942992055</v>
      </c>
      <c r="GD561">
        <v>4.2633166133997467</v>
      </c>
      <c r="GE561">
        <v>7.9422391457942387</v>
      </c>
      <c r="GF561">
        <v>34.277115173321079</v>
      </c>
      <c r="GG561">
        <v>44.65826573345079</v>
      </c>
      <c r="GH561">
        <v>23.985283833038363</v>
      </c>
      <c r="GI561">
        <v>90.940001965855814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901.27271133570832</v>
      </c>
      <c r="AO562">
        <v>124.37568187074461</v>
      </c>
      <c r="AP562">
        <v>952.84901419554365</v>
      </c>
      <c r="AQ562">
        <v>390.25804176712586</v>
      </c>
      <c r="AR562">
        <v>123.78841058912413</v>
      </c>
      <c r="AS562">
        <v>1326.1125671352231</v>
      </c>
      <c r="AT562">
        <v>63.02248457002289</v>
      </c>
      <c r="AU562">
        <v>26.255730873043461</v>
      </c>
      <c r="AV562"/>
      <c r="AW562"/>
      <c r="FY562" s="211">
        <v>557</v>
      </c>
      <c r="FZ562">
        <v>122.49823110111268</v>
      </c>
      <c r="GA562">
        <v>51.822422383269533</v>
      </c>
      <c r="GB562">
        <v>22.806421149166415</v>
      </c>
      <c r="GC562">
        <v>8.777417845717201</v>
      </c>
      <c r="GD562">
        <v>3.4845310644205534</v>
      </c>
      <c r="GE562">
        <v>6.7344980041215097</v>
      </c>
      <c r="GF562">
        <v>23.750452342803616</v>
      </c>
      <c r="GG562">
        <v>30.972548709538827</v>
      </c>
      <c r="GH562">
        <v>24.967796259409607</v>
      </c>
      <c r="GI562">
        <v>76.863913450774774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1345.9050991217921</v>
      </c>
      <c r="AO563">
        <v>186.6067877510381</v>
      </c>
      <c r="AP563">
        <v>1521.2826544411425</v>
      </c>
      <c r="AQ563">
        <v>626.31368794624279</v>
      </c>
      <c r="AR563">
        <v>181.28927683525185</v>
      </c>
      <c r="AS563">
        <v>2020.7540791719141</v>
      </c>
      <c r="AT563">
        <v>93.996118207447395</v>
      </c>
      <c r="AU563">
        <v>112.57566869236049</v>
      </c>
      <c r="AV563"/>
      <c r="AW563"/>
      <c r="FY563" s="211">
        <v>558</v>
      </c>
      <c r="FZ563">
        <v>137.30699600614315</v>
      </c>
      <c r="GA563">
        <v>87.749264711336579</v>
      </c>
      <c r="GB563">
        <v>32.877650258137187</v>
      </c>
      <c r="GC563">
        <v>8.6106646649299439</v>
      </c>
      <c r="GD563">
        <v>3.5694942971540562</v>
      </c>
      <c r="GE563">
        <v>7.4922038098839892</v>
      </c>
      <c r="GF563">
        <v>43.625525245931719</v>
      </c>
      <c r="GG563">
        <v>53.480739877030672</v>
      </c>
      <c r="GH563">
        <v>29.986212837106191</v>
      </c>
      <c r="GI563">
        <v>88.498027787579844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1154.6314989282209</v>
      </c>
      <c r="AO564">
        <v>189.61853612943614</v>
      </c>
      <c r="AP564">
        <v>1715.137859126655</v>
      </c>
      <c r="AQ564">
        <v>459.04261012195445</v>
      </c>
      <c r="AR564">
        <v>183.35826596075788</v>
      </c>
      <c r="AS564">
        <v>1890.7889794994319</v>
      </c>
      <c r="AT564">
        <v>89.652898617065958</v>
      </c>
      <c r="AU564">
        <v>233.78669623979698</v>
      </c>
      <c r="AV564"/>
      <c r="AW564"/>
      <c r="FY564" s="211">
        <v>559</v>
      </c>
      <c r="FZ564">
        <v>106.87492448744554</v>
      </c>
      <c r="GA564">
        <v>75.740805892023332</v>
      </c>
      <c r="GB564">
        <v>24.828571353470167</v>
      </c>
      <c r="GC564">
        <v>6.6409879500894853</v>
      </c>
      <c r="GD564">
        <v>3.1190293256522805</v>
      </c>
      <c r="GE564">
        <v>5.985000025860078</v>
      </c>
      <c r="GF564">
        <v>19.757950166522321</v>
      </c>
      <c r="GG564">
        <v>27.289645335558877</v>
      </c>
      <c r="GH564">
        <v>27.826305675923777</v>
      </c>
      <c r="GI564">
        <v>70.217989314678249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1030.0595799777695</v>
      </c>
      <c r="AO565">
        <v>145.52284359238976</v>
      </c>
      <c r="AP565">
        <v>1261.5456434112698</v>
      </c>
      <c r="AQ565">
        <v>447.40130795481736</v>
      </c>
      <c r="AR565">
        <v>141.76672883472747</v>
      </c>
      <c r="AS565">
        <v>1521.3888352848094</v>
      </c>
      <c r="AT565">
        <v>69.623857346816877</v>
      </c>
      <c r="AU565">
        <v>27.649884142520378</v>
      </c>
      <c r="AV565"/>
      <c r="AW565"/>
      <c r="FY565" s="211">
        <v>560</v>
      </c>
      <c r="FZ565">
        <v>86.66772515242026</v>
      </c>
      <c r="GA565">
        <v>60.344917471177816</v>
      </c>
      <c r="GB565">
        <v>20.720821943548007</v>
      </c>
      <c r="GC565">
        <v>5.9891823259814254</v>
      </c>
      <c r="GD565">
        <v>3.8901642390099216</v>
      </c>
      <c r="GE565">
        <v>8.4252432123461602</v>
      </c>
      <c r="GF565">
        <v>36.820051542307844</v>
      </c>
      <c r="GG565">
        <v>45.014396755650189</v>
      </c>
      <c r="GH565">
        <v>27.506942152587627</v>
      </c>
      <c r="GI565">
        <v>67.749985396905856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1204.6306394308676</v>
      </c>
      <c r="AO566">
        <v>185.13081146232679</v>
      </c>
      <c r="AP566">
        <v>1673.2484950937719</v>
      </c>
      <c r="AQ566">
        <v>469.52569833445222</v>
      </c>
      <c r="AR566">
        <v>177.629358920269</v>
      </c>
      <c r="AS566">
        <v>1758.1892809927638</v>
      </c>
      <c r="AT566">
        <v>85.777230546046553</v>
      </c>
      <c r="AU566">
        <v>393.09007780420995</v>
      </c>
      <c r="AV566"/>
      <c r="AW566"/>
      <c r="FY566" s="211">
        <v>561</v>
      </c>
      <c r="FZ566">
        <v>68.053404509024588</v>
      </c>
      <c r="GA566">
        <v>60.620862233487586</v>
      </c>
      <c r="GB566">
        <v>21.733732649017071</v>
      </c>
      <c r="GC566">
        <v>9.2323840862929742</v>
      </c>
      <c r="GD566">
        <v>4.0840322027256057</v>
      </c>
      <c r="GE566">
        <v>3.6564713409077587</v>
      </c>
      <c r="GF566">
        <v>25.959540928537333</v>
      </c>
      <c r="GG566">
        <v>33.966390144847217</v>
      </c>
      <c r="GH566">
        <v>31.84831397438607</v>
      </c>
      <c r="GI566">
        <v>70.198993744524131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1041.361880538311</v>
      </c>
      <c r="AO567">
        <v>149.14617820352157</v>
      </c>
      <c r="AP567">
        <v>1236.421833851042</v>
      </c>
      <c r="AQ567">
        <v>388.01559731465352</v>
      </c>
      <c r="AR567">
        <v>147.75058902959807</v>
      </c>
      <c r="AS567">
        <v>1516.4969874032431</v>
      </c>
      <c r="AT567">
        <v>70.219322424663957</v>
      </c>
      <c r="AU567">
        <v>201.0559721738</v>
      </c>
      <c r="AV567"/>
      <c r="AW567"/>
      <c r="FY567" s="211">
        <v>562</v>
      </c>
      <c r="FZ567">
        <v>147.92017480164799</v>
      </c>
      <c r="GA567">
        <v>133.69714603277262</v>
      </c>
      <c r="GB567">
        <v>37.921783951890433</v>
      </c>
      <c r="GC567">
        <v>8.4754576996670377</v>
      </c>
      <c r="GD567">
        <v>3.9017715314309278</v>
      </c>
      <c r="GE567">
        <v>8.4076144576285472</v>
      </c>
      <c r="GF567">
        <v>37.416039718163375</v>
      </c>
      <c r="GG567">
        <v>44.928056336350842</v>
      </c>
      <c r="GH567">
        <v>21.238372601416042</v>
      </c>
      <c r="GI567">
        <v>74.820775117669768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1132.3832774926072</v>
      </c>
      <c r="AO568">
        <v>157.69974900181884</v>
      </c>
      <c r="AP568">
        <v>1330.463602450191</v>
      </c>
      <c r="AQ568">
        <v>512.07100554505598</v>
      </c>
      <c r="AR568">
        <v>152.39079363247919</v>
      </c>
      <c r="AS568">
        <v>1676.0374905156889</v>
      </c>
      <c r="AT568">
        <v>72.074897319061009</v>
      </c>
      <c r="AU568">
        <v>158.90246249588915</v>
      </c>
      <c r="AV568"/>
      <c r="AW568"/>
      <c r="FY568" s="211">
        <v>563</v>
      </c>
      <c r="FZ568">
        <v>112.77789889603579</v>
      </c>
      <c r="GA568">
        <v>89.97772140522774</v>
      </c>
      <c r="GB568">
        <v>31.423872691046888</v>
      </c>
      <c r="GC568">
        <v>7.783360443068231</v>
      </c>
      <c r="GD568">
        <v>2.8047115453772111</v>
      </c>
      <c r="GE568">
        <v>4.1309933719217593</v>
      </c>
      <c r="GF568">
        <v>26.704071441128811</v>
      </c>
      <c r="GG568">
        <v>35.700818777545607</v>
      </c>
      <c r="GH568">
        <v>30.645588368917039</v>
      </c>
      <c r="GI568">
        <v>72.437992994008866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1347.361433391615</v>
      </c>
      <c r="AO569">
        <v>192.36378015556585</v>
      </c>
      <c r="AP569">
        <v>1682.5440277069167</v>
      </c>
      <c r="AQ569">
        <v>551.40438222187322</v>
      </c>
      <c r="AR569">
        <v>187.14491129503975</v>
      </c>
      <c r="AS569">
        <v>2045.1956313286414</v>
      </c>
      <c r="AT569">
        <v>91.567707986301571</v>
      </c>
      <c r="AU569">
        <v>544.41098112173904</v>
      </c>
      <c r="AV569"/>
      <c r="AW569"/>
      <c r="FY569" s="211">
        <v>564</v>
      </c>
      <c r="FZ569">
        <v>170.74239853136223</v>
      </c>
      <c r="GA569">
        <v>155.589396252537</v>
      </c>
      <c r="GB569">
        <v>38.214225960982844</v>
      </c>
      <c r="GC569">
        <v>8.5624218564654058</v>
      </c>
      <c r="GD569">
        <v>4.6394075734544629</v>
      </c>
      <c r="GE569">
        <v>6.2307346695085624</v>
      </c>
      <c r="GF569">
        <v>47.81169547403519</v>
      </c>
      <c r="GG569">
        <v>62.034876950545048</v>
      </c>
      <c r="GH569">
        <v>23.044231702564016</v>
      </c>
      <c r="GI569">
        <v>96.162664775975969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1124.301101302932</v>
      </c>
      <c r="AO570">
        <v>162.56054460418443</v>
      </c>
      <c r="AP570">
        <v>1297.8943719882232</v>
      </c>
      <c r="AQ570">
        <v>390.28899309443955</v>
      </c>
      <c r="AR570">
        <v>157.95553989797389</v>
      </c>
      <c r="AS570">
        <v>1712.6621811718219</v>
      </c>
      <c r="AT570">
        <v>75.838690585430285</v>
      </c>
      <c r="AU570">
        <v>231.23102632721336</v>
      </c>
      <c r="AV570"/>
      <c r="AW570"/>
      <c r="FY570" s="211">
        <v>565</v>
      </c>
      <c r="FZ570">
        <v>105.60277729480221</v>
      </c>
      <c r="GA570">
        <v>112.72605469052101</v>
      </c>
      <c r="GB570">
        <v>33.647529762542838</v>
      </c>
      <c r="GC570">
        <v>8.7015945875136076</v>
      </c>
      <c r="GD570">
        <v>4.1030155932548622</v>
      </c>
      <c r="GE570">
        <v>5.7904770191714618</v>
      </c>
      <c r="GF570">
        <v>34.969680226289853</v>
      </c>
      <c r="GG570">
        <v>43.952800015075169</v>
      </c>
      <c r="GH570">
        <v>17.589618650306029</v>
      </c>
      <c r="GI570">
        <v>71.655060962008818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958.03026375652973</v>
      </c>
      <c r="AO571">
        <v>143.25667862199148</v>
      </c>
      <c r="AP571">
        <v>1063.3290534061457</v>
      </c>
      <c r="AQ571">
        <v>373.44911361708381</v>
      </c>
      <c r="AR571">
        <v>139.02878566091206</v>
      </c>
      <c r="AS571">
        <v>1489.7308119168188</v>
      </c>
      <c r="AT571">
        <v>67.805553126014303</v>
      </c>
      <c r="AU571">
        <v>101.93508846995968</v>
      </c>
      <c r="AV571"/>
      <c r="AW571"/>
      <c r="FY571" s="211">
        <v>566</v>
      </c>
      <c r="FZ571">
        <v>182.17926043303271</v>
      </c>
      <c r="GA571">
        <v>109.42624193559251</v>
      </c>
      <c r="GB571">
        <v>21.564998902096889</v>
      </c>
      <c r="GC571">
        <v>7.2140159664909298</v>
      </c>
      <c r="GD571">
        <v>2.5776780347267234</v>
      </c>
      <c r="GE571">
        <v>6.1657382251705979</v>
      </c>
      <c r="GF571">
        <v>26.706805835924932</v>
      </c>
      <c r="GG571">
        <v>32.407239099987258</v>
      </c>
      <c r="GH571">
        <v>30.296850150519695</v>
      </c>
      <c r="GI571">
        <v>75.421280124473753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1342.6889005112903</v>
      </c>
      <c r="AO572">
        <v>185.18902635692064</v>
      </c>
      <c r="AP572">
        <v>1559.1289771950908</v>
      </c>
      <c r="AQ572">
        <v>676.06093751286312</v>
      </c>
      <c r="AR572">
        <v>183.80367727240366</v>
      </c>
      <c r="AS572">
        <v>2050.2196685590366</v>
      </c>
      <c r="AT572">
        <v>90.466830373139643</v>
      </c>
      <c r="AU572">
        <v>45.238934115325151</v>
      </c>
      <c r="AV572"/>
      <c r="AW572"/>
      <c r="FY572" s="211">
        <v>567</v>
      </c>
      <c r="FZ572">
        <v>147.45462845966242</v>
      </c>
      <c r="GA572">
        <v>127.33971055399827</v>
      </c>
      <c r="GB572">
        <v>35.100759221118295</v>
      </c>
      <c r="GC572">
        <v>7.7662444463472529</v>
      </c>
      <c r="GD572">
        <v>3.3117769651317857</v>
      </c>
      <c r="GE572">
        <v>6.4924693457541407</v>
      </c>
      <c r="GF572">
        <v>35.42054285954876</v>
      </c>
      <c r="GG572">
        <v>43.257787312424902</v>
      </c>
      <c r="GH572">
        <v>26.598940845745418</v>
      </c>
      <c r="GI572">
        <v>78.091468681085956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1063.7448667662336</v>
      </c>
      <c r="AO573">
        <v>166.86389167328178</v>
      </c>
      <c r="AP573">
        <v>1261.7019028844775</v>
      </c>
      <c r="AQ573">
        <v>372.67823231033475</v>
      </c>
      <c r="AR573">
        <v>161.56725758055205</v>
      </c>
      <c r="AS573">
        <v>1680.525854945618</v>
      </c>
      <c r="AT573">
        <v>77.133095117068478</v>
      </c>
      <c r="AU573">
        <v>148.47449322964067</v>
      </c>
      <c r="AV573"/>
      <c r="AW573"/>
      <c r="FY573" s="211">
        <v>568</v>
      </c>
      <c r="FZ573">
        <v>169.27447626016496</v>
      </c>
      <c r="GA573">
        <v>149.65406453587377</v>
      </c>
      <c r="GB573">
        <v>42.446082804229249</v>
      </c>
      <c r="GC573">
        <v>6.5464142258889737</v>
      </c>
      <c r="GD573">
        <v>3.4778278147100776</v>
      </c>
      <c r="GE573">
        <v>8.2820614837541164</v>
      </c>
      <c r="GF573">
        <v>29.6301542097187</v>
      </c>
      <c r="GG573">
        <v>31.635620339303799</v>
      </c>
      <c r="GH573">
        <v>20.933382715595176</v>
      </c>
      <c r="GI573">
        <v>77.384573259186496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1338.0431699039395</v>
      </c>
      <c r="AO574">
        <v>184.91244353549467</v>
      </c>
      <c r="AP574">
        <v>1460.4404317333649</v>
      </c>
      <c r="AQ574">
        <v>493.19677949523339</v>
      </c>
      <c r="AR574">
        <v>180.8355283935131</v>
      </c>
      <c r="AS574">
        <v>2065.1544774987383</v>
      </c>
      <c r="AT574">
        <v>89.542204059195697</v>
      </c>
      <c r="AU574">
        <v>354.04907931227035</v>
      </c>
      <c r="AV574"/>
      <c r="AW574"/>
      <c r="FY574" s="211">
        <v>569</v>
      </c>
      <c r="FZ574">
        <v>122.47599674830647</v>
      </c>
      <c r="GA574">
        <v>84.308141960561755</v>
      </c>
      <c r="GB574">
        <v>31.563489075206036</v>
      </c>
      <c r="GC574">
        <v>7.7971077959234361</v>
      </c>
      <c r="GD574">
        <v>1.8210632393693915</v>
      </c>
      <c r="GE574">
        <v>3.0691580066880135</v>
      </c>
      <c r="GF574">
        <v>28.055757348545789</v>
      </c>
      <c r="GG574">
        <v>36.256206940507646</v>
      </c>
      <c r="GH574">
        <v>24.619879723513179</v>
      </c>
      <c r="GI574">
        <v>72.516940278516586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987.22261245534389</v>
      </c>
      <c r="AO575">
        <v>167.7139049372351</v>
      </c>
      <c r="AP575">
        <v>1369.0895456409587</v>
      </c>
      <c r="AQ575">
        <v>368.28120952722406</v>
      </c>
      <c r="AR575">
        <v>164.83925923078317</v>
      </c>
      <c r="AS575">
        <v>1635.7755524061874</v>
      </c>
      <c r="AT575">
        <v>80.672701135419032</v>
      </c>
      <c r="AU575">
        <v>191.93789152430389</v>
      </c>
      <c r="AV575"/>
      <c r="AW575"/>
      <c r="FY575" s="211">
        <v>570</v>
      </c>
      <c r="FZ575">
        <v>147.92643149890813</v>
      </c>
      <c r="GA575">
        <v>76.982521402059547</v>
      </c>
      <c r="GB575">
        <v>23.828294991819682</v>
      </c>
      <c r="GC575">
        <v>6.7979045212969709</v>
      </c>
      <c r="GD575">
        <v>3.3675846615060352</v>
      </c>
      <c r="GE575">
        <v>6.3604057287696438</v>
      </c>
      <c r="GF575">
        <v>25.325579021802696</v>
      </c>
      <c r="GG575">
        <v>31.378125787929537</v>
      </c>
      <c r="GH575">
        <v>27.858052393467286</v>
      </c>
      <c r="GI575">
        <v>69.330959554580829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1084.6012623891215</v>
      </c>
      <c r="AO576">
        <v>156.67096685454993</v>
      </c>
      <c r="AP576">
        <v>1340.5050610679043</v>
      </c>
      <c r="AQ576">
        <v>363.12943019193511</v>
      </c>
      <c r="AR576">
        <v>151.74256538684264</v>
      </c>
      <c r="AS576">
        <v>1561.8258998016743</v>
      </c>
      <c r="AT576">
        <v>67.730159639262709</v>
      </c>
      <c r="AU576">
        <v>251.27435558456307</v>
      </c>
      <c r="AV576"/>
      <c r="AW576"/>
      <c r="FY576" s="211">
        <v>571</v>
      </c>
      <c r="FZ576">
        <v>69.149869751072899</v>
      </c>
      <c r="GA576">
        <v>114.22977841520665</v>
      </c>
      <c r="GB576">
        <v>40.014973406129954</v>
      </c>
      <c r="GC576">
        <v>7.5727026403331967</v>
      </c>
      <c r="GD576">
        <v>2.71715825713874</v>
      </c>
      <c r="GE576">
        <v>4.3597234488102128</v>
      </c>
      <c r="GF576">
        <v>57.598824438859914</v>
      </c>
      <c r="GG576">
        <v>71.580200730909198</v>
      </c>
      <c r="GH576">
        <v>23.721505001158771</v>
      </c>
      <c r="GI576">
        <v>88.887234717072673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1064.4931804610687</v>
      </c>
      <c r="AO577">
        <v>178.00067481145601</v>
      </c>
      <c r="AP577">
        <v>1473.6315569472281</v>
      </c>
      <c r="AQ577">
        <v>329.35412581375033</v>
      </c>
      <c r="AR577">
        <v>169.60314715137164</v>
      </c>
      <c r="AS577">
        <v>1719.5020817819491</v>
      </c>
      <c r="AT577">
        <v>78.561165396533099</v>
      </c>
      <c r="AU577">
        <v>269.00224349999735</v>
      </c>
      <c r="AV577"/>
      <c r="AW577"/>
      <c r="FY577" s="211">
        <v>572</v>
      </c>
      <c r="FZ577">
        <v>140.30244054047367</v>
      </c>
      <c r="GA577">
        <v>131.72338838560813</v>
      </c>
      <c r="GB577">
        <v>36.43805026848932</v>
      </c>
      <c r="GC577">
        <v>7.8055843895519548</v>
      </c>
      <c r="GD577">
        <v>2.2556314131547239</v>
      </c>
      <c r="GE577">
        <v>6.7691005899440349</v>
      </c>
      <c r="GF577">
        <v>33.409530627671195</v>
      </c>
      <c r="GG577">
        <v>34.539231122396217</v>
      </c>
      <c r="GH577">
        <v>29.712008429290847</v>
      </c>
      <c r="GI577">
        <v>75.001426598573218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1253.4595719506242</v>
      </c>
      <c r="AO578">
        <v>155.82961794958109</v>
      </c>
      <c r="AP578">
        <v>1352.8919706549193</v>
      </c>
      <c r="AQ578">
        <v>518.72719224863772</v>
      </c>
      <c r="AR578">
        <v>148.38295236893083</v>
      </c>
      <c r="AS578">
        <v>1584.2576000586948</v>
      </c>
      <c r="AT578">
        <v>67.915320743112346</v>
      </c>
      <c r="AU578">
        <v>141.886411884469</v>
      </c>
      <c r="AV578"/>
      <c r="AW578"/>
      <c r="FY578" s="211">
        <v>573</v>
      </c>
      <c r="FZ578">
        <v>207.07019353434467</v>
      </c>
      <c r="GA578">
        <v>161.21876406835153</v>
      </c>
      <c r="GB578">
        <v>40.718198850446015</v>
      </c>
      <c r="GC578">
        <v>8.5125303368294762</v>
      </c>
      <c r="GD578">
        <v>3.1897785435081554</v>
      </c>
      <c r="GE578">
        <v>5.1374707540200895</v>
      </c>
      <c r="GF578">
        <v>39.01419686443927</v>
      </c>
      <c r="GG578">
        <v>51.292390147757573</v>
      </c>
      <c r="GH578">
        <v>28.14910965637343</v>
      </c>
      <c r="GI578">
        <v>92.479802728498086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1075.3887151606091</v>
      </c>
      <c r="AO579">
        <v>170.11448765433596</v>
      </c>
      <c r="AP579">
        <v>1396.1256224534768</v>
      </c>
      <c r="AQ579">
        <v>414.38702993427802</v>
      </c>
      <c r="AR579">
        <v>164.67893723245581</v>
      </c>
      <c r="AS579">
        <v>1726.1475825999846</v>
      </c>
      <c r="AT579">
        <v>84.739791359052703</v>
      </c>
      <c r="AU579">
        <v>214.7284202105688</v>
      </c>
      <c r="AV579"/>
      <c r="AW579"/>
      <c r="FY579" s="211">
        <v>574</v>
      </c>
      <c r="FZ579">
        <v>116.01860759624851</v>
      </c>
      <c r="GA579">
        <v>60.240078503548347</v>
      </c>
      <c r="GB579">
        <v>28.616620246270145</v>
      </c>
      <c r="GC579">
        <v>8.2321321995971619</v>
      </c>
      <c r="GD579">
        <v>2.1139872564144193</v>
      </c>
      <c r="GE579">
        <v>3.1056993704287343</v>
      </c>
      <c r="GF579">
        <v>39.379523667260983</v>
      </c>
      <c r="GG579">
        <v>50.029336290179479</v>
      </c>
      <c r="GH579">
        <v>28.762344814995572</v>
      </c>
      <c r="GI579">
        <v>75.681242044191322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1461.5626275569925</v>
      </c>
      <c r="AO580">
        <v>194.72679840504102</v>
      </c>
      <c r="AP580">
        <v>1723.5467016505652</v>
      </c>
      <c r="AQ580">
        <v>613.03205374743061</v>
      </c>
      <c r="AR580">
        <v>188.81139109768478</v>
      </c>
      <c r="AS580">
        <v>2121.2052609694751</v>
      </c>
      <c r="AT580">
        <v>92.013438651005188</v>
      </c>
      <c r="AU580">
        <v>303.3034252922119</v>
      </c>
      <c r="AV580"/>
      <c r="AW580"/>
      <c r="FY580" s="211">
        <v>575</v>
      </c>
      <c r="FZ580">
        <v>132.29246061583351</v>
      </c>
      <c r="GA580">
        <v>109.40887800830762</v>
      </c>
      <c r="GB580">
        <v>29.798499816789519</v>
      </c>
      <c r="GC580">
        <v>6.6224639741488662</v>
      </c>
      <c r="GD580">
        <v>2.3042216654541385</v>
      </c>
      <c r="GE580">
        <v>4.3536301632588854</v>
      </c>
      <c r="GF580">
        <v>27.500849661806463</v>
      </c>
      <c r="GG580">
        <v>35.454481848456844</v>
      </c>
      <c r="GH580">
        <v>23.419564617559317</v>
      </c>
      <c r="GI580">
        <v>71.458241300346458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1175.9706291567209</v>
      </c>
      <c r="AO581">
        <v>140.17184104411618</v>
      </c>
      <c r="AP581">
        <v>1180.4001374668815</v>
      </c>
      <c r="AQ581">
        <v>438.7386088014859</v>
      </c>
      <c r="AR581">
        <v>135.7533443180248</v>
      </c>
      <c r="AS581">
        <v>1493.9437240905022</v>
      </c>
      <c r="AT581">
        <v>60.799626162224492</v>
      </c>
      <c r="AU581">
        <v>185.47197623456594</v>
      </c>
      <c r="AV581"/>
      <c r="AW581"/>
      <c r="FY581" s="211">
        <v>576</v>
      </c>
      <c r="FZ581">
        <v>79.064405861473915</v>
      </c>
      <c r="GA581">
        <v>81.275337326986687</v>
      </c>
      <c r="GB581">
        <v>27.848907481388956</v>
      </c>
      <c r="GC581">
        <v>7.0990251083479849</v>
      </c>
      <c r="GD581">
        <v>3.2864894964143048</v>
      </c>
      <c r="GE581">
        <v>6.7792445417108915</v>
      </c>
      <c r="GF581">
        <v>44.194459761267609</v>
      </c>
      <c r="GG581">
        <v>53.528762524150039</v>
      </c>
      <c r="GH581">
        <v>23.564451278292353</v>
      </c>
      <c r="GI581">
        <v>68.99166425103985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1039.8252063676614</v>
      </c>
      <c r="AO582">
        <v>171.19520654729243</v>
      </c>
      <c r="AP582">
        <v>1377.9677125503322</v>
      </c>
      <c r="AQ582">
        <v>493.96010870801592</v>
      </c>
      <c r="AR582">
        <v>170.53808639303509</v>
      </c>
      <c r="AS582">
        <v>1856.1316799522619</v>
      </c>
      <c r="AT582">
        <v>85.848744469835495</v>
      </c>
      <c r="AU582">
        <v>52.775570359732825</v>
      </c>
      <c r="AV582"/>
      <c r="AW582"/>
      <c r="FY582" s="211">
        <v>577</v>
      </c>
      <c r="FZ582">
        <v>163.14608286277559</v>
      </c>
      <c r="GA582">
        <v>104.52028743198856</v>
      </c>
      <c r="GB582">
        <v>28.615223048026547</v>
      </c>
      <c r="GC582">
        <v>7.2546084080864661</v>
      </c>
      <c r="GD582">
        <v>2.1031800852941474</v>
      </c>
      <c r="GE582">
        <v>4.597233531406415</v>
      </c>
      <c r="GF582">
        <v>20.184195527872603</v>
      </c>
      <c r="GG582">
        <v>22.669451044110286</v>
      </c>
      <c r="GH582">
        <v>24.127326390112607</v>
      </c>
      <c r="GI582">
        <v>68.247159087939792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1224.4375571867336</v>
      </c>
      <c r="AO583">
        <v>161.97452091383252</v>
      </c>
      <c r="AP583">
        <v>1368.1187530978934</v>
      </c>
      <c r="AQ583">
        <v>510.83432869081719</v>
      </c>
      <c r="AR583">
        <v>158.72185623824782</v>
      </c>
      <c r="AS583">
        <v>1665.3437980994895</v>
      </c>
      <c r="AT583">
        <v>75.618175339382091</v>
      </c>
      <c r="AU583">
        <v>247.98341943953625</v>
      </c>
      <c r="AV583"/>
      <c r="AW583"/>
      <c r="FY583" s="211">
        <v>578</v>
      </c>
      <c r="FZ583">
        <v>168.97301468138673</v>
      </c>
      <c r="GA583">
        <v>106.60267873318858</v>
      </c>
      <c r="GB583">
        <v>36.86407939552322</v>
      </c>
      <c r="GC583">
        <v>9.3646132928733898</v>
      </c>
      <c r="GD583">
        <v>2.9522081101324513</v>
      </c>
      <c r="GE583">
        <v>4.845105083794107</v>
      </c>
      <c r="GF583">
        <v>14.387506011382266</v>
      </c>
      <c r="GG583">
        <v>18.494417898215328</v>
      </c>
      <c r="GH583">
        <v>21.927823081497269</v>
      </c>
      <c r="GI583">
        <v>70.811759466470562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1234.0165750267593</v>
      </c>
      <c r="AO584">
        <v>151.49084736551191</v>
      </c>
      <c r="AP584">
        <v>1318.2180911551782</v>
      </c>
      <c r="AQ584">
        <v>539.26465764842533</v>
      </c>
      <c r="AR584">
        <v>153.74205104018424</v>
      </c>
      <c r="AS584">
        <v>1701.5134757213325</v>
      </c>
      <c r="AT584">
        <v>76.398853858960194</v>
      </c>
      <c r="AU584">
        <v>219.32839736735349</v>
      </c>
      <c r="AV584"/>
      <c r="AW584"/>
      <c r="FY584" s="211">
        <v>579</v>
      </c>
      <c r="FZ584">
        <v>104.98709170450196</v>
      </c>
      <c r="GA584">
        <v>83.568878374633996</v>
      </c>
      <c r="GB584">
        <v>31.3157488509374</v>
      </c>
      <c r="GC584">
        <v>8.5197018581612554</v>
      </c>
      <c r="GD584">
        <v>3.6885055067096673</v>
      </c>
      <c r="GE584">
        <v>7.9907275063135845</v>
      </c>
      <c r="GF584">
        <v>37.590052580098806</v>
      </c>
      <c r="GG584">
        <v>42.508655957834364</v>
      </c>
      <c r="GH584">
        <v>16.211560513838727</v>
      </c>
      <c r="GI584">
        <v>74.785347686733175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1056.4945189364673</v>
      </c>
      <c r="AO585">
        <v>160.35271892678355</v>
      </c>
      <c r="AP585">
        <v>1334.2428508076766</v>
      </c>
      <c r="AQ585">
        <v>412.48374111713827</v>
      </c>
      <c r="AR585">
        <v>159.93550360583495</v>
      </c>
      <c r="AS585">
        <v>1620.5299345426965</v>
      </c>
      <c r="AT585">
        <v>79.849116085905607</v>
      </c>
      <c r="AU585">
        <v>306.97263140864749</v>
      </c>
      <c r="AV585"/>
      <c r="AW585"/>
      <c r="FY585" s="211">
        <v>580</v>
      </c>
      <c r="FZ585">
        <v>96.571226917884559</v>
      </c>
      <c r="GA585">
        <v>75.438299909165522</v>
      </c>
      <c r="GB585">
        <v>28.492061382247943</v>
      </c>
      <c r="GC585">
        <v>8.2249506502191707</v>
      </c>
      <c r="GD585">
        <v>3.4323381712961947</v>
      </c>
      <c r="GE585">
        <v>7.7206280450821421</v>
      </c>
      <c r="GF585">
        <v>16.762823603393016</v>
      </c>
      <c r="GG585">
        <v>17.764532004105728</v>
      </c>
      <c r="GH585">
        <v>28.988689056517526</v>
      </c>
      <c r="GI585">
        <v>61.072288419214765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1020.9209257146615</v>
      </c>
      <c r="AO586">
        <v>163.4640552415463</v>
      </c>
      <c r="AP586">
        <v>1360.250136059851</v>
      </c>
      <c r="AQ586">
        <v>419.15585956214039</v>
      </c>
      <c r="AR586">
        <v>161.07453835611736</v>
      </c>
      <c r="AS586">
        <v>1543.5078115146284</v>
      </c>
      <c r="AT586">
        <v>84.62107438853738</v>
      </c>
      <c r="AU586">
        <v>307.94912828944359</v>
      </c>
      <c r="AV586"/>
      <c r="AW586"/>
      <c r="FY586" s="211">
        <v>581</v>
      </c>
      <c r="FZ586">
        <v>128.78173807917477</v>
      </c>
      <c r="GA586">
        <v>107.68697831291956</v>
      </c>
      <c r="GB586">
        <v>35.763031012698889</v>
      </c>
      <c r="GC586">
        <v>7.8317146651700131</v>
      </c>
      <c r="GD586">
        <v>2.7027586472523701</v>
      </c>
      <c r="GE586">
        <v>5.0267607691309664</v>
      </c>
      <c r="GF586">
        <v>30.074892167685547</v>
      </c>
      <c r="GG586">
        <v>40.868719525521172</v>
      </c>
      <c r="GH586">
        <v>32.806887459811442</v>
      </c>
      <c r="GI586">
        <v>76.031546337963476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1504.343512128527</v>
      </c>
      <c r="AO587">
        <v>186.7356783967561</v>
      </c>
      <c r="AP587">
        <v>1557.2541624279688</v>
      </c>
      <c r="AQ587">
        <v>479.83197080669225</v>
      </c>
      <c r="AR587">
        <v>179.34947245548008</v>
      </c>
      <c r="AS587">
        <v>1918.4118133794148</v>
      </c>
      <c r="AT587">
        <v>76.986318071809592</v>
      </c>
      <c r="AU587">
        <v>123.73916182778058</v>
      </c>
      <c r="AV587"/>
      <c r="AW587"/>
      <c r="FY587" s="211">
        <v>582</v>
      </c>
      <c r="FZ587">
        <v>170.52313637167717</v>
      </c>
      <c r="GA587">
        <v>134.48524708783515</v>
      </c>
      <c r="GB587">
        <v>31.905126150150913</v>
      </c>
      <c r="GC587">
        <v>8.1002975318301722</v>
      </c>
      <c r="GD587">
        <v>2.1421335791414422</v>
      </c>
      <c r="GE587">
        <v>3.2839996551642816</v>
      </c>
      <c r="GF587">
        <v>56.294572674238218</v>
      </c>
      <c r="GG587">
        <v>71.481808407379987</v>
      </c>
      <c r="GH587">
        <v>29.499043751301382</v>
      </c>
      <c r="GI587">
        <v>90.876092040904837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1165.5852382627313</v>
      </c>
      <c r="AO588">
        <v>148.32681910220595</v>
      </c>
      <c r="AP588">
        <v>1347.5411423558203</v>
      </c>
      <c r="AQ588">
        <v>497.95639236515331</v>
      </c>
      <c r="AR588">
        <v>144.50004995653657</v>
      </c>
      <c r="AS588">
        <v>1631.1105869938056</v>
      </c>
      <c r="AT588">
        <v>67.837464168954668</v>
      </c>
      <c r="AU588">
        <v>78.66524998000277</v>
      </c>
      <c r="AV588"/>
      <c r="AW588"/>
      <c r="FY588" s="211">
        <v>583</v>
      </c>
      <c r="FZ588">
        <v>91.692639512305519</v>
      </c>
      <c r="GA588">
        <v>87.997090828029073</v>
      </c>
      <c r="GB588">
        <v>24.881334221102193</v>
      </c>
      <c r="GC588">
        <v>8.6947858389210033</v>
      </c>
      <c r="GD588">
        <v>3.4532377112671595</v>
      </c>
      <c r="GE588">
        <v>4.7957571568644308</v>
      </c>
      <c r="GF588">
        <v>16.16985026821559</v>
      </c>
      <c r="GG588">
        <v>20.037744888782317</v>
      </c>
      <c r="GH588">
        <v>23.300811198277447</v>
      </c>
      <c r="GI588">
        <v>58.738661541899674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1386.5769556936291</v>
      </c>
      <c r="AO589">
        <v>202.88015128197566</v>
      </c>
      <c r="AP589">
        <v>1795.0715223661741</v>
      </c>
      <c r="AQ589">
        <v>636.78243548456828</v>
      </c>
      <c r="AR589">
        <v>198.35010575573654</v>
      </c>
      <c r="AS589">
        <v>2134.4840003915183</v>
      </c>
      <c r="AT589">
        <v>99.88398021804818</v>
      </c>
      <c r="AU589">
        <v>276.41810928305466</v>
      </c>
      <c r="AV589"/>
      <c r="AW589"/>
      <c r="FY589" s="211">
        <v>584</v>
      </c>
      <c r="FZ589">
        <v>83.444954037130458</v>
      </c>
      <c r="GA589">
        <v>84.547811601044927</v>
      </c>
      <c r="GB589">
        <v>32.541648873687549</v>
      </c>
      <c r="GC589">
        <v>8.3097441106605814</v>
      </c>
      <c r="GD589">
        <v>2.3923685326945554</v>
      </c>
      <c r="GE589">
        <v>4.5304545171695763</v>
      </c>
      <c r="GF589">
        <v>17.135858728122596</v>
      </c>
      <c r="GG589">
        <v>21.423683681864311</v>
      </c>
      <c r="GH589">
        <v>32.055527653796659</v>
      </c>
      <c r="GI589">
        <v>65.310326070155412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1165.9308884415775</v>
      </c>
      <c r="AO590">
        <v>178.20667090540343</v>
      </c>
      <c r="AP590">
        <v>1506.1784660266167</v>
      </c>
      <c r="AQ590">
        <v>412.17957198913467</v>
      </c>
      <c r="AR590">
        <v>175.37045678448902</v>
      </c>
      <c r="AS590">
        <v>1863.8484761866202</v>
      </c>
      <c r="AT590">
        <v>82.799969383532044</v>
      </c>
      <c r="AU590">
        <v>221.89481381239617</v>
      </c>
      <c r="AV590"/>
      <c r="AW590"/>
      <c r="FY590" s="211">
        <v>585</v>
      </c>
      <c r="FZ590">
        <v>221.56937672483406</v>
      </c>
      <c r="GA590">
        <v>110.28500367128289</v>
      </c>
      <c r="GB590">
        <v>19.191205851193093</v>
      </c>
      <c r="GC590">
        <v>8.3573615030960937</v>
      </c>
      <c r="GD590">
        <v>2.0802567046475628</v>
      </c>
      <c r="GE590">
        <v>3.8809768500630364</v>
      </c>
      <c r="GF590">
        <v>30.468953627140067</v>
      </c>
      <c r="GG590">
        <v>36.779929763370042</v>
      </c>
      <c r="GH590">
        <v>21.336714999753237</v>
      </c>
      <c r="GI590">
        <v>78.264574062867268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1063.7924424216594</v>
      </c>
      <c r="AO591">
        <v>159.31333086594572</v>
      </c>
      <c r="AP591">
        <v>1298.4846442065575</v>
      </c>
      <c r="AQ591">
        <v>442.61329167196163</v>
      </c>
      <c r="AR591">
        <v>156.94318280475588</v>
      </c>
      <c r="AS591">
        <v>1658.4149774550492</v>
      </c>
      <c r="AT591">
        <v>74.140316055144169</v>
      </c>
      <c r="AU591">
        <v>112.77326763316441</v>
      </c>
      <c r="AV591"/>
      <c r="AW591"/>
      <c r="FY591" s="211">
        <v>586</v>
      </c>
      <c r="FZ591">
        <v>175.94404098534338</v>
      </c>
      <c r="GA591">
        <v>125.91531491047067</v>
      </c>
      <c r="GB591">
        <v>33.654801474163612</v>
      </c>
      <c r="GC591">
        <v>10.169956573500091</v>
      </c>
      <c r="GD591">
        <v>2.5024812794627094</v>
      </c>
      <c r="GE591">
        <v>2.6087505779238431</v>
      </c>
      <c r="GF591">
        <v>20.834113161864806</v>
      </c>
      <c r="GG591">
        <v>27.155361547237259</v>
      </c>
      <c r="GH591">
        <v>19.900347283376913</v>
      </c>
      <c r="GI591">
        <v>78.632384892785552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1137.5354739819236</v>
      </c>
      <c r="AO592">
        <v>140.14762696446383</v>
      </c>
      <c r="AP592">
        <v>1139.7976751431777</v>
      </c>
      <c r="AQ592">
        <v>395.63274763107256</v>
      </c>
      <c r="AR592">
        <v>136.1649743535994</v>
      </c>
      <c r="AS592">
        <v>1463.0400356123134</v>
      </c>
      <c r="AT592">
        <v>61.850031212398484</v>
      </c>
      <c r="AU592">
        <v>309.36083124137804</v>
      </c>
      <c r="AV592"/>
      <c r="AW592"/>
      <c r="FY592" s="211">
        <v>587</v>
      </c>
      <c r="FZ592">
        <v>140.55186041138526</v>
      </c>
      <c r="GA592">
        <v>121.39794740491205</v>
      </c>
      <c r="GB592">
        <v>28.751974502033004</v>
      </c>
      <c r="GC592">
        <v>9.3479707781128099</v>
      </c>
      <c r="GD592">
        <v>4.9639195499800435</v>
      </c>
      <c r="GE592">
        <v>8.3196650485263639</v>
      </c>
      <c r="GF592">
        <v>26.866068518782225</v>
      </c>
      <c r="GG592">
        <v>30.430373215963105</v>
      </c>
      <c r="GH592">
        <v>20.755855749245104</v>
      </c>
      <c r="GI592">
        <v>78.883424902794758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979.51660855007231</v>
      </c>
      <c r="AO593">
        <v>150.34239678501635</v>
      </c>
      <c r="AP593">
        <v>1305.9535102735765</v>
      </c>
      <c r="AQ593">
        <v>445.46474741761301</v>
      </c>
      <c r="AR593">
        <v>149.97388230253756</v>
      </c>
      <c r="AS593">
        <v>1504.0234238008743</v>
      </c>
      <c r="AT593">
        <v>77.324475327600382</v>
      </c>
      <c r="AU593">
        <v>211.71505676632094</v>
      </c>
      <c r="AV593"/>
      <c r="AW593"/>
      <c r="FY593" s="211">
        <v>588</v>
      </c>
      <c r="FZ593">
        <v>244.81272338368336</v>
      </c>
      <c r="GA593">
        <v>168.99489215930356</v>
      </c>
      <c r="GB593">
        <v>32.18199807168719</v>
      </c>
      <c r="GC593">
        <v>9.6261098882137794</v>
      </c>
      <c r="GD593">
        <v>3.975682925236788</v>
      </c>
      <c r="GE593">
        <v>4.8092803072688124</v>
      </c>
      <c r="GF593">
        <v>19.353977784106611</v>
      </c>
      <c r="GG593">
        <v>23.064207152205832</v>
      </c>
      <c r="GH593">
        <v>27.476091951881553</v>
      </c>
      <c r="GI593">
        <v>88.56307129629711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1025.9899756838581</v>
      </c>
      <c r="AO594">
        <v>155.39011465776483</v>
      </c>
      <c r="AP594">
        <v>1288.3047151321757</v>
      </c>
      <c r="AQ594">
        <v>455.22320575446389</v>
      </c>
      <c r="AR594">
        <v>155.55614672794493</v>
      </c>
      <c r="AS594">
        <v>1717.0732953001361</v>
      </c>
      <c r="AT594">
        <v>77.004586865335042</v>
      </c>
      <c r="AU594">
        <v>128.82281067469859</v>
      </c>
      <c r="AV594"/>
      <c r="AW594"/>
      <c r="FY594" s="211">
        <v>589</v>
      </c>
      <c r="FZ594">
        <v>134.30119676005447</v>
      </c>
      <c r="GA594">
        <v>113.26052362587119</v>
      </c>
      <c r="GB594">
        <v>23.866714074373885</v>
      </c>
      <c r="GC594">
        <v>6.9442030510435213</v>
      </c>
      <c r="GD594">
        <v>3.1175177398067611</v>
      </c>
      <c r="GE594">
        <v>6.1723402917802108</v>
      </c>
      <c r="GF594">
        <v>39.490066109659708</v>
      </c>
      <c r="GG594">
        <v>44.793292349927981</v>
      </c>
      <c r="GH594">
        <v>31.978009401601906</v>
      </c>
      <c r="GI594">
        <v>80.749923637055247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1178.6191266588653</v>
      </c>
      <c r="AO595">
        <v>144.14719847929794</v>
      </c>
      <c r="AP595">
        <v>1165.1547438256007</v>
      </c>
      <c r="AQ595">
        <v>411.16627053976299</v>
      </c>
      <c r="AR595">
        <v>143.1219318225595</v>
      </c>
      <c r="AS595">
        <v>1578.6701889273058</v>
      </c>
      <c r="AT595">
        <v>67.23714318212231</v>
      </c>
      <c r="AU595">
        <v>229.65311960789145</v>
      </c>
      <c r="AV595"/>
      <c r="AW595"/>
      <c r="FY595" s="211">
        <v>590</v>
      </c>
      <c r="FZ595">
        <v>195.73900306445819</v>
      </c>
      <c r="GA595">
        <v>173.66983495854282</v>
      </c>
      <c r="GB595">
        <v>38.157746355958437</v>
      </c>
      <c r="GC595">
        <v>9.7154980323724232</v>
      </c>
      <c r="GD595">
        <v>3.7353909046428511</v>
      </c>
      <c r="GE595">
        <v>5.4218315915383855</v>
      </c>
      <c r="GF595">
        <v>21.221453044345282</v>
      </c>
      <c r="GG595">
        <v>27.678397488987688</v>
      </c>
      <c r="GH595">
        <v>21.362079314036215</v>
      </c>
      <c r="GI595">
        <v>87.348875013767966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911.84876436245395</v>
      </c>
      <c r="AO596">
        <v>120.00647635830487</v>
      </c>
      <c r="AP596">
        <v>928.02636408170929</v>
      </c>
      <c r="AQ596">
        <v>344.46783815912659</v>
      </c>
      <c r="AR596">
        <v>117.51533319212092</v>
      </c>
      <c r="AS596">
        <v>1298.3528469926559</v>
      </c>
      <c r="AT596">
        <v>55.693600842875661</v>
      </c>
      <c r="AU596">
        <v>49.399373657309667</v>
      </c>
      <c r="AV596"/>
      <c r="AW596"/>
      <c r="FY596" s="211">
        <v>591</v>
      </c>
      <c r="FZ596">
        <v>147.31870809693521</v>
      </c>
      <c r="GA596">
        <v>140.96255812575046</v>
      </c>
      <c r="GB596">
        <v>31.618153407297406</v>
      </c>
      <c r="GC596">
        <v>7.000327813287015</v>
      </c>
      <c r="GD596">
        <v>3.2592496567408014</v>
      </c>
      <c r="GE596">
        <v>4.9622469058446406</v>
      </c>
      <c r="GF596">
        <v>9.4998679039856597</v>
      </c>
      <c r="GG596">
        <v>15.039201696310119</v>
      </c>
      <c r="GH596">
        <v>24.846523359978423</v>
      </c>
      <c r="GI596">
        <v>67.28416161815376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1132.4567941011828</v>
      </c>
      <c r="AO597">
        <v>165.82011903776774</v>
      </c>
      <c r="AP597">
        <v>1457.6210538747216</v>
      </c>
      <c r="AQ597">
        <v>467.57502697732821</v>
      </c>
      <c r="AR597">
        <v>163.62892915644392</v>
      </c>
      <c r="AS597">
        <v>1791.9705987189759</v>
      </c>
      <c r="AT597">
        <v>83.223788068114416</v>
      </c>
      <c r="AU597">
        <v>210.80141659690852</v>
      </c>
      <c r="AV597"/>
      <c r="AW597"/>
      <c r="FY597" s="211">
        <v>592</v>
      </c>
      <c r="FZ597">
        <v>163.3638547966948</v>
      </c>
      <c r="GA597">
        <v>172.49817608900105</v>
      </c>
      <c r="GB597">
        <v>33.75617234664449</v>
      </c>
      <c r="GC597">
        <v>9.3930100544292969</v>
      </c>
      <c r="GD597">
        <v>4.1880129824285142</v>
      </c>
      <c r="GE597">
        <v>3.6849656595283471</v>
      </c>
      <c r="GF597">
        <v>30.367302053329276</v>
      </c>
      <c r="GG597">
        <v>40.931069017785077</v>
      </c>
      <c r="GH597">
        <v>16.335631139601439</v>
      </c>
      <c r="GI597">
        <v>86.804257564468713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1423.9049320728341</v>
      </c>
      <c r="AO598">
        <v>183.42213438384846</v>
      </c>
      <c r="AP598">
        <v>1634.6469083519162</v>
      </c>
      <c r="AQ598">
        <v>598.59145724962355</v>
      </c>
      <c r="AR598">
        <v>178.61138216143314</v>
      </c>
      <c r="AS598">
        <v>1933.0213811661031</v>
      </c>
      <c r="AT598">
        <v>86.344572394200711</v>
      </c>
      <c r="AU598">
        <v>239.83564952564774</v>
      </c>
      <c r="AV598"/>
      <c r="AW598"/>
      <c r="FY598" s="211">
        <v>593</v>
      </c>
      <c r="FZ598">
        <v>88.344042867767499</v>
      </c>
      <c r="GA598">
        <v>86.622712087839602</v>
      </c>
      <c r="GB598">
        <v>25.567546982222069</v>
      </c>
      <c r="GC598">
        <v>8.6514716303967099</v>
      </c>
      <c r="GD598">
        <v>3.3681485595496681</v>
      </c>
      <c r="GE598">
        <v>3.8239615258232407</v>
      </c>
      <c r="GF598">
        <v>47.579115355785746</v>
      </c>
      <c r="GG598">
        <v>62.12390948925745</v>
      </c>
      <c r="GH598">
        <v>24.05547024684255</v>
      </c>
      <c r="GI598">
        <v>85.166708086551083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903.2943985578047</v>
      </c>
      <c r="AO599">
        <v>117.68556491135305</v>
      </c>
      <c r="AP599">
        <v>884.69322834082789</v>
      </c>
      <c r="AQ599">
        <v>339.7619131656644</v>
      </c>
      <c r="AR599">
        <v>112.44617599313604</v>
      </c>
      <c r="AS599">
        <v>1276.1002710854546</v>
      </c>
      <c r="AT599">
        <v>51.680583815825543</v>
      </c>
      <c r="AU599">
        <v>34.177771555755214</v>
      </c>
      <c r="AV599"/>
      <c r="AW599"/>
      <c r="FY599" s="211">
        <v>594</v>
      </c>
      <c r="FZ599">
        <v>250.25760312581448</v>
      </c>
      <c r="GA599">
        <v>127.78006661521465</v>
      </c>
      <c r="GB599">
        <v>30.888014030202068</v>
      </c>
      <c r="GC599">
        <v>8.49615971099227</v>
      </c>
      <c r="GD599">
        <v>3.5314604180545546</v>
      </c>
      <c r="GE599">
        <v>8.6866512621187066</v>
      </c>
      <c r="GF599">
        <v>37.099371374535785</v>
      </c>
      <c r="GG599">
        <v>43.91351933160314</v>
      </c>
      <c r="GH599">
        <v>20.096453495671149</v>
      </c>
      <c r="GI599">
        <v>86.20647136606938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941.00972955227076</v>
      </c>
      <c r="AO600">
        <v>138.99302549721605</v>
      </c>
      <c r="AP600">
        <v>1171.4310124626616</v>
      </c>
      <c r="AQ600">
        <v>351.69237780632659</v>
      </c>
      <c r="AR600">
        <v>134.02608933494199</v>
      </c>
      <c r="AS600">
        <v>1470.5902089450428</v>
      </c>
      <c r="AT600">
        <v>66.254647118643234</v>
      </c>
      <c r="AU600">
        <v>125.56978467546782</v>
      </c>
      <c r="AV600"/>
      <c r="AW600"/>
      <c r="FY600" s="211">
        <v>595</v>
      </c>
      <c r="FZ600">
        <v>143.46066835367355</v>
      </c>
      <c r="GA600">
        <v>101.40777824820282</v>
      </c>
      <c r="GB600">
        <v>37.596569456523639</v>
      </c>
      <c r="GC600">
        <v>10.931463827483467</v>
      </c>
      <c r="GD600">
        <v>3.3374903220559164</v>
      </c>
      <c r="GE600">
        <v>5.7574635409025374</v>
      </c>
      <c r="GF600">
        <v>35.27488943961967</v>
      </c>
      <c r="GG600">
        <v>42.154509173074864</v>
      </c>
      <c r="GH600">
        <v>27.327429990460015</v>
      </c>
      <c r="GI600">
        <v>89.735580873217685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1104.6561699814358</v>
      </c>
      <c r="AO601">
        <v>197.06989555014974</v>
      </c>
      <c r="AP601">
        <v>1720.6621450482435</v>
      </c>
      <c r="AQ601">
        <v>532.2143537582474</v>
      </c>
      <c r="AR601">
        <v>191.27853145268747</v>
      </c>
      <c r="AS601">
        <v>1894.6456429164894</v>
      </c>
      <c r="AT601">
        <v>99.308260375570299</v>
      </c>
      <c r="AU601">
        <v>198.24203020734399</v>
      </c>
      <c r="AV601"/>
      <c r="AW601"/>
      <c r="FY601" s="211">
        <v>596</v>
      </c>
      <c r="FZ601">
        <v>109.79831261468412</v>
      </c>
      <c r="GA601">
        <v>154.63870907035297</v>
      </c>
      <c r="GB601">
        <v>46.00230789755156</v>
      </c>
      <c r="GC601">
        <v>8.9125908001533176</v>
      </c>
      <c r="GD601">
        <v>2.5856372418260456</v>
      </c>
      <c r="GE601">
        <v>4.026455478409706</v>
      </c>
      <c r="GF601">
        <v>25.811570530196786</v>
      </c>
      <c r="GG601">
        <v>33.414419745991765</v>
      </c>
      <c r="GH601">
        <v>24.414233674493879</v>
      </c>
      <c r="GI601">
        <v>77.563528435596425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1128.6264462813817</v>
      </c>
      <c r="AO602">
        <v>187.37898086122195</v>
      </c>
      <c r="AP602">
        <v>1583.741344553674</v>
      </c>
      <c r="AQ602">
        <v>497.31755268612881</v>
      </c>
      <c r="AR602">
        <v>181.49237337727845</v>
      </c>
      <c r="AS602">
        <v>1761.7507619621811</v>
      </c>
      <c r="AT602">
        <v>87.209732156696305</v>
      </c>
      <c r="AU602">
        <v>158.01235731574434</v>
      </c>
      <c r="AV602"/>
      <c r="AW602"/>
      <c r="FY602" s="211">
        <v>597</v>
      </c>
      <c r="FZ602">
        <v>117.31082906217493</v>
      </c>
      <c r="GA602">
        <v>80.565037885023912</v>
      </c>
      <c r="GB602">
        <v>23.258369444044071</v>
      </c>
      <c r="GC602">
        <v>7.3196504319214579</v>
      </c>
      <c r="GD602">
        <v>3.9158760565731656</v>
      </c>
      <c r="GE602">
        <v>8.5529785237341542</v>
      </c>
      <c r="GF602">
        <v>27.629311157229392</v>
      </c>
      <c r="GG602">
        <v>32.341071986363112</v>
      </c>
      <c r="GH602">
        <v>32.376434236247064</v>
      </c>
      <c r="GI602">
        <v>72.229207455915102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1204.1317944324703</v>
      </c>
      <c r="AO603">
        <v>172.73640060558628</v>
      </c>
      <c r="AP603">
        <v>1356.4404282104188</v>
      </c>
      <c r="AQ603">
        <v>470.26906008173478</v>
      </c>
      <c r="AR603">
        <v>169.65265558140652</v>
      </c>
      <c r="AS603">
        <v>1721.2741874122557</v>
      </c>
      <c r="AT603">
        <v>80.159011320830857</v>
      </c>
      <c r="AU603">
        <v>143.33918071273891</v>
      </c>
      <c r="AV603"/>
      <c r="AW603"/>
      <c r="FY603" s="211">
        <v>598</v>
      </c>
      <c r="FZ603">
        <v>194.51516870860382</v>
      </c>
      <c r="GA603">
        <v>157.76866578218048</v>
      </c>
      <c r="GB603">
        <v>42.926394855252404</v>
      </c>
      <c r="GC603">
        <v>7.8435535039532347</v>
      </c>
      <c r="GD603">
        <v>2.6104943197098387</v>
      </c>
      <c r="GE603">
        <v>6.7564881797067535</v>
      </c>
      <c r="GF603">
        <v>38.820052902618507</v>
      </c>
      <c r="GG603">
        <v>45.915548659248245</v>
      </c>
      <c r="GH603">
        <v>25.458235568377102</v>
      </c>
      <c r="GI603">
        <v>106.09012662897609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1237.6198317547673</v>
      </c>
      <c r="AO604">
        <v>189.78058103879962</v>
      </c>
      <c r="AP604">
        <v>1619.8702731603473</v>
      </c>
      <c r="AQ604">
        <v>622.85803491988463</v>
      </c>
      <c r="AR604">
        <v>189.10881100744541</v>
      </c>
      <c r="AS604">
        <v>2115.9234687380836</v>
      </c>
      <c r="AT604">
        <v>96.843539609721645</v>
      </c>
      <c r="AU604">
        <v>91.730457772053768</v>
      </c>
      <c r="AV604"/>
      <c r="AW604"/>
      <c r="FY604" s="211">
        <v>599</v>
      </c>
      <c r="FZ604">
        <v>147.10189545379242</v>
      </c>
      <c r="GA604">
        <v>106.98042864273577</v>
      </c>
      <c r="GB604">
        <v>19.97436022409217</v>
      </c>
      <c r="GC604">
        <v>6.09543356257526</v>
      </c>
      <c r="GD604">
        <v>3.4622730887471409</v>
      </c>
      <c r="GE604">
        <v>6.8894846288350564</v>
      </c>
      <c r="GF604">
        <v>29.062664789765737</v>
      </c>
      <c r="GG604">
        <v>35.511299875427667</v>
      </c>
      <c r="GH604">
        <v>36.594326425260121</v>
      </c>
      <c r="GI604">
        <v>76.988213293516864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1254.4084605868397</v>
      </c>
      <c r="AO605">
        <v>197.09891834204183</v>
      </c>
      <c r="AP605">
        <v>1707.9332987687551</v>
      </c>
      <c r="AQ605">
        <v>484.67378704117488</v>
      </c>
      <c r="AR605">
        <v>190.27408443285296</v>
      </c>
      <c r="AS605">
        <v>1884.5969792663886</v>
      </c>
      <c r="AT605">
        <v>90.370632038579245</v>
      </c>
      <c r="AU605">
        <v>343.77005068775344</v>
      </c>
      <c r="AV605"/>
      <c r="AW605"/>
      <c r="FY605" s="211">
        <v>600</v>
      </c>
      <c r="FZ605">
        <v>170.86694074931472</v>
      </c>
      <c r="GA605">
        <v>83.036545423035761</v>
      </c>
      <c r="GB605">
        <v>23.465063200349743</v>
      </c>
      <c r="GC605">
        <v>8.9909962429384578</v>
      </c>
      <c r="GD605">
        <v>2.7152112720524433</v>
      </c>
      <c r="GE605">
        <v>4.8059030253657689</v>
      </c>
      <c r="GF605">
        <v>23.112502925472381</v>
      </c>
      <c r="GG605">
        <v>28.02137405272903</v>
      </c>
      <c r="GH605">
        <v>23.898988203444173</v>
      </c>
      <c r="GI605">
        <v>69.883746390651353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1236.6377020116324</v>
      </c>
      <c r="AO606">
        <v>165.37493451109836</v>
      </c>
      <c r="AP606">
        <v>1323.7703320296073</v>
      </c>
      <c r="AQ606">
        <v>584.05010976865015</v>
      </c>
      <c r="AR606">
        <v>159.8570753283889</v>
      </c>
      <c r="AS606">
        <v>1935.3525869490747</v>
      </c>
      <c r="AT606">
        <v>81.772471839467087</v>
      </c>
      <c r="AU606">
        <v>-20.329203866681553</v>
      </c>
      <c r="AV606"/>
      <c r="AW606"/>
      <c r="FY606" s="211">
        <v>601</v>
      </c>
      <c r="FZ606">
        <v>120.9868232559635</v>
      </c>
      <c r="GA606">
        <v>80.107757549569229</v>
      </c>
      <c r="GB606">
        <v>28.161587108808764</v>
      </c>
      <c r="GC606">
        <v>9.1185392289444351</v>
      </c>
      <c r="GD606">
        <v>3.4980923390737173</v>
      </c>
      <c r="GE606">
        <v>5.3063755730104987</v>
      </c>
      <c r="GF606">
        <v>29.514483644702306</v>
      </c>
      <c r="GG606">
        <v>37.44061240461857</v>
      </c>
      <c r="GH606">
        <v>22.886503562834061</v>
      </c>
      <c r="GI606">
        <v>75.155139536257735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972.39788566868719</v>
      </c>
      <c r="AO607">
        <v>146.58825180287732</v>
      </c>
      <c r="AP607">
        <v>1220.9358130653081</v>
      </c>
      <c r="AQ607">
        <v>451.7909985842835</v>
      </c>
      <c r="AR607">
        <v>143.45543082365168</v>
      </c>
      <c r="AS607">
        <v>1498.075960974383</v>
      </c>
      <c r="AT607">
        <v>72.497511878755788</v>
      </c>
      <c r="AU607">
        <v>-65.051323650964321</v>
      </c>
      <c r="AV607"/>
      <c r="AW607"/>
      <c r="FY607" s="211">
        <v>602</v>
      </c>
      <c r="FZ607">
        <v>67.601547055248645</v>
      </c>
      <c r="GA607">
        <v>52.843974995499821</v>
      </c>
      <c r="GB607">
        <v>29.663614601574434</v>
      </c>
      <c r="GC607">
        <v>10.221490152514807</v>
      </c>
      <c r="GD607">
        <v>3.8155919679401187</v>
      </c>
      <c r="GE607">
        <v>5.6729032538743169</v>
      </c>
      <c r="GF607">
        <v>18.234133245394943</v>
      </c>
      <c r="GG607">
        <v>21.624163836168414</v>
      </c>
      <c r="GH607">
        <v>34.714342856220611</v>
      </c>
      <c r="GI607">
        <v>67.825159230247749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1289.6861092741833</v>
      </c>
      <c r="AO608">
        <v>183.81567334732105</v>
      </c>
      <c r="AP608">
        <v>1547.5820086585636</v>
      </c>
      <c r="AQ608">
        <v>561.32245170391104</v>
      </c>
      <c r="AR608">
        <v>179.03070380360654</v>
      </c>
      <c r="AS608">
        <v>1978.3233051051718</v>
      </c>
      <c r="AT608">
        <v>84.337251630402548</v>
      </c>
      <c r="AU608">
        <v>89.481826827039541</v>
      </c>
      <c r="AV608"/>
      <c r="AW608"/>
      <c r="FY608" s="211">
        <v>603</v>
      </c>
      <c r="FZ608">
        <v>129.63493512227146</v>
      </c>
      <c r="GA608">
        <v>128.49324726696423</v>
      </c>
      <c r="GB608">
        <v>34.214614568812252</v>
      </c>
      <c r="GC608">
        <v>7.4321247258487571</v>
      </c>
      <c r="GD608">
        <v>3.679850573774043</v>
      </c>
      <c r="GE608">
        <v>6.2345525391456427</v>
      </c>
      <c r="GF608">
        <v>30.096026280950696</v>
      </c>
      <c r="GG608">
        <v>39.610342874786774</v>
      </c>
      <c r="GH608">
        <v>24.232458723013796</v>
      </c>
      <c r="GI608">
        <v>76.462999483020724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1305.8524369823779</v>
      </c>
      <c r="AO609">
        <v>173.24758863937487</v>
      </c>
      <c r="AP609">
        <v>1366.9648956809299</v>
      </c>
      <c r="AQ609">
        <v>435.3030868320356</v>
      </c>
      <c r="AR609">
        <v>165.6732606808539</v>
      </c>
      <c r="AS609">
        <v>1838.5904113939723</v>
      </c>
      <c r="AT609">
        <v>78.545126257233179</v>
      </c>
      <c r="AU609">
        <v>137.41643110588274</v>
      </c>
      <c r="AV609"/>
      <c r="AW609"/>
      <c r="FY609" s="211">
        <v>604</v>
      </c>
      <c r="FZ609">
        <v>170.04717371972012</v>
      </c>
      <c r="GA609">
        <v>67.182973792509614</v>
      </c>
      <c r="GB609">
        <v>17.611642258528725</v>
      </c>
      <c r="GC609">
        <v>8.4239151762272897</v>
      </c>
      <c r="GD609">
        <v>3.3711022916053368</v>
      </c>
      <c r="GE609">
        <v>5.7877112011085607</v>
      </c>
      <c r="GF609">
        <v>38.605821461581641</v>
      </c>
      <c r="GG609">
        <v>45.212891707384884</v>
      </c>
      <c r="GH609">
        <v>27.664078807609158</v>
      </c>
      <c r="GI609">
        <v>80.324827283807153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1286.6097500560732</v>
      </c>
      <c r="AO610">
        <v>182.01396079672654</v>
      </c>
      <c r="AP610">
        <v>1516.3771383336866</v>
      </c>
      <c r="AQ610">
        <v>616.9557707302763</v>
      </c>
      <c r="AR610">
        <v>186.64346912998641</v>
      </c>
      <c r="AS610">
        <v>2028.7776330207441</v>
      </c>
      <c r="AT610">
        <v>94.378554855424284</v>
      </c>
      <c r="AU610">
        <v>217.81580618769681</v>
      </c>
      <c r="AV610"/>
      <c r="AW610"/>
      <c r="FY610" s="211">
        <v>605</v>
      </c>
      <c r="FZ610">
        <v>127.68927726991906</v>
      </c>
      <c r="GA610">
        <v>76.323522161692637</v>
      </c>
      <c r="GB610">
        <v>30.214861424739048</v>
      </c>
      <c r="GC610">
        <v>9.7189837943584028</v>
      </c>
      <c r="GD610">
        <v>2.9428879838647748</v>
      </c>
      <c r="GE610">
        <v>2.6161264583592958</v>
      </c>
      <c r="GF610">
        <v>16.519161767187686</v>
      </c>
      <c r="GG610">
        <v>22.153230479970524</v>
      </c>
      <c r="GH610">
        <v>17.27330006595318</v>
      </c>
      <c r="GI610">
        <v>63.992951769818738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1346.9436550299556</v>
      </c>
      <c r="AO611">
        <v>206.52039970568063</v>
      </c>
      <c r="AP611">
        <v>1759.8010073399648</v>
      </c>
      <c r="AQ611">
        <v>496.98384322521429</v>
      </c>
      <c r="AR611">
        <v>200.44794386969701</v>
      </c>
      <c r="AS611">
        <v>1942.1260859254483</v>
      </c>
      <c r="AT611">
        <v>93.857260590541628</v>
      </c>
      <c r="AU611">
        <v>278.43289492094277</v>
      </c>
      <c r="AV611"/>
      <c r="AW611"/>
      <c r="FY611" s="211">
        <v>606</v>
      </c>
      <c r="FZ611">
        <v>137.68172659829116</v>
      </c>
      <c r="GA611">
        <v>85.259050719206186</v>
      </c>
      <c r="GB611">
        <v>21.731125107078107</v>
      </c>
      <c r="GC611">
        <v>8.3287457630388282</v>
      </c>
      <c r="GD611">
        <v>3.3619747719336677</v>
      </c>
      <c r="GE611">
        <v>5.5498317343399748</v>
      </c>
      <c r="GF611">
        <v>28.756231225404786</v>
      </c>
      <c r="GG611">
        <v>35.06548014339338</v>
      </c>
      <c r="GH611">
        <v>19.992341645289894</v>
      </c>
      <c r="GI611">
        <v>76.120177542761482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1206.1000615348159</v>
      </c>
      <c r="AO612">
        <v>158.2959592821303</v>
      </c>
      <c r="AP612">
        <v>1341.4025913954708</v>
      </c>
      <c r="AQ612">
        <v>487.16776548925662</v>
      </c>
      <c r="AR612">
        <v>150.82566445271092</v>
      </c>
      <c r="AS612">
        <v>1684.475922825937</v>
      </c>
      <c r="AT612">
        <v>71.735094585169023</v>
      </c>
      <c r="AU612">
        <v>122.67006530117814</v>
      </c>
      <c r="AV612"/>
      <c r="AW612"/>
      <c r="FY612" s="211">
        <v>607</v>
      </c>
      <c r="FZ612">
        <v>109.94694562737448</v>
      </c>
      <c r="GA612">
        <v>107.10438081317163</v>
      </c>
      <c r="GB612">
        <v>25.419944132021467</v>
      </c>
      <c r="GC612">
        <v>5.5548461015625152</v>
      </c>
      <c r="GD612">
        <v>2.9472108262978294</v>
      </c>
      <c r="GE612">
        <v>4.3482496423878096</v>
      </c>
      <c r="GF612">
        <v>19.465398082886928</v>
      </c>
      <c r="GG612">
        <v>26.717801205512224</v>
      </c>
      <c r="GH612">
        <v>25.439263871988647</v>
      </c>
      <c r="GI612">
        <v>63.199338828214088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1075.6536306188887</v>
      </c>
      <c r="AO613">
        <v>173.79595302888819</v>
      </c>
      <c r="AP613">
        <v>1487.2372871055186</v>
      </c>
      <c r="AQ613">
        <v>405.49876623922631</v>
      </c>
      <c r="AR613">
        <v>169.16799704046235</v>
      </c>
      <c r="AS613">
        <v>1737.8174592784376</v>
      </c>
      <c r="AT613">
        <v>82.726594255677284</v>
      </c>
      <c r="AU613">
        <v>215.06761188356495</v>
      </c>
      <c r="AV613"/>
      <c r="AW613"/>
      <c r="FY613" s="211">
        <v>608</v>
      </c>
      <c r="FZ613">
        <v>113.74730383927417</v>
      </c>
      <c r="GA613">
        <v>139.12714943947762</v>
      </c>
      <c r="GB613">
        <v>43.427949721419395</v>
      </c>
      <c r="GC613">
        <v>9.6500811109923159</v>
      </c>
      <c r="GD613">
        <v>3.5864811997702319</v>
      </c>
      <c r="GE613">
        <v>4.2411343763358422</v>
      </c>
      <c r="GF613">
        <v>20.789260319695835</v>
      </c>
      <c r="GG613">
        <v>27.842891289012137</v>
      </c>
      <c r="GH613">
        <v>23.266628470203031</v>
      </c>
      <c r="GI613">
        <v>83.768690914616883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1517.2996866120016</v>
      </c>
      <c r="AO614">
        <v>263.73422613839091</v>
      </c>
      <c r="AP614">
        <v>2378.9369193509915</v>
      </c>
      <c r="AQ614">
        <v>628.70472910862657</v>
      </c>
      <c r="AR614">
        <v>253.83040854349042</v>
      </c>
      <c r="AS614">
        <v>2620.5698495654951</v>
      </c>
      <c r="AT614">
        <v>127.68581984835107</v>
      </c>
      <c r="AU614">
        <v>388.96128062781827</v>
      </c>
      <c r="AV614"/>
      <c r="AW614"/>
      <c r="FY614" s="211">
        <v>609</v>
      </c>
      <c r="FZ614">
        <v>98.871311628233514</v>
      </c>
      <c r="GA614">
        <v>108.66196815055525</v>
      </c>
      <c r="GB614">
        <v>42.637606297715379</v>
      </c>
      <c r="GC614">
        <v>8.9710950321305809</v>
      </c>
      <c r="GD614">
        <v>2.8950688064030858</v>
      </c>
      <c r="GE614">
        <v>4.9481853262007842</v>
      </c>
      <c r="GF614">
        <v>30.834446395992494</v>
      </c>
      <c r="GG614">
        <v>38.014336721909636</v>
      </c>
      <c r="GH614">
        <v>23.117541429560337</v>
      </c>
      <c r="GI614">
        <v>76.410812654515695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1117.7558081357574</v>
      </c>
      <c r="AO615">
        <v>179.11851630771793</v>
      </c>
      <c r="AP615">
        <v>1540.4831729005894</v>
      </c>
      <c r="AQ615">
        <v>468.66037998474826</v>
      </c>
      <c r="AR615">
        <v>173.17719452071199</v>
      </c>
      <c r="AS615">
        <v>1907.5962617933262</v>
      </c>
      <c r="AT615">
        <v>86.913269758826345</v>
      </c>
      <c r="AU615">
        <v>206.69922999891799</v>
      </c>
      <c r="AV615"/>
      <c r="AW615"/>
      <c r="FY615" s="211">
        <v>610</v>
      </c>
      <c r="FZ615">
        <v>81.437562962454919</v>
      </c>
      <c r="GA615">
        <v>94.121619301534977</v>
      </c>
      <c r="GB615">
        <v>42.893487863851007</v>
      </c>
      <c r="GC615">
        <v>9.6251882642582256</v>
      </c>
      <c r="GD615">
        <v>4.0569919514880741</v>
      </c>
      <c r="GE615">
        <v>6.1235913056379401</v>
      </c>
      <c r="GF615">
        <v>41.43543852084801</v>
      </c>
      <c r="GG615">
        <v>53.624949111440401</v>
      </c>
      <c r="GH615">
        <v>21.385762109387898</v>
      </c>
      <c r="GI615">
        <v>81.262966985647509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992.08793242323679</v>
      </c>
      <c r="AO616">
        <v>156.9543001782165</v>
      </c>
      <c r="AP616">
        <v>1282.0068448302945</v>
      </c>
      <c r="AQ616">
        <v>438.7972714853538</v>
      </c>
      <c r="AR616">
        <v>152.88677473613831</v>
      </c>
      <c r="AS616">
        <v>1593.4605787247294</v>
      </c>
      <c r="AT616">
        <v>76.950279144892235</v>
      </c>
      <c r="AU616">
        <v>117.27419602053172</v>
      </c>
      <c r="AV616"/>
      <c r="AW616"/>
      <c r="FY616" s="211">
        <v>611</v>
      </c>
      <c r="FZ616">
        <v>131.13197504598594</v>
      </c>
      <c r="GA616">
        <v>116.67451958824702</v>
      </c>
      <c r="GB616">
        <v>28.999106475610198</v>
      </c>
      <c r="GC616">
        <v>8.7901840917754885</v>
      </c>
      <c r="GD616">
        <v>3.6130432764680327</v>
      </c>
      <c r="GE616">
        <v>6.2111623123826281</v>
      </c>
      <c r="GF616">
        <v>27.842534252887589</v>
      </c>
      <c r="GG616">
        <v>34.367596400497654</v>
      </c>
      <c r="GH616">
        <v>25.815003555834043</v>
      </c>
      <c r="GI616">
        <v>72.143007067221689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1124.0442467716407</v>
      </c>
      <c r="AO617">
        <v>175.2337539967431</v>
      </c>
      <c r="AP617">
        <v>1439.7497920514884</v>
      </c>
      <c r="AQ617">
        <v>412.17591420378278</v>
      </c>
      <c r="AR617">
        <v>167.94960949794512</v>
      </c>
      <c r="AS617">
        <v>1742.7806668850294</v>
      </c>
      <c r="AT617">
        <v>81.747015496660637</v>
      </c>
      <c r="AU617">
        <v>298.74753391361764</v>
      </c>
      <c r="AV617"/>
      <c r="AW617"/>
      <c r="FY617" s="211">
        <v>612</v>
      </c>
      <c r="FZ617">
        <v>135.53178426517064</v>
      </c>
      <c r="GA617">
        <v>117.2421143422129</v>
      </c>
      <c r="GB617">
        <v>36.477013173573155</v>
      </c>
      <c r="GC617">
        <v>10.580552993325712</v>
      </c>
      <c r="GD617">
        <v>3.6464415960596623</v>
      </c>
      <c r="GE617">
        <v>4.2558014381637799</v>
      </c>
      <c r="GF617">
        <v>24.830772702184227</v>
      </c>
      <c r="GG617">
        <v>28.980187571160993</v>
      </c>
      <c r="GH617">
        <v>30.622704180382513</v>
      </c>
      <c r="GI617">
        <v>75.484984447646767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1006.5294026021572</v>
      </c>
      <c r="AO618">
        <v>151.88366994009851</v>
      </c>
      <c r="AP618">
        <v>1187.2577461111516</v>
      </c>
      <c r="AQ618">
        <v>312.21692119468383</v>
      </c>
      <c r="AR618">
        <v>145.1481100099285</v>
      </c>
      <c r="AS618">
        <v>1546.5717335615175</v>
      </c>
      <c r="AT618">
        <v>67.808562905164706</v>
      </c>
      <c r="AU618">
        <v>106.61072639085594</v>
      </c>
      <c r="AV618"/>
      <c r="AW618"/>
      <c r="FY618" s="211">
        <v>613</v>
      </c>
      <c r="FZ618">
        <v>161.91086459474883</v>
      </c>
      <c r="GA618">
        <v>151.35145517102097</v>
      </c>
      <c r="GB618">
        <v>34.602438047226656</v>
      </c>
      <c r="GC618">
        <v>7.651736982732726</v>
      </c>
      <c r="GD618">
        <v>3.8673673654683194</v>
      </c>
      <c r="GE618">
        <v>6.6253665321209692</v>
      </c>
      <c r="GF618">
        <v>18.974999395996491</v>
      </c>
      <c r="GG618">
        <v>20.076074568853823</v>
      </c>
      <c r="GH618">
        <v>34.534689902165056</v>
      </c>
      <c r="GI618">
        <v>83.761342760806585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1143.6701858653237</v>
      </c>
      <c r="AO619">
        <v>145.85507303805196</v>
      </c>
      <c r="AP619">
        <v>1139.2447167450096</v>
      </c>
      <c r="AQ619">
        <v>480.09115215858839</v>
      </c>
      <c r="AR619">
        <v>143.80189479743453</v>
      </c>
      <c r="AS619">
        <v>1726.407824227367</v>
      </c>
      <c r="AT619">
        <v>69.846924372361983</v>
      </c>
      <c r="AU619">
        <v>112.79127307484259</v>
      </c>
      <c r="AV619"/>
      <c r="AW619"/>
      <c r="FY619" s="211">
        <v>614</v>
      </c>
      <c r="FZ619">
        <v>150.4573350541842</v>
      </c>
      <c r="GA619">
        <v>100.57278187206792</v>
      </c>
      <c r="GB619">
        <v>24.82600133122574</v>
      </c>
      <c r="GC619">
        <v>6.8957133633393406</v>
      </c>
      <c r="GD619">
        <v>2.9378929304565053</v>
      </c>
      <c r="GE619">
        <v>7.3273766373862319</v>
      </c>
      <c r="GF619">
        <v>25.499076779894565</v>
      </c>
      <c r="GG619">
        <v>29.946481762974596</v>
      </c>
      <c r="GH619">
        <v>20.440564386792381</v>
      </c>
      <c r="GI619">
        <v>69.780834049950357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1172.8002653955105</v>
      </c>
      <c r="AO620">
        <v>174.29763638274281</v>
      </c>
      <c r="AP620">
        <v>1440.1669338660233</v>
      </c>
      <c r="AQ620">
        <v>464.23213770008243</v>
      </c>
      <c r="AR620">
        <v>172.55238593734958</v>
      </c>
      <c r="AS620">
        <v>1799.180564806743</v>
      </c>
      <c r="AT620">
        <v>87.128079176678114</v>
      </c>
      <c r="AU620">
        <v>246.23001382720145</v>
      </c>
      <c r="AV620"/>
      <c r="AW620"/>
      <c r="FY620" s="211">
        <v>615</v>
      </c>
      <c r="FZ620">
        <v>114.44078975303175</v>
      </c>
      <c r="GA620">
        <v>126.28665878107206</v>
      </c>
      <c r="GB620">
        <v>39.795567539103665</v>
      </c>
      <c r="GC620">
        <v>7.0562701970830046</v>
      </c>
      <c r="GD620">
        <v>3.5347984559710341</v>
      </c>
      <c r="GE620">
        <v>7.177352208958597</v>
      </c>
      <c r="GF620">
        <v>34.19812871749405</v>
      </c>
      <c r="GG620">
        <v>42.274326622084985</v>
      </c>
      <c r="GH620">
        <v>31.911513861947306</v>
      </c>
      <c r="GI620">
        <v>79.506566209612444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918.45718937975232</v>
      </c>
      <c r="AO621">
        <v>139.27924138985276</v>
      </c>
      <c r="AP621">
        <v>1101.3017302561857</v>
      </c>
      <c r="AQ621">
        <v>369.44430317586335</v>
      </c>
      <c r="AR621">
        <v>135.2955889867456</v>
      </c>
      <c r="AS621">
        <v>1477.3094256187883</v>
      </c>
      <c r="AT621">
        <v>65.332090497958731</v>
      </c>
      <c r="AU621">
        <v>100.80520647558906</v>
      </c>
      <c r="AV621"/>
      <c r="AW621"/>
      <c r="FY621" s="211">
        <v>616</v>
      </c>
      <c r="FZ621">
        <v>89.700277161079995</v>
      </c>
      <c r="GA621">
        <v>53.188447250862701</v>
      </c>
      <c r="GB621">
        <v>27.455063619957738</v>
      </c>
      <c r="GC621">
        <v>10.0319382513288</v>
      </c>
      <c r="GD621">
        <v>5.4878733361966701</v>
      </c>
      <c r="GE621">
        <v>9.6078924508153882</v>
      </c>
      <c r="GF621">
        <v>28.289520608206892</v>
      </c>
      <c r="GG621">
        <v>32.613876558501921</v>
      </c>
      <c r="GH621">
        <v>28.316057626342804</v>
      </c>
      <c r="GI621">
        <v>72.818517578700451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1092.1361062886222</v>
      </c>
      <c r="AO622">
        <v>173.46124972828926</v>
      </c>
      <c r="AP622">
        <v>1444.1477652547469</v>
      </c>
      <c r="AQ622">
        <v>421.84668525073749</v>
      </c>
      <c r="AR622">
        <v>166.99348304494515</v>
      </c>
      <c r="AS622">
        <v>1695.3715471225839</v>
      </c>
      <c r="AT622">
        <v>80.323692934483844</v>
      </c>
      <c r="AU622">
        <v>171.00098882959549</v>
      </c>
      <c r="AV622"/>
      <c r="AW622"/>
      <c r="FY622" s="211">
        <v>617</v>
      </c>
      <c r="FZ622">
        <v>129.18562158911192</v>
      </c>
      <c r="GA622">
        <v>87.799824341914288</v>
      </c>
      <c r="GB622">
        <v>21.609561616255196</v>
      </c>
      <c r="GC622">
        <v>6.943047291714425</v>
      </c>
      <c r="GD622">
        <v>4.521335659633726</v>
      </c>
      <c r="GE622">
        <v>7.8084417605927339</v>
      </c>
      <c r="GF622">
        <v>31.055009975147726</v>
      </c>
      <c r="GG622">
        <v>41.563442645386509</v>
      </c>
      <c r="GH622">
        <v>29.286159459720377</v>
      </c>
      <c r="GI622">
        <v>71.245206029552662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962.05236266047973</v>
      </c>
      <c r="AO623">
        <v>157.25096227026887</v>
      </c>
      <c r="AP623">
        <v>1352.9754046034557</v>
      </c>
      <c r="AQ623">
        <v>390.14337913141759</v>
      </c>
      <c r="AR623">
        <v>152.45575949910483</v>
      </c>
      <c r="AS623">
        <v>1557.7463949292123</v>
      </c>
      <c r="AT623">
        <v>69.998291267740157</v>
      </c>
      <c r="AU623">
        <v>81.851591424399174</v>
      </c>
      <c r="AV623"/>
      <c r="AW623"/>
      <c r="FY623" s="211">
        <v>618</v>
      </c>
      <c r="FZ623">
        <v>86.203340680117364</v>
      </c>
      <c r="GA623">
        <v>60.479195457275971</v>
      </c>
      <c r="GB623">
        <v>24.841666456438034</v>
      </c>
      <c r="GC623">
        <v>8.000151949758747</v>
      </c>
      <c r="GD623">
        <v>4.1745012042569876</v>
      </c>
      <c r="GE623">
        <v>7.8559889533531875</v>
      </c>
      <c r="GF623">
        <v>28.685347442454269</v>
      </c>
      <c r="GG623">
        <v>32.893116414338266</v>
      </c>
      <c r="GH623">
        <v>14.407195726190794</v>
      </c>
      <c r="GI623">
        <v>64.365263578377821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1214.6891946618503</v>
      </c>
      <c r="AO624">
        <v>179.66367540706023</v>
      </c>
      <c r="AP624">
        <v>1527.1384207686358</v>
      </c>
      <c r="AQ624">
        <v>469.44757068079741</v>
      </c>
      <c r="AR624">
        <v>173.45632465118351</v>
      </c>
      <c r="AS624">
        <v>1883.4466222051772</v>
      </c>
      <c r="AT624">
        <v>89.242365870083162</v>
      </c>
      <c r="AU624">
        <v>171.66227886775266</v>
      </c>
      <c r="AV624"/>
      <c r="AW624"/>
      <c r="FY624" s="211">
        <v>619</v>
      </c>
      <c r="FZ624">
        <v>71.133350697722193</v>
      </c>
      <c r="GA624">
        <v>95.491434546542763</v>
      </c>
      <c r="GB624">
        <v>37.611067304042578</v>
      </c>
      <c r="GC624">
        <v>8.6854962467662205</v>
      </c>
      <c r="GD624">
        <v>3.7666424119873883</v>
      </c>
      <c r="GE624">
        <v>8.180757238602185</v>
      </c>
      <c r="GF624">
        <v>27.026682432812873</v>
      </c>
      <c r="GG624">
        <v>32.479132004080441</v>
      </c>
      <c r="GH624">
        <v>28.302270732275566</v>
      </c>
      <c r="GI624">
        <v>77.810989423043964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1201.4530098780756</v>
      </c>
      <c r="AO625">
        <v>171.57807341443069</v>
      </c>
      <c r="AP625">
        <v>1472.9032918111452</v>
      </c>
      <c r="AQ625">
        <v>435.3623724432166</v>
      </c>
      <c r="AR625">
        <v>171.85625976356206</v>
      </c>
      <c r="AS625">
        <v>1810.2739225598464</v>
      </c>
      <c r="AT625">
        <v>80.387230097141483</v>
      </c>
      <c r="AU625">
        <v>304.65038400797471</v>
      </c>
      <c r="AV625"/>
      <c r="AW625"/>
      <c r="FY625" s="211">
        <v>620</v>
      </c>
      <c r="FZ625">
        <v>73.331752793923414</v>
      </c>
      <c r="GA625">
        <v>103.78012075414466</v>
      </c>
      <c r="GB625">
        <v>40.246974676240164</v>
      </c>
      <c r="GC625">
        <v>8.3814570432429978</v>
      </c>
      <c r="GD625">
        <v>2.6005542141732834</v>
      </c>
      <c r="GE625">
        <v>5.4083860910296497</v>
      </c>
      <c r="GF625">
        <v>26.869746178510969</v>
      </c>
      <c r="GG625">
        <v>32.655087238340556</v>
      </c>
      <c r="GH625">
        <v>32.505351371791662</v>
      </c>
      <c r="GI625">
        <v>73.42469575496871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1299.3220781500054</v>
      </c>
      <c r="AO626">
        <v>156.12096730757926</v>
      </c>
      <c r="AP626">
        <v>1345.4465041003634</v>
      </c>
      <c r="AQ626">
        <v>435.96755837654894</v>
      </c>
      <c r="AR626">
        <v>154.99969249754363</v>
      </c>
      <c r="AS626">
        <v>1776.8365015901541</v>
      </c>
      <c r="AT626">
        <v>74.54413282894285</v>
      </c>
      <c r="AU626">
        <v>174.70763402470888</v>
      </c>
      <c r="AV626"/>
      <c r="AW626"/>
      <c r="FY626" s="211">
        <v>621</v>
      </c>
      <c r="FZ626">
        <v>103.10544964551028</v>
      </c>
      <c r="GA626">
        <v>78.986131291064936</v>
      </c>
      <c r="GB626">
        <v>27.032420309267504</v>
      </c>
      <c r="GC626">
        <v>6.8958004855065296</v>
      </c>
      <c r="GD626">
        <v>3.5925574508701823</v>
      </c>
      <c r="GE626">
        <v>6.6138161527225741</v>
      </c>
      <c r="GF626">
        <v>36.171266640373737</v>
      </c>
      <c r="GG626">
        <v>50.282538060911229</v>
      </c>
      <c r="GH626">
        <v>25.688042611613465</v>
      </c>
      <c r="GI626">
        <v>81.424870264751519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1104.9578430416154</v>
      </c>
      <c r="AO627">
        <v>145.57353862457299</v>
      </c>
      <c r="AP627">
        <v>1257.0670648215369</v>
      </c>
      <c r="AQ627">
        <v>455.58813206691019</v>
      </c>
      <c r="AR627">
        <v>140.63823709545588</v>
      </c>
      <c r="AS627">
        <v>1576.9475527244406</v>
      </c>
      <c r="AT627">
        <v>66.20983040395889</v>
      </c>
      <c r="AU627">
        <v>50.63360497182618</v>
      </c>
      <c r="AV627"/>
      <c r="AW627"/>
      <c r="FY627" s="211">
        <v>622</v>
      </c>
      <c r="FZ627">
        <v>123.1768586603403</v>
      </c>
      <c r="GA627">
        <v>103.37389479691862</v>
      </c>
      <c r="GB627">
        <v>38.415849204195361</v>
      </c>
      <c r="GC627">
        <v>10.899899965080472</v>
      </c>
      <c r="GD627">
        <v>3.3087290872757631</v>
      </c>
      <c r="GE627">
        <v>4.7724102186106911</v>
      </c>
      <c r="GF627">
        <v>16.325527387658937</v>
      </c>
      <c r="GG627">
        <v>19.248842457223631</v>
      </c>
      <c r="GH627">
        <v>29.936121570782529</v>
      </c>
      <c r="GI627">
        <v>72.181757034497082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1146.8554739428735</v>
      </c>
      <c r="AO628">
        <v>152.96986401310906</v>
      </c>
      <c r="AP628">
        <v>1279.4615903904446</v>
      </c>
      <c r="AQ628">
        <v>467.65235670988034</v>
      </c>
      <c r="AR628">
        <v>153.52173588489055</v>
      </c>
      <c r="AS628">
        <v>1679.2628884862388</v>
      </c>
      <c r="AT628">
        <v>78.511878722748108</v>
      </c>
      <c r="AU628">
        <v>150.57288204489655</v>
      </c>
      <c r="AV628"/>
      <c r="AW628"/>
      <c r="FY628" s="211">
        <v>623</v>
      </c>
      <c r="FZ628">
        <v>90.37525355035207</v>
      </c>
      <c r="GA628">
        <v>100.84788322464465</v>
      </c>
      <c r="GB628">
        <v>34.369911327115666</v>
      </c>
      <c r="GC628">
        <v>8.0150448692474789</v>
      </c>
      <c r="GD628">
        <v>2.4509884355500153</v>
      </c>
      <c r="GE628">
        <v>4.4843611807900654</v>
      </c>
      <c r="GF628">
        <v>26.138130003348422</v>
      </c>
      <c r="GG628">
        <v>31.791209133117714</v>
      </c>
      <c r="GH628">
        <v>26.648754244426556</v>
      </c>
      <c r="GI628">
        <v>72.001972445402259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1195.8602743422939</v>
      </c>
      <c r="AO629">
        <v>178.0635070493268</v>
      </c>
      <c r="AP629">
        <v>1445.1774391909196</v>
      </c>
      <c r="AQ629">
        <v>523.35633532114036</v>
      </c>
      <c r="AR629">
        <v>174.2966972312264</v>
      </c>
      <c r="AS629">
        <v>1947.812057322461</v>
      </c>
      <c r="AT629">
        <v>89.059628380631452</v>
      </c>
      <c r="AU629">
        <v>63.072150593429924</v>
      </c>
      <c r="AV629"/>
      <c r="AW629"/>
      <c r="FY629" s="211">
        <v>624</v>
      </c>
      <c r="FZ629">
        <v>103.63420735546745</v>
      </c>
      <c r="GA629">
        <v>91.624366860679046</v>
      </c>
      <c r="GB629">
        <v>31.501636571948293</v>
      </c>
      <c r="GC629">
        <v>10.042963406565013</v>
      </c>
      <c r="GD629">
        <v>4.8868265128300283</v>
      </c>
      <c r="GE629">
        <v>8.6279475167634754</v>
      </c>
      <c r="GF629">
        <v>45.10099810822053</v>
      </c>
      <c r="GG629">
        <v>56.555997981624692</v>
      </c>
      <c r="GH629">
        <v>26.546537454370785</v>
      </c>
      <c r="GI629">
        <v>83.969270828796951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1041.7551217816729</v>
      </c>
      <c r="AO630">
        <v>173.24404890257233</v>
      </c>
      <c r="AP630">
        <v>1553.0830348006764</v>
      </c>
      <c r="AQ630">
        <v>438.6840581682718</v>
      </c>
      <c r="AR630">
        <v>168.15333870508405</v>
      </c>
      <c r="AS630">
        <v>1725.9202091502016</v>
      </c>
      <c r="AT630">
        <v>80.03439494063467</v>
      </c>
      <c r="AU630">
        <v>185.51120270146112</v>
      </c>
      <c r="AV630"/>
      <c r="AW630"/>
      <c r="FY630" s="211">
        <v>625</v>
      </c>
      <c r="FZ630">
        <v>131.42287580352925</v>
      </c>
      <c r="GA630">
        <v>122.07593704719363</v>
      </c>
      <c r="GB630">
        <v>23.551412782737405</v>
      </c>
      <c r="GC630">
        <v>4.9956938180598147</v>
      </c>
      <c r="GD630">
        <v>1.8798077002302307</v>
      </c>
      <c r="GE630">
        <v>2.5965662028156427</v>
      </c>
      <c r="GF630">
        <v>43.940557018055735</v>
      </c>
      <c r="GG630">
        <v>58.581833793651903</v>
      </c>
      <c r="GH630">
        <v>19.794513723128365</v>
      </c>
      <c r="GI630">
        <v>78.058459795269599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1270.2252274450616</v>
      </c>
      <c r="AO631">
        <v>173.58325929983374</v>
      </c>
      <c r="AP631">
        <v>1504.7658694644429</v>
      </c>
      <c r="AQ631">
        <v>486.18197234635892</v>
      </c>
      <c r="AR631">
        <v>169.20935994126035</v>
      </c>
      <c r="AS631">
        <v>1745.7230846501691</v>
      </c>
      <c r="AT631">
        <v>83.192459481936979</v>
      </c>
      <c r="AU631">
        <v>324.60365023834669</v>
      </c>
      <c r="AV631"/>
      <c r="AW631"/>
      <c r="FY631" s="211">
        <v>626</v>
      </c>
      <c r="FZ631">
        <v>111.58262728753449</v>
      </c>
      <c r="GA631">
        <v>89.457667712171457</v>
      </c>
      <c r="GB631">
        <v>24.75792072967106</v>
      </c>
      <c r="GC631">
        <v>7.7623205356173646</v>
      </c>
      <c r="GD631">
        <v>2.4590193878444699</v>
      </c>
      <c r="GE631">
        <v>3.7290456443252697</v>
      </c>
      <c r="GF631">
        <v>27.291797365696425</v>
      </c>
      <c r="GG631">
        <v>32.706161402469455</v>
      </c>
      <c r="GH631">
        <v>25.202488344491897</v>
      </c>
      <c r="GI631">
        <v>74.157099977091306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1128.9573964750707</v>
      </c>
      <c r="AO632">
        <v>143.85038136800074</v>
      </c>
      <c r="AP632">
        <v>1061.1621819822303</v>
      </c>
      <c r="AQ632">
        <v>357.50946444199332</v>
      </c>
      <c r="AR632">
        <v>140.14448996050947</v>
      </c>
      <c r="AS632">
        <v>1571.8508602979859</v>
      </c>
      <c r="AT632">
        <v>65.24363144586826</v>
      </c>
      <c r="AU632">
        <v>181.36823658032705</v>
      </c>
      <c r="AV632"/>
      <c r="AW632"/>
      <c r="FY632" s="211">
        <v>627</v>
      </c>
      <c r="FZ632">
        <v>145.54603952286513</v>
      </c>
      <c r="GA632">
        <v>107.17468761900349</v>
      </c>
      <c r="GB632">
        <v>36.625218136492002</v>
      </c>
      <c r="GC632">
        <v>10.244962764635684</v>
      </c>
      <c r="GD632">
        <v>2.9845994681141566</v>
      </c>
      <c r="GE632">
        <v>3.3345841276868184</v>
      </c>
      <c r="GF632">
        <v>31.261157541342207</v>
      </c>
      <c r="GG632">
        <v>40.780314274091218</v>
      </c>
      <c r="GH632">
        <v>19.420057542409655</v>
      </c>
      <c r="GI632">
        <v>83.186693397342253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1103.0448168842258</v>
      </c>
      <c r="AO633">
        <v>164.16301304729501</v>
      </c>
      <c r="AP633">
        <v>1435.4035110977165</v>
      </c>
      <c r="AQ633">
        <v>431.01765036902952</v>
      </c>
      <c r="AR633">
        <v>159.95536629390199</v>
      </c>
      <c r="AS633">
        <v>1604.0025131880259</v>
      </c>
      <c r="AT633">
        <v>75.478009374470318</v>
      </c>
      <c r="AU633">
        <v>144.56895887092864</v>
      </c>
      <c r="AV633"/>
      <c r="AW633"/>
      <c r="FY633" s="211">
        <v>628</v>
      </c>
      <c r="FZ633">
        <v>117.5570606433191</v>
      </c>
      <c r="GA633">
        <v>136.21864750637292</v>
      </c>
      <c r="GB633">
        <v>46.74562100858919</v>
      </c>
      <c r="GC633">
        <v>9.0350762401458837</v>
      </c>
      <c r="GD633">
        <v>2.9252168081594307</v>
      </c>
      <c r="GE633">
        <v>4.2949035681083103</v>
      </c>
      <c r="GF633">
        <v>25.646305820314907</v>
      </c>
      <c r="GG633">
        <v>32.780287557000726</v>
      </c>
      <c r="GH633">
        <v>22.419957426759751</v>
      </c>
      <c r="GI633">
        <v>76.608367251398207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989.03390668249722</v>
      </c>
      <c r="AO634">
        <v>127.8362568616179</v>
      </c>
      <c r="AP634">
        <v>1005.8111798770335</v>
      </c>
      <c r="AQ634">
        <v>331.90576786256145</v>
      </c>
      <c r="AR634">
        <v>124.30413814709158</v>
      </c>
      <c r="AS634">
        <v>1414.8272474764246</v>
      </c>
      <c r="AT634">
        <v>58.637092493737583</v>
      </c>
      <c r="AU634">
        <v>231.56183129297546</v>
      </c>
      <c r="AV634"/>
      <c r="AW634"/>
      <c r="FY634" s="211">
        <v>629</v>
      </c>
      <c r="FZ634">
        <v>144.56246790576861</v>
      </c>
      <c r="GA634">
        <v>125.77246479422476</v>
      </c>
      <c r="GB634">
        <v>29.553196640186744</v>
      </c>
      <c r="GC634">
        <v>8.2968260093953141</v>
      </c>
      <c r="GD634">
        <v>3.4881652635341025</v>
      </c>
      <c r="GE634">
        <v>5.2072563050828524</v>
      </c>
      <c r="GF634">
        <v>41.405737978363831</v>
      </c>
      <c r="GG634">
        <v>53.579145652394935</v>
      </c>
      <c r="GH634">
        <v>30.941046006801766</v>
      </c>
      <c r="GI634">
        <v>86.688846853164563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1195.2477572217547</v>
      </c>
      <c r="AO635">
        <v>193.51681208495989</v>
      </c>
      <c r="AP635">
        <v>1688.5485399925599</v>
      </c>
      <c r="AQ635">
        <v>390.48782303787618</v>
      </c>
      <c r="AR635">
        <v>184.03756196061283</v>
      </c>
      <c r="AS635">
        <v>1890.576930773849</v>
      </c>
      <c r="AT635">
        <v>86.123125472252866</v>
      </c>
      <c r="AU635">
        <v>279.99961120663812</v>
      </c>
      <c r="AV635"/>
      <c r="AW635"/>
      <c r="FY635" s="211">
        <v>630</v>
      </c>
      <c r="FZ635">
        <v>165.7748103196854</v>
      </c>
      <c r="GA635">
        <v>125.97884832827944</v>
      </c>
      <c r="GB635">
        <v>26.808815067670952</v>
      </c>
      <c r="GC635">
        <v>9.0445187626263177</v>
      </c>
      <c r="GD635">
        <v>4.1320140143430963</v>
      </c>
      <c r="GE635">
        <v>6.3589003310788366</v>
      </c>
      <c r="GF635">
        <v>25.803368286089874</v>
      </c>
      <c r="GG635">
        <v>35.064251187797922</v>
      </c>
      <c r="GH635">
        <v>31.527213519371898</v>
      </c>
      <c r="GI635">
        <v>77.875306152427626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1128.3388879794411</v>
      </c>
      <c r="AO636">
        <v>149.37290451594794</v>
      </c>
      <c r="AP636">
        <v>1167.7052321968486</v>
      </c>
      <c r="AQ636">
        <v>399.20412611636607</v>
      </c>
      <c r="AR636">
        <v>147.23585428543046</v>
      </c>
      <c r="AS636">
        <v>1685.6911707644979</v>
      </c>
      <c r="AT636">
        <v>71.408273420236398</v>
      </c>
      <c r="AU636">
        <v>202.25300355032815</v>
      </c>
      <c r="AV636"/>
      <c r="AW636"/>
      <c r="FY636" s="211">
        <v>631</v>
      </c>
      <c r="FZ636">
        <v>79.02688084268631</v>
      </c>
      <c r="GA636">
        <v>90.395346842400372</v>
      </c>
      <c r="GB636">
        <v>33.485656566468244</v>
      </c>
      <c r="GC636">
        <v>7.920863228507903</v>
      </c>
      <c r="GD636">
        <v>3.1262286237310488</v>
      </c>
      <c r="GE636">
        <v>6.3802626694001532</v>
      </c>
      <c r="GF636">
        <v>17.498513885261545</v>
      </c>
      <c r="GG636">
        <v>18.903956565542043</v>
      </c>
      <c r="GH636">
        <v>22.171003349898371</v>
      </c>
      <c r="GI636">
        <v>67.884822692307765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1178.4820093213375</v>
      </c>
      <c r="AO637">
        <v>184.55477142341402</v>
      </c>
      <c r="AP637">
        <v>1632.7589688844334</v>
      </c>
      <c r="AQ637">
        <v>419.79289291259192</v>
      </c>
      <c r="AR637">
        <v>178.99027539059358</v>
      </c>
      <c r="AS637">
        <v>1810.2463373120213</v>
      </c>
      <c r="AT637">
        <v>84.610099049902516</v>
      </c>
      <c r="AU637">
        <v>211.28282619667107</v>
      </c>
      <c r="AV637"/>
      <c r="AW637"/>
      <c r="FY637" s="211">
        <v>632</v>
      </c>
      <c r="FZ637">
        <v>183.49922967583382</v>
      </c>
      <c r="GA637">
        <v>90.622279239297484</v>
      </c>
      <c r="GB637">
        <v>19.519457942605975</v>
      </c>
      <c r="GC637">
        <v>8.7306794339733074</v>
      </c>
      <c r="GD637">
        <v>2.7505109197288951</v>
      </c>
      <c r="GE637">
        <v>4.0720391305286157</v>
      </c>
      <c r="GF637">
        <v>25.052713248987565</v>
      </c>
      <c r="GG637">
        <v>30.663306132190375</v>
      </c>
      <c r="GH637">
        <v>24.362016433557571</v>
      </c>
      <c r="GI637">
        <v>79.090821411061413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1059.4701539347168</v>
      </c>
      <c r="AO638">
        <v>156.45066211614076</v>
      </c>
      <c r="AP638">
        <v>1337.2688575753943</v>
      </c>
      <c r="AQ638">
        <v>421.63989038258336</v>
      </c>
      <c r="AR638">
        <v>152.47396355621299</v>
      </c>
      <c r="AS638">
        <v>1683.9178088144054</v>
      </c>
      <c r="AT638">
        <v>82.048833940099783</v>
      </c>
      <c r="AU638">
        <v>141.18246324497733</v>
      </c>
      <c r="AV638"/>
      <c r="AW638"/>
      <c r="FY638" s="211">
        <v>633</v>
      </c>
      <c r="FZ638">
        <v>134.51452722368913</v>
      </c>
      <c r="GA638">
        <v>108.42391386480364</v>
      </c>
      <c r="GB638">
        <v>28.927902073585987</v>
      </c>
      <c r="GC638">
        <v>8.8748328670641321</v>
      </c>
      <c r="GD638">
        <v>4.0036537108234782</v>
      </c>
      <c r="GE638">
        <v>5.771692453982606</v>
      </c>
      <c r="GF638">
        <v>26.438400989516872</v>
      </c>
      <c r="GG638">
        <v>32.066884959980818</v>
      </c>
      <c r="GH638">
        <v>26.352974715487242</v>
      </c>
      <c r="GI638">
        <v>72.558048155923913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1088.0054132433056</v>
      </c>
      <c r="AO639">
        <v>168.97360972562024</v>
      </c>
      <c r="AP639">
        <v>1489.787745371297</v>
      </c>
      <c r="AQ639">
        <v>397.1235084139949</v>
      </c>
      <c r="AR639">
        <v>162.35656551847964</v>
      </c>
      <c r="AS639">
        <v>1715.0099588483788</v>
      </c>
      <c r="AT639">
        <v>75.837842478918475</v>
      </c>
      <c r="AU639">
        <v>180.88390481520162</v>
      </c>
      <c r="AV639"/>
      <c r="AW639"/>
      <c r="FY639" s="211">
        <v>634</v>
      </c>
      <c r="FZ639">
        <v>139.56814149431082</v>
      </c>
      <c r="GA639">
        <v>91.250199298467606</v>
      </c>
      <c r="GB639">
        <v>24.198239993323842</v>
      </c>
      <c r="GC639">
        <v>7.5152817500103577</v>
      </c>
      <c r="GD639">
        <v>3.7713179559823313</v>
      </c>
      <c r="GE639">
        <v>5.7933727186557045</v>
      </c>
      <c r="GF639">
        <v>17.813124544242996</v>
      </c>
      <c r="GG639">
        <v>23.732685275945876</v>
      </c>
      <c r="GH639">
        <v>24.001166275284081</v>
      </c>
      <c r="GI639">
        <v>69.953758764376346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1356.6020163722008</v>
      </c>
      <c r="AO640">
        <v>183.16145691086015</v>
      </c>
      <c r="AP640">
        <v>1559.1824080863851</v>
      </c>
      <c r="AQ640">
        <v>462.49075259726618</v>
      </c>
      <c r="AR640">
        <v>176.65048693019386</v>
      </c>
      <c r="AS640">
        <v>1818.7427468099395</v>
      </c>
      <c r="AT640">
        <v>84.890814314071491</v>
      </c>
      <c r="AU640">
        <v>321.2869902800436</v>
      </c>
      <c r="AV640"/>
      <c r="AW640"/>
      <c r="FY640" s="211">
        <v>635</v>
      </c>
      <c r="FZ640">
        <v>144.42454436958982</v>
      </c>
      <c r="GA640">
        <v>122.65627197853925</v>
      </c>
      <c r="GB640">
        <v>28.467289111466599</v>
      </c>
      <c r="GC640">
        <v>7.9663528021550629</v>
      </c>
      <c r="GD640">
        <v>2.3668474190096127</v>
      </c>
      <c r="GE640">
        <v>4.0941860557295531</v>
      </c>
      <c r="GF640">
        <v>15.901374425662258</v>
      </c>
      <c r="GG640">
        <v>18.455446786896346</v>
      </c>
      <c r="GH640">
        <v>19.936340004078374</v>
      </c>
      <c r="GI640">
        <v>60.635234157051308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1167.1020257017958</v>
      </c>
      <c r="AO641">
        <v>161.50045062880778</v>
      </c>
      <c r="AP641">
        <v>1297.1493808237706</v>
      </c>
      <c r="AQ641">
        <v>486.89765768467163</v>
      </c>
      <c r="AR641">
        <v>153.22980617089294</v>
      </c>
      <c r="AS641">
        <v>1664.1418362488566</v>
      </c>
      <c r="AT641">
        <v>78.413038505202877</v>
      </c>
      <c r="AU641">
        <v>63.424308788387954</v>
      </c>
      <c r="AV641"/>
      <c r="AW641"/>
      <c r="FY641" s="211">
        <v>636</v>
      </c>
      <c r="FZ641">
        <v>257.58524822529131</v>
      </c>
      <c r="GA641">
        <v>163.09724799859842</v>
      </c>
      <c r="GB641">
        <v>28.439992632519726</v>
      </c>
      <c r="GC641">
        <v>8.5102874295459081</v>
      </c>
      <c r="GD641">
        <v>3.5428292134963462</v>
      </c>
      <c r="GE641">
        <v>6.1774520423784915</v>
      </c>
      <c r="GF641">
        <v>48.099356294409276</v>
      </c>
      <c r="GG641">
        <v>60.617544827767581</v>
      </c>
      <c r="GH641">
        <v>15.162446867676199</v>
      </c>
      <c r="GI641">
        <v>89.497973454999851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1083.32911706405</v>
      </c>
      <c r="AO642">
        <v>173.06098807645674</v>
      </c>
      <c r="AP642">
        <v>1390.2508740149522</v>
      </c>
      <c r="AQ642">
        <v>399.10614838691322</v>
      </c>
      <c r="AR642">
        <v>167.03787274729001</v>
      </c>
      <c r="AS642">
        <v>1776.3224282051383</v>
      </c>
      <c r="AT642">
        <v>83.295712232633591</v>
      </c>
      <c r="AU642">
        <v>274.87259314564824</v>
      </c>
      <c r="AV642"/>
      <c r="AW642"/>
      <c r="FY642" s="211">
        <v>637</v>
      </c>
      <c r="FZ642">
        <v>99.595888274699618</v>
      </c>
      <c r="GA642">
        <v>106.12809558095228</v>
      </c>
      <c r="GB642">
        <v>27.58656327205658</v>
      </c>
      <c r="GC642">
        <v>4.8947314057088382</v>
      </c>
      <c r="GD642">
        <v>1.5315055357980052</v>
      </c>
      <c r="GE642">
        <v>4.2560196036433524</v>
      </c>
      <c r="GF642">
        <v>29.886973685782102</v>
      </c>
      <c r="GG642">
        <v>35.196713397234291</v>
      </c>
      <c r="GH642">
        <v>23.100433012067271</v>
      </c>
      <c r="GI642">
        <v>65.504354162701588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1225.3188604243494</v>
      </c>
      <c r="AO643">
        <v>189.27205293129367</v>
      </c>
      <c r="AP643">
        <v>1639.1590137944165</v>
      </c>
      <c r="AQ643">
        <v>480.55831439398253</v>
      </c>
      <c r="AR643">
        <v>184.66052243042031</v>
      </c>
      <c r="AS643">
        <v>1947.1342678265878</v>
      </c>
      <c r="AT643">
        <v>91.33830569617551</v>
      </c>
      <c r="AU643">
        <v>211.73688070100877</v>
      </c>
      <c r="AV643"/>
      <c r="AW643"/>
      <c r="FY643" s="211">
        <v>638</v>
      </c>
      <c r="FZ643">
        <v>173.88563578698955</v>
      </c>
      <c r="GA643">
        <v>96.36122478258963</v>
      </c>
      <c r="GB643">
        <v>26.413800193854314</v>
      </c>
      <c r="GC643">
        <v>9.2393337483591438</v>
      </c>
      <c r="GD643">
        <v>3.4581416589042213</v>
      </c>
      <c r="GE643">
        <v>6.4495995918019986</v>
      </c>
      <c r="GF643">
        <v>38.133215915300894</v>
      </c>
      <c r="GG643">
        <v>45.897983690858723</v>
      </c>
      <c r="GH643">
        <v>32.792232992958617</v>
      </c>
      <c r="GI643">
        <v>78.310568831958889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1194.0385696545598</v>
      </c>
      <c r="AO644">
        <v>168.63432157229727</v>
      </c>
      <c r="AP644">
        <v>1342.8038381078604</v>
      </c>
      <c r="AQ644">
        <v>474.23144383016847</v>
      </c>
      <c r="AR644">
        <v>166.86537674298134</v>
      </c>
      <c r="AS644">
        <v>1696.0107790248214</v>
      </c>
      <c r="AT644">
        <v>79.55338989807197</v>
      </c>
      <c r="AU644">
        <v>219.2226198697372</v>
      </c>
      <c r="AV644"/>
      <c r="AW644"/>
      <c r="FY644" s="211">
        <v>639</v>
      </c>
      <c r="FZ644">
        <v>116.0241194967311</v>
      </c>
      <c r="GA644">
        <v>101.01305685249503</v>
      </c>
      <c r="GB644">
        <v>30.678100610876214</v>
      </c>
      <c r="GC644">
        <v>6.8926377506809455</v>
      </c>
      <c r="GD644">
        <v>3.2701057580122685</v>
      </c>
      <c r="GE644">
        <v>4.9026035870792395</v>
      </c>
      <c r="GF644">
        <v>36.506983608032421</v>
      </c>
      <c r="GG644">
        <v>49.608584364034165</v>
      </c>
      <c r="GH644">
        <v>27.335589495555247</v>
      </c>
      <c r="GI644">
        <v>74.477510434179408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1318.9611270032144</v>
      </c>
      <c r="AO645">
        <v>180.30178467292424</v>
      </c>
      <c r="AP645">
        <v>1460.9001821183172</v>
      </c>
      <c r="AQ645">
        <v>529.49515340891742</v>
      </c>
      <c r="AR645">
        <v>179.02421128025742</v>
      </c>
      <c r="AS645">
        <v>1910.9947855736468</v>
      </c>
      <c r="AT645">
        <v>88.072254112415919</v>
      </c>
      <c r="AU645">
        <v>215.99222355561366</v>
      </c>
      <c r="AV645"/>
      <c r="AW645"/>
      <c r="FY645" s="211">
        <v>640</v>
      </c>
      <c r="FZ645">
        <v>116.12440228118146</v>
      </c>
      <c r="GA645">
        <v>94.572798036533726</v>
      </c>
      <c r="GB645">
        <v>28.520581614437024</v>
      </c>
      <c r="GC645">
        <v>7.8155341943161183</v>
      </c>
      <c r="GD645">
        <v>3.8047668424515617</v>
      </c>
      <c r="GE645">
        <v>6.1257661566558745</v>
      </c>
      <c r="GF645">
        <v>6.351976530589833</v>
      </c>
      <c r="GG645">
        <v>7.6008402338900689</v>
      </c>
      <c r="GH645">
        <v>22.912851944990368</v>
      </c>
      <c r="GI645">
        <v>61.640456309509062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1160.9094810668782</v>
      </c>
      <c r="AO646">
        <v>168.14063293590033</v>
      </c>
      <c r="AP646">
        <v>1416.0906671340633</v>
      </c>
      <c r="AQ646">
        <v>508.36804596937134</v>
      </c>
      <c r="AR646">
        <v>161.58917607016792</v>
      </c>
      <c r="AS646">
        <v>1757.8481124739112</v>
      </c>
      <c r="AT646">
        <v>74.109574353245378</v>
      </c>
      <c r="AU646">
        <v>8.9397200644583847</v>
      </c>
      <c r="AV646"/>
      <c r="AW646"/>
      <c r="FY646" s="211">
        <v>641</v>
      </c>
      <c r="FZ646">
        <v>99.108447545021775</v>
      </c>
      <c r="GA646">
        <v>74.36907376304768</v>
      </c>
      <c r="GB646">
        <v>25.621234937336144</v>
      </c>
      <c r="GC646">
        <v>7.9650390050287907</v>
      </c>
      <c r="GD646">
        <v>2.2193471912646117</v>
      </c>
      <c r="GE646">
        <v>5.0450102527329799</v>
      </c>
      <c r="GF646">
        <v>36.284276897893491</v>
      </c>
      <c r="GG646">
        <v>47.45185944071401</v>
      </c>
      <c r="GH646">
        <v>28.064111942088445</v>
      </c>
      <c r="GI646">
        <v>77.906307109469523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991.87051270914003</v>
      </c>
      <c r="AO647">
        <v>137.72159343138648</v>
      </c>
      <c r="AP647">
        <v>1026.9257503922067</v>
      </c>
      <c r="AQ647">
        <v>346.79353526620372</v>
      </c>
      <c r="AR647">
        <v>132.90334317221766</v>
      </c>
      <c r="AS647">
        <v>1477.7372183996704</v>
      </c>
      <c r="AT647">
        <v>66.146361239338304</v>
      </c>
      <c r="AU647">
        <v>112.22085077136339</v>
      </c>
      <c r="AV647"/>
      <c r="AW647"/>
      <c r="FY647" s="211">
        <v>642</v>
      </c>
      <c r="FZ647">
        <v>146.88661158917196</v>
      </c>
      <c r="GA647">
        <v>107.1029015633785</v>
      </c>
      <c r="GB647">
        <v>26.383291044965901</v>
      </c>
      <c r="GC647">
        <v>7.4015909622014604</v>
      </c>
      <c r="GD647">
        <v>2.1099926602723276</v>
      </c>
      <c r="GE647">
        <v>3.7020465622426357</v>
      </c>
      <c r="GF647">
        <v>13.377315082963671</v>
      </c>
      <c r="GG647">
        <v>17.497779341045732</v>
      </c>
      <c r="GH647">
        <v>25.013992273449432</v>
      </c>
      <c r="GI647">
        <v>73.794702141899876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1076.3121741887874</v>
      </c>
      <c r="AO648">
        <v>198.26276662339509</v>
      </c>
      <c r="AP648">
        <v>1663.7741687675637</v>
      </c>
      <c r="AQ648">
        <v>468.36305356776501</v>
      </c>
      <c r="AR648">
        <v>197.04736861680891</v>
      </c>
      <c r="AS648">
        <v>1918.5372117415397</v>
      </c>
      <c r="AT648">
        <v>96.756608471266475</v>
      </c>
      <c r="AU648">
        <v>106.98638544087733</v>
      </c>
      <c r="AV648"/>
      <c r="AW648"/>
      <c r="FY648" s="211">
        <v>643</v>
      </c>
      <c r="FZ648">
        <v>214.63139420784069</v>
      </c>
      <c r="GA648">
        <v>194.50743421933049</v>
      </c>
      <c r="GB648">
        <v>38.207052205103835</v>
      </c>
      <c r="GC648">
        <v>8.7482259315213433</v>
      </c>
      <c r="GD648">
        <v>2.5454508216387604</v>
      </c>
      <c r="GE648">
        <v>4.5463779512616433</v>
      </c>
      <c r="GF648">
        <v>15.349927518881657</v>
      </c>
      <c r="GG648">
        <v>18.42054970299365</v>
      </c>
      <c r="GH648">
        <v>21.212983275324962</v>
      </c>
      <c r="GI648">
        <v>78.301125021407742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1110.5439088240084</v>
      </c>
      <c r="AO649">
        <v>150.26080430372176</v>
      </c>
      <c r="AP649">
        <v>1283.9247176928138</v>
      </c>
      <c r="AQ649">
        <v>447.93283101485781</v>
      </c>
      <c r="AR649">
        <v>145.36346533838906</v>
      </c>
      <c r="AS649">
        <v>1531.2897946086159</v>
      </c>
      <c r="AT649">
        <v>71.894077992222961</v>
      </c>
      <c r="AU649">
        <v>193.12872972885137</v>
      </c>
      <c r="AV649"/>
      <c r="AW649"/>
      <c r="FY649" s="211">
        <v>644</v>
      </c>
      <c r="FZ649">
        <v>82.978067554155643</v>
      </c>
      <c r="GA649">
        <v>60.712634707910567</v>
      </c>
      <c r="GB649">
        <v>21.067518953516743</v>
      </c>
      <c r="GC649">
        <v>7.6434820252077786</v>
      </c>
      <c r="GD649">
        <v>3.5428347737215447</v>
      </c>
      <c r="GE649">
        <v>7.4427845922879641</v>
      </c>
      <c r="GF649">
        <v>19.488820380176474</v>
      </c>
      <c r="GG649">
        <v>19.673821568832331</v>
      </c>
      <c r="GH649">
        <v>20.135028914538001</v>
      </c>
      <c r="GI649">
        <v>60.902747219871245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976.3800261650149</v>
      </c>
      <c r="AO650">
        <v>152.72453021195935</v>
      </c>
      <c r="AP650">
        <v>1240.3228971354265</v>
      </c>
      <c r="AQ650">
        <v>407.59728807059997</v>
      </c>
      <c r="AR650">
        <v>149.58778639980233</v>
      </c>
      <c r="AS650">
        <v>1537.2512072858424</v>
      </c>
      <c r="AT650">
        <v>74.206591513808419</v>
      </c>
      <c r="AU650">
        <v>130.22729326969193</v>
      </c>
      <c r="AV650"/>
      <c r="AW650"/>
      <c r="FY650" s="211">
        <v>645</v>
      </c>
      <c r="FZ650">
        <v>123.60559253737701</v>
      </c>
      <c r="GA650">
        <v>86.586778558522582</v>
      </c>
      <c r="GB650">
        <v>28.791387672061003</v>
      </c>
      <c r="GC650">
        <v>9.1824501360292743</v>
      </c>
      <c r="GD650">
        <v>2.8357678106754438</v>
      </c>
      <c r="GE650">
        <v>5.1949352432546121</v>
      </c>
      <c r="GF650">
        <v>16.994241625054755</v>
      </c>
      <c r="GG650">
        <v>18.180084247731983</v>
      </c>
      <c r="GH650">
        <v>22.952726280111353</v>
      </c>
      <c r="GI650">
        <v>68.903996274866799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925.82755315510326</v>
      </c>
      <c r="AO651">
        <v>137.02214518338357</v>
      </c>
      <c r="AP651">
        <v>1225.5473063708091</v>
      </c>
      <c r="AQ651">
        <v>424.90388711017818</v>
      </c>
      <c r="AR651">
        <v>133.37852714103121</v>
      </c>
      <c r="AS651">
        <v>1468.9866868976851</v>
      </c>
      <c r="AT651">
        <v>67.136383762307503</v>
      </c>
      <c r="AU651">
        <v>62.029602222535623</v>
      </c>
      <c r="AV651"/>
      <c r="AW651"/>
      <c r="FY651" s="211">
        <v>646</v>
      </c>
      <c r="FZ651">
        <v>117.95556168477096</v>
      </c>
      <c r="GA651">
        <v>112.57906876141365</v>
      </c>
      <c r="GB651">
        <v>35.653574753070536</v>
      </c>
      <c r="GC651">
        <v>9.5779476124221841</v>
      </c>
      <c r="GD651">
        <v>3.584678243284309</v>
      </c>
      <c r="GE651">
        <v>4.5419465865808348</v>
      </c>
      <c r="GF651">
        <v>20.646552685256253</v>
      </c>
      <c r="GG651">
        <v>30.177317321936425</v>
      </c>
      <c r="GH651">
        <v>32.683909072416149</v>
      </c>
      <c r="GI651">
        <v>73.171901238627711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1394.9160676210543</v>
      </c>
      <c r="AO652">
        <v>188.86106372291582</v>
      </c>
      <c r="AP652">
        <v>1683.6737047138988</v>
      </c>
      <c r="AQ652">
        <v>680.73037898668304</v>
      </c>
      <c r="AR652">
        <v>183.95962197270848</v>
      </c>
      <c r="AS652">
        <v>1870.4453106753908</v>
      </c>
      <c r="AT652">
        <v>87.832444083091332</v>
      </c>
      <c r="AU652">
        <v>142.12670672495418</v>
      </c>
      <c r="AV652"/>
      <c r="AW652"/>
      <c r="FY652" s="211">
        <v>647</v>
      </c>
      <c r="FZ652">
        <v>182.25156940147602</v>
      </c>
      <c r="GA652">
        <v>165.38997767948726</v>
      </c>
      <c r="GB652">
        <v>42.66299946623576</v>
      </c>
      <c r="GC652">
        <v>11.22972092738239</v>
      </c>
      <c r="GD652">
        <v>4.3316254603843269</v>
      </c>
      <c r="GE652">
        <v>4.8840559629829832</v>
      </c>
      <c r="GF652">
        <v>29.030061893485851</v>
      </c>
      <c r="GG652">
        <v>35.192244263743646</v>
      </c>
      <c r="GH652">
        <v>29.38954418094761</v>
      </c>
      <c r="GI652">
        <v>92.311730391000054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1006.9727555465037</v>
      </c>
      <c r="AO653">
        <v>143.94440833037351</v>
      </c>
      <c r="AP653">
        <v>1221.2179486348598</v>
      </c>
      <c r="AQ653">
        <v>397.681277930644</v>
      </c>
      <c r="AR653">
        <v>139.27652747691624</v>
      </c>
      <c r="AS653">
        <v>1458.6357164257395</v>
      </c>
      <c r="AT653">
        <v>63.617438393192941</v>
      </c>
      <c r="AU653">
        <v>120.34237350222401</v>
      </c>
      <c r="AV653"/>
      <c r="AW653"/>
      <c r="FY653" s="211">
        <v>648</v>
      </c>
      <c r="FZ653">
        <v>161.20335834606649</v>
      </c>
      <c r="GA653">
        <v>171.96268408874653</v>
      </c>
      <c r="GB653">
        <v>44.552023825534491</v>
      </c>
      <c r="GC653">
        <v>9.3284782021933008</v>
      </c>
      <c r="GD653">
        <v>2.7566620172962422</v>
      </c>
      <c r="GE653">
        <v>5.3226093926049334</v>
      </c>
      <c r="GF653">
        <v>14.947445408008361</v>
      </c>
      <c r="GG653">
        <v>17.769220242890594</v>
      </c>
      <c r="GH653">
        <v>20.737857608839022</v>
      </c>
      <c r="GI653">
        <v>87.103044226733914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1204.3821442653948</v>
      </c>
      <c r="AO654">
        <v>166.09689559610814</v>
      </c>
      <c r="AP654">
        <v>1431.4227068564403</v>
      </c>
      <c r="AQ654">
        <v>510.94173719357593</v>
      </c>
      <c r="AR654">
        <v>164.33262998749046</v>
      </c>
      <c r="AS654">
        <v>1783.5595211548541</v>
      </c>
      <c r="AT654">
        <v>82.544874299832884</v>
      </c>
      <c r="AU654">
        <v>244.34304989116623</v>
      </c>
      <c r="AV654"/>
      <c r="AW654"/>
      <c r="FY654" s="211">
        <v>649</v>
      </c>
      <c r="FZ654">
        <v>166.22861114575468</v>
      </c>
      <c r="GA654">
        <v>133.71905733465576</v>
      </c>
      <c r="GB654">
        <v>30.480877074703297</v>
      </c>
      <c r="GC654">
        <v>6.9804625314716606</v>
      </c>
      <c r="GD654">
        <v>3.7129412826169155</v>
      </c>
      <c r="GE654">
        <v>7.9008763386505727</v>
      </c>
      <c r="GF654">
        <v>23.865239482244554</v>
      </c>
      <c r="GG654">
        <v>26.709090501590826</v>
      </c>
      <c r="GH654">
        <v>17.921612391206452</v>
      </c>
      <c r="GI654">
        <v>79.268596165669109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1147.2585758219025</v>
      </c>
      <c r="AO655">
        <v>153.72173849649823</v>
      </c>
      <c r="AP655">
        <v>1355.3587870065703</v>
      </c>
      <c r="AQ655">
        <v>450.70929195767604</v>
      </c>
      <c r="AR655">
        <v>149.46924089807482</v>
      </c>
      <c r="AS655">
        <v>1615.4956300157828</v>
      </c>
      <c r="AT655">
        <v>72.297493762951532</v>
      </c>
      <c r="AU655">
        <v>125.06072654766535</v>
      </c>
      <c r="AV655"/>
      <c r="AW655"/>
      <c r="FY655" s="211">
        <v>650</v>
      </c>
      <c r="FZ655">
        <v>103.0932848519513</v>
      </c>
      <c r="GA655">
        <v>75.108422817531874</v>
      </c>
      <c r="GB655">
        <v>22.33110569328699</v>
      </c>
      <c r="GC655">
        <v>8.9219229803436324</v>
      </c>
      <c r="GD655">
        <v>4.5774184960667466</v>
      </c>
      <c r="GE655">
        <v>6.1779580408283543</v>
      </c>
      <c r="GF655">
        <v>58.454401112707295</v>
      </c>
      <c r="GG655">
        <v>77.141961420781712</v>
      </c>
      <c r="GH655">
        <v>17.3675833190044</v>
      </c>
      <c r="GI655">
        <v>92.475600365564816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868.20853929697728</v>
      </c>
      <c r="AO656">
        <v>138.23481425601273</v>
      </c>
      <c r="AP656">
        <v>1063.1087563321769</v>
      </c>
      <c r="AQ656">
        <v>355.46997414455507</v>
      </c>
      <c r="AR656">
        <v>134.92147675076387</v>
      </c>
      <c r="AS656">
        <v>1446.0453323112072</v>
      </c>
      <c r="AT656">
        <v>66.067284873200521</v>
      </c>
      <c r="AU656">
        <v>-15.57230330090762</v>
      </c>
      <c r="AV656"/>
      <c r="AW656"/>
      <c r="FY656" s="211">
        <v>651</v>
      </c>
      <c r="FZ656">
        <v>129.9181805443059</v>
      </c>
      <c r="GA656">
        <v>94.375708790725412</v>
      </c>
      <c r="GB656">
        <v>24.648872717645961</v>
      </c>
      <c r="GC656">
        <v>8.6181357548782049</v>
      </c>
      <c r="GD656">
        <v>3.822599301252394</v>
      </c>
      <c r="GE656">
        <v>3.4226606499406378</v>
      </c>
      <c r="GF656">
        <v>24.529624638815346</v>
      </c>
      <c r="GG656">
        <v>34.50612166621832</v>
      </c>
      <c r="GH656">
        <v>28.371911485534888</v>
      </c>
      <c r="GI656">
        <v>74.229756175765019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1120.7992870035705</v>
      </c>
      <c r="AO657">
        <v>170.97539794338167</v>
      </c>
      <c r="AP657">
        <v>1489.0226902888935</v>
      </c>
      <c r="AQ657">
        <v>404.03470808459753</v>
      </c>
      <c r="AR657">
        <v>165.32106160987041</v>
      </c>
      <c r="AS657">
        <v>1747.5157851781435</v>
      </c>
      <c r="AT657">
        <v>80.861822269809394</v>
      </c>
      <c r="AU657">
        <v>261.01972291157711</v>
      </c>
      <c r="AV657"/>
      <c r="AW657"/>
      <c r="FY657" s="211">
        <v>652</v>
      </c>
      <c r="FZ657">
        <v>177.28880629811013</v>
      </c>
      <c r="GA657">
        <v>115.99830953991453</v>
      </c>
      <c r="GB657">
        <v>40.823645695388095</v>
      </c>
      <c r="GC657">
        <v>10.225911154209879</v>
      </c>
      <c r="GD657">
        <v>4.9372230421997685</v>
      </c>
      <c r="GE657">
        <v>8.6334796367034361</v>
      </c>
      <c r="GF657">
        <v>48.780618173143893</v>
      </c>
      <c r="GG657">
        <v>57.301989522250778</v>
      </c>
      <c r="GH657">
        <v>29.273151943912083</v>
      </c>
      <c r="GI657">
        <v>101.18795185752943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993.17592869058831</v>
      </c>
      <c r="AO658">
        <v>188.43414686807279</v>
      </c>
      <c r="AP658">
        <v>1552.4921477852458</v>
      </c>
      <c r="AQ658">
        <v>423.27022322159144</v>
      </c>
      <c r="AR658">
        <v>183.5791598859056</v>
      </c>
      <c r="AS658">
        <v>1778.922189226302</v>
      </c>
      <c r="AT658">
        <v>97.747511608639726</v>
      </c>
      <c r="AU658">
        <v>143.6605873052751</v>
      </c>
      <c r="AV658"/>
      <c r="AW658"/>
      <c r="FY658" s="211">
        <v>653</v>
      </c>
      <c r="FZ658">
        <v>149.90387320064875</v>
      </c>
      <c r="GA658">
        <v>140.32140626350221</v>
      </c>
      <c r="GB658">
        <v>34.218179486692101</v>
      </c>
      <c r="GC658">
        <v>8.5578447166096012</v>
      </c>
      <c r="GD658">
        <v>2.9058811901898003</v>
      </c>
      <c r="GE658">
        <v>5.1799470027687935</v>
      </c>
      <c r="GF658">
        <v>22.158362839522841</v>
      </c>
      <c r="GG658">
        <v>30.547350153750529</v>
      </c>
      <c r="GH658">
        <v>33.617540439059404</v>
      </c>
      <c r="GI658">
        <v>88.960168968054703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1109.0535777141135</v>
      </c>
      <c r="AO659">
        <v>167.71312365275639</v>
      </c>
      <c r="AP659">
        <v>1482.9238538748891</v>
      </c>
      <c r="AQ659">
        <v>596.47052085530481</v>
      </c>
      <c r="AR659">
        <v>160.84245902913892</v>
      </c>
      <c r="AS659">
        <v>1743.9710953304848</v>
      </c>
      <c r="AT659">
        <v>84.89327902769034</v>
      </c>
      <c r="AU659">
        <v>-23.882554135470329</v>
      </c>
      <c r="AV659"/>
      <c r="AW659"/>
      <c r="FY659" s="211">
        <v>654</v>
      </c>
      <c r="FZ659">
        <v>173.28512176795272</v>
      </c>
      <c r="GA659">
        <v>120.88764857120313</v>
      </c>
      <c r="GB659">
        <v>25.808107683074983</v>
      </c>
      <c r="GC659">
        <v>7.9440569209808167</v>
      </c>
      <c r="GD659">
        <v>2.760425883922319</v>
      </c>
      <c r="GE659">
        <v>4.8335443544914085</v>
      </c>
      <c r="GF659">
        <v>12.844681399608339</v>
      </c>
      <c r="GG659">
        <v>17.401726659638868</v>
      </c>
      <c r="GH659">
        <v>33.437779355132307</v>
      </c>
      <c r="GI659">
        <v>70.361006328056774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905.88718357648099</v>
      </c>
      <c r="AO660">
        <v>121.20823083302189</v>
      </c>
      <c r="AP660">
        <v>903.85842044964079</v>
      </c>
      <c r="AQ660">
        <v>303.58774069021831</v>
      </c>
      <c r="AR660">
        <v>118.01598588534932</v>
      </c>
      <c r="AS660">
        <v>1361.4378332768233</v>
      </c>
      <c r="AT660">
        <v>55.864879464576404</v>
      </c>
      <c r="AU660">
        <v>71.72841149363876</v>
      </c>
      <c r="AV660"/>
      <c r="AW660"/>
      <c r="FY660" s="211">
        <v>655</v>
      </c>
      <c r="FZ660">
        <v>133.25410882428665</v>
      </c>
      <c r="GA660">
        <v>123.66097419896431</v>
      </c>
      <c r="GB660">
        <v>39.003334683694511</v>
      </c>
      <c r="GC660">
        <v>10.895467501520827</v>
      </c>
      <c r="GD660">
        <v>4.7041013530900617</v>
      </c>
      <c r="GE660">
        <v>6.8864212115615224</v>
      </c>
      <c r="GF660">
        <v>31.936704946405463</v>
      </c>
      <c r="GG660">
        <v>40.39987583283672</v>
      </c>
      <c r="GH660">
        <v>28.72559177913088</v>
      </c>
      <c r="GI660">
        <v>88.055182088698444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993.70232469956647</v>
      </c>
      <c r="AO661">
        <v>146.75581619450313</v>
      </c>
      <c r="AP661">
        <v>1121.6348340372424</v>
      </c>
      <c r="AQ661">
        <v>383.22796038568487</v>
      </c>
      <c r="AR661">
        <v>143.74782940446201</v>
      </c>
      <c r="AS661">
        <v>1621.6712729144588</v>
      </c>
      <c r="AT661">
        <v>71.500766986753064</v>
      </c>
      <c r="AU661">
        <v>40.816518103430781</v>
      </c>
      <c r="AV661"/>
      <c r="AW661"/>
      <c r="FY661" s="211">
        <v>656</v>
      </c>
      <c r="FZ661">
        <v>189.31271109854109</v>
      </c>
      <c r="GA661">
        <v>160.44054249603562</v>
      </c>
      <c r="GB661">
        <v>41.202098619147556</v>
      </c>
      <c r="GC661">
        <v>7.8380458269863684</v>
      </c>
      <c r="GD661">
        <v>2.960465767935375</v>
      </c>
      <c r="GE661">
        <v>4.4677610061228474</v>
      </c>
      <c r="GF661">
        <v>15.065954811068234</v>
      </c>
      <c r="GG661">
        <v>21.530600614852794</v>
      </c>
      <c r="GH661">
        <v>21.281081664615066</v>
      </c>
      <c r="GI661">
        <v>74.475122439910052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1104.1437103674064</v>
      </c>
      <c r="AO662">
        <v>158.6580635029184</v>
      </c>
      <c r="AP662">
        <v>1299.8712402749488</v>
      </c>
      <c r="AQ662">
        <v>440.572457959779</v>
      </c>
      <c r="AR662">
        <v>155.00537287369539</v>
      </c>
      <c r="AS662">
        <v>1630.4155454242939</v>
      </c>
      <c r="AT662">
        <v>77.733126834431488</v>
      </c>
      <c r="AU662">
        <v>61.734496718644493</v>
      </c>
      <c r="AV662"/>
      <c r="AW662"/>
      <c r="FY662" s="211">
        <v>657</v>
      </c>
      <c r="FZ662">
        <v>104.98044089714432</v>
      </c>
      <c r="GA662">
        <v>73.070691896711267</v>
      </c>
      <c r="GB662">
        <v>18.526504654965628</v>
      </c>
      <c r="GC662">
        <v>6.0217492533829429</v>
      </c>
      <c r="GD662">
        <v>3.6992616865809316</v>
      </c>
      <c r="GE662">
        <v>7.7728287585704674</v>
      </c>
      <c r="GF662">
        <v>35.675566961780248</v>
      </c>
      <c r="GG662">
        <v>46.87758680297167</v>
      </c>
      <c r="GH662">
        <v>28.242706004025823</v>
      </c>
      <c r="GI662">
        <v>71.984035975401795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1384.5947883318108</v>
      </c>
      <c r="AO663">
        <v>189.70111097864833</v>
      </c>
      <c r="AP663">
        <v>1608.3410644862008</v>
      </c>
      <c r="AQ663">
        <v>596.67352962712596</v>
      </c>
      <c r="AR663">
        <v>186.07401413087442</v>
      </c>
      <c r="AS663">
        <v>2163.0524376241224</v>
      </c>
      <c r="AT663">
        <v>95.505328937378849</v>
      </c>
      <c r="AU663">
        <v>198.73572869262171</v>
      </c>
      <c r="AV663"/>
      <c r="AW663"/>
      <c r="FY663" s="211">
        <v>658</v>
      </c>
      <c r="FZ663">
        <v>117.79321580055637</v>
      </c>
      <c r="GA663">
        <v>85.224936669833781</v>
      </c>
      <c r="GB663">
        <v>29.200430387613146</v>
      </c>
      <c r="GC663">
        <v>10.550320696565382</v>
      </c>
      <c r="GD663">
        <v>4.1279477866724861</v>
      </c>
      <c r="GE663">
        <v>6.915491002631958</v>
      </c>
      <c r="GF663">
        <v>25.561827211810002</v>
      </c>
      <c r="GG663">
        <v>29.373267576105203</v>
      </c>
      <c r="GH663">
        <v>19.045754128275384</v>
      </c>
      <c r="GI663">
        <v>76.418492256855728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1236.2852353867352</v>
      </c>
      <c r="AO664">
        <v>201.31540490148751</v>
      </c>
      <c r="AP664">
        <v>1661.0369259103488</v>
      </c>
      <c r="AQ664">
        <v>535.68338335891394</v>
      </c>
      <c r="AR664">
        <v>190.82762366650326</v>
      </c>
      <c r="AS664">
        <v>1952.4976515407961</v>
      </c>
      <c r="AT664">
        <v>97.486396555487758</v>
      </c>
      <c r="AU664">
        <v>20.951816203809145</v>
      </c>
      <c r="AV664"/>
      <c r="AW664"/>
      <c r="FY664" s="211">
        <v>659</v>
      </c>
      <c r="FZ664">
        <v>139.13444117698359</v>
      </c>
      <c r="GA664">
        <v>105.52903925898622</v>
      </c>
      <c r="GB664">
        <v>26.396926965081558</v>
      </c>
      <c r="GC664">
        <v>6.7643834624293113</v>
      </c>
      <c r="GD664">
        <v>2.0680406368924635</v>
      </c>
      <c r="GE664">
        <v>4.2242504478005358</v>
      </c>
      <c r="GF664">
        <v>13.381941566294081</v>
      </c>
      <c r="GG664">
        <v>17.449147581764613</v>
      </c>
      <c r="GH664">
        <v>25.832863885044883</v>
      </c>
      <c r="GI664">
        <v>61.111458178596479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1151.5498805853501</v>
      </c>
      <c r="AO665">
        <v>172.39501120558378</v>
      </c>
      <c r="AP665">
        <v>1405.6266359624954</v>
      </c>
      <c r="AQ665">
        <v>496.78736424856385</v>
      </c>
      <c r="AR665">
        <v>168.39472760462559</v>
      </c>
      <c r="AS665">
        <v>1799.4726459465396</v>
      </c>
      <c r="AT665">
        <v>79.785119826526952</v>
      </c>
      <c r="AU665">
        <v>83.605530321631491</v>
      </c>
      <c r="AV665"/>
      <c r="AW665"/>
      <c r="FY665" s="211">
        <v>660</v>
      </c>
      <c r="FZ665">
        <v>108.16445970960569</v>
      </c>
      <c r="GA665">
        <v>117.71934179820543</v>
      </c>
      <c r="GB665">
        <v>39.108309868716404</v>
      </c>
      <c r="GC665">
        <v>9.6123896536613422</v>
      </c>
      <c r="GD665">
        <v>4.7740050345277769</v>
      </c>
      <c r="GE665">
        <v>7.8352095514382896</v>
      </c>
      <c r="GF665">
        <v>23.410969690338327</v>
      </c>
      <c r="GG665">
        <v>30.967926914258101</v>
      </c>
      <c r="GH665">
        <v>34.343953162615946</v>
      </c>
      <c r="GI665">
        <v>85.55651697792932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1413.9970418999751</v>
      </c>
      <c r="AO666">
        <v>194.31500955645498</v>
      </c>
      <c r="AP666">
        <v>1598.0800651241984</v>
      </c>
      <c r="AQ666">
        <v>465.6496590980671</v>
      </c>
      <c r="AR666">
        <v>190.24891115964596</v>
      </c>
      <c r="AS666">
        <v>2114.2201023151861</v>
      </c>
      <c r="AT666">
        <v>87.010874446722667</v>
      </c>
      <c r="AU666">
        <v>320.44590204026707</v>
      </c>
      <c r="AV666"/>
      <c r="AW666"/>
      <c r="FY666" s="211">
        <v>661</v>
      </c>
      <c r="FZ666">
        <v>104.18413872202912</v>
      </c>
      <c r="GA666">
        <v>79.811770805714332</v>
      </c>
      <c r="GB666">
        <v>27.842808850986255</v>
      </c>
      <c r="GC666">
        <v>5.9067800454068191</v>
      </c>
      <c r="GD666">
        <v>3.4750023540940767</v>
      </c>
      <c r="GE666">
        <v>6.7351462732470804</v>
      </c>
      <c r="GF666">
        <v>21.665267341722469</v>
      </c>
      <c r="GG666">
        <v>25.803968968681204</v>
      </c>
      <c r="GH666">
        <v>23.73363733985731</v>
      </c>
      <c r="GI666">
        <v>62.339226084589143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1069.2553084953329</v>
      </c>
      <c r="AO667">
        <v>166.07866487007936</v>
      </c>
      <c r="AP667">
        <v>1374.4250484939946</v>
      </c>
      <c r="AQ667">
        <v>426.44357172508211</v>
      </c>
      <c r="AR667">
        <v>160.80678508330141</v>
      </c>
      <c r="AS667">
        <v>1755.0125979192569</v>
      </c>
      <c r="AT667">
        <v>79.833499187737786</v>
      </c>
      <c r="AU667">
        <v>161.11095646216697</v>
      </c>
      <c r="AV667"/>
      <c r="AW667"/>
      <c r="FY667" s="211">
        <v>662</v>
      </c>
      <c r="FZ667">
        <v>79.983808256870148</v>
      </c>
      <c r="GA667">
        <v>104.9464138140669</v>
      </c>
      <c r="GB667">
        <v>41.86813264668443</v>
      </c>
      <c r="GC667">
        <v>8.5507249346986107</v>
      </c>
      <c r="GD667">
        <v>3.4293827670965777</v>
      </c>
      <c r="GE667">
        <v>6.1220952060444773</v>
      </c>
      <c r="GF667">
        <v>16.579463803164256</v>
      </c>
      <c r="GG667">
        <v>18.634564238795029</v>
      </c>
      <c r="GH667">
        <v>22.326305488242372</v>
      </c>
      <c r="GI667">
        <v>66.235302126946195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1552.8310159363359</v>
      </c>
      <c r="AO668">
        <v>209.7840995561935</v>
      </c>
      <c r="AP668">
        <v>1719.2321720717732</v>
      </c>
      <c r="AQ668">
        <v>594.45108686336198</v>
      </c>
      <c r="AR668">
        <v>208.01530745199736</v>
      </c>
      <c r="AS668">
        <v>2147.365939859852</v>
      </c>
      <c r="AT668">
        <v>101.60646816613837</v>
      </c>
      <c r="AU668">
        <v>487.1431092897933</v>
      </c>
      <c r="AV668"/>
      <c r="AW668"/>
      <c r="FY668" s="211">
        <v>663</v>
      </c>
      <c r="FZ668">
        <v>115.30254171318904</v>
      </c>
      <c r="GA668">
        <v>73.502964195646044</v>
      </c>
      <c r="GB668">
        <v>23.597675372157681</v>
      </c>
      <c r="GC668">
        <v>7.2411355409933611</v>
      </c>
      <c r="GD668">
        <v>2.863583691589743</v>
      </c>
      <c r="GE668">
        <v>4.5339938921072411</v>
      </c>
      <c r="GF668">
        <v>27.307389361952346</v>
      </c>
      <c r="GG668">
        <v>37.283619074195279</v>
      </c>
      <c r="GH668">
        <v>30.966790820513978</v>
      </c>
      <c r="GI668">
        <v>73.586593885928835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1241.9092085834368</v>
      </c>
      <c r="AO669">
        <v>206.82226854888063</v>
      </c>
      <c r="AP669">
        <v>1680.0977075997125</v>
      </c>
      <c r="AQ669">
        <v>516.37055426079883</v>
      </c>
      <c r="AR669">
        <v>198.07528287638044</v>
      </c>
      <c r="AS669">
        <v>2010.1321729360864</v>
      </c>
      <c r="AT669">
        <v>98.809072099058483</v>
      </c>
      <c r="AU669">
        <v>113.10983630645757</v>
      </c>
      <c r="AV669"/>
      <c r="AW669"/>
      <c r="FY669" s="211">
        <v>664</v>
      </c>
      <c r="FZ669">
        <v>93.355158639604525</v>
      </c>
      <c r="GA669">
        <v>71.839556367148333</v>
      </c>
      <c r="GB669">
        <v>25.418307652688046</v>
      </c>
      <c r="GC669">
        <v>7.7798387817072943</v>
      </c>
      <c r="GD669">
        <v>3.4545163764198046</v>
      </c>
      <c r="GE669">
        <v>5.7752492145289915</v>
      </c>
      <c r="GF669">
        <v>9.0524166919383688</v>
      </c>
      <c r="GG669">
        <v>9.3905930303454674</v>
      </c>
      <c r="GH669">
        <v>23.820621928151485</v>
      </c>
      <c r="GI669">
        <v>67.685134418277727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968.19575219633646</v>
      </c>
      <c r="AO670">
        <v>156.46131730633687</v>
      </c>
      <c r="AP670">
        <v>1366.4329666816741</v>
      </c>
      <c r="AQ670">
        <v>469.56409892406162</v>
      </c>
      <c r="AR670">
        <v>152.05729098720118</v>
      </c>
      <c r="AS670">
        <v>1636.6202002090356</v>
      </c>
      <c r="AT670">
        <v>76.308354773551656</v>
      </c>
      <c r="AU670">
        <v>-16.308473056677258</v>
      </c>
      <c r="AV670"/>
      <c r="AW670"/>
      <c r="FY670" s="211">
        <v>665</v>
      </c>
      <c r="FZ670">
        <v>136.70490401290391</v>
      </c>
      <c r="GA670">
        <v>130.75378360230539</v>
      </c>
      <c r="GB670">
        <v>34.166182869635406</v>
      </c>
      <c r="GC670">
        <v>11.61818528124407</v>
      </c>
      <c r="GD670">
        <v>4.2513401253823675</v>
      </c>
      <c r="GE670">
        <v>4.6174571454889062</v>
      </c>
      <c r="GF670">
        <v>34.345555586680767</v>
      </c>
      <c r="GG670">
        <v>45.806333061719435</v>
      </c>
      <c r="GH670">
        <v>30.787997615159558</v>
      </c>
      <c r="GI670">
        <v>86.371536583539083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1361.948730998512</v>
      </c>
      <c r="AO671">
        <v>198.30132308099809</v>
      </c>
      <c r="AP671">
        <v>1779.1459195867046</v>
      </c>
      <c r="AQ671">
        <v>507.52176242018936</v>
      </c>
      <c r="AR671">
        <v>193.57092786791739</v>
      </c>
      <c r="AS671">
        <v>2049.3273280274693</v>
      </c>
      <c r="AT671">
        <v>96.239217051018798</v>
      </c>
      <c r="AU671">
        <v>349.73892181576821</v>
      </c>
      <c r="AV671"/>
      <c r="AW671"/>
      <c r="FY671" s="211">
        <v>666</v>
      </c>
      <c r="FZ671">
        <v>71.090077071153488</v>
      </c>
      <c r="GA671">
        <v>76.688118367110064</v>
      </c>
      <c r="GB671">
        <v>30.824786647171205</v>
      </c>
      <c r="GC671">
        <v>8.30699398414108</v>
      </c>
      <c r="GD671">
        <v>2.3028356828823204</v>
      </c>
      <c r="GE671">
        <v>5.8075966051330461</v>
      </c>
      <c r="GF671">
        <v>21.087227635333754</v>
      </c>
      <c r="GG671">
        <v>20.616919777922838</v>
      </c>
      <c r="GH671">
        <v>19.451088320045397</v>
      </c>
      <c r="GI671">
        <v>59.830299577180909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1069.3162092282716</v>
      </c>
      <c r="AO672">
        <v>159.97169114265807</v>
      </c>
      <c r="AP672">
        <v>1338.6318902517107</v>
      </c>
      <c r="AQ672">
        <v>538.57438434521498</v>
      </c>
      <c r="AR672">
        <v>156.02223484991609</v>
      </c>
      <c r="AS672">
        <v>1717.1700635801135</v>
      </c>
      <c r="AT672">
        <v>78.99982879007581</v>
      </c>
      <c r="AU672">
        <v>51.796573148605134</v>
      </c>
      <c r="AV672"/>
      <c r="AW672"/>
      <c r="FY672" s="211">
        <v>667</v>
      </c>
      <c r="FZ672">
        <v>127.62661470664541</v>
      </c>
      <c r="GA672">
        <v>106.78705362650567</v>
      </c>
      <c r="GB672">
        <v>29.758256106585613</v>
      </c>
      <c r="GC672">
        <v>8.8795639676747413</v>
      </c>
      <c r="GD672">
        <v>2.8865551814066412</v>
      </c>
      <c r="GE672">
        <v>2.8470451803506007</v>
      </c>
      <c r="GF672">
        <v>36.782059993051647</v>
      </c>
      <c r="GG672">
        <v>47.967623595754354</v>
      </c>
      <c r="GH672">
        <v>23.14518062578086</v>
      </c>
      <c r="GI672">
        <v>76.151049572698341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1072.9271888346557</v>
      </c>
      <c r="AO673">
        <v>153.57211713413756</v>
      </c>
      <c r="AP673">
        <v>1297.0460917031885</v>
      </c>
      <c r="AQ673">
        <v>396.85137289153511</v>
      </c>
      <c r="AR673">
        <v>150.0041287707248</v>
      </c>
      <c r="AS673">
        <v>1662.8332155319358</v>
      </c>
      <c r="AT673">
        <v>73.462721969483539</v>
      </c>
      <c r="AU673">
        <v>167.59573164271896</v>
      </c>
      <c r="AV673"/>
      <c r="AW673"/>
      <c r="FY673" s="211">
        <v>668</v>
      </c>
      <c r="FZ673">
        <v>177.21848817832108</v>
      </c>
      <c r="GA673">
        <v>78.792910503468249</v>
      </c>
      <c r="GB673">
        <v>18.740616189658375</v>
      </c>
      <c r="GC673">
        <v>8.5278348728172677</v>
      </c>
      <c r="GD673">
        <v>4.0502994941138528</v>
      </c>
      <c r="GE673">
        <v>5.6634855588048216</v>
      </c>
      <c r="GF673">
        <v>58.024996051999835</v>
      </c>
      <c r="GG673">
        <v>69.832191348018355</v>
      </c>
      <c r="GH673">
        <v>18.631324360361909</v>
      </c>
      <c r="GI673">
        <v>90.254871979712689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1129.5554080670929</v>
      </c>
      <c r="AO674">
        <v>167.67201043927238</v>
      </c>
      <c r="AP674">
        <v>1443.7582544813047</v>
      </c>
      <c r="AQ674">
        <v>404.21168351691949</v>
      </c>
      <c r="AR674">
        <v>165.60777790008351</v>
      </c>
      <c r="AS674">
        <v>1808.4899977751811</v>
      </c>
      <c r="AT674">
        <v>81.167460972639432</v>
      </c>
      <c r="AU674">
        <v>284.45751209582011</v>
      </c>
      <c r="AV674"/>
      <c r="AW674"/>
      <c r="FY674" s="211">
        <v>669</v>
      </c>
      <c r="FZ674">
        <v>140.13303127264749</v>
      </c>
      <c r="GA674">
        <v>134.63983552868174</v>
      </c>
      <c r="GB674">
        <v>36.156763934821285</v>
      </c>
      <c r="GC674">
        <v>7.4260348844784936</v>
      </c>
      <c r="GD674">
        <v>4.5310003954400146</v>
      </c>
      <c r="GE674">
        <v>7.193446963855604</v>
      </c>
      <c r="GF674">
        <v>23.126185792378976</v>
      </c>
      <c r="GG674">
        <v>30.750764282581454</v>
      </c>
      <c r="GH674">
        <v>20.804767155580155</v>
      </c>
      <c r="GI674">
        <v>71.595318345478447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842.33228479787158</v>
      </c>
      <c r="AO675">
        <v>132.13644866209665</v>
      </c>
      <c r="AP675">
        <v>1089.0780182580913</v>
      </c>
      <c r="AQ675">
        <v>401.89249315987377</v>
      </c>
      <c r="AR675">
        <v>128.86040865761322</v>
      </c>
      <c r="AS675">
        <v>1441.7056376137868</v>
      </c>
      <c r="AT675">
        <v>64.937046957644256</v>
      </c>
      <c r="AU675">
        <v>21.704628477013216</v>
      </c>
      <c r="AV675"/>
      <c r="AW675"/>
      <c r="FY675" s="211">
        <v>670</v>
      </c>
      <c r="FZ675">
        <v>62.916524722552353</v>
      </c>
      <c r="GA675">
        <v>98.822669007907351</v>
      </c>
      <c r="GB675">
        <v>40.97933982988549</v>
      </c>
      <c r="GC675">
        <v>8.5251738585398424</v>
      </c>
      <c r="GD675">
        <v>3.8320020540791453</v>
      </c>
      <c r="GE675">
        <v>7.9898657945718128</v>
      </c>
      <c r="GF675">
        <v>12.198987166418156</v>
      </c>
      <c r="GG675">
        <v>10.232407630570602</v>
      </c>
      <c r="GH675">
        <v>40.356475000188638</v>
      </c>
      <c r="GI675">
        <v>69.189258003666211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1282.3953317464468</v>
      </c>
      <c r="AO676">
        <v>204.35710006002856</v>
      </c>
      <c r="AP676">
        <v>1763.8678393405032</v>
      </c>
      <c r="AQ676">
        <v>461.49308236129667</v>
      </c>
      <c r="AR676">
        <v>195.78981133756207</v>
      </c>
      <c r="AS676">
        <v>1900.4322165896704</v>
      </c>
      <c r="AT676">
        <v>97.939124472188951</v>
      </c>
      <c r="AU676">
        <v>215.17845004473938</v>
      </c>
      <c r="AV676"/>
      <c r="AW676"/>
      <c r="FY676" s="211">
        <v>671</v>
      </c>
      <c r="FZ676">
        <v>123.49105426759459</v>
      </c>
      <c r="GA676">
        <v>99.677377449023354</v>
      </c>
      <c r="GB676">
        <v>31.90293698839152</v>
      </c>
      <c r="GC676">
        <v>9.3481367787080902</v>
      </c>
      <c r="GD676">
        <v>3.5021043013136097</v>
      </c>
      <c r="GE676">
        <v>6.577678321550164</v>
      </c>
      <c r="GF676">
        <v>40.253720820489043</v>
      </c>
      <c r="GG676">
        <v>44.388001858025959</v>
      </c>
      <c r="GH676">
        <v>18.33136304166845</v>
      </c>
      <c r="GI676">
        <v>80.736282477340694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951.86295101150176</v>
      </c>
      <c r="AO677">
        <v>132.7721802530119</v>
      </c>
      <c r="AP677">
        <v>1134.0452423897468</v>
      </c>
      <c r="AQ677">
        <v>361.49774678632775</v>
      </c>
      <c r="AR677">
        <v>130.10698473809492</v>
      </c>
      <c r="AS677">
        <v>1418.6088287029058</v>
      </c>
      <c r="AT677">
        <v>61.941924322846681</v>
      </c>
      <c r="AU677">
        <v>141.16427733123646</v>
      </c>
      <c r="AV677"/>
      <c r="AW677"/>
      <c r="FY677" s="211">
        <v>672</v>
      </c>
      <c r="FZ677">
        <v>79.91513538372746</v>
      </c>
      <c r="GA677">
        <v>85.489803455767728</v>
      </c>
      <c r="GB677">
        <v>27.344016720587987</v>
      </c>
      <c r="GC677">
        <v>10.077947643404864</v>
      </c>
      <c r="GD677">
        <v>4.9260951447504953</v>
      </c>
      <c r="GE677">
        <v>4.4321509968313109</v>
      </c>
      <c r="GF677">
        <v>11.877579223817962</v>
      </c>
      <c r="GG677">
        <v>18.982485948777324</v>
      </c>
      <c r="GH677">
        <v>22.00964533964553</v>
      </c>
      <c r="GI677">
        <v>68.841128923314756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1045.9800772104586</v>
      </c>
      <c r="AO678">
        <v>141.80048341160827</v>
      </c>
      <c r="AP678">
        <v>1162.519267856123</v>
      </c>
      <c r="AQ678">
        <v>368.67619328260895</v>
      </c>
      <c r="AR678">
        <v>138.79308139269219</v>
      </c>
      <c r="AS678">
        <v>1493.4512463985197</v>
      </c>
      <c r="AT678">
        <v>68.183842287061921</v>
      </c>
      <c r="AU678">
        <v>193.65158961771735</v>
      </c>
      <c r="AV678"/>
      <c r="AW678"/>
      <c r="FY678" s="211">
        <v>673</v>
      </c>
      <c r="FZ678">
        <v>128.98875276021332</v>
      </c>
      <c r="GA678">
        <v>84.528049547834399</v>
      </c>
      <c r="GB678">
        <v>24.839440412248074</v>
      </c>
      <c r="GC678">
        <v>7.9255475952129055</v>
      </c>
      <c r="GD678">
        <v>3.4695570712606667</v>
      </c>
      <c r="GE678">
        <v>6.2548919706646</v>
      </c>
      <c r="GF678">
        <v>25.702106635181135</v>
      </c>
      <c r="GG678">
        <v>30.181998959711876</v>
      </c>
      <c r="GH678">
        <v>20.138407363530568</v>
      </c>
      <c r="GI678">
        <v>65.123104203573234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1047.385634062163</v>
      </c>
      <c r="AO679">
        <v>167.74178302813453</v>
      </c>
      <c r="AP679">
        <v>1360.9574258849643</v>
      </c>
      <c r="AQ679">
        <v>396.18628754827358</v>
      </c>
      <c r="AR679">
        <v>163.3879160430356</v>
      </c>
      <c r="AS679">
        <v>1785.0386692643276</v>
      </c>
      <c r="AT679">
        <v>82.143796267925524</v>
      </c>
      <c r="AU679">
        <v>219.02492178818915</v>
      </c>
      <c r="AV679"/>
      <c r="AW679"/>
      <c r="FY679" s="211">
        <v>674</v>
      </c>
      <c r="FZ679">
        <v>159.84090684198756</v>
      </c>
      <c r="GA679">
        <v>92.164521578485889</v>
      </c>
      <c r="GB679">
        <v>26.395081040858866</v>
      </c>
      <c r="GC679">
        <v>7.8683014651150884</v>
      </c>
      <c r="GD679">
        <v>3.4453678724653267</v>
      </c>
      <c r="GE679">
        <v>6.5107238244887595</v>
      </c>
      <c r="GF679">
        <v>44.414950335567944</v>
      </c>
      <c r="GG679">
        <v>50.721970474323115</v>
      </c>
      <c r="GH679">
        <v>15.542500128067907</v>
      </c>
      <c r="GI679">
        <v>79.561377758416043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913.81757018156736</v>
      </c>
      <c r="AO680">
        <v>158.50364402101141</v>
      </c>
      <c r="AP680">
        <v>1171.0470707399227</v>
      </c>
      <c r="AQ680">
        <v>317.57139310081004</v>
      </c>
      <c r="AR680">
        <v>155.50321025413083</v>
      </c>
      <c r="AS680">
        <v>1515.0656731979473</v>
      </c>
      <c r="AT680">
        <v>80.863918157921134</v>
      </c>
      <c r="AU680">
        <v>86.417443486452328</v>
      </c>
      <c r="AV680"/>
      <c r="AW680"/>
      <c r="FY680" s="211">
        <v>675</v>
      </c>
      <c r="FZ680">
        <v>190.8540696745043</v>
      </c>
      <c r="GA680">
        <v>121.37090947420582</v>
      </c>
      <c r="GB680">
        <v>29.983137787424376</v>
      </c>
      <c r="GC680">
        <v>10.567712176056633</v>
      </c>
      <c r="GD680">
        <v>4.286405329475051</v>
      </c>
      <c r="GE680">
        <v>5.2380775734250333</v>
      </c>
      <c r="GF680">
        <v>42.151947482750728</v>
      </c>
      <c r="GG680">
        <v>53.826111489640404</v>
      </c>
      <c r="GH680">
        <v>23.148341272136712</v>
      </c>
      <c r="GI680">
        <v>96.966410879112104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1335.6366234507136</v>
      </c>
      <c r="AO681">
        <v>190.76265062261095</v>
      </c>
      <c r="AP681">
        <v>1594.753374586968</v>
      </c>
      <c r="AQ681">
        <v>519.42327588405885</v>
      </c>
      <c r="AR681">
        <v>181.30283431509608</v>
      </c>
      <c r="AS681">
        <v>1844.4276664344573</v>
      </c>
      <c r="AT681">
        <v>84.511905134383994</v>
      </c>
      <c r="AU681">
        <v>191.52942579706166</v>
      </c>
      <c r="AV681"/>
      <c r="AW681"/>
      <c r="FY681" s="211">
        <v>676</v>
      </c>
      <c r="FZ681">
        <v>155.46822113459373</v>
      </c>
      <c r="GA681">
        <v>116.81938008619609</v>
      </c>
      <c r="GB681">
        <v>21.747618655091845</v>
      </c>
      <c r="GC681">
        <v>7.4711343563606922</v>
      </c>
      <c r="GD681">
        <v>4.1370294605192006</v>
      </c>
      <c r="GE681">
        <v>7.1560126786492795</v>
      </c>
      <c r="GF681">
        <v>16.007912443805857</v>
      </c>
      <c r="GG681">
        <v>22.27279033247056</v>
      </c>
      <c r="GH681">
        <v>25.320123655098342</v>
      </c>
      <c r="GI681">
        <v>63.849632326242038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922.82867432022033</v>
      </c>
      <c r="AO682">
        <v>118.9011415267546</v>
      </c>
      <c r="AP682">
        <v>927.6573593460181</v>
      </c>
      <c r="AQ682">
        <v>316.00594366807411</v>
      </c>
      <c r="AR682">
        <v>115.21839795342335</v>
      </c>
      <c r="AS682">
        <v>1265.0544917854772</v>
      </c>
      <c r="AT682">
        <v>53.072752460068216</v>
      </c>
      <c r="AU682">
        <v>119.99204732800331</v>
      </c>
      <c r="AV682"/>
      <c r="AW682"/>
      <c r="FY682" s="211">
        <v>677</v>
      </c>
      <c r="FZ682">
        <v>83.207878196818086</v>
      </c>
      <c r="GA682">
        <v>120.14743479027283</v>
      </c>
      <c r="GB682">
        <v>42.200112137971914</v>
      </c>
      <c r="GC682">
        <v>9.4516997610639866</v>
      </c>
      <c r="GD682">
        <v>4.9150492665182144</v>
      </c>
      <c r="GE682">
        <v>9.9417950702320681</v>
      </c>
      <c r="GF682">
        <v>56.18493941521632</v>
      </c>
      <c r="GG682">
        <v>69.678466736050041</v>
      </c>
      <c r="GH682">
        <v>26.500478213157287</v>
      </c>
      <c r="GI682">
        <v>91.98964648887609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1155.3534962370093</v>
      </c>
      <c r="AO683">
        <v>145.16284469935391</v>
      </c>
      <c r="AP683">
        <v>1256.8046283617675</v>
      </c>
      <c r="AQ683">
        <v>462.83100255645394</v>
      </c>
      <c r="AR683">
        <v>140.33310073616349</v>
      </c>
      <c r="AS683">
        <v>1667.9157595591246</v>
      </c>
      <c r="AT683">
        <v>67.434111507282708</v>
      </c>
      <c r="AU683">
        <v>211.23169024337921</v>
      </c>
      <c r="AV683"/>
      <c r="AW683"/>
      <c r="FY683" s="211">
        <v>678</v>
      </c>
      <c r="FZ683">
        <v>126.50665041670541</v>
      </c>
      <c r="GA683">
        <v>76.748733919758735</v>
      </c>
      <c r="GB683">
        <v>25.847398324733316</v>
      </c>
      <c r="GC683">
        <v>9.1968536533075245</v>
      </c>
      <c r="GD683">
        <v>4.0366149884743834</v>
      </c>
      <c r="GE683">
        <v>5.4375671920695119</v>
      </c>
      <c r="GF683">
        <v>17.645144725737776</v>
      </c>
      <c r="GG683">
        <v>22.803042149078017</v>
      </c>
      <c r="GH683">
        <v>35.686836382200809</v>
      </c>
      <c r="GI683">
        <v>76.940008858972348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1416.4903826346892</v>
      </c>
      <c r="AO684">
        <v>189.34501965812876</v>
      </c>
      <c r="AP684">
        <v>1499.2910959654689</v>
      </c>
      <c r="AQ684">
        <v>529.73701853727653</v>
      </c>
      <c r="AR684">
        <v>185.95156420649434</v>
      </c>
      <c r="AS684">
        <v>1990.1107545057305</v>
      </c>
      <c r="AT684">
        <v>84.622276849973403</v>
      </c>
      <c r="AU684">
        <v>296.36414771351804</v>
      </c>
      <c r="AV684"/>
      <c r="AW684"/>
      <c r="FY684" s="211">
        <v>679</v>
      </c>
      <c r="FZ684">
        <v>153.00746603705912</v>
      </c>
      <c r="GA684">
        <v>71.566201099091174</v>
      </c>
      <c r="GB684">
        <v>28.184781014315547</v>
      </c>
      <c r="GC684">
        <v>7.7361276718320244</v>
      </c>
      <c r="GD684">
        <v>2.0752355839929422</v>
      </c>
      <c r="GE684">
        <v>3.5242907290337788</v>
      </c>
      <c r="GF684">
        <v>45.337532757254046</v>
      </c>
      <c r="GG684">
        <v>59.429581674636843</v>
      </c>
      <c r="GH684">
        <v>13.3374701242486</v>
      </c>
      <c r="GI684">
        <v>74.977058227448083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1126.4726131300238</v>
      </c>
      <c r="AO685">
        <v>138.4324575232273</v>
      </c>
      <c r="AP685">
        <v>1099.0555356420164</v>
      </c>
      <c r="AQ685">
        <v>476.35714855594364</v>
      </c>
      <c r="AR685">
        <v>135.48635418410936</v>
      </c>
      <c r="AS685">
        <v>1495.8289116831163</v>
      </c>
      <c r="AT685">
        <v>64.630748607540568</v>
      </c>
      <c r="AU685">
        <v>20.761967052953096</v>
      </c>
      <c r="AV685"/>
      <c r="AW685"/>
      <c r="FY685" s="211">
        <v>680</v>
      </c>
      <c r="FZ685">
        <v>114.08392861456682</v>
      </c>
      <c r="GA685">
        <v>66.90279171149929</v>
      </c>
      <c r="GB685">
        <v>29.921888018012702</v>
      </c>
      <c r="GC685">
        <v>8.464954318322917</v>
      </c>
      <c r="GD685">
        <v>3.3304450949243405</v>
      </c>
      <c r="GE685">
        <v>7.85705464916746</v>
      </c>
      <c r="GF685">
        <v>37.877260848652327</v>
      </c>
      <c r="GG685">
        <v>46.972180412000476</v>
      </c>
      <c r="GH685">
        <v>20.890692202763635</v>
      </c>
      <c r="GI685">
        <v>69.954806348647978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1036.4912588327443</v>
      </c>
      <c r="AO686">
        <v>148.68959384701597</v>
      </c>
      <c r="AP686">
        <v>1154.6047881382749</v>
      </c>
      <c r="AQ686">
        <v>355.04270306837958</v>
      </c>
      <c r="AR686">
        <v>145.47609402790729</v>
      </c>
      <c r="AS686">
        <v>1559.1026557037928</v>
      </c>
      <c r="AT686">
        <v>71.420253484579419</v>
      </c>
      <c r="AU686">
        <v>-13.471690776316535</v>
      </c>
      <c r="AV686"/>
      <c r="AW686"/>
      <c r="FY686" s="211">
        <v>681</v>
      </c>
      <c r="FZ686">
        <v>202.84083513411366</v>
      </c>
      <c r="GA686">
        <v>156.29933766929088</v>
      </c>
      <c r="GB686">
        <v>33.888552813932826</v>
      </c>
      <c r="GC686">
        <v>8.277962652378605</v>
      </c>
      <c r="GD686">
        <v>2.2503862334433395</v>
      </c>
      <c r="GE686">
        <v>3.0074516112999259</v>
      </c>
      <c r="GF686">
        <v>27.922818680162816</v>
      </c>
      <c r="GG686">
        <v>40.827685758974233</v>
      </c>
      <c r="GH686">
        <v>22.362251965502523</v>
      </c>
      <c r="GI686">
        <v>81.104812237548742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1253.3602387469659</v>
      </c>
      <c r="AO687">
        <v>164.72855046161902</v>
      </c>
      <c r="AP687">
        <v>1283.9158555629483</v>
      </c>
      <c r="AQ687">
        <v>458.20865630410549</v>
      </c>
      <c r="AR687">
        <v>158.46047932152871</v>
      </c>
      <c r="AS687">
        <v>1785.0906728223272</v>
      </c>
      <c r="AT687">
        <v>71.178942793482477</v>
      </c>
      <c r="AU687">
        <v>256.48469897584647</v>
      </c>
      <c r="AV687"/>
      <c r="AW687"/>
      <c r="FY687" s="211">
        <v>682</v>
      </c>
      <c r="FZ687">
        <v>209.82469561852557</v>
      </c>
      <c r="GA687">
        <v>195.55920526551847</v>
      </c>
      <c r="GB687">
        <v>32.341800569373675</v>
      </c>
      <c r="GC687">
        <v>7.5211702770032023</v>
      </c>
      <c r="GD687">
        <v>4.5937006109470113</v>
      </c>
      <c r="GE687">
        <v>7.8227884442921951</v>
      </c>
      <c r="GF687">
        <v>23.072845698598254</v>
      </c>
      <c r="GG687">
        <v>26.625102142733301</v>
      </c>
      <c r="GH687">
        <v>28.186286846389002</v>
      </c>
      <c r="GI687">
        <v>87.395372667100688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988.98431660671054</v>
      </c>
      <c r="AO688">
        <v>152.95655567905411</v>
      </c>
      <c r="AP688">
        <v>1204.5850896830875</v>
      </c>
      <c r="AQ688">
        <v>333.89598878062543</v>
      </c>
      <c r="AR688">
        <v>144.8351029985746</v>
      </c>
      <c r="AS688">
        <v>1467.1583640404692</v>
      </c>
      <c r="AT688">
        <v>71.379324448265251</v>
      </c>
      <c r="AU688">
        <v>-11.716098275512046</v>
      </c>
      <c r="AV688"/>
      <c r="AW688"/>
      <c r="FY688" s="211">
        <v>683</v>
      </c>
      <c r="FZ688">
        <v>150.09325121136112</v>
      </c>
      <c r="GA688">
        <v>79.998515542797549</v>
      </c>
      <c r="GB688">
        <v>29.885090420532794</v>
      </c>
      <c r="GC688">
        <v>9.6282288792886863</v>
      </c>
      <c r="GD688">
        <v>4.1259360072366578</v>
      </c>
      <c r="GE688">
        <v>6.3320859388877864</v>
      </c>
      <c r="GF688">
        <v>10.732568327859996</v>
      </c>
      <c r="GG688">
        <v>11.995479061946146</v>
      </c>
      <c r="GH688">
        <v>19.599546499580203</v>
      </c>
      <c r="GI688">
        <v>87.753102643470541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1037.7778493918158</v>
      </c>
      <c r="AO689">
        <v>159.7663935123158</v>
      </c>
      <c r="AP689">
        <v>1338.6928955435851</v>
      </c>
      <c r="AQ689">
        <v>397.15185651943074</v>
      </c>
      <c r="AR689">
        <v>154.8369146560737</v>
      </c>
      <c r="AS689">
        <v>1594.6031254957306</v>
      </c>
      <c r="AT689">
        <v>72.428109448640214</v>
      </c>
      <c r="AU689">
        <v>211.05549882934335</v>
      </c>
      <c r="AV689"/>
      <c r="AW689"/>
      <c r="FY689" s="211">
        <v>684</v>
      </c>
      <c r="FZ689">
        <v>162.90178191295394</v>
      </c>
      <c r="GA689">
        <v>131.30055249080922</v>
      </c>
      <c r="GB689">
        <v>33.032349967729587</v>
      </c>
      <c r="GC689">
        <v>8.2054978868255422</v>
      </c>
      <c r="GD689">
        <v>2.9517949799163761</v>
      </c>
      <c r="GE689">
        <v>4.2361016927843549</v>
      </c>
      <c r="GF689">
        <v>33.260549480748139</v>
      </c>
      <c r="GG689">
        <v>44.526463322053708</v>
      </c>
      <c r="GH689">
        <v>23.455259552341133</v>
      </c>
      <c r="GI689">
        <v>86.477193678231146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1212.8714391529606</v>
      </c>
      <c r="AO690">
        <v>170.57006908736372</v>
      </c>
      <c r="AP690">
        <v>1464.0856715060581</v>
      </c>
      <c r="AQ690">
        <v>486.46570131977649</v>
      </c>
      <c r="AR690">
        <v>168.5664150799727</v>
      </c>
      <c r="AS690">
        <v>1757.1491167907463</v>
      </c>
      <c r="AT690">
        <v>80.278211357108077</v>
      </c>
      <c r="AU690">
        <v>462.57886420648288</v>
      </c>
      <c r="AV690"/>
      <c r="AW690"/>
      <c r="FY690" s="211">
        <v>685</v>
      </c>
      <c r="FZ690">
        <v>113.52664007458388</v>
      </c>
      <c r="GA690">
        <v>123.54279301025852</v>
      </c>
      <c r="GB690">
        <v>49.63601174614049</v>
      </c>
      <c r="GC690">
        <v>10.400722408162794</v>
      </c>
      <c r="GD690">
        <v>4.2216767172243852</v>
      </c>
      <c r="GE690">
        <v>6.1688311788002448</v>
      </c>
      <c r="GF690">
        <v>16.31249009102153</v>
      </c>
      <c r="GG690">
        <v>20.774209092633448</v>
      </c>
      <c r="GH690">
        <v>23.278431027685777</v>
      </c>
      <c r="GI690">
        <v>74.196174537084417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1425.5373561320075</v>
      </c>
      <c r="AO691">
        <v>208.18157531465823</v>
      </c>
      <c r="AP691">
        <v>1792.6949938449866</v>
      </c>
      <c r="AQ691">
        <v>578.3931231387312</v>
      </c>
      <c r="AR691">
        <v>202.39466347854813</v>
      </c>
      <c r="AS691">
        <v>2125.0674160727021</v>
      </c>
      <c r="AT691">
        <v>94.835102625124861</v>
      </c>
      <c r="AU691">
        <v>128.28728848991435</v>
      </c>
      <c r="AV691"/>
      <c r="AW691"/>
      <c r="FY691" s="211">
        <v>686</v>
      </c>
      <c r="FZ691">
        <v>205.10159209596793</v>
      </c>
      <c r="GA691">
        <v>111.46960862001345</v>
      </c>
      <c r="GB691">
        <v>25.921516932694683</v>
      </c>
      <c r="GC691">
        <v>8.0309439161497345</v>
      </c>
      <c r="GD691">
        <v>3.4035294253603552</v>
      </c>
      <c r="GE691">
        <v>6.2544681543124376</v>
      </c>
      <c r="GF691">
        <v>40.010943337130627</v>
      </c>
      <c r="GG691">
        <v>51.522305728912919</v>
      </c>
      <c r="GH691">
        <v>34.806820209646574</v>
      </c>
      <c r="GI691">
        <v>88.11989097937753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927.03982099508778</v>
      </c>
      <c r="AO692">
        <v>134.3918200285047</v>
      </c>
      <c r="AP692">
        <v>1175.7863512361043</v>
      </c>
      <c r="AQ692">
        <v>440.24985512902765</v>
      </c>
      <c r="AR692">
        <v>130.90281976089742</v>
      </c>
      <c r="AS692">
        <v>1373.4256257411564</v>
      </c>
      <c r="AT692">
        <v>62.989457295307574</v>
      </c>
      <c r="AU692">
        <v>-10.68448610675226</v>
      </c>
      <c r="AV692"/>
      <c r="AW692"/>
      <c r="FY692" s="211">
        <v>687</v>
      </c>
      <c r="FZ692">
        <v>122.13705922766917</v>
      </c>
      <c r="GA692">
        <v>111.39964837318239</v>
      </c>
      <c r="GB692">
        <v>33.249249832062425</v>
      </c>
      <c r="GC692">
        <v>6.8648358241897771</v>
      </c>
      <c r="GD692">
        <v>2.1260896491578558</v>
      </c>
      <c r="GE692">
        <v>4.887942952651521</v>
      </c>
      <c r="GF692">
        <v>22.751804165033263</v>
      </c>
      <c r="GG692">
        <v>28.697175568412526</v>
      </c>
      <c r="GH692">
        <v>31.058250921617191</v>
      </c>
      <c r="GI692">
        <v>80.915910610816155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1542.6051519324346</v>
      </c>
      <c r="AO693">
        <v>186.04266180881444</v>
      </c>
      <c r="AP693">
        <v>1566.4954969740868</v>
      </c>
      <c r="AQ693">
        <v>514.21750007617686</v>
      </c>
      <c r="AR693">
        <v>176.73129761287765</v>
      </c>
      <c r="AS693">
        <v>1826.1659084809451</v>
      </c>
      <c r="AT693">
        <v>81.615672422672532</v>
      </c>
      <c r="AU693">
        <v>482.79160612530779</v>
      </c>
      <c r="AV693"/>
      <c r="AW693"/>
      <c r="FY693" s="211">
        <v>688</v>
      </c>
      <c r="FZ693">
        <v>87.475070529041275</v>
      </c>
      <c r="GA693">
        <v>93.638367609661472</v>
      </c>
      <c r="GB693">
        <v>34.70933647399422</v>
      </c>
      <c r="GC693">
        <v>8.1873732544899109</v>
      </c>
      <c r="GD693">
        <v>3.3072088353706359</v>
      </c>
      <c r="GE693">
        <v>5.8548583263664087</v>
      </c>
      <c r="GF693">
        <v>45.970259855308072</v>
      </c>
      <c r="GG693">
        <v>57.973186001096067</v>
      </c>
      <c r="GH693">
        <v>25.982936633756477</v>
      </c>
      <c r="GI693">
        <v>76.581520007400769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1093.5591745968072</v>
      </c>
      <c r="AO694">
        <v>185.03168449987479</v>
      </c>
      <c r="AP694">
        <v>1413.8374196912887</v>
      </c>
      <c r="AQ694">
        <v>400.84885061103785</v>
      </c>
      <c r="AR694">
        <v>185.85510203498535</v>
      </c>
      <c r="AS694">
        <v>1848.8758977956506</v>
      </c>
      <c r="AT694">
        <v>96.832850890632429</v>
      </c>
      <c r="AU694">
        <v>218.63366098905016</v>
      </c>
      <c r="AV694"/>
      <c r="AW694"/>
      <c r="FY694" s="211">
        <v>689</v>
      </c>
      <c r="FZ694">
        <v>88.260887644345488</v>
      </c>
      <c r="GA694">
        <v>76.920666025205492</v>
      </c>
      <c r="GB694">
        <v>27.236013172528242</v>
      </c>
      <c r="GC694">
        <v>8.0652143183118596</v>
      </c>
      <c r="GD694">
        <v>3.1853725701045952</v>
      </c>
      <c r="GE694">
        <v>7.6440239492221682</v>
      </c>
      <c r="GF694">
        <v>25.435154588004011</v>
      </c>
      <c r="GG694">
        <v>30.173610059544259</v>
      </c>
      <c r="GH694">
        <v>28.32265070140258</v>
      </c>
      <c r="GI694">
        <v>68.261921998063059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1146.0011840330621</v>
      </c>
      <c r="AO695">
        <v>152.77207200144011</v>
      </c>
      <c r="AP695">
        <v>1313.1416532968988</v>
      </c>
      <c r="AQ695">
        <v>459.17574491891219</v>
      </c>
      <c r="AR695">
        <v>155.24672935600378</v>
      </c>
      <c r="AS695">
        <v>1705.2838253359214</v>
      </c>
      <c r="AT695">
        <v>76.681750742282972</v>
      </c>
      <c r="AU695">
        <v>284.7053771875872</v>
      </c>
      <c r="AV695"/>
      <c r="AW695"/>
      <c r="FY695" s="211">
        <v>690</v>
      </c>
      <c r="FZ695">
        <v>163.25550116709829</v>
      </c>
      <c r="GA695">
        <v>185.95806734887105</v>
      </c>
      <c r="GB695">
        <v>44.269950068747235</v>
      </c>
      <c r="GC695">
        <v>9.1433553420977614</v>
      </c>
      <c r="GD695">
        <v>1.8041685665681166</v>
      </c>
      <c r="GE695">
        <v>2.1219477064990389</v>
      </c>
      <c r="GF695">
        <v>43.491860089070272</v>
      </c>
      <c r="GG695">
        <v>58.659660500435976</v>
      </c>
      <c r="GH695">
        <v>21.09517835771096</v>
      </c>
      <c r="GI695">
        <v>92.637273176877727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1086.5052690573768</v>
      </c>
      <c r="AO696">
        <v>138.96966981665611</v>
      </c>
      <c r="AP696">
        <v>1180.485364299868</v>
      </c>
      <c r="AQ696">
        <v>406.25600221855797</v>
      </c>
      <c r="AR696">
        <v>136.58190010938497</v>
      </c>
      <c r="AS696">
        <v>1557.7601859978249</v>
      </c>
      <c r="AT696">
        <v>64.014177762505383</v>
      </c>
      <c r="AU696">
        <v>180.06767636859686</v>
      </c>
      <c r="AV696"/>
      <c r="AW696"/>
      <c r="FY696" s="211">
        <v>691</v>
      </c>
      <c r="FZ696">
        <v>167.37640195586948</v>
      </c>
      <c r="GA696">
        <v>137.96923772323848</v>
      </c>
      <c r="GB696">
        <v>32.930732816844447</v>
      </c>
      <c r="GC696">
        <v>8.0331142698882267</v>
      </c>
      <c r="GD696">
        <v>5.2181560397476998</v>
      </c>
      <c r="GE696">
        <v>7.5848558158302799</v>
      </c>
      <c r="GF696">
        <v>24.013299006048449</v>
      </c>
      <c r="GG696">
        <v>29.391685061871659</v>
      </c>
      <c r="GH696">
        <v>22.993957950441924</v>
      </c>
      <c r="GI696">
        <v>74.264186299241246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1191.8222130805693</v>
      </c>
      <c r="AO697">
        <v>189.03616361353812</v>
      </c>
      <c r="AP697">
        <v>1710.9101292422761</v>
      </c>
      <c r="AQ697">
        <v>578.78209475664767</v>
      </c>
      <c r="AR697">
        <v>183.57476224886372</v>
      </c>
      <c r="AS697">
        <v>1867.0168346154107</v>
      </c>
      <c r="AT697">
        <v>84.546039431939491</v>
      </c>
      <c r="AU697">
        <v>-182.36683871404713</v>
      </c>
      <c r="AV697"/>
      <c r="AW697"/>
      <c r="FY697" s="211">
        <v>692</v>
      </c>
      <c r="FZ697">
        <v>119.182926369908</v>
      </c>
      <c r="GA697">
        <v>116.86692763801776</v>
      </c>
      <c r="GB697">
        <v>21.787773170453448</v>
      </c>
      <c r="GC697">
        <v>5.5141317721940295</v>
      </c>
      <c r="GD697">
        <v>1.820350829308697</v>
      </c>
      <c r="GE697">
        <v>3.5955316523751462</v>
      </c>
      <c r="GF697">
        <v>24.308268192122071</v>
      </c>
      <c r="GG697">
        <v>30.392876698392332</v>
      </c>
      <c r="GH697">
        <v>12.91633464621917</v>
      </c>
      <c r="GI697">
        <v>60.84662929353545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1279.2335975670253</v>
      </c>
      <c r="AO698">
        <v>193.16079357831217</v>
      </c>
      <c r="AP698">
        <v>1683.2399927489087</v>
      </c>
      <c r="AQ698">
        <v>622.9429681404813</v>
      </c>
      <c r="AR698">
        <v>182.50692665830263</v>
      </c>
      <c r="AS698">
        <v>1859.2378342639333</v>
      </c>
      <c r="AT698">
        <v>88.536525701790708</v>
      </c>
      <c r="AU698">
        <v>16.346129794737344</v>
      </c>
      <c r="AV698"/>
      <c r="AW698"/>
      <c r="FY698" s="211">
        <v>693</v>
      </c>
      <c r="FZ698">
        <v>185.08206752790434</v>
      </c>
      <c r="GA698">
        <v>129.48487333159343</v>
      </c>
      <c r="GB698">
        <v>19.437331574701634</v>
      </c>
      <c r="GC698">
        <v>5.3033272268484648</v>
      </c>
      <c r="GD698">
        <v>2.3349892708735149</v>
      </c>
      <c r="GE698">
        <v>3.6480088432145852</v>
      </c>
      <c r="GF698">
        <v>21.734561446044832</v>
      </c>
      <c r="GG698">
        <v>30.269594187312858</v>
      </c>
      <c r="GH698">
        <v>26.000009690138807</v>
      </c>
      <c r="GI698">
        <v>74.466745461291211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1123.66456427614</v>
      </c>
      <c r="AO699">
        <v>203.90779865375208</v>
      </c>
      <c r="AP699">
        <v>1394.071848539309</v>
      </c>
      <c r="AQ699">
        <v>410.1438045329615</v>
      </c>
      <c r="AR699">
        <v>200.55490697418222</v>
      </c>
      <c r="AS699">
        <v>2187.3303546279417</v>
      </c>
      <c r="AT699">
        <v>109.38626431356221</v>
      </c>
      <c r="AU699">
        <v>192.87583202298799</v>
      </c>
      <c r="AV699"/>
      <c r="AW699"/>
      <c r="FY699" s="211">
        <v>694</v>
      </c>
      <c r="FZ699">
        <v>233.665341688295</v>
      </c>
      <c r="GA699">
        <v>154.69023086380832</v>
      </c>
      <c r="GB699">
        <v>24.525046318274402</v>
      </c>
      <c r="GC699">
        <v>9.5644964957920919</v>
      </c>
      <c r="GD699">
        <v>3.7128681540073285</v>
      </c>
      <c r="GE699">
        <v>2.3395048088827619</v>
      </c>
      <c r="GF699">
        <v>7.2395809421714219</v>
      </c>
      <c r="GG699">
        <v>10.305136058102159</v>
      </c>
      <c r="GH699">
        <v>19.678376206743931</v>
      </c>
      <c r="GI699">
        <v>70.681256675262276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1238.7685981547672</v>
      </c>
      <c r="AO700">
        <v>174.64467149142965</v>
      </c>
      <c r="AP700">
        <v>1388.2013120893926</v>
      </c>
      <c r="AQ700">
        <v>530.34754496439314</v>
      </c>
      <c r="AR700">
        <v>170.41525818064761</v>
      </c>
      <c r="AS700">
        <v>1933.2500307104415</v>
      </c>
      <c r="AT700">
        <v>89.246841831354004</v>
      </c>
      <c r="AU700">
        <v>177.062530438019</v>
      </c>
      <c r="AV700"/>
      <c r="AW700"/>
      <c r="FY700" s="211">
        <v>695</v>
      </c>
      <c r="FZ700">
        <v>186.75556000234789</v>
      </c>
      <c r="GA700">
        <v>192.97308063102844</v>
      </c>
      <c r="GB700">
        <v>39.284014991674702</v>
      </c>
      <c r="GC700">
        <v>9.7135795420071531</v>
      </c>
      <c r="GD700">
        <v>5.5177162031244888</v>
      </c>
      <c r="GE700">
        <v>7.8747926163926314</v>
      </c>
      <c r="GF700">
        <v>20.428360736355458</v>
      </c>
      <c r="GG700">
        <v>22.21182172065809</v>
      </c>
      <c r="GH700">
        <v>16.625731712717993</v>
      </c>
      <c r="GI700">
        <v>82.953050367245439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1104.1290831734218</v>
      </c>
      <c r="AO701">
        <v>141.08833368437337</v>
      </c>
      <c r="AP701">
        <v>1123.7807929996598</v>
      </c>
      <c r="AQ701">
        <v>442.05797988359541</v>
      </c>
      <c r="AR701">
        <v>142.78838816155653</v>
      </c>
      <c r="AS701">
        <v>1596.4104470492584</v>
      </c>
      <c r="AT701">
        <v>71.644762712757142</v>
      </c>
      <c r="AU701">
        <v>125.04789635415202</v>
      </c>
      <c r="AV701"/>
      <c r="AW701"/>
      <c r="FY701" s="211">
        <v>696</v>
      </c>
      <c r="FZ701">
        <v>153.08623289272151</v>
      </c>
      <c r="GA701">
        <v>136.87162583905717</v>
      </c>
      <c r="GB701">
        <v>48.538654346274768</v>
      </c>
      <c r="GC701">
        <v>12.421782879175788</v>
      </c>
      <c r="GD701">
        <v>4.2049758451318509</v>
      </c>
      <c r="GE701">
        <v>4.2209848089274926</v>
      </c>
      <c r="GF701">
        <v>10.385455104062931</v>
      </c>
      <c r="GG701">
        <v>17.284794225434428</v>
      </c>
      <c r="GH701">
        <v>31.541111335614232</v>
      </c>
      <c r="GI701">
        <v>78.624502620895115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1320.1214665914717</v>
      </c>
      <c r="AO702">
        <v>201.6669018926064</v>
      </c>
      <c r="AP702">
        <v>1849.2552988024408</v>
      </c>
      <c r="AQ702">
        <v>574.64161939956625</v>
      </c>
      <c r="AR702">
        <v>200.01545806208628</v>
      </c>
      <c r="AS702">
        <v>2148.400962964618</v>
      </c>
      <c r="AT702">
        <v>98.278855588995114</v>
      </c>
      <c r="AU702">
        <v>216.20345799528749</v>
      </c>
      <c r="AV702"/>
      <c r="AW702"/>
      <c r="FY702" s="211">
        <v>697</v>
      </c>
      <c r="FZ702">
        <v>200.02618551150076</v>
      </c>
      <c r="GA702">
        <v>151.87427346413426</v>
      </c>
      <c r="GB702">
        <v>41.214816149827577</v>
      </c>
      <c r="GC702">
        <v>8.870901398576752</v>
      </c>
      <c r="GD702">
        <v>2.953730326265473</v>
      </c>
      <c r="GE702">
        <v>5.8298446583614796</v>
      </c>
      <c r="GF702">
        <v>28.061898901989228</v>
      </c>
      <c r="GG702">
        <v>32.711896404493636</v>
      </c>
      <c r="GH702">
        <v>28.209203645921104</v>
      </c>
      <c r="GI702">
        <v>81.429712396309711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1147.1881465051647</v>
      </c>
      <c r="AO703">
        <v>205.77524352181914</v>
      </c>
      <c r="AP703">
        <v>1752.7696099876027</v>
      </c>
      <c r="AQ703">
        <v>444.08796712479227</v>
      </c>
      <c r="AR703">
        <v>198.71497113756931</v>
      </c>
      <c r="AS703">
        <v>1988.2373311826102</v>
      </c>
      <c r="AT703">
        <v>99.757706917649855</v>
      </c>
      <c r="AU703">
        <v>231.70861149032916</v>
      </c>
      <c r="AV703"/>
      <c r="AW703"/>
      <c r="FY703" s="211">
        <v>698</v>
      </c>
      <c r="FZ703">
        <v>99.233938361308361</v>
      </c>
      <c r="GA703">
        <v>110.06933250309929</v>
      </c>
      <c r="GB703">
        <v>32.147145934154928</v>
      </c>
      <c r="GC703">
        <v>6.5497467346606282</v>
      </c>
      <c r="GD703">
        <v>2.4213853211020986</v>
      </c>
      <c r="GE703">
        <v>3.7326893075119409</v>
      </c>
      <c r="GF703">
        <v>53.480479056402999</v>
      </c>
      <c r="GG703">
        <v>66.090714785432269</v>
      </c>
      <c r="GH703">
        <v>21.620152514183054</v>
      </c>
      <c r="GI703">
        <v>79.533715591457721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1242.4961325580466</v>
      </c>
      <c r="AO704">
        <v>149.84508212013876</v>
      </c>
      <c r="AP704">
        <v>1255.5290170078599</v>
      </c>
      <c r="AQ704">
        <v>439.68011752648533</v>
      </c>
      <c r="AR704">
        <v>147.10469553184447</v>
      </c>
      <c r="AS704">
        <v>1650.8120362375957</v>
      </c>
      <c r="AT704">
        <v>68.638165968474695</v>
      </c>
      <c r="AU704">
        <v>371.75747488704064</v>
      </c>
      <c r="AV704"/>
      <c r="AW704"/>
      <c r="FY704" s="211">
        <v>699</v>
      </c>
      <c r="FZ704">
        <v>127.8907962136425</v>
      </c>
      <c r="GA704">
        <v>69.81218430892983</v>
      </c>
      <c r="GB704">
        <v>25.062037157068882</v>
      </c>
      <c r="GC704">
        <v>8.0184637639896543</v>
      </c>
      <c r="GD704">
        <v>3.0981105789528609</v>
      </c>
      <c r="GE704">
        <v>7.2869408551482504</v>
      </c>
      <c r="GF704">
        <v>32.72041569455552</v>
      </c>
      <c r="GG704">
        <v>37.514004718371709</v>
      </c>
      <c r="GH704">
        <v>22.872705411553881</v>
      </c>
      <c r="GI704">
        <v>73.003262585811342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1014.6737407313054</v>
      </c>
      <c r="AO705">
        <v>132.60529233370772</v>
      </c>
      <c r="AP705">
        <v>976.57406834839139</v>
      </c>
      <c r="AQ705">
        <v>363.5055150267317</v>
      </c>
      <c r="AR705">
        <v>126.17613528426214</v>
      </c>
      <c r="AS705">
        <v>1395.7810027281953</v>
      </c>
      <c r="AT705">
        <v>61.207001471928315</v>
      </c>
      <c r="AU705">
        <v>84.052663713990142</v>
      </c>
      <c r="AV705"/>
      <c r="AW705"/>
      <c r="FY705" s="211">
        <v>700</v>
      </c>
      <c r="FZ705">
        <v>168.58704907848198</v>
      </c>
      <c r="GA705">
        <v>95.777225815680083</v>
      </c>
      <c r="GB705">
        <v>23.743497979280857</v>
      </c>
      <c r="GC705">
        <v>7.1420793081986833</v>
      </c>
      <c r="GD705">
        <v>2.5619901542394539</v>
      </c>
      <c r="GE705">
        <v>4.6637622118603881</v>
      </c>
      <c r="GF705">
        <v>37.037635986077859</v>
      </c>
      <c r="GG705">
        <v>48.672997161037365</v>
      </c>
      <c r="GH705">
        <v>25.750482762448826</v>
      </c>
      <c r="GI705">
        <v>77.916134064206389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1405.8290094315157</v>
      </c>
      <c r="AO706">
        <v>182.33089285744214</v>
      </c>
      <c r="AP706">
        <v>1539.0918914588883</v>
      </c>
      <c r="AQ706">
        <v>622.43696232397633</v>
      </c>
      <c r="AR706">
        <v>175.17696400401078</v>
      </c>
      <c r="AS706">
        <v>1999.9829277102212</v>
      </c>
      <c r="AT706">
        <v>84.22764853526246</v>
      </c>
      <c r="AU706">
        <v>21.455761691169442</v>
      </c>
      <c r="AV706"/>
      <c r="AW706"/>
      <c r="FY706" s="211">
        <v>701</v>
      </c>
      <c r="FZ706">
        <v>152.30863481782407</v>
      </c>
      <c r="GA706">
        <v>96.785961191020192</v>
      </c>
      <c r="GB706">
        <v>41.968836359802502</v>
      </c>
      <c r="GC706">
        <v>10.063578940391093</v>
      </c>
      <c r="GD706">
        <v>2.3753277247058753</v>
      </c>
      <c r="GE706">
        <v>6.6881534191234202</v>
      </c>
      <c r="GF706">
        <v>35.068803332127573</v>
      </c>
      <c r="GG706">
        <v>42.476742704710169</v>
      </c>
      <c r="GH706">
        <v>21.319722720585542</v>
      </c>
      <c r="GI706">
        <v>85.5801257163385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1137.7508800391875</v>
      </c>
      <c r="AO707">
        <v>141.7231919282126</v>
      </c>
      <c r="AP707">
        <v>1231.6300587658718</v>
      </c>
      <c r="AQ707">
        <v>509.775626939022</v>
      </c>
      <c r="AR707">
        <v>139.68438338993175</v>
      </c>
      <c r="AS707">
        <v>1494.1197968909742</v>
      </c>
      <c r="AT707">
        <v>71.47895924027587</v>
      </c>
      <c r="AU707">
        <v>146.47041614942214</v>
      </c>
      <c r="AV707"/>
      <c r="AW707"/>
      <c r="FY707" s="211">
        <v>702</v>
      </c>
      <c r="FZ707">
        <v>83.327363794688253</v>
      </c>
      <c r="GA707">
        <v>77.113504163445498</v>
      </c>
      <c r="GB707">
        <v>25.425804447759841</v>
      </c>
      <c r="GC707">
        <v>8.6191135947711075</v>
      </c>
      <c r="GD707">
        <v>2.7589761938730248</v>
      </c>
      <c r="GE707">
        <v>3.9823326442896239</v>
      </c>
      <c r="GF707">
        <v>35.815943715415919</v>
      </c>
      <c r="GG707">
        <v>44.589182235900786</v>
      </c>
      <c r="GH707">
        <v>24.336347033781458</v>
      </c>
      <c r="GI707">
        <v>68.750806642620333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880.15980529905391</v>
      </c>
      <c r="AO708">
        <v>122.761442215857</v>
      </c>
      <c r="AP708">
        <v>998.86507561631447</v>
      </c>
      <c r="AQ708">
        <v>397.23175026252613</v>
      </c>
      <c r="AR708">
        <v>117.86318093682497</v>
      </c>
      <c r="AS708">
        <v>1328.7635779180875</v>
      </c>
      <c r="AT708">
        <v>58.069757260589434</v>
      </c>
      <c r="AU708">
        <v>31.237081421755242</v>
      </c>
      <c r="AV708"/>
      <c r="AW708"/>
      <c r="FY708" s="211">
        <v>703</v>
      </c>
      <c r="FZ708">
        <v>158.97604409293979</v>
      </c>
      <c r="GA708">
        <v>113.13456146944378</v>
      </c>
      <c r="GB708">
        <v>29.441081965627063</v>
      </c>
      <c r="GC708">
        <v>7.3236887038095375</v>
      </c>
      <c r="GD708">
        <v>3.1974071132104518</v>
      </c>
      <c r="GE708">
        <v>6.843091997128349</v>
      </c>
      <c r="GF708">
        <v>33.979240097804229</v>
      </c>
      <c r="GG708">
        <v>42.97149401319728</v>
      </c>
      <c r="GH708">
        <v>24.550043582672757</v>
      </c>
      <c r="GI708">
        <v>77.600546172737822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1011.2069426435797</v>
      </c>
      <c r="AO709">
        <v>166.95226880211894</v>
      </c>
      <c r="AP709">
        <v>1474.0960779753391</v>
      </c>
      <c r="AQ709">
        <v>497.76150855992375</v>
      </c>
      <c r="AR709">
        <v>164.60073296135886</v>
      </c>
      <c r="AS709">
        <v>1717.9901308673423</v>
      </c>
      <c r="AT709">
        <v>85.395618241759607</v>
      </c>
      <c r="AU709">
        <v>103.45028745444469</v>
      </c>
      <c r="AV709"/>
      <c r="AW709"/>
      <c r="FY709" s="211">
        <v>704</v>
      </c>
      <c r="FZ709">
        <v>172.51265829730247</v>
      </c>
      <c r="GA709">
        <v>105.26739719140346</v>
      </c>
      <c r="GB709">
        <v>22.29765490089866</v>
      </c>
      <c r="GC709">
        <v>6.9794270148008888</v>
      </c>
      <c r="GD709">
        <v>2.6586412820346155</v>
      </c>
      <c r="GE709">
        <v>6.5892235358408859</v>
      </c>
      <c r="GF709">
        <v>26.492732837701016</v>
      </c>
      <c r="GG709">
        <v>32.213146321545764</v>
      </c>
      <c r="GH709">
        <v>18.877667199855065</v>
      </c>
      <c r="GI709">
        <v>71.074632367364018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946.39854310529518</v>
      </c>
      <c r="AO710">
        <v>160.01033977696648</v>
      </c>
      <c r="AP710">
        <v>1391.7812609430061</v>
      </c>
      <c r="AQ710">
        <v>536.40183821133962</v>
      </c>
      <c r="AR710">
        <v>158.11457302384946</v>
      </c>
      <c r="AS710">
        <v>1674.8234517904389</v>
      </c>
      <c r="AT710">
        <v>87.896854801712649</v>
      </c>
      <c r="AU710">
        <v>-41.586158993789581</v>
      </c>
      <c r="AV710"/>
      <c r="AW710"/>
      <c r="FY710" s="211">
        <v>705</v>
      </c>
      <c r="FZ710">
        <v>133.51126653022916</v>
      </c>
      <c r="GA710">
        <v>92.591209456486723</v>
      </c>
      <c r="GB710">
        <v>30.896597892191778</v>
      </c>
      <c r="GC710">
        <v>11.308973239626024</v>
      </c>
      <c r="GD710">
        <v>3.6910272650694136</v>
      </c>
      <c r="GE710">
        <v>3.442637069384598</v>
      </c>
      <c r="GF710">
        <v>8.106057744018015</v>
      </c>
      <c r="GG710">
        <v>11.140124820545878</v>
      </c>
      <c r="GH710">
        <v>31.830539080695033</v>
      </c>
      <c r="GI710">
        <v>70.069798801090982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1261.9110635401603</v>
      </c>
      <c r="AO711">
        <v>157.94042499496152</v>
      </c>
      <c r="AP711">
        <v>1331.7602055772129</v>
      </c>
      <c r="AQ711">
        <v>584.33770852355235</v>
      </c>
      <c r="AR711">
        <v>153.03493573583418</v>
      </c>
      <c r="AS711">
        <v>1693.592259296574</v>
      </c>
      <c r="AT711">
        <v>73.923465934007837</v>
      </c>
      <c r="AU711">
        <v>-0.57043900064118702</v>
      </c>
      <c r="AV711"/>
      <c r="AW711"/>
      <c r="FY711" s="211">
        <v>706</v>
      </c>
      <c r="FZ711">
        <v>117.78143269021177</v>
      </c>
      <c r="GA711">
        <v>83.309737587913546</v>
      </c>
      <c r="GB711">
        <v>24.850642564491729</v>
      </c>
      <c r="GC711">
        <v>6.3206380334045953</v>
      </c>
      <c r="GD711">
        <v>3.372814572473958</v>
      </c>
      <c r="GE711">
        <v>5.5646308823120609</v>
      </c>
      <c r="GF711">
        <v>37.598983502457898</v>
      </c>
      <c r="GG711">
        <v>47.422945300364567</v>
      </c>
      <c r="GH711">
        <v>20.503222834655219</v>
      </c>
      <c r="GI711">
        <v>72.635171799919178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1169.7085268733588</v>
      </c>
      <c r="AO712">
        <v>166.51766568726345</v>
      </c>
      <c r="AP712">
        <v>1415.9929277260214</v>
      </c>
      <c r="AQ712">
        <v>497.1801198972953</v>
      </c>
      <c r="AR712">
        <v>166.70955067709625</v>
      </c>
      <c r="AS712">
        <v>1691.3317264625202</v>
      </c>
      <c r="AT712">
        <v>85.253419222276861</v>
      </c>
      <c r="AU712">
        <v>67.363356946647855</v>
      </c>
      <c r="AV712"/>
      <c r="AW712"/>
      <c r="FY712" s="211">
        <v>707</v>
      </c>
      <c r="FZ712">
        <v>133.00530703037788</v>
      </c>
      <c r="GA712">
        <v>78.533965989650937</v>
      </c>
      <c r="GB712">
        <v>23.084527017799289</v>
      </c>
      <c r="GC712">
        <v>7.89399111305217</v>
      </c>
      <c r="GD712">
        <v>3.490252157392626</v>
      </c>
      <c r="GE712">
        <v>6.3962334901373818</v>
      </c>
      <c r="GF712">
        <v>27.544923523144845</v>
      </c>
      <c r="GG712">
        <v>33.37712354690391</v>
      </c>
      <c r="GH712">
        <v>27.288437380985776</v>
      </c>
      <c r="GI712">
        <v>73.648800039928361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1250.263533998007</v>
      </c>
      <c r="AO713">
        <v>177.68793333003811</v>
      </c>
      <c r="AP713">
        <v>1568.6103376971839</v>
      </c>
      <c r="AQ713">
        <v>581.18246285738007</v>
      </c>
      <c r="AR713">
        <v>177.6170962160335</v>
      </c>
      <c r="AS713">
        <v>1935.5521135056122</v>
      </c>
      <c r="AT713">
        <v>89.629876772520376</v>
      </c>
      <c r="AU713">
        <v>197.80758409264376</v>
      </c>
      <c r="AV713"/>
      <c r="AW713"/>
      <c r="FY713" s="211">
        <v>708</v>
      </c>
      <c r="FZ713">
        <v>160.26263105457718</v>
      </c>
      <c r="GA713">
        <v>96.961568949096133</v>
      </c>
      <c r="GB713">
        <v>28.377693700435927</v>
      </c>
      <c r="GC713">
        <v>9.176516885952994</v>
      </c>
      <c r="GD713">
        <v>4.3208310292122345</v>
      </c>
      <c r="GE713">
        <v>6.8849672490658698</v>
      </c>
      <c r="GF713">
        <v>20.677065365176919</v>
      </c>
      <c r="GG713">
        <v>23.857520774429688</v>
      </c>
      <c r="GH713">
        <v>30.806300381658772</v>
      </c>
      <c r="GI713">
        <v>81.06373748836144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1316.7453054567561</v>
      </c>
      <c r="AO714">
        <v>166.83737822288333</v>
      </c>
      <c r="AP714">
        <v>1422.7570733575365</v>
      </c>
      <c r="AQ714">
        <v>474.87930010931331</v>
      </c>
      <c r="AR714">
        <v>161.3766200172237</v>
      </c>
      <c r="AS714">
        <v>1739.3177147497311</v>
      </c>
      <c r="AT714">
        <v>73.410640584631309</v>
      </c>
      <c r="AU714">
        <v>489.46211452459113</v>
      </c>
      <c r="AV714"/>
      <c r="AW714"/>
      <c r="FY714" s="211">
        <v>709</v>
      </c>
      <c r="FZ714">
        <v>78.279639447299061</v>
      </c>
      <c r="GA714">
        <v>76.547810180014267</v>
      </c>
      <c r="GB714">
        <v>26.264529410454312</v>
      </c>
      <c r="GC714">
        <v>9.7837183671882553</v>
      </c>
      <c r="GD714">
        <v>3.9537412358746042</v>
      </c>
      <c r="GE714">
        <v>5.2437919974410612</v>
      </c>
      <c r="GF714">
        <v>6.1481424071593027</v>
      </c>
      <c r="GG714">
        <v>8.2001933267668257</v>
      </c>
      <c r="GH714">
        <v>26.570696473379208</v>
      </c>
      <c r="GI714">
        <v>61.081075807444662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1091.4881546755439</v>
      </c>
      <c r="AO715">
        <v>165.2128295832776</v>
      </c>
      <c r="AP715">
        <v>1427.9935602456624</v>
      </c>
      <c r="AQ715">
        <v>407.27892128802438</v>
      </c>
      <c r="AR715">
        <v>163.98967030097538</v>
      </c>
      <c r="AS715">
        <v>1659.2449539492115</v>
      </c>
      <c r="AT715">
        <v>74.572960766413601</v>
      </c>
      <c r="AU715">
        <v>167.4235227490376</v>
      </c>
      <c r="AV715"/>
      <c r="AW715"/>
      <c r="FY715" s="211">
        <v>710</v>
      </c>
      <c r="FZ715">
        <v>144.34294738259121</v>
      </c>
      <c r="GA715">
        <v>137.06136633111404</v>
      </c>
      <c r="GB715">
        <v>31.19171805730463</v>
      </c>
      <c r="GC715">
        <v>5.5818289194025565</v>
      </c>
      <c r="GD715">
        <v>2.3358588019358235</v>
      </c>
      <c r="GE715">
        <v>4.0600572770002303</v>
      </c>
      <c r="GF715">
        <v>33.669046096626218</v>
      </c>
      <c r="GG715">
        <v>42.448483876021811</v>
      </c>
      <c r="GH715">
        <v>30.302357119928235</v>
      </c>
      <c r="GI715">
        <v>77.992864385933359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1149.9075110325743</v>
      </c>
      <c r="AO716">
        <v>165.7334502516108</v>
      </c>
      <c r="AP716">
        <v>1480.9392745774537</v>
      </c>
      <c r="AQ716">
        <v>491.85285452151192</v>
      </c>
      <c r="AR716">
        <v>162.56423161806816</v>
      </c>
      <c r="AS716">
        <v>1746.0786550077225</v>
      </c>
      <c r="AT716">
        <v>80.715752268764774</v>
      </c>
      <c r="AU716">
        <v>169.16943602428103</v>
      </c>
      <c r="AV716"/>
      <c r="AW716"/>
      <c r="FY716" s="211">
        <v>711</v>
      </c>
      <c r="FZ716">
        <v>74.958053123801932</v>
      </c>
      <c r="GA716">
        <v>77.517895057822813</v>
      </c>
      <c r="GB716">
        <v>36.970378514910649</v>
      </c>
      <c r="GC716">
        <v>9.8732085349182714</v>
      </c>
      <c r="GD716">
        <v>2.1285989758084591</v>
      </c>
      <c r="GE716">
        <v>4.4204151832657796</v>
      </c>
      <c r="GF716">
        <v>39.55575585478126</v>
      </c>
      <c r="GG716">
        <v>48.330485783142933</v>
      </c>
      <c r="GH716">
        <v>21.645914428757013</v>
      </c>
      <c r="GI716">
        <v>77.243804689879411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1244.9661591409244</v>
      </c>
      <c r="AO717">
        <v>168.29864397845483</v>
      </c>
      <c r="AP717">
        <v>1415.3527877038189</v>
      </c>
      <c r="AQ717">
        <v>494.63588692662893</v>
      </c>
      <c r="AR717">
        <v>169.377098650797</v>
      </c>
      <c r="AS717">
        <v>1826.2305277395646</v>
      </c>
      <c r="AT717">
        <v>86.025449186278124</v>
      </c>
      <c r="AU717">
        <v>372.91579910188</v>
      </c>
      <c r="AV717"/>
      <c r="AW717"/>
      <c r="FY717" s="211">
        <v>712</v>
      </c>
      <c r="FZ717">
        <v>88.434460729226203</v>
      </c>
      <c r="GA717">
        <v>70.232422892479036</v>
      </c>
      <c r="GB717">
        <v>29.083237972250419</v>
      </c>
      <c r="GC717">
        <v>7.8357988345284486</v>
      </c>
      <c r="GD717">
        <v>2.7786082778493464</v>
      </c>
      <c r="GE717">
        <v>6.0805820348057011</v>
      </c>
      <c r="GF717">
        <v>26.176812504751744</v>
      </c>
      <c r="GG717">
        <v>30.175744755526289</v>
      </c>
      <c r="GH717">
        <v>15.896583869234975</v>
      </c>
      <c r="GI717">
        <v>57.810173046749881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1053.0213296844472</v>
      </c>
      <c r="AO718">
        <v>137.4737225688788</v>
      </c>
      <c r="AP718">
        <v>1145.3072199028095</v>
      </c>
      <c r="AQ718">
        <v>374.71937446654584</v>
      </c>
      <c r="AR718">
        <v>132.42422964984073</v>
      </c>
      <c r="AS718">
        <v>1428.397307787342</v>
      </c>
      <c r="AT718">
        <v>62.937352903539612</v>
      </c>
      <c r="AU718">
        <v>162.09235738674147</v>
      </c>
      <c r="AV718"/>
      <c r="AW718"/>
      <c r="FY718" s="211">
        <v>713</v>
      </c>
      <c r="FZ718">
        <v>121.58318645868992</v>
      </c>
      <c r="GA718">
        <v>104.25247604153407</v>
      </c>
      <c r="GB718">
        <v>39.436624353304651</v>
      </c>
      <c r="GC718">
        <v>9.4261322195665436</v>
      </c>
      <c r="GD718">
        <v>3.0309425141122883</v>
      </c>
      <c r="GE718">
        <v>5.3080002348346547</v>
      </c>
      <c r="GF718">
        <v>24.986650651593678</v>
      </c>
      <c r="GG718">
        <v>34.518848770030317</v>
      </c>
      <c r="GH718">
        <v>16.283059422874981</v>
      </c>
      <c r="GI718">
        <v>71.272256773693599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1166.17481152645</v>
      </c>
      <c r="AO719">
        <v>171.42535633104899</v>
      </c>
      <c r="AP719">
        <v>1425.2636251706756</v>
      </c>
      <c r="AQ719">
        <v>498.01719920857101</v>
      </c>
      <c r="AR719">
        <v>167.55428428144711</v>
      </c>
      <c r="AS719">
        <v>1734.9535636417013</v>
      </c>
      <c r="AT719">
        <v>81.418449497711549</v>
      </c>
      <c r="AU719">
        <v>234.9724897516619</v>
      </c>
      <c r="AV719"/>
      <c r="AW719"/>
      <c r="FY719" s="211">
        <v>714</v>
      </c>
      <c r="FZ719">
        <v>104.49614922836453</v>
      </c>
      <c r="GA719">
        <v>90.823684830317163</v>
      </c>
      <c r="GB719">
        <v>30.541018068861987</v>
      </c>
      <c r="GC719">
        <v>7.7183027881615685</v>
      </c>
      <c r="GD719">
        <v>3.395102855380244</v>
      </c>
      <c r="GE719">
        <v>7.4861532621945983</v>
      </c>
      <c r="GF719">
        <v>16.329348990416378</v>
      </c>
      <c r="GG719">
        <v>19.733165594331485</v>
      </c>
      <c r="GH719">
        <v>28.999476971321283</v>
      </c>
      <c r="GI719">
        <v>80.176241575899397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1007.7745725534299</v>
      </c>
      <c r="AO720">
        <v>148.58680970539459</v>
      </c>
      <c r="AP720">
        <v>1236.2443212083717</v>
      </c>
      <c r="AQ720">
        <v>464.96318094874675</v>
      </c>
      <c r="AR720">
        <v>146.48454885985842</v>
      </c>
      <c r="AS720">
        <v>1648.8400713492638</v>
      </c>
      <c r="AT720">
        <v>72.477843977028186</v>
      </c>
      <c r="AU720">
        <v>90.702410487138238</v>
      </c>
      <c r="AV720"/>
      <c r="AW720"/>
      <c r="FY720" s="211">
        <v>715</v>
      </c>
      <c r="FZ720">
        <v>147.8589677022461</v>
      </c>
      <c r="GA720">
        <v>142.23110777261385</v>
      </c>
      <c r="GB720">
        <v>45.887069251892193</v>
      </c>
      <c r="GC720">
        <v>10.248239236909901</v>
      </c>
      <c r="GD720">
        <v>3.4973880091756318</v>
      </c>
      <c r="GE720">
        <v>4.2163772088730358</v>
      </c>
      <c r="GF720">
        <v>26.759839269117656</v>
      </c>
      <c r="GG720">
        <v>36.206081053242329</v>
      </c>
      <c r="GH720">
        <v>36.563823426760976</v>
      </c>
      <c r="GI720">
        <v>92.296831667284849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954.70343028667173</v>
      </c>
      <c r="AO721">
        <v>134.4375834368976</v>
      </c>
      <c r="AP721">
        <v>1088.4666270840814</v>
      </c>
      <c r="AQ721">
        <v>396.58823189933759</v>
      </c>
      <c r="AR721">
        <v>134.34653874114889</v>
      </c>
      <c r="AS721">
        <v>1494.2391702091898</v>
      </c>
      <c r="AT721">
        <v>69.215645328522854</v>
      </c>
      <c r="AU721">
        <v>51.059369047922758</v>
      </c>
      <c r="AV721"/>
      <c r="AW721"/>
      <c r="FY721" s="211">
        <v>716</v>
      </c>
      <c r="FZ721">
        <v>155.30566428546737</v>
      </c>
      <c r="GA721">
        <v>132.55968375491923</v>
      </c>
      <c r="GB721">
        <v>34.122540022155114</v>
      </c>
      <c r="GC721">
        <v>12.842308361805202</v>
      </c>
      <c r="GD721">
        <v>4.504532830630458</v>
      </c>
      <c r="GE721">
        <v>4.3054180549084275</v>
      </c>
      <c r="GF721">
        <v>27.195891219434927</v>
      </c>
      <c r="GG721">
        <v>34.567826523527366</v>
      </c>
      <c r="GH721">
        <v>29.195047650267593</v>
      </c>
      <c r="GI721">
        <v>91.968256046702066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1105.4730448927376</v>
      </c>
      <c r="AO722">
        <v>156.85422067999383</v>
      </c>
      <c r="AP722">
        <v>1314.73755504372</v>
      </c>
      <c r="AQ722">
        <v>419.36021976820456</v>
      </c>
      <c r="AR722">
        <v>154.31071415622995</v>
      </c>
      <c r="AS722">
        <v>1601.396316010047</v>
      </c>
      <c r="AT722">
        <v>74.259285653537901</v>
      </c>
      <c r="AU722">
        <v>387.84133058729401</v>
      </c>
      <c r="AV722"/>
      <c r="AW722"/>
      <c r="FY722" s="211">
        <v>717</v>
      </c>
      <c r="FZ722">
        <v>153.06085059041681</v>
      </c>
      <c r="GA722">
        <v>121.50243058985319</v>
      </c>
      <c r="GB722">
        <v>32.122356470313974</v>
      </c>
      <c r="GC722">
        <v>9.2943738597105838</v>
      </c>
      <c r="GD722">
        <v>2.8416975479224442</v>
      </c>
      <c r="GE722">
        <v>5.370013801367338</v>
      </c>
      <c r="GF722">
        <v>39.007426781115988</v>
      </c>
      <c r="GG722">
        <v>47.894694216496362</v>
      </c>
      <c r="GH722">
        <v>42.143187729653711</v>
      </c>
      <c r="GI722">
        <v>93.461887205151911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1079.4159599545342</v>
      </c>
      <c r="AO723">
        <v>167.74258558554342</v>
      </c>
      <c r="AP723">
        <v>1369.1192097450842</v>
      </c>
      <c r="AQ723">
        <v>414.26356128937323</v>
      </c>
      <c r="AR723">
        <v>164.64559724699308</v>
      </c>
      <c r="AS723">
        <v>1753.6055888961118</v>
      </c>
      <c r="AT723">
        <v>81.539678063914593</v>
      </c>
      <c r="AU723">
        <v>213.72673376021137</v>
      </c>
      <c r="AV723"/>
      <c r="AW723"/>
      <c r="FY723" s="211">
        <v>718</v>
      </c>
      <c r="FZ723">
        <v>181.57955921285398</v>
      </c>
      <c r="GA723">
        <v>118.4845054167765</v>
      </c>
      <c r="GB723">
        <v>35.017370582646571</v>
      </c>
      <c r="GC723">
        <v>10.691423191745621</v>
      </c>
      <c r="GD723">
        <v>2.8423201353100813</v>
      </c>
      <c r="GE723">
        <v>5.6379381817005454</v>
      </c>
      <c r="GF723">
        <v>38.875929562428979</v>
      </c>
      <c r="GG723">
        <v>44.418516696603653</v>
      </c>
      <c r="GH723">
        <v>20.892833642057013</v>
      </c>
      <c r="GI723">
        <v>89.85012953960883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1153.2704925728426</v>
      </c>
      <c r="AO724">
        <v>181.59853000161181</v>
      </c>
      <c r="AP724">
        <v>1445.3986777859332</v>
      </c>
      <c r="AQ724">
        <v>462.38883287796722</v>
      </c>
      <c r="AR724">
        <v>179.42634639680819</v>
      </c>
      <c r="AS724">
        <v>1960.3769177729739</v>
      </c>
      <c r="AT724">
        <v>92.315195961292162</v>
      </c>
      <c r="AU724">
        <v>206.92241306724597</v>
      </c>
      <c r="AV724"/>
      <c r="AW724"/>
      <c r="FY724" s="211">
        <v>719</v>
      </c>
      <c r="FZ724">
        <v>119.95447782194633</v>
      </c>
      <c r="GA724">
        <v>95.059785785433036</v>
      </c>
      <c r="GB724">
        <v>30.850941386674695</v>
      </c>
      <c r="GC724">
        <v>8.5598533328022928</v>
      </c>
      <c r="GD724">
        <v>2.8294109554218574</v>
      </c>
      <c r="GE724">
        <v>3.2689417534611409</v>
      </c>
      <c r="GF724">
        <v>16.301835982673531</v>
      </c>
      <c r="GG724">
        <v>21.775160649135049</v>
      </c>
      <c r="GH724">
        <v>22.003755199957954</v>
      </c>
      <c r="GI724">
        <v>66.155278970065339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853.07487336160705</v>
      </c>
      <c r="AO725">
        <v>123.63438545909727</v>
      </c>
      <c r="AP725">
        <v>921.17050263010822</v>
      </c>
      <c r="AQ725">
        <v>302.07333865302155</v>
      </c>
      <c r="AR725">
        <v>121.58806296498989</v>
      </c>
      <c r="AS725">
        <v>1244.2024798902391</v>
      </c>
      <c r="AT725">
        <v>58.578867365293945</v>
      </c>
      <c r="AU725">
        <v>-22.433282812159575</v>
      </c>
      <c r="AV725"/>
      <c r="AW725"/>
      <c r="FY725" s="211">
        <v>720</v>
      </c>
      <c r="FZ725">
        <v>95.783485202007043</v>
      </c>
      <c r="GA725">
        <v>92.456306986457818</v>
      </c>
      <c r="GB725">
        <v>36.912777136426904</v>
      </c>
      <c r="GC725">
        <v>10.707319890984067</v>
      </c>
      <c r="GD725">
        <v>5.0419714846991761</v>
      </c>
      <c r="GE725">
        <v>8.5536383010761021</v>
      </c>
      <c r="GF725">
        <v>38.570578802088249</v>
      </c>
      <c r="GG725">
        <v>47.423244799193014</v>
      </c>
      <c r="GH725">
        <v>24.103245665965332</v>
      </c>
      <c r="GI725">
        <v>81.656035091138776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1193.4068514729684</v>
      </c>
      <c r="AO726">
        <v>175.51414127447157</v>
      </c>
      <c r="AP726">
        <v>1496.4716251247175</v>
      </c>
      <c r="AQ726">
        <v>508.98652824785813</v>
      </c>
      <c r="AR726">
        <v>172.46467751833637</v>
      </c>
      <c r="AS726">
        <v>1755.5423590175824</v>
      </c>
      <c r="AT726">
        <v>83.430042784981964</v>
      </c>
      <c r="AU726">
        <v>243.06926385356888</v>
      </c>
      <c r="AV726"/>
      <c r="AW726"/>
      <c r="FY726" s="211">
        <v>721</v>
      </c>
      <c r="FZ726">
        <v>68.783283887568629</v>
      </c>
      <c r="GA726">
        <v>109.38498550213603</v>
      </c>
      <c r="GB726">
        <v>38.352495337577572</v>
      </c>
      <c r="GC726">
        <v>6.4517838049685512</v>
      </c>
      <c r="GD726">
        <v>3.2797341612349449</v>
      </c>
      <c r="GE726">
        <v>4.2978024577759228</v>
      </c>
      <c r="GF726">
        <v>7.2510299778380505</v>
      </c>
      <c r="GG726">
        <v>12.542407696879971</v>
      </c>
      <c r="GH726">
        <v>26.02891778221532</v>
      </c>
      <c r="GI726">
        <v>65.561406766010705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1198.083071184647</v>
      </c>
      <c r="AO727">
        <v>163.27196806995138</v>
      </c>
      <c r="AP727">
        <v>1338.2679197388143</v>
      </c>
      <c r="AQ727">
        <v>392.64451014708857</v>
      </c>
      <c r="AR727">
        <v>158.97439668869683</v>
      </c>
      <c r="AS727">
        <v>1793.2165021639826</v>
      </c>
      <c r="AT727">
        <v>75.90499911292325</v>
      </c>
      <c r="AU727">
        <v>380.17137795401169</v>
      </c>
      <c r="AV727"/>
      <c r="AW727"/>
      <c r="FY727" s="211">
        <v>722</v>
      </c>
      <c r="FZ727">
        <v>102.41330026194755</v>
      </c>
      <c r="GA727">
        <v>135.35404101447591</v>
      </c>
      <c r="GB727">
        <v>44.419203116280826</v>
      </c>
      <c r="GC727">
        <v>8.5839529723024057</v>
      </c>
      <c r="GD727">
        <v>4.7539974072111697</v>
      </c>
      <c r="GE727">
        <v>7.8552942989385386</v>
      </c>
      <c r="GF727">
        <v>20.438895854290912</v>
      </c>
      <c r="GG727">
        <v>27.144568960117404</v>
      </c>
      <c r="GH727">
        <v>24.415510960642049</v>
      </c>
      <c r="GI727">
        <v>89.460438608846701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920.83535749934344</v>
      </c>
      <c r="AO728">
        <v>118.95149252691049</v>
      </c>
      <c r="AP728">
        <v>992.16237314209354</v>
      </c>
      <c r="AQ728">
        <v>334.50442491740205</v>
      </c>
      <c r="AR728">
        <v>115.33912738949425</v>
      </c>
      <c r="AS728">
        <v>1272.6341686454909</v>
      </c>
      <c r="AT728">
        <v>55.149523678932489</v>
      </c>
      <c r="AU728">
        <v>199.63608781592632</v>
      </c>
      <c r="AV728"/>
      <c r="AW728"/>
      <c r="FY728" s="211">
        <v>723</v>
      </c>
      <c r="FZ728">
        <v>122.95818840988737</v>
      </c>
      <c r="GA728">
        <v>99.17750727813258</v>
      </c>
      <c r="GB728">
        <v>29.49812234729491</v>
      </c>
      <c r="GC728">
        <v>9.4766453868671405</v>
      </c>
      <c r="GD728">
        <v>4.928529323343521</v>
      </c>
      <c r="GE728">
        <v>6.0969693235323419</v>
      </c>
      <c r="GF728">
        <v>12.590685242116571</v>
      </c>
      <c r="GG728">
        <v>15.789885177422086</v>
      </c>
      <c r="GH728">
        <v>25.26677460785244</v>
      </c>
      <c r="GI728">
        <v>63.857224803826313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1097.751220327259</v>
      </c>
      <c r="AO729">
        <v>141.07944454618195</v>
      </c>
      <c r="AP729">
        <v>1144.7509827186564</v>
      </c>
      <c r="AQ729">
        <v>430.09817744023468</v>
      </c>
      <c r="AR729">
        <v>137.56219029713708</v>
      </c>
      <c r="AS729">
        <v>1559.9824529148441</v>
      </c>
      <c r="AT729">
        <v>65.926303837973961</v>
      </c>
      <c r="AU729">
        <v>84.926698702018442</v>
      </c>
      <c r="AV729"/>
      <c r="AW729"/>
      <c r="FY729" s="211">
        <v>724</v>
      </c>
      <c r="FZ729">
        <v>140.66076985202255</v>
      </c>
      <c r="GA729">
        <v>133.80626930976564</v>
      </c>
      <c r="GB729">
        <v>44.467648734366975</v>
      </c>
      <c r="GC729">
        <v>8.2213140129105469</v>
      </c>
      <c r="GD729">
        <v>3.0823599351891389</v>
      </c>
      <c r="GE729">
        <v>6.0829027880776394</v>
      </c>
      <c r="GF729">
        <v>27.548906155835066</v>
      </c>
      <c r="GG729">
        <v>33.683287782714586</v>
      </c>
      <c r="GH729">
        <v>27.733453678163627</v>
      </c>
      <c r="GI729">
        <v>97.768064611439144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1128.9514342505461</v>
      </c>
      <c r="AO730">
        <v>201.72983032473783</v>
      </c>
      <c r="AP730">
        <v>1670.3579254564906</v>
      </c>
      <c r="AQ730">
        <v>389.69864416524854</v>
      </c>
      <c r="AR730">
        <v>194.9017744093583</v>
      </c>
      <c r="AS730">
        <v>1932.6627978858942</v>
      </c>
      <c r="AT730">
        <v>99.368474088148091</v>
      </c>
      <c r="AU730">
        <v>189.47407093135376</v>
      </c>
      <c r="AV730"/>
      <c r="AW730"/>
      <c r="FY730" s="211">
        <v>725</v>
      </c>
      <c r="FZ730">
        <v>179.09069425012049</v>
      </c>
      <c r="GA730">
        <v>140.19703876263333</v>
      </c>
      <c r="GB730">
        <v>27.940412335050119</v>
      </c>
      <c r="GC730">
        <v>9.1593284905996804</v>
      </c>
      <c r="GD730">
        <v>5.2728057656247369</v>
      </c>
      <c r="GE730">
        <v>9.0454647941253885</v>
      </c>
      <c r="GF730">
        <v>42.736334617492943</v>
      </c>
      <c r="GG730">
        <v>51.926757052265366</v>
      </c>
      <c r="GH730">
        <v>25.04160062423092</v>
      </c>
      <c r="GI730">
        <v>91.00385089003899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1335.6359064835974</v>
      </c>
      <c r="AO731">
        <v>177.43705779686138</v>
      </c>
      <c r="AP731">
        <v>1365.9257451910903</v>
      </c>
      <c r="AQ731">
        <v>545.76572459811655</v>
      </c>
      <c r="AR731">
        <v>173.64621970578895</v>
      </c>
      <c r="AS731">
        <v>2094.7920666508135</v>
      </c>
      <c r="AT731">
        <v>85.957904350868731</v>
      </c>
      <c r="AU731">
        <v>33.285157750636941</v>
      </c>
      <c r="AV731"/>
      <c r="AW731"/>
      <c r="FY731" s="211">
        <v>726</v>
      </c>
      <c r="FZ731">
        <v>120.33107351397551</v>
      </c>
      <c r="GA731">
        <v>130.72838984831881</v>
      </c>
      <c r="GB731">
        <v>40.321882688183798</v>
      </c>
      <c r="GC731">
        <v>8.4878065355057917</v>
      </c>
      <c r="GD731">
        <v>2.7148975497799386</v>
      </c>
      <c r="GE731">
        <v>4.5302365042002313</v>
      </c>
      <c r="GF731">
        <v>20.73858541569204</v>
      </c>
      <c r="GG731">
        <v>22.965037465483988</v>
      </c>
      <c r="GH731">
        <v>22.114934078348121</v>
      </c>
      <c r="GI731">
        <v>75.460516518152872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1329.9805814005135</v>
      </c>
      <c r="AO732">
        <v>198.45765503935922</v>
      </c>
      <c r="AP732">
        <v>1622.8862057128292</v>
      </c>
      <c r="AQ732">
        <v>526.56716874981782</v>
      </c>
      <c r="AR732">
        <v>196.49000459620623</v>
      </c>
      <c r="AS732">
        <v>2133.6064295141391</v>
      </c>
      <c r="AT732">
        <v>95.507306533910921</v>
      </c>
      <c r="AU732">
        <v>169.49738826597809</v>
      </c>
      <c r="AV732"/>
      <c r="AW732"/>
      <c r="FY732" s="211">
        <v>727</v>
      </c>
      <c r="FZ732">
        <v>136.84562058683716</v>
      </c>
      <c r="GA732">
        <v>125.41835730027594</v>
      </c>
      <c r="GB732">
        <v>33.507480099102281</v>
      </c>
      <c r="GC732">
        <v>8.7440530861848114</v>
      </c>
      <c r="GD732">
        <v>3.8844627285848565</v>
      </c>
      <c r="GE732">
        <v>7.5993409862768866</v>
      </c>
      <c r="GF732">
        <v>38.858667322376036</v>
      </c>
      <c r="GG732">
        <v>45.358215864284617</v>
      </c>
      <c r="GH732">
        <v>25.274990578345154</v>
      </c>
      <c r="GI732">
        <v>84.445809956021961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1365.2099795421173</v>
      </c>
      <c r="AO733">
        <v>213.08673653332608</v>
      </c>
      <c r="AP733">
        <v>1891.8615190967009</v>
      </c>
      <c r="AQ733">
        <v>546.69891879200236</v>
      </c>
      <c r="AR733">
        <v>205.35414951829091</v>
      </c>
      <c r="AS733">
        <v>2186.3749961756516</v>
      </c>
      <c r="AT733">
        <v>104.96238793956479</v>
      </c>
      <c r="AU733">
        <v>325.74273279270187</v>
      </c>
      <c r="AV733"/>
      <c r="AW733"/>
      <c r="FY733" s="211">
        <v>728</v>
      </c>
      <c r="FZ733">
        <v>85.552508891686827</v>
      </c>
      <c r="GA733">
        <v>70.471252213548098</v>
      </c>
      <c r="GB733">
        <v>26.939960411997014</v>
      </c>
      <c r="GC733">
        <v>8.0721057931342379</v>
      </c>
      <c r="GD733">
        <v>2.2062849246344443</v>
      </c>
      <c r="GE733">
        <v>5.6595668013734333</v>
      </c>
      <c r="GF733">
        <v>40.545364842624032</v>
      </c>
      <c r="GG733">
        <v>49.654340369611354</v>
      </c>
      <c r="GH733">
        <v>28.306250197384959</v>
      </c>
      <c r="GI733">
        <v>75.831121291757896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1308.6232565541156</v>
      </c>
      <c r="AO734">
        <v>181.59841157676206</v>
      </c>
      <c r="AP734">
        <v>1514.4431633113616</v>
      </c>
      <c r="AQ734">
        <v>548.29052616173169</v>
      </c>
      <c r="AR734">
        <v>178.46794758100967</v>
      </c>
      <c r="AS734">
        <v>1963.3292806645363</v>
      </c>
      <c r="AT734">
        <v>90.990514818262113</v>
      </c>
      <c r="AU734">
        <v>356.79666407552691</v>
      </c>
      <c r="AV734"/>
      <c r="AW734"/>
      <c r="FY734" s="211">
        <v>729</v>
      </c>
      <c r="FZ734">
        <v>140.35303242321572</v>
      </c>
      <c r="GA734">
        <v>130.19777564379592</v>
      </c>
      <c r="GB734">
        <v>42.549813650689892</v>
      </c>
      <c r="GC734">
        <v>9.9440322672055164</v>
      </c>
      <c r="GD734">
        <v>2.9081409193534205</v>
      </c>
      <c r="GE734">
        <v>3.2113491382746897</v>
      </c>
      <c r="GF734">
        <v>8.0381221544572181</v>
      </c>
      <c r="GG734">
        <v>13.243958345963764</v>
      </c>
      <c r="GH734">
        <v>27.017176158724254</v>
      </c>
      <c r="GI734">
        <v>75.877030116433389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938.02774247722459</v>
      </c>
      <c r="AO735">
        <v>160.26884468790493</v>
      </c>
      <c r="AP735">
        <v>1352.1779433588727</v>
      </c>
      <c r="AQ735">
        <v>386.75944183757122</v>
      </c>
      <c r="AR735">
        <v>157.09351868087913</v>
      </c>
      <c r="AS735">
        <v>1593.1206221560526</v>
      </c>
      <c r="AT735">
        <v>78.017467989627932</v>
      </c>
      <c r="AU735">
        <v>153.17499707191908</v>
      </c>
      <c r="AV735"/>
      <c r="AW735"/>
      <c r="FY735" s="211">
        <v>730</v>
      </c>
      <c r="FZ735">
        <v>197.60716345301972</v>
      </c>
      <c r="GA735">
        <v>102.45582851116365</v>
      </c>
      <c r="GB735">
        <v>26.741299663068695</v>
      </c>
      <c r="GC735">
        <v>11.138684500023142</v>
      </c>
      <c r="GD735">
        <v>4.669193653115391</v>
      </c>
      <c r="GE735">
        <v>5.365760480811038</v>
      </c>
      <c r="GF735">
        <v>43.106725301578486</v>
      </c>
      <c r="GG735">
        <v>55.038138272128322</v>
      </c>
      <c r="GH735">
        <v>13.050824584987854</v>
      </c>
      <c r="GI735">
        <v>84.315924660323645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1311.9460970495934</v>
      </c>
      <c r="AO736">
        <v>162.90195612946212</v>
      </c>
      <c r="AP736">
        <v>1317.0921593061257</v>
      </c>
      <c r="AQ736">
        <v>441.20860336003653</v>
      </c>
      <c r="AR736">
        <v>157.68241180408182</v>
      </c>
      <c r="AS736">
        <v>1716.5369590869632</v>
      </c>
      <c r="AT736">
        <v>74.958545913520865</v>
      </c>
      <c r="AU736">
        <v>294.91334537345637</v>
      </c>
      <c r="AV736"/>
      <c r="AW736"/>
      <c r="FY736" s="211">
        <v>731</v>
      </c>
      <c r="FZ736">
        <v>170.3721783723357</v>
      </c>
      <c r="GA736">
        <v>132.85064084276306</v>
      </c>
      <c r="GB736">
        <v>35.742856065431468</v>
      </c>
      <c r="GC736">
        <v>7.9049353255357175</v>
      </c>
      <c r="GD736">
        <v>3.8014874409634425</v>
      </c>
      <c r="GE736">
        <v>6.988468558128961</v>
      </c>
      <c r="GF736">
        <v>19.238198871314964</v>
      </c>
      <c r="GG736">
        <v>25.07693286010706</v>
      </c>
      <c r="GH736">
        <v>25.056644968998231</v>
      </c>
      <c r="GI736">
        <v>71.996150600115087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954.84705857876293</v>
      </c>
      <c r="AO737">
        <v>155.47082296911177</v>
      </c>
      <c r="AP737">
        <v>1225.8118684670144</v>
      </c>
      <c r="AQ737">
        <v>341.9338473742057</v>
      </c>
      <c r="AR737">
        <v>149.17572862354336</v>
      </c>
      <c r="AS737">
        <v>1578.5879157413476</v>
      </c>
      <c r="AT737">
        <v>79.084271933881197</v>
      </c>
      <c r="AU737">
        <v>100.20164059435271</v>
      </c>
      <c r="AV737"/>
      <c r="AW737"/>
      <c r="FY737" s="211">
        <v>732</v>
      </c>
      <c r="FZ737">
        <v>147.74509865802818</v>
      </c>
      <c r="GA737">
        <v>110.26202933627945</v>
      </c>
      <c r="GB737">
        <v>27.463636868514751</v>
      </c>
      <c r="GC737">
        <v>10.00585793196079</v>
      </c>
      <c r="GD737">
        <v>3.9090783507362148</v>
      </c>
      <c r="GE737">
        <v>3.3057041039871158</v>
      </c>
      <c r="GF737">
        <v>32.708887658297087</v>
      </c>
      <c r="GG737">
        <v>40.98550849599637</v>
      </c>
      <c r="GH737">
        <v>20.406224054724266</v>
      </c>
      <c r="GI737">
        <v>71.89649366337018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1312.0963516790378</v>
      </c>
      <c r="AO738">
        <v>189.88077725657223</v>
      </c>
      <c r="AP738">
        <v>1391.1196111910776</v>
      </c>
      <c r="AQ738">
        <v>464.83920345505345</v>
      </c>
      <c r="AR738">
        <v>182.95194389445851</v>
      </c>
      <c r="AS738">
        <v>1926.255382268974</v>
      </c>
      <c r="AT738">
        <v>87.716828209903042</v>
      </c>
      <c r="AU738">
        <v>91.944191679616509</v>
      </c>
      <c r="AV738"/>
      <c r="AW738"/>
      <c r="FY738" s="211">
        <v>733</v>
      </c>
      <c r="FZ738">
        <v>132.30805821435803</v>
      </c>
      <c r="GA738">
        <v>108.9247668985558</v>
      </c>
      <c r="GB738">
        <v>26.501401902106601</v>
      </c>
      <c r="GC738">
        <v>8.7060650692275097</v>
      </c>
      <c r="GD738">
        <v>3.5733318725113241</v>
      </c>
      <c r="GE738">
        <v>5.1638133136503868</v>
      </c>
      <c r="GF738">
        <v>34.988961117486056</v>
      </c>
      <c r="GG738">
        <v>44.097682121358467</v>
      </c>
      <c r="GH738">
        <v>26.312606055778978</v>
      </c>
      <c r="GI738">
        <v>87.035246331695873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995.04663831734649</v>
      </c>
      <c r="AO739">
        <v>135.45313613023785</v>
      </c>
      <c r="AP739">
        <v>1083.6766918952881</v>
      </c>
      <c r="AQ739">
        <v>389.64053190027528</v>
      </c>
      <c r="AR739">
        <v>131.70541584724558</v>
      </c>
      <c r="AS739">
        <v>1392.8725593209656</v>
      </c>
      <c r="AT739">
        <v>64.633974800486072</v>
      </c>
      <c r="AU739">
        <v>35.352275384820288</v>
      </c>
      <c r="AV739"/>
      <c r="AW739"/>
      <c r="FY739" s="211">
        <v>734</v>
      </c>
      <c r="FZ739">
        <v>148.80154798234796</v>
      </c>
      <c r="GA739">
        <v>113.23689540446047</v>
      </c>
      <c r="GB739">
        <v>31.05647588898789</v>
      </c>
      <c r="GC739">
        <v>7.5984895557212031</v>
      </c>
      <c r="GD739">
        <v>3.3727301324235066</v>
      </c>
      <c r="GE739">
        <v>5.9020790532638907</v>
      </c>
      <c r="GF739">
        <v>34.959644065234059</v>
      </c>
      <c r="GG739">
        <v>45.640191840725748</v>
      </c>
      <c r="GH739">
        <v>23.238036379226216</v>
      </c>
      <c r="GI739">
        <v>79.488947425166174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1392.1581810575685</v>
      </c>
      <c r="AO740">
        <v>232.99247965889663</v>
      </c>
      <c r="AP740">
        <v>1895.418321573153</v>
      </c>
      <c r="AQ740">
        <v>523.054976860485</v>
      </c>
      <c r="AR740">
        <v>229.06469002753238</v>
      </c>
      <c r="AS740">
        <v>2297.9145718754467</v>
      </c>
      <c r="AT740">
        <v>118.2444751025625</v>
      </c>
      <c r="AU740">
        <v>359.60963125805745</v>
      </c>
      <c r="AV740"/>
      <c r="AW740"/>
      <c r="FY740" s="211">
        <v>735</v>
      </c>
      <c r="FZ740">
        <v>94.87999601982284</v>
      </c>
      <c r="GA740">
        <v>103.90005468522187</v>
      </c>
      <c r="GB740">
        <v>45.57272453137319</v>
      </c>
      <c r="GC740">
        <v>10.973509803667515</v>
      </c>
      <c r="GD740">
        <v>3.9559321058510664</v>
      </c>
      <c r="GE740">
        <v>6.0728419310500037</v>
      </c>
      <c r="GF740">
        <v>15.622476626783488</v>
      </c>
      <c r="GG740">
        <v>23.672411864997123</v>
      </c>
      <c r="GH740">
        <v>22.883012004152196</v>
      </c>
      <c r="GI740">
        <v>81.549698415617968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1408.79499120325</v>
      </c>
      <c r="AO741">
        <v>186.05633925062165</v>
      </c>
      <c r="AP741">
        <v>1579.5629543110522</v>
      </c>
      <c r="AQ741">
        <v>581.41428758218206</v>
      </c>
      <c r="AR741">
        <v>179.05888766261492</v>
      </c>
      <c r="AS741">
        <v>1919.6242483099761</v>
      </c>
      <c r="AT741">
        <v>81.970266732730451</v>
      </c>
      <c r="AU741">
        <v>141.68683129956</v>
      </c>
      <c r="AV741"/>
      <c r="AW741"/>
      <c r="FY741" s="211">
        <v>736</v>
      </c>
      <c r="FZ741">
        <v>149.99032154472133</v>
      </c>
      <c r="GA741">
        <v>118.47098678867729</v>
      </c>
      <c r="GB741">
        <v>30.150272546094413</v>
      </c>
      <c r="GC741">
        <v>9.2746443158914538</v>
      </c>
      <c r="GD741">
        <v>2.613988222240323</v>
      </c>
      <c r="GE741">
        <v>4.1122534122819907</v>
      </c>
      <c r="GF741">
        <v>11.532697615113722</v>
      </c>
      <c r="GG741">
        <v>14.859756712952143</v>
      </c>
      <c r="GH741">
        <v>27.086657085220416</v>
      </c>
      <c r="GI741">
        <v>75.347807795404364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1143.715822505364</v>
      </c>
      <c r="AO742">
        <v>180.01645109672978</v>
      </c>
      <c r="AP742">
        <v>1522.3791269948133</v>
      </c>
      <c r="AQ742">
        <v>448.39336011764112</v>
      </c>
      <c r="AR742">
        <v>174.70234531960429</v>
      </c>
      <c r="AS742">
        <v>1800.800920182827</v>
      </c>
      <c r="AT742">
        <v>85.144714985683137</v>
      </c>
      <c r="AU742">
        <v>187.06221043252617</v>
      </c>
      <c r="AV742"/>
      <c r="AW742"/>
      <c r="FY742" s="211">
        <v>737</v>
      </c>
      <c r="FZ742">
        <v>120.80703514428781</v>
      </c>
      <c r="GA742">
        <v>126.7335036163568</v>
      </c>
      <c r="GB742">
        <v>28.27790783248269</v>
      </c>
      <c r="GC742">
        <v>5.7347398786903696</v>
      </c>
      <c r="GD742">
        <v>1.9071279931743383</v>
      </c>
      <c r="GE742">
        <v>3.755986867621683</v>
      </c>
      <c r="GF742">
        <v>26.716434844955735</v>
      </c>
      <c r="GG742">
        <v>32.512156777133903</v>
      </c>
      <c r="GH742">
        <v>24.543677479558731</v>
      </c>
      <c r="GI742">
        <v>73.33288456156987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1318.786388958823</v>
      </c>
      <c r="AO743">
        <v>172.50382995723371</v>
      </c>
      <c r="AP743">
        <v>1473.0935735612106</v>
      </c>
      <c r="AQ743">
        <v>509.93699850828972</v>
      </c>
      <c r="AR743">
        <v>165.22695529088145</v>
      </c>
      <c r="AS743">
        <v>1923.302058488302</v>
      </c>
      <c r="AT743">
        <v>79.207469647094683</v>
      </c>
      <c r="AU743">
        <v>246.01361286280968</v>
      </c>
      <c r="AV743"/>
      <c r="AW743"/>
      <c r="FY743" s="211">
        <v>738</v>
      </c>
      <c r="FZ743">
        <v>130.59700137117358</v>
      </c>
      <c r="GA743">
        <v>118.23493474650847</v>
      </c>
      <c r="GB743">
        <v>40.568146157491427</v>
      </c>
      <c r="GC743">
        <v>7.9772412176207048</v>
      </c>
      <c r="GD743">
        <v>2.7076545455730638</v>
      </c>
      <c r="GE743">
        <v>5.7631705911260473</v>
      </c>
      <c r="GF743">
        <v>18.46520669081093</v>
      </c>
      <c r="GG743">
        <v>22.099283744456855</v>
      </c>
      <c r="GH743">
        <v>31.98846020566263</v>
      </c>
      <c r="GI743">
        <v>73.198590775433843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1149.9873831539758</v>
      </c>
      <c r="AO744">
        <v>173.56194745627158</v>
      </c>
      <c r="AP744">
        <v>1504.1534759445606</v>
      </c>
      <c r="AQ744">
        <v>393.23875573775229</v>
      </c>
      <c r="AR744">
        <v>165.48237213123616</v>
      </c>
      <c r="AS744">
        <v>1724.14982929897</v>
      </c>
      <c r="AT744">
        <v>78.026856383321345</v>
      </c>
      <c r="AU744">
        <v>327.05601057725721</v>
      </c>
      <c r="AV744"/>
      <c r="AW744"/>
      <c r="FY744" s="211">
        <v>739</v>
      </c>
      <c r="FZ744">
        <v>129.21930445483773</v>
      </c>
      <c r="GA744">
        <v>102.84475679773064</v>
      </c>
      <c r="GB744">
        <v>25.29199780858686</v>
      </c>
      <c r="GC744">
        <v>5.8229969697883224</v>
      </c>
      <c r="GD744">
        <v>2.6162355538725377</v>
      </c>
      <c r="GE744">
        <v>4.2179887593605017</v>
      </c>
      <c r="GF744">
        <v>36.946092599999695</v>
      </c>
      <c r="GG744">
        <v>48.174028999765312</v>
      </c>
      <c r="GH744">
        <v>20.845654373024587</v>
      </c>
      <c r="GI744">
        <v>70.048331922349561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1064.0696413820388</v>
      </c>
      <c r="AO745">
        <v>169.20530629135192</v>
      </c>
      <c r="AP745">
        <v>1420.6122234400741</v>
      </c>
      <c r="AQ745">
        <v>453.34043081811376</v>
      </c>
      <c r="AR745">
        <v>167.79275326582336</v>
      </c>
      <c r="AS745">
        <v>1784.3498463511503</v>
      </c>
      <c r="AT745">
        <v>89.560793018353806</v>
      </c>
      <c r="AU745">
        <v>91.958315731379173</v>
      </c>
      <c r="AV745"/>
      <c r="AW745"/>
      <c r="FY745" s="211">
        <v>740</v>
      </c>
      <c r="FZ745">
        <v>67.880231221917938</v>
      </c>
      <c r="GA745">
        <v>39.298339984895776</v>
      </c>
      <c r="GB745">
        <v>28.425552229522591</v>
      </c>
      <c r="GC745">
        <v>7.6780228242771624</v>
      </c>
      <c r="GD745">
        <v>2.146761670070167</v>
      </c>
      <c r="GE745">
        <v>4.3987897277977579</v>
      </c>
      <c r="GF745">
        <v>22.816030646209555</v>
      </c>
      <c r="GG745">
        <v>30.198903125078683</v>
      </c>
      <c r="GH745">
        <v>28.730451927799184</v>
      </c>
      <c r="GI745">
        <v>67.934473484053598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1314.5448387767726</v>
      </c>
      <c r="AO746">
        <v>174.75421513893406</v>
      </c>
      <c r="AP746">
        <v>1443.7773955894911</v>
      </c>
      <c r="AQ746">
        <v>543.48954308021996</v>
      </c>
      <c r="AR746">
        <v>170.9208711201847</v>
      </c>
      <c r="AS746">
        <v>1866.0920282852303</v>
      </c>
      <c r="AT746">
        <v>80.464447904379043</v>
      </c>
      <c r="AU746">
        <v>-106.70389806272246</v>
      </c>
      <c r="AV746"/>
      <c r="AW746"/>
      <c r="FY746" s="211">
        <v>741</v>
      </c>
      <c r="FZ746">
        <v>104.12680333375708</v>
      </c>
      <c r="GA746">
        <v>101.34406833317497</v>
      </c>
      <c r="GB746">
        <v>26.273636443433368</v>
      </c>
      <c r="GC746">
        <v>6.3448768276776999</v>
      </c>
      <c r="GD746">
        <v>3.1737050118733983</v>
      </c>
      <c r="GE746">
        <v>5.9104722419907869</v>
      </c>
      <c r="GF746">
        <v>37.475111999964142</v>
      </c>
      <c r="GG746">
        <v>48.129030909547431</v>
      </c>
      <c r="GH746">
        <v>27.667812938393318</v>
      </c>
      <c r="GI746">
        <v>74.987010941934983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1108.2520651916132</v>
      </c>
      <c r="AO747">
        <v>156.1136864076997</v>
      </c>
      <c r="AP747">
        <v>1365.7884689930315</v>
      </c>
      <c r="AQ747">
        <v>499.02849390569367</v>
      </c>
      <c r="AR747">
        <v>154.68426874331905</v>
      </c>
      <c r="AS747">
        <v>1624.8396218121627</v>
      </c>
      <c r="AT747">
        <v>76.959461647437209</v>
      </c>
      <c r="AU747">
        <v>149.05885310411745</v>
      </c>
      <c r="AV747"/>
      <c r="AW747"/>
      <c r="FY747" s="211">
        <v>742</v>
      </c>
      <c r="FZ747">
        <v>97.645980406200081</v>
      </c>
      <c r="GA747">
        <v>47.25114802626701</v>
      </c>
      <c r="GB747">
        <v>24.726415341556176</v>
      </c>
      <c r="GC747">
        <v>8.6275193603061755</v>
      </c>
      <c r="GD747">
        <v>1.8400481134443429</v>
      </c>
      <c r="GE747">
        <v>5.0900812236345896</v>
      </c>
      <c r="GF747">
        <v>18.600944977127526</v>
      </c>
      <c r="GG747">
        <v>17.500347684585819</v>
      </c>
      <c r="GH747">
        <v>16.474811016774893</v>
      </c>
      <c r="GI747">
        <v>63.513350603659326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1107.4497229184058</v>
      </c>
      <c r="AO748">
        <v>135.06316533782626</v>
      </c>
      <c r="AP748">
        <v>1076.0389534647436</v>
      </c>
      <c r="AQ748">
        <v>468.68851912189444</v>
      </c>
      <c r="AR748">
        <v>133.70894630407645</v>
      </c>
      <c r="AS748">
        <v>1465.1357325380923</v>
      </c>
      <c r="AT748">
        <v>65.862638391473737</v>
      </c>
      <c r="AU748">
        <v>73.552279688290497</v>
      </c>
      <c r="AV748"/>
      <c r="AW748"/>
      <c r="FY748" s="211">
        <v>743</v>
      </c>
      <c r="FZ748">
        <v>167.61166851535452</v>
      </c>
      <c r="GA748">
        <v>101.74483504162198</v>
      </c>
      <c r="GB748">
        <v>26.742267062478362</v>
      </c>
      <c r="GC748">
        <v>7.2048873442036676</v>
      </c>
      <c r="GD748">
        <v>1.8490550363665386</v>
      </c>
      <c r="GE748">
        <v>4.3320372490531307</v>
      </c>
      <c r="GF748">
        <v>35.50728187125501</v>
      </c>
      <c r="GG748">
        <v>44.795682093827118</v>
      </c>
      <c r="GH748">
        <v>24.034282553278086</v>
      </c>
      <c r="GI748">
        <v>79.250854169775451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1284.7431899637941</v>
      </c>
      <c r="AO749">
        <v>190.8392277186727</v>
      </c>
      <c r="AP749">
        <v>1515.678025437102</v>
      </c>
      <c r="AQ749">
        <v>477.611932896729</v>
      </c>
      <c r="AR749">
        <v>183.67196288059708</v>
      </c>
      <c r="AS749">
        <v>1959.2542622246572</v>
      </c>
      <c r="AT749">
        <v>91.209443145761455</v>
      </c>
      <c r="AU749">
        <v>258.3330007508103</v>
      </c>
      <c r="AV749"/>
      <c r="AW749"/>
      <c r="FY749" s="211">
        <v>744</v>
      </c>
      <c r="FZ749">
        <v>142.69859075424779</v>
      </c>
      <c r="GA749">
        <v>124.80601259659257</v>
      </c>
      <c r="GB749">
        <v>37.939971993157272</v>
      </c>
      <c r="GC749">
        <v>8.3697926380361096</v>
      </c>
      <c r="GD749">
        <v>4.7900483973032664</v>
      </c>
      <c r="GE749">
        <v>8.7296851452492081</v>
      </c>
      <c r="GF749">
        <v>26.025007251455744</v>
      </c>
      <c r="GG749">
        <v>28.093769857864967</v>
      </c>
      <c r="GH749">
        <v>17.050663598992383</v>
      </c>
      <c r="GI749">
        <v>75.693520033628772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1221.6641138927378</v>
      </c>
      <c r="AO750">
        <v>171.24349026536919</v>
      </c>
      <c r="AP750">
        <v>1420.7979543672263</v>
      </c>
      <c r="AQ750">
        <v>493.29503772755709</v>
      </c>
      <c r="AR750">
        <v>168.84452786735801</v>
      </c>
      <c r="AS750">
        <v>1829.3372530778718</v>
      </c>
      <c r="AT750">
        <v>79.277020201809407</v>
      </c>
      <c r="AU750">
        <v>225.49748575574213</v>
      </c>
      <c r="AV750"/>
      <c r="AW750"/>
      <c r="FY750" s="211">
        <v>745</v>
      </c>
      <c r="FZ750">
        <v>106.21259815355735</v>
      </c>
      <c r="GA750">
        <v>77.141149628040623</v>
      </c>
      <c r="GB750">
        <v>40.360922753852527</v>
      </c>
      <c r="GC750">
        <v>9.4593679507322044</v>
      </c>
      <c r="GD750">
        <v>3.5478942744726489</v>
      </c>
      <c r="GE750">
        <v>5.3879755807244631</v>
      </c>
      <c r="GF750">
        <v>18.322791337014042</v>
      </c>
      <c r="GG750">
        <v>25.291611733722625</v>
      </c>
      <c r="GH750">
        <v>28.354701995370995</v>
      </c>
      <c r="GI750">
        <v>76.237753052372938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1191.6539128991633</v>
      </c>
      <c r="AO751">
        <v>196.95198825583208</v>
      </c>
      <c r="AP751">
        <v>1701.1520017607045</v>
      </c>
      <c r="AQ751">
        <v>409.08265798853728</v>
      </c>
      <c r="AR751">
        <v>189.95592364617897</v>
      </c>
      <c r="AS751">
        <v>1922.6863865099406</v>
      </c>
      <c r="AT751">
        <v>94.831879154802948</v>
      </c>
      <c r="AU751">
        <v>101.80360602274288</v>
      </c>
      <c r="AV751"/>
      <c r="AW751"/>
      <c r="FY751" s="211">
        <v>746</v>
      </c>
      <c r="FZ751">
        <v>85.855273266275816</v>
      </c>
      <c r="GA751">
        <v>81.423241918647605</v>
      </c>
      <c r="GB751">
        <v>33.243090540640921</v>
      </c>
      <c r="GC751">
        <v>8.4726126163191982</v>
      </c>
      <c r="GD751">
        <v>3.6149182952665422</v>
      </c>
      <c r="GE751">
        <v>5.2317861011460485</v>
      </c>
      <c r="GF751">
        <v>34.203821872779471</v>
      </c>
      <c r="GG751">
        <v>47.265117146987535</v>
      </c>
      <c r="GH751">
        <v>22.513915486249683</v>
      </c>
      <c r="GI751">
        <v>73.035845017070315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1016.9917533540811</v>
      </c>
      <c r="AO752">
        <v>169.67848752623834</v>
      </c>
      <c r="AP752">
        <v>1382.1072774540555</v>
      </c>
      <c r="AQ752">
        <v>443.43938603859743</v>
      </c>
      <c r="AR752">
        <v>164.71429731358865</v>
      </c>
      <c r="AS752">
        <v>1811.5544942912957</v>
      </c>
      <c r="AT752">
        <v>84.226553250934629</v>
      </c>
      <c r="AU752">
        <v>22.858982936277243</v>
      </c>
      <c r="AV752"/>
      <c r="AW752"/>
      <c r="FY752" s="211">
        <v>747</v>
      </c>
      <c r="FZ752">
        <v>132.86210382278858</v>
      </c>
      <c r="GA752">
        <v>152.76851079394316</v>
      </c>
      <c r="GB752">
        <v>37.88494334336346</v>
      </c>
      <c r="GC752">
        <v>5.4599342049172641</v>
      </c>
      <c r="GD752">
        <v>1.5118671504388586</v>
      </c>
      <c r="GE752">
        <v>5.2429891535581836</v>
      </c>
      <c r="GF752">
        <v>24.701545832870188</v>
      </c>
      <c r="GG752">
        <v>27.164566139141801</v>
      </c>
      <c r="GH752">
        <v>23.601115483481191</v>
      </c>
      <c r="GI752">
        <v>70.965706524707358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1086.532848319282</v>
      </c>
      <c r="AO753">
        <v>172.15442663755164</v>
      </c>
      <c r="AP753">
        <v>1427.7660033615941</v>
      </c>
      <c r="AQ753">
        <v>444.32145499583197</v>
      </c>
      <c r="AR753">
        <v>163.17510222610318</v>
      </c>
      <c r="AS753">
        <v>1702.1646722050514</v>
      </c>
      <c r="AT753">
        <v>76.45482084604744</v>
      </c>
      <c r="AU753">
        <v>103.87856536001682</v>
      </c>
      <c r="AV753"/>
      <c r="AW753"/>
      <c r="FY753" s="211">
        <v>748</v>
      </c>
      <c r="FZ753">
        <v>222.17980665323807</v>
      </c>
      <c r="GA753">
        <v>149.75334988327796</v>
      </c>
      <c r="GB753">
        <v>38.715854092379253</v>
      </c>
      <c r="GC753">
        <v>12.282191044480602</v>
      </c>
      <c r="GD753">
        <v>4.6114959024431759</v>
      </c>
      <c r="GE753">
        <v>4.2948393808829683</v>
      </c>
      <c r="GF753">
        <v>28.111080192092899</v>
      </c>
      <c r="GG753">
        <v>40.984305948075665</v>
      </c>
      <c r="GH753">
        <v>19.831252889271827</v>
      </c>
      <c r="GI753">
        <v>91.056058868100891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1080.4944347272124</v>
      </c>
      <c r="AO754">
        <v>141.41137897161633</v>
      </c>
      <c r="AP754">
        <v>1136.1940726849032</v>
      </c>
      <c r="AQ754">
        <v>451.59969004585753</v>
      </c>
      <c r="AR754">
        <v>142.16226916275178</v>
      </c>
      <c r="AS754">
        <v>1581.4613447083661</v>
      </c>
      <c r="AT754">
        <v>69.805337142909849</v>
      </c>
      <c r="AU754">
        <v>81.31050172631376</v>
      </c>
      <c r="AV754"/>
      <c r="AW754"/>
      <c r="FY754" s="211">
        <v>749</v>
      </c>
      <c r="FZ754">
        <v>83.460999297100031</v>
      </c>
      <c r="GA754">
        <v>93.567178040823137</v>
      </c>
      <c r="GB754">
        <v>35.556995903384802</v>
      </c>
      <c r="GC754">
        <v>10.432861094059284</v>
      </c>
      <c r="GD754">
        <v>4.4362843353831973</v>
      </c>
      <c r="GE754">
        <v>6.1159579345922737</v>
      </c>
      <c r="GF754">
        <v>36.998360343804087</v>
      </c>
      <c r="GG754">
        <v>48.22577959084964</v>
      </c>
      <c r="GH754">
        <v>28.140460581180804</v>
      </c>
      <c r="GI754">
        <v>80.750407092155996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1101.7671988832299</v>
      </c>
      <c r="AO755">
        <v>153.16711769554843</v>
      </c>
      <c r="AP755">
        <v>1308.299294650031</v>
      </c>
      <c r="AQ755">
        <v>446.02738823931577</v>
      </c>
      <c r="AR755">
        <v>147.9670292193284</v>
      </c>
      <c r="AS755">
        <v>1508.7528648027494</v>
      </c>
      <c r="AT755">
        <v>67.384227879217249</v>
      </c>
      <c r="AU755">
        <v>-125.82628929323423</v>
      </c>
      <c r="AV755"/>
      <c r="AW755"/>
      <c r="FY755" s="211">
        <v>750</v>
      </c>
      <c r="FZ755">
        <v>125.83346340145918</v>
      </c>
      <c r="GA755">
        <v>116.39846312194553</v>
      </c>
      <c r="GB755">
        <v>30.369532985346037</v>
      </c>
      <c r="GC755">
        <v>8.537155940712033</v>
      </c>
      <c r="GD755">
        <v>3.277251880502642</v>
      </c>
      <c r="GE755">
        <v>6.780795803538278</v>
      </c>
      <c r="GF755">
        <v>47.835533662138658</v>
      </c>
      <c r="GG755">
        <v>58.356573567791784</v>
      </c>
      <c r="GH755">
        <v>24.795491108707221</v>
      </c>
      <c r="GI755">
        <v>78.777501552545004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959.96355372422931</v>
      </c>
      <c r="AO756">
        <v>161.01220088402593</v>
      </c>
      <c r="AP756">
        <v>1389.4994889228162</v>
      </c>
      <c r="AQ756">
        <v>299.50755684162237</v>
      </c>
      <c r="AR756">
        <v>157.69232589535676</v>
      </c>
      <c r="AS756">
        <v>1637.6671203745393</v>
      </c>
      <c r="AT756">
        <v>79.809089400445842</v>
      </c>
      <c r="AU756">
        <v>264.36232237335321</v>
      </c>
      <c r="AV756"/>
      <c r="AW756"/>
      <c r="FY756" s="211">
        <v>751</v>
      </c>
      <c r="FZ756">
        <v>131.60306928660694</v>
      </c>
      <c r="GA756">
        <v>120.71938922950753</v>
      </c>
      <c r="GB756">
        <v>38.121524865489768</v>
      </c>
      <c r="GC756">
        <v>8.2759872026941395</v>
      </c>
      <c r="GD756">
        <v>2.714394034363286</v>
      </c>
      <c r="GE756">
        <v>6.4652475553462843</v>
      </c>
      <c r="GF756">
        <v>18.791097776264976</v>
      </c>
      <c r="GG756">
        <v>22.401934019768426</v>
      </c>
      <c r="GH756">
        <v>25.319794762429773</v>
      </c>
      <c r="GI756">
        <v>74.128443207980837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1149.7262361088203</v>
      </c>
      <c r="AO757">
        <v>156.69590297289619</v>
      </c>
      <c r="AP757">
        <v>1291.1532362670155</v>
      </c>
      <c r="AQ757">
        <v>435.43252898174717</v>
      </c>
      <c r="AR757">
        <v>151.88684462934052</v>
      </c>
      <c r="AS757">
        <v>1594.4748521898894</v>
      </c>
      <c r="AT757">
        <v>70.226216681185335</v>
      </c>
      <c r="AU757">
        <v>221.07779629057882</v>
      </c>
      <c r="AV757"/>
      <c r="AW757"/>
      <c r="FY757" s="211">
        <v>752</v>
      </c>
      <c r="FZ757">
        <v>137.2307895542709</v>
      </c>
      <c r="GA757">
        <v>83.459778463153185</v>
      </c>
      <c r="GB757">
        <v>22.012756038473483</v>
      </c>
      <c r="GC757">
        <v>5.9751091851124594</v>
      </c>
      <c r="GD757">
        <v>3.7013249851756238</v>
      </c>
      <c r="GE757">
        <v>6.3429213824242501</v>
      </c>
      <c r="GF757">
        <v>23.487451002374925</v>
      </c>
      <c r="GG757">
        <v>34.107276262006323</v>
      </c>
      <c r="GH757">
        <v>43.680704531029996</v>
      </c>
      <c r="GI757">
        <v>67.580830404805624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894.2921844258193</v>
      </c>
      <c r="AO758">
        <v>161.08819094417464</v>
      </c>
      <c r="AP758">
        <v>1234.8293910372161</v>
      </c>
      <c r="AQ758">
        <v>301.27064675355598</v>
      </c>
      <c r="AR758">
        <v>159.25099397355621</v>
      </c>
      <c r="AS758">
        <v>1562.6436890410744</v>
      </c>
      <c r="AT758">
        <v>78.037174056262089</v>
      </c>
      <c r="AU758">
        <v>152.05507202951267</v>
      </c>
      <c r="AV758"/>
      <c r="AW758"/>
      <c r="FY758" s="211">
        <v>753</v>
      </c>
      <c r="FZ758">
        <v>196.76134171761831</v>
      </c>
      <c r="GA758">
        <v>198.73740986697794</v>
      </c>
      <c r="GB758">
        <v>51.007104601755429</v>
      </c>
      <c r="GC758">
        <v>11.008389348793795</v>
      </c>
      <c r="GD758">
        <v>4.3126478385489042</v>
      </c>
      <c r="GE758">
        <v>6.3726197813802523</v>
      </c>
      <c r="GF758">
        <v>37.647170533051565</v>
      </c>
      <c r="GG758">
        <v>44.067668631446153</v>
      </c>
      <c r="GH758">
        <v>24.290263766972103</v>
      </c>
      <c r="GI758">
        <v>96.265583188950416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1153.50578311663</v>
      </c>
      <c r="AO759">
        <v>157.86459421635359</v>
      </c>
      <c r="AP759">
        <v>1295.3626597452603</v>
      </c>
      <c r="AQ759">
        <v>493.0728509372139</v>
      </c>
      <c r="AR759">
        <v>155.8132979569036</v>
      </c>
      <c r="AS759">
        <v>1746.537819405735</v>
      </c>
      <c r="AT759">
        <v>79.168338993982942</v>
      </c>
      <c r="AU759">
        <v>227.78267622866517</v>
      </c>
      <c r="AV759"/>
      <c r="AW759"/>
      <c r="FY759" s="211">
        <v>754</v>
      </c>
      <c r="FZ759">
        <v>67.820808837857626</v>
      </c>
      <c r="GA759">
        <v>75.618209365293808</v>
      </c>
      <c r="GB759">
        <v>32.50844324910998</v>
      </c>
      <c r="GC759">
        <v>7.9827852942065238</v>
      </c>
      <c r="GD759">
        <v>2.1572866918646429</v>
      </c>
      <c r="GE759">
        <v>4.9906121324525579</v>
      </c>
      <c r="GF759">
        <v>27.681603532566839</v>
      </c>
      <c r="GG759">
        <v>33.388336822204735</v>
      </c>
      <c r="GH759">
        <v>24.08956577423735</v>
      </c>
      <c r="GI759">
        <v>73.291217467428822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1189.1766568601402</v>
      </c>
      <c r="AO760">
        <v>144.89364053736227</v>
      </c>
      <c r="AP760">
        <v>1104.8120626642917</v>
      </c>
      <c r="AQ760">
        <v>474.19706226652812</v>
      </c>
      <c r="AR760">
        <v>142.11166778362804</v>
      </c>
      <c r="AS760">
        <v>1550.2535802063378</v>
      </c>
      <c r="AT760">
        <v>68.703279769058739</v>
      </c>
      <c r="AU760">
        <v>128.62094719163468</v>
      </c>
      <c r="AV760"/>
      <c r="AW760"/>
      <c r="FY760" s="211">
        <v>755</v>
      </c>
      <c r="FZ760">
        <v>234.18916660028938</v>
      </c>
      <c r="GA760">
        <v>171.2458363731962</v>
      </c>
      <c r="GB760">
        <v>25.509903993550136</v>
      </c>
      <c r="GC760">
        <v>6.8274688257836615</v>
      </c>
      <c r="GD760">
        <v>2.6820944953064405</v>
      </c>
      <c r="GE760">
        <v>4.8366993896524395</v>
      </c>
      <c r="GF760">
        <v>40.164060647579149</v>
      </c>
      <c r="GG760">
        <v>49.387227712902366</v>
      </c>
      <c r="GH760">
        <v>28.437267015624229</v>
      </c>
      <c r="GI760">
        <v>86.551215470203999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1098.827160904631</v>
      </c>
      <c r="AO761">
        <v>162.12972757220265</v>
      </c>
      <c r="AP761">
        <v>1256.5262673496882</v>
      </c>
      <c r="AQ761">
        <v>390.31676645986033</v>
      </c>
      <c r="AR761">
        <v>162.53415835812919</v>
      </c>
      <c r="AS761">
        <v>1791.6191460074083</v>
      </c>
      <c r="AT761">
        <v>81.746438953823173</v>
      </c>
      <c r="AU761">
        <v>214.74810565600833</v>
      </c>
      <c r="AV761"/>
      <c r="AW761"/>
      <c r="FY761" s="211">
        <v>756</v>
      </c>
      <c r="FZ761">
        <v>115.03238348409019</v>
      </c>
      <c r="GA761">
        <v>88.287652467758051</v>
      </c>
      <c r="GB761">
        <v>26.299090471403776</v>
      </c>
      <c r="GC761">
        <v>9.4297535887080528</v>
      </c>
      <c r="GD761">
        <v>3.5115831740639214</v>
      </c>
      <c r="GE761">
        <v>5.4226767293970735</v>
      </c>
      <c r="GF761">
        <v>25.731395105283141</v>
      </c>
      <c r="GG761">
        <v>30.014434440833089</v>
      </c>
      <c r="GH761">
        <v>23.089157379725933</v>
      </c>
      <c r="GI761">
        <v>78.02207650846853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1118.3494598155187</v>
      </c>
      <c r="AO762">
        <v>141.88035482007734</v>
      </c>
      <c r="AP762">
        <v>1177.3566425097436</v>
      </c>
      <c r="AQ762">
        <v>394.85962226138309</v>
      </c>
      <c r="AR762">
        <v>138.4500184045022</v>
      </c>
      <c r="AS762">
        <v>1563.549109018694</v>
      </c>
      <c r="AT762">
        <v>68.364095454909048</v>
      </c>
      <c r="AU762">
        <v>270.19916086571783</v>
      </c>
      <c r="AV762"/>
      <c r="AW762"/>
      <c r="FY762" s="211">
        <v>757</v>
      </c>
      <c r="FZ762">
        <v>140.65845975674071</v>
      </c>
      <c r="GA762">
        <v>155.32234820319596</v>
      </c>
      <c r="GB762">
        <v>45.851463577462418</v>
      </c>
      <c r="GC762">
        <v>6.9809666569454674</v>
      </c>
      <c r="GD762">
        <v>2.2297235484642925</v>
      </c>
      <c r="GE762">
        <v>5.0447737702776791</v>
      </c>
      <c r="GF762">
        <v>17.742844534701138</v>
      </c>
      <c r="GG762">
        <v>21.37056625913662</v>
      </c>
      <c r="GH762">
        <v>25.540602178127415</v>
      </c>
      <c r="GI762">
        <v>78.576004052542103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1087.4490495482792</v>
      </c>
      <c r="AO763">
        <v>160.67059224259577</v>
      </c>
      <c r="AP763">
        <v>1452.5706568000296</v>
      </c>
      <c r="AQ763">
        <v>482.16328244920999</v>
      </c>
      <c r="AR763">
        <v>155.55245945694051</v>
      </c>
      <c r="AS763">
        <v>1592.5398046574924</v>
      </c>
      <c r="AT763">
        <v>74.277894024846759</v>
      </c>
      <c r="AU763">
        <v>120.67532873953108</v>
      </c>
      <c r="AV763"/>
      <c r="AW763"/>
      <c r="FY763" s="211">
        <v>758</v>
      </c>
      <c r="FZ763">
        <v>140.0460513193847</v>
      </c>
      <c r="GA763">
        <v>65.755252683895677</v>
      </c>
      <c r="GB763">
        <v>18.889547120784837</v>
      </c>
      <c r="GC763">
        <v>6.2336457047968228</v>
      </c>
      <c r="GD763">
        <v>2.4521743870326951</v>
      </c>
      <c r="GE763">
        <v>7.365960486766161</v>
      </c>
      <c r="GF763">
        <v>10.344028091371985</v>
      </c>
      <c r="GG763">
        <v>8.4481274362360157</v>
      </c>
      <c r="GH763">
        <v>19.215522410445125</v>
      </c>
      <c r="GI763">
        <v>61.272655067936377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1311.7558530460387</v>
      </c>
      <c r="AO764">
        <v>184.52145129396996</v>
      </c>
      <c r="AP764">
        <v>1601.7466756517852</v>
      </c>
      <c r="AQ764">
        <v>611.82023485424327</v>
      </c>
      <c r="AR764">
        <v>183.41754366559459</v>
      </c>
      <c r="AS764">
        <v>2017.6502671501962</v>
      </c>
      <c r="AT764">
        <v>91.619282618607755</v>
      </c>
      <c r="AU764">
        <v>41.09369718800292</v>
      </c>
      <c r="AV764"/>
      <c r="AW764"/>
      <c r="FY764" s="211">
        <v>759</v>
      </c>
      <c r="FZ764">
        <v>182.89918982874519</v>
      </c>
      <c r="GA764">
        <v>124.12369844582921</v>
      </c>
      <c r="GB764">
        <v>28.568022739195552</v>
      </c>
      <c r="GC764">
        <v>8.5956890867311344</v>
      </c>
      <c r="GD764">
        <v>2.9268999417348156</v>
      </c>
      <c r="GE764">
        <v>4.9888069161972179</v>
      </c>
      <c r="GF764">
        <v>17.195871268838658</v>
      </c>
      <c r="GG764">
        <v>23.40280212754055</v>
      </c>
      <c r="GH764">
        <v>30.60366283987981</v>
      </c>
      <c r="GI764">
        <v>75.807495464341784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1304.4702117788499</v>
      </c>
      <c r="AO765">
        <v>187.73227592782729</v>
      </c>
      <c r="AP765">
        <v>1582.4865423854183</v>
      </c>
      <c r="AQ765">
        <v>427.68528421333326</v>
      </c>
      <c r="AR765">
        <v>177.4809308862271</v>
      </c>
      <c r="AS765">
        <v>1858.5712162638577</v>
      </c>
      <c r="AT765">
        <v>81.521381983531583</v>
      </c>
      <c r="AU765">
        <v>366.67196348380281</v>
      </c>
      <c r="AV765"/>
      <c r="AW765"/>
      <c r="FY765" s="211">
        <v>760</v>
      </c>
      <c r="FZ765">
        <v>102.56884821511244</v>
      </c>
      <c r="GA765">
        <v>70.712072637901755</v>
      </c>
      <c r="GB765">
        <v>21.496537962191951</v>
      </c>
      <c r="GC765">
        <v>6.2587901139908038</v>
      </c>
      <c r="GD765">
        <v>3.3025015491367795</v>
      </c>
      <c r="GE765">
        <v>6.6675272461965802</v>
      </c>
      <c r="GF765">
        <v>28.61653669865305</v>
      </c>
      <c r="GG765">
        <v>33.86771903123735</v>
      </c>
      <c r="GH765">
        <v>31.117922518936115</v>
      </c>
      <c r="GI765">
        <v>78.707722594801837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1282.9791246701629</v>
      </c>
      <c r="AO766">
        <v>152.4200293937501</v>
      </c>
      <c r="AP766">
        <v>1321.557100097961</v>
      </c>
      <c r="AQ766">
        <v>500.96176302468632</v>
      </c>
      <c r="AR766">
        <v>147.17978883803545</v>
      </c>
      <c r="AS766">
        <v>1650.2419388672365</v>
      </c>
      <c r="AT766">
        <v>65.991680505504334</v>
      </c>
      <c r="AU766">
        <v>183.53030115279338</v>
      </c>
      <c r="AV766"/>
      <c r="AW766"/>
      <c r="FY766" s="211">
        <v>761</v>
      </c>
      <c r="FZ766">
        <v>167.59259061024329</v>
      </c>
      <c r="GA766">
        <v>88.603229887702895</v>
      </c>
      <c r="GB766">
        <v>25.091049954873448</v>
      </c>
      <c r="GC766">
        <v>8.2034336695462358</v>
      </c>
      <c r="GD766">
        <v>2.4619204879818213</v>
      </c>
      <c r="GE766">
        <v>4.5069188821199813</v>
      </c>
      <c r="GF766">
        <v>43.805312953216827</v>
      </c>
      <c r="GG766">
        <v>54.210652166149842</v>
      </c>
      <c r="GH766">
        <v>27.589987977808132</v>
      </c>
      <c r="GI766">
        <v>81.347573068416295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1079.1325168589651</v>
      </c>
      <c r="AO767">
        <v>172.32133603430796</v>
      </c>
      <c r="AP767">
        <v>1401.3325299702017</v>
      </c>
      <c r="AQ767">
        <v>448.54088194045198</v>
      </c>
      <c r="AR767">
        <v>165.5915405123481</v>
      </c>
      <c r="AS767">
        <v>1720.3199694957686</v>
      </c>
      <c r="AT767">
        <v>80.990923599521068</v>
      </c>
      <c r="AU767">
        <v>105.61779857330343</v>
      </c>
      <c r="AV767"/>
      <c r="AW767"/>
      <c r="FY767" s="211">
        <v>762</v>
      </c>
      <c r="FZ767">
        <v>166.77462474819964</v>
      </c>
      <c r="GA767">
        <v>123.72924637065952</v>
      </c>
      <c r="GB767">
        <v>32.160352425427426</v>
      </c>
      <c r="GC767">
        <v>7.9938825044834587</v>
      </c>
      <c r="GD767">
        <v>2.7169382536149227</v>
      </c>
      <c r="GE767">
        <v>4.7370522220976508</v>
      </c>
      <c r="GF767">
        <v>15.288042008748537</v>
      </c>
      <c r="GG767">
        <v>17.437794985891983</v>
      </c>
      <c r="GH767">
        <v>23.989338037618037</v>
      </c>
      <c r="GI767">
        <v>76.40096340588272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988.97867291057514</v>
      </c>
      <c r="AO768">
        <v>153.91656797659408</v>
      </c>
      <c r="AP768">
        <v>1354.6967453238888</v>
      </c>
      <c r="AQ768">
        <v>427.57894180882681</v>
      </c>
      <c r="AR768">
        <v>154.42885761589972</v>
      </c>
      <c r="AS768">
        <v>1637.9948757266793</v>
      </c>
      <c r="AT768">
        <v>78.396483624761728</v>
      </c>
      <c r="AU768">
        <v>153.27310198057774</v>
      </c>
      <c r="AV768"/>
      <c r="AW768"/>
      <c r="FY768" s="211">
        <v>763</v>
      </c>
      <c r="FZ768">
        <v>120.67336108798251</v>
      </c>
      <c r="GA768">
        <v>139.77237574532504</v>
      </c>
      <c r="GB768">
        <v>41.747266826825268</v>
      </c>
      <c r="GC768">
        <v>7.7331593195928292</v>
      </c>
      <c r="GD768">
        <v>3.9118824352394008</v>
      </c>
      <c r="GE768">
        <v>6.448065677046392</v>
      </c>
      <c r="GF768">
        <v>33.440367496108635</v>
      </c>
      <c r="GG768">
        <v>42.695061316508493</v>
      </c>
      <c r="GH768">
        <v>27.188512534703886</v>
      </c>
      <c r="GI768">
        <v>75.282294602018538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1527.2029775905016</v>
      </c>
      <c r="AO769">
        <v>202.54317130632904</v>
      </c>
      <c r="AP769">
        <v>1828.0523681631257</v>
      </c>
      <c r="AQ769">
        <v>670.47019927549491</v>
      </c>
      <c r="AR769">
        <v>194.57390194780342</v>
      </c>
      <c r="AS769">
        <v>2082.4485356630603</v>
      </c>
      <c r="AT769">
        <v>99.618837079414448</v>
      </c>
      <c r="AU769">
        <v>309.4563084603069</v>
      </c>
      <c r="AV769"/>
      <c r="AW769"/>
      <c r="FY769" s="211">
        <v>764</v>
      </c>
      <c r="FZ769">
        <v>59.830714242388467</v>
      </c>
      <c r="GA769">
        <v>77.928602232452448</v>
      </c>
      <c r="GB769">
        <v>34.001352879078652</v>
      </c>
      <c r="GC769">
        <v>9.8167022344339916</v>
      </c>
      <c r="GD769">
        <v>3.364808340562826</v>
      </c>
      <c r="GE769">
        <v>4.2958254480503264</v>
      </c>
      <c r="GF769">
        <v>37.738377519111374</v>
      </c>
      <c r="GG769">
        <v>53.755731739278431</v>
      </c>
      <c r="GH769">
        <v>28.723472396862999</v>
      </c>
      <c r="GI769">
        <v>79.83119088549121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1069.1887819680469</v>
      </c>
      <c r="AO770">
        <v>159.48322989799073</v>
      </c>
      <c r="AP770">
        <v>1259.1108697785726</v>
      </c>
      <c r="AQ770">
        <v>349.52886916722287</v>
      </c>
      <c r="AR770">
        <v>155.59108891657428</v>
      </c>
      <c r="AS770">
        <v>1708.4851913579491</v>
      </c>
      <c r="AT770">
        <v>74.716720002330945</v>
      </c>
      <c r="AU770">
        <v>233.78783758389966</v>
      </c>
      <c r="AV770"/>
      <c r="AW770"/>
      <c r="FY770" s="211">
        <v>765</v>
      </c>
      <c r="FZ770">
        <v>257.05466615018173</v>
      </c>
      <c r="GA770">
        <v>196.21540541216004</v>
      </c>
      <c r="GB770">
        <v>33.040315677049719</v>
      </c>
      <c r="GC770">
        <v>8.755766490962765</v>
      </c>
      <c r="GD770">
        <v>3.5476981963998027</v>
      </c>
      <c r="GE770">
        <v>5.5341097410967457</v>
      </c>
      <c r="GF770">
        <v>28.221935135643403</v>
      </c>
      <c r="GG770">
        <v>35.963068964527714</v>
      </c>
      <c r="GH770">
        <v>29.793744856675787</v>
      </c>
      <c r="GI770">
        <v>94.496460751706508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1255.8373524270589</v>
      </c>
      <c r="AO771">
        <v>187.69913388699106</v>
      </c>
      <c r="AP771">
        <v>1754.4921205885407</v>
      </c>
      <c r="AQ771">
        <v>649.83094052408796</v>
      </c>
      <c r="AR771">
        <v>186.24891080271223</v>
      </c>
      <c r="AS771">
        <v>2039.2465876121373</v>
      </c>
      <c r="AT771">
        <v>89.003904295942675</v>
      </c>
      <c r="AU771">
        <v>60.786665755676424</v>
      </c>
      <c r="AV771"/>
      <c r="AW771"/>
      <c r="FY771" s="211">
        <v>766</v>
      </c>
      <c r="FZ771">
        <v>137.26389809135111</v>
      </c>
      <c r="GA771">
        <v>179.62906740737193</v>
      </c>
      <c r="GB771">
        <v>41.025454165386428</v>
      </c>
      <c r="GC771">
        <v>7.5482955071870066</v>
      </c>
      <c r="GD771">
        <v>3.5883859784984198</v>
      </c>
      <c r="GE771">
        <v>4.5953022296246573</v>
      </c>
      <c r="GF771">
        <v>51.646132672661764</v>
      </c>
      <c r="GG771">
        <v>65.728649390511293</v>
      </c>
      <c r="GH771">
        <v>19.486760435080033</v>
      </c>
      <c r="GI771">
        <v>96.457367342674686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1128.2170314667007</v>
      </c>
      <c r="AO772">
        <v>196.59842825686633</v>
      </c>
      <c r="AP772">
        <v>1647.3276690354292</v>
      </c>
      <c r="AQ772">
        <v>404.84020334973172</v>
      </c>
      <c r="AR772">
        <v>189.20159450398546</v>
      </c>
      <c r="AS772">
        <v>1806.750256523909</v>
      </c>
      <c r="AT772">
        <v>88.926020197111725</v>
      </c>
      <c r="AU772">
        <v>248.62487752122695</v>
      </c>
      <c r="AV772"/>
      <c r="AW772"/>
      <c r="FY772" s="211">
        <v>767</v>
      </c>
      <c r="FZ772">
        <v>139.78188832164525</v>
      </c>
      <c r="GA772">
        <v>99.487548127831644</v>
      </c>
      <c r="GB772">
        <v>29.627241541445628</v>
      </c>
      <c r="GC772">
        <v>7.91191312107496</v>
      </c>
      <c r="GD772">
        <v>3.3931463758113862</v>
      </c>
      <c r="GE772">
        <v>5.7205662382052846</v>
      </c>
      <c r="GF772">
        <v>28.064016611995388</v>
      </c>
      <c r="GG772">
        <v>34.70392174218712</v>
      </c>
      <c r="GH772">
        <v>27.791917946389116</v>
      </c>
      <c r="GI772">
        <v>74.582412040810354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1131.5167884518412</v>
      </c>
      <c r="AO773">
        <v>163.4143696498576</v>
      </c>
      <c r="AP773">
        <v>1397.8364904513821</v>
      </c>
      <c r="AQ773">
        <v>499.31775253759378</v>
      </c>
      <c r="AR773">
        <v>156.84753409974689</v>
      </c>
      <c r="AS773">
        <v>1714.0516403286854</v>
      </c>
      <c r="AT773">
        <v>80.557257890907039</v>
      </c>
      <c r="AU773">
        <v>59.814763217296132</v>
      </c>
      <c r="AV773"/>
      <c r="AW773"/>
      <c r="FY773" s="211">
        <v>768</v>
      </c>
      <c r="FZ773">
        <v>133.71976045104</v>
      </c>
      <c r="GA773">
        <v>100.8426829513829</v>
      </c>
      <c r="GB773">
        <v>30.950727459518941</v>
      </c>
      <c r="GC773">
        <v>8.8246878503056969</v>
      </c>
      <c r="GD773">
        <v>2.9737881647224582</v>
      </c>
      <c r="GE773">
        <v>2.957996938303693</v>
      </c>
      <c r="GF773">
        <v>20.078073686829395</v>
      </c>
      <c r="GG773">
        <v>27.438478680608725</v>
      </c>
      <c r="GH773">
        <v>25.294308393261165</v>
      </c>
      <c r="GI773">
        <v>75.324081813659546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811.55337371435769</v>
      </c>
      <c r="AO774">
        <v>157.14614448476499</v>
      </c>
      <c r="AP774">
        <v>1255.178565472422</v>
      </c>
      <c r="AQ774">
        <v>340.02296470865048</v>
      </c>
      <c r="AR774">
        <v>153.4698511069943</v>
      </c>
      <c r="AS774">
        <v>1497.3255313791619</v>
      </c>
      <c r="AT774">
        <v>78.419760275599742</v>
      </c>
      <c r="AU774">
        <v>42.700967366694456</v>
      </c>
      <c r="AV774"/>
      <c r="AW774"/>
      <c r="FY774" s="211">
        <v>769</v>
      </c>
      <c r="FZ774">
        <v>175.33165064108204</v>
      </c>
      <c r="GA774">
        <v>198.90553235787155</v>
      </c>
      <c r="GB774">
        <v>48.117733182392477</v>
      </c>
      <c r="GC774">
        <v>9.4522884611277487</v>
      </c>
      <c r="GD774">
        <v>2.6606886425740992</v>
      </c>
      <c r="GE774">
        <v>4.6496608878490076</v>
      </c>
      <c r="GF774">
        <v>27.265681274619631</v>
      </c>
      <c r="GG774">
        <v>31.933263165370608</v>
      </c>
      <c r="GH774">
        <v>26.335815704075294</v>
      </c>
      <c r="GI774">
        <v>83.24418427846814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1046.5179832622248</v>
      </c>
      <c r="AO775">
        <v>159.25182098094609</v>
      </c>
      <c r="AP775">
        <v>1296.1150234386591</v>
      </c>
      <c r="AQ775">
        <v>499.11213865903386</v>
      </c>
      <c r="AR775">
        <v>155.57733374435307</v>
      </c>
      <c r="AS775">
        <v>1661.9427254421416</v>
      </c>
      <c r="AT775">
        <v>79.944609964607906</v>
      </c>
      <c r="AU775">
        <v>14.210005139024503</v>
      </c>
      <c r="AV775"/>
      <c r="AW775"/>
      <c r="FY775" s="211">
        <v>770</v>
      </c>
      <c r="FZ775">
        <v>89.663347041986967</v>
      </c>
      <c r="GA775">
        <v>119.23772171699669</v>
      </c>
      <c r="GB775">
        <v>37.526534056148094</v>
      </c>
      <c r="GC775">
        <v>7.0238813560123656</v>
      </c>
      <c r="GD775">
        <v>3.3550693365567206</v>
      </c>
      <c r="GE775">
        <v>5.1228313350420338</v>
      </c>
      <c r="GF775">
        <v>38.013265081492349</v>
      </c>
      <c r="GG775">
        <v>49.912649752435307</v>
      </c>
      <c r="GH775">
        <v>27.881147158362193</v>
      </c>
      <c r="GI775">
        <v>80.666081895525323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1131.3698862569915</v>
      </c>
      <c r="AO776">
        <v>185.98855991854967</v>
      </c>
      <c r="AP776">
        <v>1396.4903188568546</v>
      </c>
      <c r="AQ776">
        <v>383.3161785681587</v>
      </c>
      <c r="AR776">
        <v>181.85713971690498</v>
      </c>
      <c r="AS776">
        <v>1891.5001785927739</v>
      </c>
      <c r="AT776">
        <v>89.827634864490335</v>
      </c>
      <c r="AU776">
        <v>305.72555599811483</v>
      </c>
      <c r="AV776"/>
      <c r="AW776"/>
      <c r="FY776" s="211">
        <v>771</v>
      </c>
      <c r="FZ776">
        <v>86.29460938770373</v>
      </c>
      <c r="GA776">
        <v>57.230738254219339</v>
      </c>
      <c r="GB776">
        <v>22.807003740289623</v>
      </c>
      <c r="GC776">
        <v>7.7599075385349625</v>
      </c>
      <c r="GD776">
        <v>4.0598954367211384</v>
      </c>
      <c r="GE776">
        <v>6.6406082048424739</v>
      </c>
      <c r="GF776">
        <v>22.423138366796387</v>
      </c>
      <c r="GG776">
        <v>27.968181878441932</v>
      </c>
      <c r="GH776">
        <v>31.359901945910359</v>
      </c>
      <c r="GI776">
        <v>68.768115272370835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1272.6905031789922</v>
      </c>
      <c r="AO777">
        <v>193.42964335594439</v>
      </c>
      <c r="AP777">
        <v>1715.6778548601458</v>
      </c>
      <c r="AQ777">
        <v>503.4126696580588</v>
      </c>
      <c r="AR777">
        <v>187.57239940035814</v>
      </c>
      <c r="AS777">
        <v>1807.1917606302395</v>
      </c>
      <c r="AT777">
        <v>84.547565897296309</v>
      </c>
      <c r="AU777">
        <v>354.65508562747357</v>
      </c>
      <c r="AV777"/>
      <c r="AW777"/>
      <c r="FY777" s="211">
        <v>772</v>
      </c>
      <c r="FZ777">
        <v>162.83167234812424</v>
      </c>
      <c r="GA777">
        <v>121.56689682921581</v>
      </c>
      <c r="GB777">
        <v>32.970311805879717</v>
      </c>
      <c r="GC777">
        <v>8.700466356346352</v>
      </c>
      <c r="GD777">
        <v>3.6047178753450622</v>
      </c>
      <c r="GE777">
        <v>6.4888648261661235</v>
      </c>
      <c r="GF777">
        <v>45.534316765133532</v>
      </c>
      <c r="GG777">
        <v>57.439810835429135</v>
      </c>
      <c r="GH777">
        <v>30.662190237085444</v>
      </c>
      <c r="GI777">
        <v>87.399486707506028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1037.8908734895997</v>
      </c>
      <c r="AO778">
        <v>157.04833852011353</v>
      </c>
      <c r="AP778">
        <v>1165.5852419263881</v>
      </c>
      <c r="AQ778">
        <v>471.2282349626239</v>
      </c>
      <c r="AR778">
        <v>157.19528256249575</v>
      </c>
      <c r="AS778">
        <v>1751.1063574359187</v>
      </c>
      <c r="AT778">
        <v>81.356142209049807</v>
      </c>
      <c r="AU778">
        <v>67.194584071968166</v>
      </c>
      <c r="AV778"/>
      <c r="AW778"/>
      <c r="FY778" s="211">
        <v>773</v>
      </c>
      <c r="FZ778">
        <v>132.25502728198671</v>
      </c>
      <c r="GA778">
        <v>113.55788417017712</v>
      </c>
      <c r="GB778">
        <v>35.852371497357517</v>
      </c>
      <c r="GC778">
        <v>8.7299089048526479</v>
      </c>
      <c r="GD778">
        <v>4.431695629400517</v>
      </c>
      <c r="GE778">
        <v>7.6323371706385377</v>
      </c>
      <c r="GF778">
        <v>28.821658041641321</v>
      </c>
      <c r="GG778">
        <v>36.40156607489331</v>
      </c>
      <c r="GH778">
        <v>28.933359421874471</v>
      </c>
      <c r="GI778">
        <v>83.889013418967096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1225.5397788950656</v>
      </c>
      <c r="AO779">
        <v>144.75843406084053</v>
      </c>
      <c r="AP779">
        <v>1249.5982968381102</v>
      </c>
      <c r="AQ779">
        <v>498.89234704135094</v>
      </c>
      <c r="AR779">
        <v>143.08618411253977</v>
      </c>
      <c r="AS779">
        <v>1668.3324674872581</v>
      </c>
      <c r="AT779">
        <v>66.684044678898346</v>
      </c>
      <c r="AU779">
        <v>94.597185083809194</v>
      </c>
      <c r="AV779"/>
      <c r="AW779"/>
      <c r="FY779" s="211">
        <v>774</v>
      </c>
      <c r="FZ779">
        <v>228.54750908457439</v>
      </c>
      <c r="GA779">
        <v>146.91416189930342</v>
      </c>
      <c r="GB779">
        <v>23.131834496109796</v>
      </c>
      <c r="GC779">
        <v>7.5557178137173917</v>
      </c>
      <c r="GD779">
        <v>2.1438584908955458</v>
      </c>
      <c r="GE779">
        <v>4.1815612560839082</v>
      </c>
      <c r="GF779">
        <v>37.0699721534547</v>
      </c>
      <c r="GG779">
        <v>50.46547787974464</v>
      </c>
      <c r="GH779">
        <v>26.466231729009145</v>
      </c>
      <c r="GI779">
        <v>88.932199100474165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1227.0184772822611</v>
      </c>
      <c r="AO780">
        <v>171.30558536518316</v>
      </c>
      <c r="AP780">
        <v>1396.4495094690244</v>
      </c>
      <c r="AQ780">
        <v>389.28677791771071</v>
      </c>
      <c r="AR780">
        <v>162.74257977042666</v>
      </c>
      <c r="AS780">
        <v>1710.444847201564</v>
      </c>
      <c r="AT780">
        <v>72.267651705025443</v>
      </c>
      <c r="AU780">
        <v>122.39847025458096</v>
      </c>
      <c r="AV780"/>
      <c r="AW780"/>
      <c r="FY780" s="211">
        <v>775</v>
      </c>
      <c r="FZ780">
        <v>106.5049190798792</v>
      </c>
      <c r="GA780">
        <v>64.529031057184895</v>
      </c>
      <c r="GB780">
        <v>23.596802487136372</v>
      </c>
      <c r="GC780">
        <v>5.5632323664608219</v>
      </c>
      <c r="GD780">
        <v>2.9533593807558214</v>
      </c>
      <c r="GE780">
        <v>6.1300641627042971</v>
      </c>
      <c r="GF780">
        <v>28.522512798838527</v>
      </c>
      <c r="GG780">
        <v>34.204849416275628</v>
      </c>
      <c r="GH780">
        <v>28.292986689049759</v>
      </c>
      <c r="GI780">
        <v>58.299646853579603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1313.7491195738937</v>
      </c>
      <c r="AO781">
        <v>209.72071958322553</v>
      </c>
      <c r="AP781">
        <v>1868.0662248758699</v>
      </c>
      <c r="AQ781">
        <v>692.62317137640412</v>
      </c>
      <c r="AR781">
        <v>200.70785288443233</v>
      </c>
      <c r="AS781">
        <v>2093.6442974525244</v>
      </c>
      <c r="AT781">
        <v>106.7071867094446</v>
      </c>
      <c r="AU781">
        <v>154.42681554385635</v>
      </c>
      <c r="AV781"/>
      <c r="AW781"/>
      <c r="FY781" s="211">
        <v>776</v>
      </c>
      <c r="FZ781">
        <v>84.484617978830968</v>
      </c>
      <c r="GA781">
        <v>87.788780605434084</v>
      </c>
      <c r="GB781">
        <v>35.744926154136685</v>
      </c>
      <c r="GC781">
        <v>7.6039646950087221</v>
      </c>
      <c r="GD781">
        <v>3.2032505330370764</v>
      </c>
      <c r="GE781">
        <v>6.2027993733475384</v>
      </c>
      <c r="GF781">
        <v>36.055520237599154</v>
      </c>
      <c r="GG781">
        <v>43.025764551362357</v>
      </c>
      <c r="GH781">
        <v>27.089930369920609</v>
      </c>
      <c r="GI781">
        <v>72.278772445795013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1514.239937961896</v>
      </c>
      <c r="AO782">
        <v>181.23772044042553</v>
      </c>
      <c r="AP782">
        <v>1556.5776978221918</v>
      </c>
      <c r="AQ782">
        <v>606.96931322034732</v>
      </c>
      <c r="AR782">
        <v>173.89070912394305</v>
      </c>
      <c r="AS782">
        <v>2013.844457293234</v>
      </c>
      <c r="AT782">
        <v>81.612152015160092</v>
      </c>
      <c r="AU782">
        <v>229.58307969077168</v>
      </c>
      <c r="AV782"/>
      <c r="AW782"/>
      <c r="FY782" s="211">
        <v>777</v>
      </c>
      <c r="FZ782">
        <v>144.58698021256569</v>
      </c>
      <c r="GA782">
        <v>108.52888081399283</v>
      </c>
      <c r="GB782">
        <v>30.524932365407544</v>
      </c>
      <c r="GC782">
        <v>8.3568968760212421</v>
      </c>
      <c r="GD782">
        <v>2.2538196203281911</v>
      </c>
      <c r="GE782">
        <v>4.4302624355711151</v>
      </c>
      <c r="GF782">
        <v>38.403996171740204</v>
      </c>
      <c r="GG782">
        <v>47.632276005760701</v>
      </c>
      <c r="GH782">
        <v>31.920514358602194</v>
      </c>
      <c r="GI782">
        <v>80.254750657930046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1123.848118035035</v>
      </c>
      <c r="AO783">
        <v>153.45945614338754</v>
      </c>
      <c r="AP783">
        <v>1282.3973783409444</v>
      </c>
      <c r="AQ783">
        <v>451.06457206739611</v>
      </c>
      <c r="AR783">
        <v>149.70722562094019</v>
      </c>
      <c r="AS783">
        <v>1682.3582670445926</v>
      </c>
      <c r="AT783">
        <v>70.740598421978333</v>
      </c>
      <c r="AU783">
        <v>97.431704129521265</v>
      </c>
      <c r="AV783"/>
      <c r="AW783"/>
      <c r="FY783" s="211">
        <v>778</v>
      </c>
      <c r="FZ783">
        <v>190.20004878655757</v>
      </c>
      <c r="GA783">
        <v>171.55266477443496</v>
      </c>
      <c r="GB783">
        <v>35.955360303184548</v>
      </c>
      <c r="GC783">
        <v>8.6540769366919488</v>
      </c>
      <c r="GD783">
        <v>4.4333494568171474</v>
      </c>
      <c r="GE783">
        <v>6.4756678560367114</v>
      </c>
      <c r="GF783">
        <v>17.797024400777758</v>
      </c>
      <c r="GG783">
        <v>24.334070090827002</v>
      </c>
      <c r="GH783">
        <v>25.29441315093333</v>
      </c>
      <c r="GI783">
        <v>82.967148862882127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1093.0592775653581</v>
      </c>
      <c r="AO784">
        <v>159.91249147265557</v>
      </c>
      <c r="AP784">
        <v>1288.6924322055393</v>
      </c>
      <c r="AQ784">
        <v>428.40458638963253</v>
      </c>
      <c r="AR784">
        <v>158.57369988843359</v>
      </c>
      <c r="AS784">
        <v>1686.1596300915487</v>
      </c>
      <c r="AT784">
        <v>76.995252183010493</v>
      </c>
      <c r="AU784">
        <v>126.92506105110408</v>
      </c>
      <c r="AV784"/>
      <c r="AW784"/>
      <c r="FY784" s="211">
        <v>779</v>
      </c>
      <c r="FZ784">
        <v>121.0618076730736</v>
      </c>
      <c r="GA784">
        <v>57.810658238642382</v>
      </c>
      <c r="GB784">
        <v>22.753399981512633</v>
      </c>
      <c r="GC784">
        <v>5.810895057622286</v>
      </c>
      <c r="GD784">
        <v>1.918705256476432</v>
      </c>
      <c r="GE784">
        <v>4.1017214831811115</v>
      </c>
      <c r="GF784">
        <v>34.861070022236888</v>
      </c>
      <c r="GG784">
        <v>43.977077465045127</v>
      </c>
      <c r="GH784">
        <v>30.510995355818348</v>
      </c>
      <c r="GI784">
        <v>66.654711506643537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1287.269177458832</v>
      </c>
      <c r="AO785">
        <v>157.74902702546885</v>
      </c>
      <c r="AP785">
        <v>1391.3055857611437</v>
      </c>
      <c r="AQ785">
        <v>607.89649859543056</v>
      </c>
      <c r="AR785">
        <v>152.98914989083943</v>
      </c>
      <c r="AS785">
        <v>1701.3481557609496</v>
      </c>
      <c r="AT785">
        <v>78.144502630348441</v>
      </c>
      <c r="AU785">
        <v>109.92805052677807</v>
      </c>
      <c r="AV785"/>
      <c r="AW785"/>
      <c r="FY785" s="211">
        <v>780</v>
      </c>
      <c r="FZ785">
        <v>141.63779567625275</v>
      </c>
      <c r="GA785">
        <v>116.40212284633306</v>
      </c>
      <c r="GB785">
        <v>33.967528853226845</v>
      </c>
      <c r="GC785">
        <v>11.478488645079176</v>
      </c>
      <c r="GD785">
        <v>4.5520358576378159</v>
      </c>
      <c r="GE785">
        <v>5.5807389467789275</v>
      </c>
      <c r="GF785">
        <v>16.101267154595867</v>
      </c>
      <c r="GG785">
        <v>20.997137427072232</v>
      </c>
      <c r="GH785">
        <v>22.807390448704908</v>
      </c>
      <c r="GI785">
        <v>79.802492357261499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1284.6417138400882</v>
      </c>
      <c r="AO786">
        <v>181.96605590109647</v>
      </c>
      <c r="AP786">
        <v>1582.1038627730366</v>
      </c>
      <c r="AQ786">
        <v>458.40252873055806</v>
      </c>
      <c r="AR786">
        <v>173.10850086984865</v>
      </c>
      <c r="AS786">
        <v>1796.0115371798872</v>
      </c>
      <c r="AT786">
        <v>76.887420205788061</v>
      </c>
      <c r="AU786">
        <v>258.49489458357255</v>
      </c>
      <c r="AV786"/>
      <c r="AW786"/>
      <c r="FY786" s="211">
        <v>781</v>
      </c>
      <c r="FZ786">
        <v>96.448288662085787</v>
      </c>
      <c r="GA786">
        <v>53.124791688042578</v>
      </c>
      <c r="GB786">
        <v>13.922852086507415</v>
      </c>
      <c r="GC786">
        <v>6.4637634280114034</v>
      </c>
      <c r="GD786">
        <v>4.0973993242920415</v>
      </c>
      <c r="GE786">
        <v>6.810052651197279</v>
      </c>
      <c r="GF786">
        <v>35.441331260544018</v>
      </c>
      <c r="GG786">
        <v>41.321493285327335</v>
      </c>
      <c r="GH786">
        <v>26.836377437843616</v>
      </c>
      <c r="GI786">
        <v>68.647091166309707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1015.3654140574461</v>
      </c>
      <c r="AO787">
        <v>178.34155082074682</v>
      </c>
      <c r="AP787">
        <v>1544.5911023727363</v>
      </c>
      <c r="AQ787">
        <v>335.31210002583077</v>
      </c>
      <c r="AR787">
        <v>176.2041349302018</v>
      </c>
      <c r="AS787">
        <v>1705.9025152098529</v>
      </c>
      <c r="AT787">
        <v>82.620181921229815</v>
      </c>
      <c r="AU787">
        <v>225.83613715846053</v>
      </c>
      <c r="AV787"/>
      <c r="AW787"/>
      <c r="FY787" s="211">
        <v>782</v>
      </c>
      <c r="FZ787">
        <v>93.255400288526644</v>
      </c>
      <c r="GA787">
        <v>84.014260655258497</v>
      </c>
      <c r="GB787">
        <v>33.755590189023515</v>
      </c>
      <c r="GC787">
        <v>9.3838639098515841</v>
      </c>
      <c r="GD787">
        <v>3.7665268740012432</v>
      </c>
      <c r="GE787">
        <v>3.8469979599581654</v>
      </c>
      <c r="GF787">
        <v>45.447223990457488</v>
      </c>
      <c r="GG787">
        <v>62.40051232623329</v>
      </c>
      <c r="GH787">
        <v>16.670006812729127</v>
      </c>
      <c r="GI787">
        <v>87.690575081379194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1349.2372251284391</v>
      </c>
      <c r="AO788">
        <v>176.96145028192774</v>
      </c>
      <c r="AP788">
        <v>1455.6690374384959</v>
      </c>
      <c r="AQ788">
        <v>557.19873458623147</v>
      </c>
      <c r="AR788">
        <v>172.91164716675934</v>
      </c>
      <c r="AS788">
        <v>1922.5889984206829</v>
      </c>
      <c r="AT788">
        <v>82.66770889736614</v>
      </c>
      <c r="AU788">
        <v>202.62613693593926</v>
      </c>
      <c r="AV788"/>
      <c r="AW788"/>
      <c r="FY788" s="211">
        <v>783</v>
      </c>
      <c r="FZ788">
        <v>113.44359030084954</v>
      </c>
      <c r="GA788">
        <v>64.580797024725086</v>
      </c>
      <c r="GB788">
        <v>27.659445016112745</v>
      </c>
      <c r="GC788">
        <v>9.365790934201117</v>
      </c>
      <c r="GD788">
        <v>4.2328762958189818</v>
      </c>
      <c r="GE788">
        <v>5.5002375225610045</v>
      </c>
      <c r="GF788">
        <v>38.217033161094115</v>
      </c>
      <c r="GG788">
        <v>51.481873622098753</v>
      </c>
      <c r="GH788">
        <v>26.551257703487423</v>
      </c>
      <c r="GI788">
        <v>79.479016000821275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1272.9228306752425</v>
      </c>
      <c r="AO789">
        <v>196.11855850011355</v>
      </c>
      <c r="AP789">
        <v>1744.3573564781236</v>
      </c>
      <c r="AQ789">
        <v>480.50482161178923</v>
      </c>
      <c r="AR789">
        <v>187.6167896160851</v>
      </c>
      <c r="AS789">
        <v>2044.6684827983413</v>
      </c>
      <c r="AT789">
        <v>87.946913553572742</v>
      </c>
      <c r="AU789">
        <v>198.02979956280961</v>
      </c>
      <c r="AV789"/>
      <c r="AW789"/>
      <c r="FY789" s="211">
        <v>784</v>
      </c>
      <c r="FZ789">
        <v>138.54557318394509</v>
      </c>
      <c r="GA789">
        <v>109.79396883641219</v>
      </c>
      <c r="GB789">
        <v>34.069950335363508</v>
      </c>
      <c r="GC789">
        <v>7.8641294781863262</v>
      </c>
      <c r="GD789">
        <v>2.6523504799020832</v>
      </c>
      <c r="GE789">
        <v>3.9534868886998233</v>
      </c>
      <c r="GF789">
        <v>20.673367783997648</v>
      </c>
      <c r="GG789">
        <v>26.617694963154076</v>
      </c>
      <c r="GH789">
        <v>27.385228533120468</v>
      </c>
      <c r="GI789">
        <v>76.77078408692725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1218.9796535913069</v>
      </c>
      <c r="AO790">
        <v>189.73117660396144</v>
      </c>
      <c r="AP790">
        <v>1668.5977475837938</v>
      </c>
      <c r="AQ790">
        <v>615.40852390336693</v>
      </c>
      <c r="AR790">
        <v>184.71217713405943</v>
      </c>
      <c r="AS790">
        <v>2019.4824301356844</v>
      </c>
      <c r="AT790">
        <v>94.347137480130826</v>
      </c>
      <c r="AU790">
        <v>184.96939520229944</v>
      </c>
      <c r="AV790"/>
      <c r="AW790"/>
      <c r="FY790" s="211">
        <v>785</v>
      </c>
      <c r="FZ790">
        <v>129.6786452691301</v>
      </c>
      <c r="GA790">
        <v>120.54798207051813</v>
      </c>
      <c r="GB790">
        <v>32.916640410815994</v>
      </c>
      <c r="GC790">
        <v>7.685105091584477</v>
      </c>
      <c r="GD790">
        <v>2.1601090186786709</v>
      </c>
      <c r="GE790">
        <v>3.9072608700145706</v>
      </c>
      <c r="GF790">
        <v>23.371475998789091</v>
      </c>
      <c r="GG790">
        <v>26.97416600870563</v>
      </c>
      <c r="GH790">
        <v>22.291477480657282</v>
      </c>
      <c r="GI790">
        <v>71.456978242239074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932.48873780044596</v>
      </c>
      <c r="AO791">
        <v>136.48239398253122</v>
      </c>
      <c r="AP791">
        <v>1211.5120441264801</v>
      </c>
      <c r="AQ791">
        <v>358.5974042918649</v>
      </c>
      <c r="AR791">
        <v>135.74362718556026</v>
      </c>
      <c r="AS791">
        <v>1362.0763533862926</v>
      </c>
      <c r="AT791">
        <v>66.211512347387924</v>
      </c>
      <c r="AU791">
        <v>294.67663766664833</v>
      </c>
      <c r="AV791"/>
      <c r="AW791"/>
      <c r="FY791" s="211">
        <v>786</v>
      </c>
      <c r="FZ791">
        <v>80.8719674463497</v>
      </c>
      <c r="GA791">
        <v>93.973776152077136</v>
      </c>
      <c r="GB791">
        <v>30.655063952714762</v>
      </c>
      <c r="GC791">
        <v>7.8442827332844001</v>
      </c>
      <c r="GD791">
        <v>3.2758851309175911</v>
      </c>
      <c r="GE791">
        <v>5.7265294988672579</v>
      </c>
      <c r="GF791">
        <v>24.625000862862493</v>
      </c>
      <c r="GG791">
        <v>31.064321739702876</v>
      </c>
      <c r="GH791">
        <v>23.205198050089098</v>
      </c>
      <c r="GI791">
        <v>75.026422871825304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1162.9327529176439</v>
      </c>
      <c r="AO792">
        <v>146.75259595014649</v>
      </c>
      <c r="AP792">
        <v>1245.0533774407672</v>
      </c>
      <c r="AQ792">
        <v>403.47832694447226</v>
      </c>
      <c r="AR792">
        <v>143.93630956210936</v>
      </c>
      <c r="AS792">
        <v>1536.3417930274186</v>
      </c>
      <c r="AT792">
        <v>67.636860300636911</v>
      </c>
      <c r="AU792">
        <v>284.93770196534598</v>
      </c>
      <c r="AV792"/>
      <c r="AW792"/>
      <c r="FY792" s="211">
        <v>787</v>
      </c>
      <c r="FZ792">
        <v>140.0227436158597</v>
      </c>
      <c r="GA792">
        <v>74.1865891353129</v>
      </c>
      <c r="GB792">
        <v>23.688374710511884</v>
      </c>
      <c r="GC792">
        <v>9.5671068547651252</v>
      </c>
      <c r="GD792">
        <v>3.5767573407416462</v>
      </c>
      <c r="GE792">
        <v>4.2026857111819922</v>
      </c>
      <c r="GF792">
        <v>20.194415910755271</v>
      </c>
      <c r="GG792">
        <v>27.941769845128114</v>
      </c>
      <c r="GH792">
        <v>25.163890330815523</v>
      </c>
      <c r="GI792">
        <v>75.640555399359556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1198.5769248639458</v>
      </c>
      <c r="AO793">
        <v>164.18782150731906</v>
      </c>
      <c r="AP793">
        <v>1421.9187196575454</v>
      </c>
      <c r="AQ793">
        <v>496.89330951791982</v>
      </c>
      <c r="AR793">
        <v>161.60111975251002</v>
      </c>
      <c r="AS793">
        <v>1765.6704646561091</v>
      </c>
      <c r="AT793">
        <v>79.153707166227775</v>
      </c>
      <c r="AU793">
        <v>192.50658274639491</v>
      </c>
      <c r="AV793"/>
      <c r="AW793"/>
      <c r="FY793" s="211">
        <v>788</v>
      </c>
      <c r="FZ793">
        <v>146.09517001650235</v>
      </c>
      <c r="GA793">
        <v>96.310506597024229</v>
      </c>
      <c r="GB793">
        <v>29.90791293054529</v>
      </c>
      <c r="GC793">
        <v>8.0204667347245859</v>
      </c>
      <c r="GD793">
        <v>2.3625305138581378</v>
      </c>
      <c r="GE793">
        <v>3.2538430809937475</v>
      </c>
      <c r="GF793">
        <v>39.278803351054954</v>
      </c>
      <c r="GG793">
        <v>52.561152146248794</v>
      </c>
      <c r="GH793">
        <v>25.194477165366894</v>
      </c>
      <c r="GI793">
        <v>82.977892563863165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1195.2727212429409</v>
      </c>
      <c r="AO794">
        <v>173.07160538031903</v>
      </c>
      <c r="AP794">
        <v>1405.2761992113835</v>
      </c>
      <c r="AQ794">
        <v>567.66382461914316</v>
      </c>
      <c r="AR794">
        <v>167.62867331471043</v>
      </c>
      <c r="AS794">
        <v>1826.6601033764969</v>
      </c>
      <c r="AT794">
        <v>83.614679253289964</v>
      </c>
      <c r="AU794">
        <v>-26.453361354924525</v>
      </c>
      <c r="AV794"/>
      <c r="AW794"/>
      <c r="FY794" s="211">
        <v>789</v>
      </c>
      <c r="FZ794">
        <v>99.225008132917651</v>
      </c>
      <c r="GA794">
        <v>68.161320868283866</v>
      </c>
      <c r="GB794">
        <v>22.08909297584243</v>
      </c>
      <c r="GC794">
        <v>8.4480803815670207</v>
      </c>
      <c r="GD794">
        <v>3.2741984565101312</v>
      </c>
      <c r="GE794">
        <v>5.8580861888636253</v>
      </c>
      <c r="GF794">
        <v>21.357417477151962</v>
      </c>
      <c r="GG794">
        <v>23.82442699940033</v>
      </c>
      <c r="GH794">
        <v>23.245763392586021</v>
      </c>
      <c r="GI794">
        <v>64.236821121090813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983.6499819037117</v>
      </c>
      <c r="AO795">
        <v>149.07421751813865</v>
      </c>
      <c r="AP795">
        <v>1275.5030116769665</v>
      </c>
      <c r="AQ795">
        <v>389.46104204025232</v>
      </c>
      <c r="AR795">
        <v>148.4498431115131</v>
      </c>
      <c r="AS795">
        <v>1570.4685933908024</v>
      </c>
      <c r="AT795">
        <v>75.092707250763468</v>
      </c>
      <c r="AU795">
        <v>357.99924682561584</v>
      </c>
      <c r="AV795"/>
      <c r="AW795"/>
      <c r="FY795" s="211">
        <v>790</v>
      </c>
      <c r="FZ795">
        <v>156.79120936600825</v>
      </c>
      <c r="GA795">
        <v>111.3544012245849</v>
      </c>
      <c r="GB795">
        <v>24.664810382355043</v>
      </c>
      <c r="GC795">
        <v>9.1199312730042834</v>
      </c>
      <c r="GD795">
        <v>3.6035954940144816</v>
      </c>
      <c r="GE795">
        <v>5.464664557277807</v>
      </c>
      <c r="GF795">
        <v>10.956495322077128</v>
      </c>
      <c r="GG795">
        <v>13.208860653987363</v>
      </c>
      <c r="GH795">
        <v>24.517640396976468</v>
      </c>
      <c r="GI795">
        <v>68.171160333231711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1138.7411990668329</v>
      </c>
      <c r="AO796">
        <v>176.077930378595</v>
      </c>
      <c r="AP796">
        <v>1382.2881607173256</v>
      </c>
      <c r="AQ796">
        <v>453.32699821294301</v>
      </c>
      <c r="AR796">
        <v>171.75919647838694</v>
      </c>
      <c r="AS796">
        <v>1727.1171292236302</v>
      </c>
      <c r="AT796">
        <v>85.866793389219296</v>
      </c>
      <c r="AU796">
        <v>104.44341055833681</v>
      </c>
      <c r="AV796"/>
      <c r="AW796"/>
      <c r="FY796" s="211">
        <v>791</v>
      </c>
      <c r="FZ796">
        <v>92.732692529400708</v>
      </c>
      <c r="GA796">
        <v>83.445732084983547</v>
      </c>
      <c r="GB796">
        <v>36.392435124458125</v>
      </c>
      <c r="GC796">
        <v>10.743707730631563</v>
      </c>
      <c r="GD796">
        <v>4.1164596670893854</v>
      </c>
      <c r="GE796">
        <v>6.528056025353445</v>
      </c>
      <c r="GF796">
        <v>41.228906382983148</v>
      </c>
      <c r="GG796">
        <v>50.159382958628996</v>
      </c>
      <c r="GH796">
        <v>24.994585942393773</v>
      </c>
      <c r="GI796">
        <v>90.678604676524927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1044.3654430771783</v>
      </c>
      <c r="AO797">
        <v>148.81569820737613</v>
      </c>
      <c r="AP797">
        <v>1118.508025490549</v>
      </c>
      <c r="AQ797">
        <v>353.11344099016117</v>
      </c>
      <c r="AR797">
        <v>146.34299958356993</v>
      </c>
      <c r="AS797">
        <v>1661.8615374696421</v>
      </c>
      <c r="AT797">
        <v>69.866326170975796</v>
      </c>
      <c r="AU797">
        <v>284.07559551042021</v>
      </c>
      <c r="AV797"/>
      <c r="AW797"/>
      <c r="FY797" s="211">
        <v>792</v>
      </c>
      <c r="FZ797">
        <v>165.43421900950869</v>
      </c>
      <c r="GA797">
        <v>170.03387181921516</v>
      </c>
      <c r="GB797">
        <v>41.286992294033674</v>
      </c>
      <c r="GC797">
        <v>7.9073508328606259</v>
      </c>
      <c r="GD797">
        <v>3.6092264284948619</v>
      </c>
      <c r="GE797">
        <v>6.3886805044101678</v>
      </c>
      <c r="GF797">
        <v>34.754227394918431</v>
      </c>
      <c r="GG797">
        <v>43.769616320150043</v>
      </c>
      <c r="GH797">
        <v>25.130916334313895</v>
      </c>
      <c r="GI797">
        <v>92.149124466150269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1307.5113084784987</v>
      </c>
      <c r="AO798">
        <v>175.46015508883551</v>
      </c>
      <c r="AP798">
        <v>1393.7509792689905</v>
      </c>
      <c r="AQ798">
        <v>440.2309580874188</v>
      </c>
      <c r="AR798">
        <v>171.40652667441489</v>
      </c>
      <c r="AS798">
        <v>1848.6260060683157</v>
      </c>
      <c r="AT798">
        <v>84.269163945329353</v>
      </c>
      <c r="AU798">
        <v>115.25035857292742</v>
      </c>
      <c r="AV798"/>
      <c r="AW798"/>
      <c r="FY798" s="211">
        <v>793</v>
      </c>
      <c r="FZ798">
        <v>120.61194323770121</v>
      </c>
      <c r="GA798">
        <v>154.29101756092575</v>
      </c>
      <c r="GB798">
        <v>47.171379779000105</v>
      </c>
      <c r="GC798">
        <v>6.1615028922190138</v>
      </c>
      <c r="GD798">
        <v>1.7254132391108743</v>
      </c>
      <c r="GE798">
        <v>4.5305166448721153</v>
      </c>
      <c r="GF798">
        <v>40.431922461515867</v>
      </c>
      <c r="GG798">
        <v>48.640361608190297</v>
      </c>
      <c r="GH798">
        <v>31.864453513753062</v>
      </c>
      <c r="GI798">
        <v>85.951629594077502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1221.1795584453876</v>
      </c>
      <c r="AO799">
        <v>168.00457716030957</v>
      </c>
      <c r="AP799">
        <v>1382.0368790193083</v>
      </c>
      <c r="AQ799">
        <v>420.51191758177004</v>
      </c>
      <c r="AR799">
        <v>164.13682893583029</v>
      </c>
      <c r="AS799">
        <v>1761.0796014923467</v>
      </c>
      <c r="AT799">
        <v>73.883418544535587</v>
      </c>
      <c r="AU799">
        <v>130.21946442142922</v>
      </c>
      <c r="AV799"/>
      <c r="AW799"/>
      <c r="FY799" s="211">
        <v>794</v>
      </c>
      <c r="FZ799">
        <v>147.28465107038502</v>
      </c>
      <c r="GA799">
        <v>107.27508334519487</v>
      </c>
      <c r="GB799">
        <v>29.667421517257797</v>
      </c>
      <c r="GC799">
        <v>7.9899530184565606</v>
      </c>
      <c r="GD799">
        <v>1.9593876019799656</v>
      </c>
      <c r="GE799">
        <v>2.2645478163077204</v>
      </c>
      <c r="GF799">
        <v>18.172053545117542</v>
      </c>
      <c r="GG799">
        <v>27.473959267969814</v>
      </c>
      <c r="GH799">
        <v>27.436946214127872</v>
      </c>
      <c r="GI799">
        <v>75.139850389645957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1134.9948802601486</v>
      </c>
      <c r="AO800">
        <v>176.39164406732888</v>
      </c>
      <c r="AP800">
        <v>1479.3175529903056</v>
      </c>
      <c r="AQ800">
        <v>448.32653456970854</v>
      </c>
      <c r="AR800">
        <v>174.21862528151593</v>
      </c>
      <c r="AS800">
        <v>1714.1607180245217</v>
      </c>
      <c r="AT800">
        <v>91.347368931466406</v>
      </c>
      <c r="AU800">
        <v>257.17793698350499</v>
      </c>
      <c r="AV800"/>
      <c r="AW800"/>
      <c r="FY800" s="211">
        <v>795</v>
      </c>
      <c r="FZ800">
        <v>184.63373337143972</v>
      </c>
      <c r="GA800">
        <v>170.11637842642881</v>
      </c>
      <c r="GB800">
        <v>43.204665575030972</v>
      </c>
      <c r="GC800">
        <v>7.9143421895927037</v>
      </c>
      <c r="GD800">
        <v>3.504515841582208</v>
      </c>
      <c r="GE800">
        <v>5.9224422052811203</v>
      </c>
      <c r="GF800">
        <v>16.939564363659269</v>
      </c>
      <c r="GG800">
        <v>21.600348429545644</v>
      </c>
      <c r="GH800">
        <v>24.329477722561023</v>
      </c>
      <c r="GI800">
        <v>81.468212795745387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1072.5278285444924</v>
      </c>
      <c r="AO801">
        <v>168.50000717827581</v>
      </c>
      <c r="AP801">
        <v>1531.2669581432485</v>
      </c>
      <c r="AQ801">
        <v>440.9898404611331</v>
      </c>
      <c r="AR801">
        <v>162.16606717709968</v>
      </c>
      <c r="AS801">
        <v>1698.3057984787681</v>
      </c>
      <c r="AT801">
        <v>80.187311221707759</v>
      </c>
      <c r="AU801">
        <v>236.4589695767427</v>
      </c>
      <c r="AV801"/>
      <c r="AW801"/>
      <c r="FY801" s="211">
        <v>796</v>
      </c>
      <c r="FZ801">
        <v>64.123755117194179</v>
      </c>
      <c r="GA801">
        <v>74.982029018439235</v>
      </c>
      <c r="GB801">
        <v>23.611766315003152</v>
      </c>
      <c r="GC801">
        <v>6.9399923625281179</v>
      </c>
      <c r="GD801">
        <v>3.2360979268756767</v>
      </c>
      <c r="GE801">
        <v>4.140992944668815</v>
      </c>
      <c r="GF801">
        <v>17.139240472857232</v>
      </c>
      <c r="GG801">
        <v>22.250527734086511</v>
      </c>
      <c r="GH801">
        <v>23.937884382620354</v>
      </c>
      <c r="GI801">
        <v>60.24908934592581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1115.906569104128</v>
      </c>
      <c r="AO802">
        <v>184.16478899834902</v>
      </c>
      <c r="AP802">
        <v>1541.7651602443846</v>
      </c>
      <c r="AQ802">
        <v>376.2684484386906</v>
      </c>
      <c r="AR802">
        <v>175.90005100438745</v>
      </c>
      <c r="AS802">
        <v>1821.4042370655491</v>
      </c>
      <c r="AT802">
        <v>81.711346873711634</v>
      </c>
      <c r="AU802">
        <v>227.65313067016234</v>
      </c>
      <c r="AV802"/>
      <c r="AW802"/>
      <c r="FY802" s="211">
        <v>797</v>
      </c>
      <c r="FZ802">
        <v>115.04099121247762</v>
      </c>
      <c r="GA802">
        <v>107.9246230280427</v>
      </c>
      <c r="GB802">
        <v>36.48266059889135</v>
      </c>
      <c r="GC802">
        <v>8.3418436604414907</v>
      </c>
      <c r="GD802">
        <v>3.4959880445597085</v>
      </c>
      <c r="GE802">
        <v>7.7313123703666475</v>
      </c>
      <c r="GF802">
        <v>48.566175449187803</v>
      </c>
      <c r="GG802">
        <v>59.838430290758282</v>
      </c>
      <c r="GH802">
        <v>27.31302857074397</v>
      </c>
      <c r="GI802">
        <v>87.639391656293569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1033.2883477666294</v>
      </c>
      <c r="AO803">
        <v>161.28994386308781</v>
      </c>
      <c r="AP803">
        <v>1232.9660601846415</v>
      </c>
      <c r="AQ803">
        <v>404.18488885443173</v>
      </c>
      <c r="AR803">
        <v>160.44773694085569</v>
      </c>
      <c r="AS803">
        <v>1781.0095307578508</v>
      </c>
      <c r="AT803">
        <v>80.803388574697578</v>
      </c>
      <c r="AU803">
        <v>114.08649976302559</v>
      </c>
      <c r="AV803"/>
      <c r="AW803"/>
      <c r="FY803" s="211">
        <v>798</v>
      </c>
      <c r="FZ803">
        <v>140.03900601336252</v>
      </c>
      <c r="GA803">
        <v>154.00650047846094</v>
      </c>
      <c r="GB803">
        <v>42.719480630914077</v>
      </c>
      <c r="GC803">
        <v>6.2866577005341444</v>
      </c>
      <c r="GD803">
        <v>3.1302950681580075</v>
      </c>
      <c r="GE803">
        <v>6.7784638229758389</v>
      </c>
      <c r="GF803">
        <v>54.16843515707798</v>
      </c>
      <c r="GG803">
        <v>70.001237137822997</v>
      </c>
      <c r="GH803">
        <v>36.394967101079864</v>
      </c>
      <c r="GI803">
        <v>95.237071582892909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1223.9307579835106</v>
      </c>
      <c r="AO804">
        <v>190.05004993176331</v>
      </c>
      <c r="AP804">
        <v>1615.9526029851011</v>
      </c>
      <c r="AQ804">
        <v>485.96275510018216</v>
      </c>
      <c r="AR804">
        <v>182.70123363989723</v>
      </c>
      <c r="AS804">
        <v>1919.2609560890626</v>
      </c>
      <c r="AT804">
        <v>89.199056957589605</v>
      </c>
      <c r="AU804">
        <v>325.82908571425043</v>
      </c>
      <c r="AV804"/>
      <c r="AW804"/>
      <c r="FY804" s="211">
        <v>799</v>
      </c>
      <c r="FZ804">
        <v>131.80855062326182</v>
      </c>
      <c r="GA804">
        <v>115.50601725225927</v>
      </c>
      <c r="GB804">
        <v>27.113884302787831</v>
      </c>
      <c r="GC804">
        <v>6.0955112372136506</v>
      </c>
      <c r="GD804">
        <v>2.5166782530292746</v>
      </c>
      <c r="GE804">
        <v>4.9890907568044156</v>
      </c>
      <c r="GF804">
        <v>15.356662220260413</v>
      </c>
      <c r="GG804">
        <v>18.011913167149604</v>
      </c>
      <c r="GH804">
        <v>25.687132465486791</v>
      </c>
      <c r="GI804">
        <v>61.8793645688719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975.90960950721978</v>
      </c>
      <c r="AO805">
        <v>152.29238781944167</v>
      </c>
      <c r="AP805">
        <v>1284.8685401061055</v>
      </c>
      <c r="AQ805">
        <v>339.72021599421385</v>
      </c>
      <c r="AR805">
        <v>147.797603307516</v>
      </c>
      <c r="AS805">
        <v>1545.2230423691603</v>
      </c>
      <c r="AT805">
        <v>72.361717502725014</v>
      </c>
      <c r="AU805">
        <v>210.29863136768282</v>
      </c>
      <c r="AV805"/>
      <c r="AW805"/>
      <c r="FY805" s="211">
        <v>800</v>
      </c>
      <c r="FZ805">
        <v>176.03753070713455</v>
      </c>
      <c r="GA805">
        <v>157.77504961898214</v>
      </c>
      <c r="GB805">
        <v>45.704389567865945</v>
      </c>
      <c r="GC805">
        <v>10.025753282064311</v>
      </c>
      <c r="GD805">
        <v>3.3790740136658224</v>
      </c>
      <c r="GE805">
        <v>5.396580677539907</v>
      </c>
      <c r="GF805">
        <v>15.662718795125166</v>
      </c>
      <c r="GG805">
        <v>19.326922636031323</v>
      </c>
      <c r="GH805">
        <v>26.204729437655423</v>
      </c>
      <c r="GI805">
        <v>90.797678270309177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965.8188369631664</v>
      </c>
      <c r="AO806">
        <v>166.72944257843977</v>
      </c>
      <c r="AP806">
        <v>1467.7778793709979</v>
      </c>
      <c r="AQ806">
        <v>427.85276900351732</v>
      </c>
      <c r="AR806">
        <v>163.87550692053429</v>
      </c>
      <c r="AS806">
        <v>1641.6994418907743</v>
      </c>
      <c r="AT806">
        <v>83.618646523043708</v>
      </c>
      <c r="AU806">
        <v>34.934657765761131</v>
      </c>
      <c r="AV806"/>
      <c r="AW806"/>
      <c r="FY806" s="211">
        <v>801</v>
      </c>
      <c r="FZ806">
        <v>144.16235349585426</v>
      </c>
      <c r="GA806">
        <v>140.03352913249421</v>
      </c>
      <c r="GB806">
        <v>45.782674744938156</v>
      </c>
      <c r="GC806">
        <v>10.678722099911088</v>
      </c>
      <c r="GD806">
        <v>3.0203731731762078</v>
      </c>
      <c r="GE806">
        <v>5.1307911761679588</v>
      </c>
      <c r="GF806">
        <v>26.439483458306281</v>
      </c>
      <c r="GG806">
        <v>32.778493770566079</v>
      </c>
      <c r="GH806">
        <v>19.87120751330642</v>
      </c>
      <c r="GI806">
        <v>82.435244609559703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1391.5286160180071</v>
      </c>
      <c r="AO807">
        <v>202.51587565909796</v>
      </c>
      <c r="AP807">
        <v>1579.622639724025</v>
      </c>
      <c r="AQ807">
        <v>441.02056312244758</v>
      </c>
      <c r="AR807">
        <v>192.79488313428729</v>
      </c>
      <c r="AS807">
        <v>2027.6676728174054</v>
      </c>
      <c r="AT807">
        <v>91.424574249828083</v>
      </c>
      <c r="AU807">
        <v>427.99294755737981</v>
      </c>
      <c r="AV807"/>
      <c r="AW807"/>
      <c r="FY807" s="211">
        <v>802</v>
      </c>
      <c r="FZ807">
        <v>109.72204440587548</v>
      </c>
      <c r="GA807">
        <v>124.56906518322172</v>
      </c>
      <c r="GB807">
        <v>30.838964632444064</v>
      </c>
      <c r="GC807">
        <v>7.0881224345965492</v>
      </c>
      <c r="GD807">
        <v>3.0648254927340766</v>
      </c>
      <c r="GE807">
        <v>5.702514260311391</v>
      </c>
      <c r="GF807">
        <v>30.913028346816176</v>
      </c>
      <c r="GG807">
        <v>38.240172205754206</v>
      </c>
      <c r="GH807">
        <v>24.649252022381738</v>
      </c>
      <c r="GI807">
        <v>78.23378004857183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1373.3007835528831</v>
      </c>
      <c r="AO808">
        <v>189.54694403308869</v>
      </c>
      <c r="AP808">
        <v>1566.8757585396568</v>
      </c>
      <c r="AQ808">
        <v>590.46422540405581</v>
      </c>
      <c r="AR808">
        <v>184.17844772705172</v>
      </c>
      <c r="AS808">
        <v>2088.0794232818298</v>
      </c>
      <c r="AT808">
        <v>93.683274834925442</v>
      </c>
      <c r="AU808">
        <v>241.56506117667828</v>
      </c>
      <c r="AV808"/>
      <c r="AW808"/>
      <c r="FY808" s="211">
        <v>803</v>
      </c>
      <c r="FZ808">
        <v>72.21011079288958</v>
      </c>
      <c r="GA808">
        <v>106.86829098630805</v>
      </c>
      <c r="GB808">
        <v>45.333260051477744</v>
      </c>
      <c r="GC808">
        <v>9.4488767488138752</v>
      </c>
      <c r="GD808">
        <v>3.164464330346842</v>
      </c>
      <c r="GE808">
        <v>5.3034446432350659</v>
      </c>
      <c r="GF808">
        <v>14.230048525496912</v>
      </c>
      <c r="GG808">
        <v>17.242411432433649</v>
      </c>
      <c r="GH808">
        <v>27.145468241036308</v>
      </c>
      <c r="GI808">
        <v>67.523782998431741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1385.4929356484186</v>
      </c>
      <c r="AO809">
        <v>181.37647986626635</v>
      </c>
      <c r="AP809">
        <v>1566.3189449847159</v>
      </c>
      <c r="AQ809">
        <v>541.38014053136578</v>
      </c>
      <c r="AR809">
        <v>178.3566806568046</v>
      </c>
      <c r="AS809">
        <v>1892.9401065948045</v>
      </c>
      <c r="AT809">
        <v>84.135158219604648</v>
      </c>
      <c r="AU809">
        <v>319.69261813310294</v>
      </c>
      <c r="AV809"/>
      <c r="AW809"/>
      <c r="FY809" s="211">
        <v>804</v>
      </c>
      <c r="FZ809">
        <v>179.96635244030782</v>
      </c>
      <c r="GA809">
        <v>113.26368017670745</v>
      </c>
      <c r="GB809">
        <v>29.073302085349066</v>
      </c>
      <c r="GC809">
        <v>10.620894174491028</v>
      </c>
      <c r="GD809">
        <v>4.3822806776776844</v>
      </c>
      <c r="GE809">
        <v>6.6856516931816685</v>
      </c>
      <c r="GF809">
        <v>21.748556053869319</v>
      </c>
      <c r="GG809">
        <v>26.614040315329106</v>
      </c>
      <c r="GH809">
        <v>30.83367052088937</v>
      </c>
      <c r="GI809">
        <v>84.410677450230352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1030.4028284230885</v>
      </c>
      <c r="AO810">
        <v>168.7698266981493</v>
      </c>
      <c r="AP810">
        <v>1342.5338912850484</v>
      </c>
      <c r="AQ810">
        <v>444.66385378644316</v>
      </c>
      <c r="AR810">
        <v>169.38972161800868</v>
      </c>
      <c r="AS810">
        <v>1694.3396526719257</v>
      </c>
      <c r="AT810">
        <v>85.761873568179723</v>
      </c>
      <c r="AU810">
        <v>21.137425492176959</v>
      </c>
      <c r="AV810"/>
      <c r="AW810"/>
      <c r="FY810" s="211">
        <v>805</v>
      </c>
      <c r="FZ810">
        <v>171.81574605644511</v>
      </c>
      <c r="GA810">
        <v>135.0082296443781</v>
      </c>
      <c r="GB810">
        <v>34.29357508079908</v>
      </c>
      <c r="GC810">
        <v>10.39937263811805</v>
      </c>
      <c r="GD810">
        <v>2.528240037422032</v>
      </c>
      <c r="GE810">
        <v>4.2119732241130627</v>
      </c>
      <c r="GF810">
        <v>48.271536949046904</v>
      </c>
      <c r="GG810">
        <v>58.327010942427826</v>
      </c>
      <c r="GH810">
        <v>30.704562576843816</v>
      </c>
      <c r="GI810">
        <v>94.880906550149192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1207.3951196616247</v>
      </c>
      <c r="AO811">
        <v>174.43708773181149</v>
      </c>
      <c r="AP811">
        <v>1446.8718173009213</v>
      </c>
      <c r="AQ811">
        <v>559.63368092086682</v>
      </c>
      <c r="AR811">
        <v>167.87317302423298</v>
      </c>
      <c r="AS811">
        <v>1766.0584474257703</v>
      </c>
      <c r="AT811">
        <v>84.000827078770001</v>
      </c>
      <c r="AU811">
        <v>19.894154122434088</v>
      </c>
      <c r="AV811"/>
      <c r="AW811"/>
      <c r="FY811" s="211">
        <v>806</v>
      </c>
      <c r="FZ811">
        <v>90.039602738294292</v>
      </c>
      <c r="GA811">
        <v>83.595501342093627</v>
      </c>
      <c r="GB811">
        <v>29.843674056655452</v>
      </c>
      <c r="GC811">
        <v>8.54094210726063</v>
      </c>
      <c r="GD811">
        <v>4.3866139014890919</v>
      </c>
      <c r="GE811">
        <v>7.0928257835590607</v>
      </c>
      <c r="GF811">
        <v>14.277664498657526</v>
      </c>
      <c r="GG811">
        <v>15.294303306491271</v>
      </c>
      <c r="GH811">
        <v>28.327345601702589</v>
      </c>
      <c r="GI811">
        <v>65.250079234102984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868.41765237882078</v>
      </c>
      <c r="AO812">
        <v>144.91775596980051</v>
      </c>
      <c r="AP812">
        <v>1231.5742513473413</v>
      </c>
      <c r="AQ812">
        <v>300.61137562019911</v>
      </c>
      <c r="AR812">
        <v>140.30103256620586</v>
      </c>
      <c r="AS812">
        <v>1469.3699295924503</v>
      </c>
      <c r="AT812">
        <v>68.645511270499284</v>
      </c>
      <c r="AU812">
        <v>120.78036232526202</v>
      </c>
      <c r="AV812"/>
      <c r="AW812"/>
      <c r="FY812" s="211">
        <v>807</v>
      </c>
      <c r="FZ812">
        <v>90.068854153261611</v>
      </c>
      <c r="GA812">
        <v>53.846227589460547</v>
      </c>
      <c r="GB812">
        <v>21.60557157421918</v>
      </c>
      <c r="GC812">
        <v>9.103142077481138</v>
      </c>
      <c r="GD812">
        <v>3.5981214404100808</v>
      </c>
      <c r="GE812">
        <v>3.6166048674815934</v>
      </c>
      <c r="GF812">
        <v>16.714779105235518</v>
      </c>
      <c r="GG812">
        <v>23.040543990246675</v>
      </c>
      <c r="GH812">
        <v>27.035554007588743</v>
      </c>
      <c r="GI812">
        <v>63.410814604773513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1380.2903550766023</v>
      </c>
      <c r="AO813">
        <v>190.27115983946734</v>
      </c>
      <c r="AP813">
        <v>1625.996405105959</v>
      </c>
      <c r="AQ813">
        <v>502.37444488176322</v>
      </c>
      <c r="AR813">
        <v>183.42173543448652</v>
      </c>
      <c r="AS813">
        <v>1907.3748464124167</v>
      </c>
      <c r="AT813">
        <v>90.74802135353066</v>
      </c>
      <c r="AU813">
        <v>450.90326990525864</v>
      </c>
      <c r="AV813"/>
      <c r="AW813"/>
      <c r="FY813" s="211">
        <v>808</v>
      </c>
      <c r="FZ813">
        <v>139.30910238416973</v>
      </c>
      <c r="GA813">
        <v>90.974950745794104</v>
      </c>
      <c r="GB813">
        <v>29.403659119413888</v>
      </c>
      <c r="GC813">
        <v>8.7139562052278308</v>
      </c>
      <c r="GD813">
        <v>2.6922125115639437</v>
      </c>
      <c r="GE813">
        <v>3.6141546066404953</v>
      </c>
      <c r="GF813">
        <v>22.564918203862199</v>
      </c>
      <c r="GG813">
        <v>29.384952870129883</v>
      </c>
      <c r="GH813">
        <v>19.685635506646268</v>
      </c>
      <c r="GI813">
        <v>74.31799323215894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1535.1200646175673</v>
      </c>
      <c r="AO814">
        <v>183.49000241828176</v>
      </c>
      <c r="AP814">
        <v>1582.450543428962</v>
      </c>
      <c r="AQ814">
        <v>608.76211469327927</v>
      </c>
      <c r="AR814">
        <v>176.24269293274017</v>
      </c>
      <c r="AS814">
        <v>1995.5521906003073</v>
      </c>
      <c r="AT814">
        <v>86.371291794755464</v>
      </c>
      <c r="AU814">
        <v>263.96226338653344</v>
      </c>
      <c r="AV814"/>
      <c r="AW814"/>
      <c r="FY814" s="211">
        <v>809</v>
      </c>
      <c r="FZ814">
        <v>117.18227097934715</v>
      </c>
      <c r="GA814">
        <v>99.755988555793692</v>
      </c>
      <c r="GB814">
        <v>30.049718447030671</v>
      </c>
      <c r="GC814">
        <v>10.010410277641435</v>
      </c>
      <c r="GD814">
        <v>4.7355463384934229</v>
      </c>
      <c r="GE814">
        <v>5.9653309405004373</v>
      </c>
      <c r="GF814">
        <v>39.795959455322972</v>
      </c>
      <c r="GG814">
        <v>51.492564921544016</v>
      </c>
      <c r="GH814">
        <v>33.05117402455501</v>
      </c>
      <c r="GI814">
        <v>92.286989284034377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911.42509179830154</v>
      </c>
      <c r="AO815">
        <v>138.75706954762296</v>
      </c>
      <c r="AP815">
        <v>1232.406102131878</v>
      </c>
      <c r="AQ815">
        <v>408.96480484712504</v>
      </c>
      <c r="AR815">
        <v>133.58191293654212</v>
      </c>
      <c r="AS815">
        <v>1461.6456145577533</v>
      </c>
      <c r="AT815">
        <v>67.318836040702635</v>
      </c>
      <c r="AU815">
        <v>79.697700596565397</v>
      </c>
      <c r="AV815"/>
      <c r="AW815"/>
      <c r="FY815" s="211">
        <v>810</v>
      </c>
      <c r="FZ815">
        <v>149.38089489922154</v>
      </c>
      <c r="GA815">
        <v>80.151113764213832</v>
      </c>
      <c r="GB815">
        <v>27.949708105117843</v>
      </c>
      <c r="GC815">
        <v>8.6127206811489785</v>
      </c>
      <c r="GD815">
        <v>3.5462829877499749</v>
      </c>
      <c r="GE815">
        <v>7.595512920707117</v>
      </c>
      <c r="GF815">
        <v>27.420177793682114</v>
      </c>
      <c r="GG815">
        <v>30.956123992122734</v>
      </c>
      <c r="GH815">
        <v>22.980121967983436</v>
      </c>
      <c r="GI815">
        <v>70.893880037708044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1261.1158260600803</v>
      </c>
      <c r="AO816">
        <v>203.89978773990998</v>
      </c>
      <c r="AP816">
        <v>1704.894610640567</v>
      </c>
      <c r="AQ816">
        <v>550.31042700637386</v>
      </c>
      <c r="AR816">
        <v>200.9086868119447</v>
      </c>
      <c r="AS816">
        <v>2035.6255443934508</v>
      </c>
      <c r="AT816">
        <v>102.15758309341429</v>
      </c>
      <c r="AU816">
        <v>118.51283090768169</v>
      </c>
      <c r="AV816"/>
      <c r="AW816"/>
      <c r="FY816" s="211">
        <v>811</v>
      </c>
      <c r="FZ816">
        <v>101.57731019600044</v>
      </c>
      <c r="GA816">
        <v>114.40771691549395</v>
      </c>
      <c r="GB816">
        <v>33.611622964895325</v>
      </c>
      <c r="GC816">
        <v>8.2726277178270013</v>
      </c>
      <c r="GD816">
        <v>4.1925093693780493</v>
      </c>
      <c r="GE816">
        <v>6.2340749001166795</v>
      </c>
      <c r="GF816">
        <v>29.577396822498152</v>
      </c>
      <c r="GG816">
        <v>37.036526434736871</v>
      </c>
      <c r="GH816">
        <v>15.353979403682354</v>
      </c>
      <c r="GI816">
        <v>72.872537688633756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1216.3810440026414</v>
      </c>
      <c r="AO817">
        <v>159.54312147715351</v>
      </c>
      <c r="AP817">
        <v>1295.9317091414566</v>
      </c>
      <c r="AQ817">
        <v>510.33287317428039</v>
      </c>
      <c r="AR817">
        <v>153.29746235629781</v>
      </c>
      <c r="AS817">
        <v>1702.1109336938305</v>
      </c>
      <c r="AT817">
        <v>78.319326988050591</v>
      </c>
      <c r="AU817">
        <v>143.10331849088595</v>
      </c>
      <c r="AV817"/>
      <c r="AW817"/>
      <c r="FY817" s="211">
        <v>812</v>
      </c>
      <c r="FZ817">
        <v>77.746799971416067</v>
      </c>
      <c r="GA817">
        <v>58.970931205927187</v>
      </c>
      <c r="GB817">
        <v>20.050742481263612</v>
      </c>
      <c r="GC817">
        <v>6.6983834642240385</v>
      </c>
      <c r="GD817">
        <v>3.3850230985754193</v>
      </c>
      <c r="GE817">
        <v>6.8170046774467794</v>
      </c>
      <c r="GF817">
        <v>27.263100313452394</v>
      </c>
      <c r="GG817">
        <v>32.005361069797019</v>
      </c>
      <c r="GH817">
        <v>16.624245787496488</v>
      </c>
      <c r="GI817">
        <v>69.575010272066933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1193.9030233353576</v>
      </c>
      <c r="AO818">
        <v>173.48822971175235</v>
      </c>
      <c r="AP818">
        <v>1424.4232693982008</v>
      </c>
      <c r="AQ818">
        <v>453.02176903270725</v>
      </c>
      <c r="AR818">
        <v>165.53281389919704</v>
      </c>
      <c r="AS818">
        <v>1738.9278153879711</v>
      </c>
      <c r="AT818">
        <v>74.880274797694952</v>
      </c>
      <c r="AU818">
        <v>156.95665354302855</v>
      </c>
      <c r="AV818"/>
      <c r="AW818"/>
      <c r="FY818" s="211">
        <v>813</v>
      </c>
      <c r="FZ818">
        <v>85.100492293298615</v>
      </c>
      <c r="GA818">
        <v>98.004403241055641</v>
      </c>
      <c r="GB818">
        <v>35.967313242447489</v>
      </c>
      <c r="GC818">
        <v>7.6843535775037273</v>
      </c>
      <c r="GD818">
        <v>2.0855314667859806</v>
      </c>
      <c r="GE818">
        <v>3.6023949943200746</v>
      </c>
      <c r="GF818">
        <v>14.271205025649683</v>
      </c>
      <c r="GG818">
        <v>18.84657698809179</v>
      </c>
      <c r="GH818">
        <v>25.92367565616394</v>
      </c>
      <c r="GI818">
        <v>68.534549786561954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1044.0385950609796</v>
      </c>
      <c r="AO819">
        <v>146.26024295980793</v>
      </c>
      <c r="AP819">
        <v>1078.1587072663656</v>
      </c>
      <c r="AQ819">
        <v>368.47015875046975</v>
      </c>
      <c r="AR819">
        <v>142.81323072726551</v>
      </c>
      <c r="AS819">
        <v>1540.5498661808049</v>
      </c>
      <c r="AT819">
        <v>68.250983897391933</v>
      </c>
      <c r="AU819">
        <v>88.809870942227349</v>
      </c>
      <c r="AV819"/>
      <c r="AW819"/>
      <c r="FY819" s="211">
        <v>814</v>
      </c>
      <c r="FZ819">
        <v>110.99730661940264</v>
      </c>
      <c r="GA819">
        <v>83.908446196056701</v>
      </c>
      <c r="GB819">
        <v>24.819090066836218</v>
      </c>
      <c r="GC819">
        <v>7.7330708629456906</v>
      </c>
      <c r="GD819">
        <v>3.7443651491904277</v>
      </c>
      <c r="GE819">
        <v>4.7094495908045761</v>
      </c>
      <c r="GF819">
        <v>33.266376299138798</v>
      </c>
      <c r="GG819">
        <v>42.709386012852853</v>
      </c>
      <c r="GH819">
        <v>24.368683205444587</v>
      </c>
      <c r="GI819">
        <v>73.861344563743828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1214.6803452185432</v>
      </c>
      <c r="AO820">
        <v>191.83949939291603</v>
      </c>
      <c r="AP820">
        <v>1645.8579890198962</v>
      </c>
      <c r="AQ820">
        <v>507.59910558803278</v>
      </c>
      <c r="AR820">
        <v>188.1633462256184</v>
      </c>
      <c r="AS820">
        <v>1923.0978631655357</v>
      </c>
      <c r="AT820">
        <v>94.131978092199049</v>
      </c>
      <c r="AU820">
        <v>143.46790469789588</v>
      </c>
      <c r="AV820"/>
      <c r="AW820"/>
      <c r="FY820" s="211">
        <v>815</v>
      </c>
      <c r="FZ820">
        <v>159.23202231578375</v>
      </c>
      <c r="GA820">
        <v>129.59297460788829</v>
      </c>
      <c r="GB820">
        <v>34.693637902388097</v>
      </c>
      <c r="GC820">
        <v>7.2838465693519847</v>
      </c>
      <c r="GD820">
        <v>2.9229122292563945</v>
      </c>
      <c r="GE820">
        <v>4.7686834356055225</v>
      </c>
      <c r="GF820">
        <v>38.512329256585929</v>
      </c>
      <c r="GG820">
        <v>48.200605647487556</v>
      </c>
      <c r="GH820">
        <v>22.005742002240311</v>
      </c>
      <c r="GI820">
        <v>79.25912910439132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1425.8756223097012</v>
      </c>
      <c r="AO821">
        <v>192.26064211538011</v>
      </c>
      <c r="AP821">
        <v>1637.3775108845291</v>
      </c>
      <c r="AQ821">
        <v>590.44115369974327</v>
      </c>
      <c r="AR821">
        <v>184.59896316393599</v>
      </c>
      <c r="AS821">
        <v>2170.489440440334</v>
      </c>
      <c r="AT821">
        <v>93.021744357933471</v>
      </c>
      <c r="AU821">
        <v>350.65027739209484</v>
      </c>
      <c r="AV821"/>
      <c r="AW821"/>
      <c r="FY821" s="211">
        <v>816</v>
      </c>
      <c r="FZ821">
        <v>157.54297338989434</v>
      </c>
      <c r="GA821">
        <v>96.976056081847688</v>
      </c>
      <c r="GB821">
        <v>31.837843721479981</v>
      </c>
      <c r="GC821">
        <v>9.0025006431367736</v>
      </c>
      <c r="GD821">
        <v>2.7918151813226695</v>
      </c>
      <c r="GE821">
        <v>4.4232646368957731</v>
      </c>
      <c r="GF821">
        <v>18.057397173229649</v>
      </c>
      <c r="GG821">
        <v>25.460156594336038</v>
      </c>
      <c r="GH821">
        <v>27.295335852605739</v>
      </c>
      <c r="GI821">
        <v>76.922636975472415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979.83275506872542</v>
      </c>
      <c r="AO822">
        <v>138.35021998905779</v>
      </c>
      <c r="AP822">
        <v>1103.8603639300229</v>
      </c>
      <c r="AQ822">
        <v>346.64855257030649</v>
      </c>
      <c r="AR822">
        <v>136.22438335863794</v>
      </c>
      <c r="AS822">
        <v>1489.1230645152903</v>
      </c>
      <c r="AT822">
        <v>65.501011417800314</v>
      </c>
      <c r="AU822">
        <v>83.678056853728307</v>
      </c>
      <c r="AV822"/>
      <c r="AW822"/>
      <c r="FY822" s="211">
        <v>817</v>
      </c>
      <c r="FZ822">
        <v>145.67315646759261</v>
      </c>
      <c r="GA822">
        <v>59.624246478945281</v>
      </c>
      <c r="GB822">
        <v>25.632290393171797</v>
      </c>
      <c r="GC822">
        <v>9.6906069185352539</v>
      </c>
      <c r="GD822">
        <v>4.019178860405864</v>
      </c>
      <c r="GE822">
        <v>7.643546659306617</v>
      </c>
      <c r="GF822">
        <v>11.589571609857012</v>
      </c>
      <c r="GG822">
        <v>8.4541860900293475</v>
      </c>
      <c r="GH822">
        <v>15.800382803419854</v>
      </c>
      <c r="GI822">
        <v>58.762893964989637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910.02381381230009</v>
      </c>
      <c r="AO823">
        <v>138.86963412772081</v>
      </c>
      <c r="AP823">
        <v>1122.4597218195804</v>
      </c>
      <c r="AQ823">
        <v>312.04021341015857</v>
      </c>
      <c r="AR823">
        <v>138.10584659727164</v>
      </c>
      <c r="AS823">
        <v>1451.5837957962979</v>
      </c>
      <c r="AT823">
        <v>69.618679445232402</v>
      </c>
      <c r="AU823">
        <v>94.328584465126013</v>
      </c>
      <c r="AV823"/>
      <c r="AW823"/>
      <c r="FY823" s="211">
        <v>818</v>
      </c>
      <c r="FZ823">
        <v>152.57919922525389</v>
      </c>
      <c r="GA823">
        <v>109.90009953299858</v>
      </c>
      <c r="GB823">
        <v>29.373543456819849</v>
      </c>
      <c r="GC823">
        <v>7.8789778560355508</v>
      </c>
      <c r="GD823">
        <v>4.2857958228991109</v>
      </c>
      <c r="GE823">
        <v>8.7997786211670199</v>
      </c>
      <c r="GF823">
        <v>32.804831121345558</v>
      </c>
      <c r="GG823">
        <v>38.124932138679441</v>
      </c>
      <c r="GH823">
        <v>42.222289114887431</v>
      </c>
      <c r="GI823">
        <v>86.166810290630025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1044.3702803972828</v>
      </c>
      <c r="AO824">
        <v>166.22534905731337</v>
      </c>
      <c r="AP824">
        <v>1334.8759102139491</v>
      </c>
      <c r="AQ824">
        <v>420.66153538560729</v>
      </c>
      <c r="AR824">
        <v>160.83194496749164</v>
      </c>
      <c r="AS824">
        <v>1717.9854219383037</v>
      </c>
      <c r="AT824">
        <v>76.98154290387555</v>
      </c>
      <c r="AU824">
        <v>133.75488191507111</v>
      </c>
      <c r="AV824"/>
      <c r="AW824"/>
      <c r="FY824" s="211">
        <v>819</v>
      </c>
      <c r="FZ824">
        <v>97.282545141391751</v>
      </c>
      <c r="GA824">
        <v>91.943079085177587</v>
      </c>
      <c r="GB824">
        <v>27.428463477336113</v>
      </c>
      <c r="GC824">
        <v>7.8194932184664978</v>
      </c>
      <c r="GD824">
        <v>2.7748518711906511</v>
      </c>
      <c r="GE824">
        <v>4.7269239432360193</v>
      </c>
      <c r="GF824">
        <v>19.85901539925721</v>
      </c>
      <c r="GG824">
        <v>24.630044845101885</v>
      </c>
      <c r="GH824">
        <v>25.992155940543963</v>
      </c>
      <c r="GI824">
        <v>66.314412800213546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1366.1864859683747</v>
      </c>
      <c r="AO825">
        <v>193.94936601031262</v>
      </c>
      <c r="AP825">
        <v>1583.1512535850718</v>
      </c>
      <c r="AQ825">
        <v>484.32595322426323</v>
      </c>
      <c r="AR825">
        <v>187.89365168502766</v>
      </c>
      <c r="AS825">
        <v>2097.3279490022724</v>
      </c>
      <c r="AT825">
        <v>89.690854794443567</v>
      </c>
      <c r="AU825">
        <v>240.05332935302312</v>
      </c>
      <c r="AV825"/>
      <c r="AW825"/>
      <c r="FY825" s="211">
        <v>820</v>
      </c>
      <c r="FZ825">
        <v>209.78253493769748</v>
      </c>
      <c r="GA825">
        <v>137.54773126488814</v>
      </c>
      <c r="GB825">
        <v>23.387566839280428</v>
      </c>
      <c r="GC825">
        <v>7.0376372626371904</v>
      </c>
      <c r="GD825">
        <v>3.1905657259446736</v>
      </c>
      <c r="GE825">
        <v>4.4108248227328408</v>
      </c>
      <c r="GF825">
        <v>14.196898938890744</v>
      </c>
      <c r="GG825">
        <v>17.433201837582921</v>
      </c>
      <c r="GH825">
        <v>23.223648228983496</v>
      </c>
      <c r="GI825">
        <v>68.591438242411584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1057.3915830331348</v>
      </c>
      <c r="AO826">
        <v>144.19111045977306</v>
      </c>
      <c r="AP826">
        <v>1166.1383961091794</v>
      </c>
      <c r="AQ826">
        <v>429.48653714965565</v>
      </c>
      <c r="AR826">
        <v>145.34707814614913</v>
      </c>
      <c r="AS826">
        <v>1601.038106468558</v>
      </c>
      <c r="AT826">
        <v>72.577768319819697</v>
      </c>
      <c r="AU826">
        <v>233.4914177378179</v>
      </c>
      <c r="AV826"/>
      <c r="AW826"/>
      <c r="FY826" s="211">
        <v>821</v>
      </c>
      <c r="FZ826">
        <v>148.70375468506862</v>
      </c>
      <c r="GA826">
        <v>118.07404731397496</v>
      </c>
      <c r="GB826">
        <v>18.972800166981724</v>
      </c>
      <c r="GC826">
        <v>6.5056534898007516</v>
      </c>
      <c r="GD826">
        <v>3.5174133165196726</v>
      </c>
      <c r="GE826">
        <v>5.3279462343484019</v>
      </c>
      <c r="GF826">
        <v>6.8886399488528358</v>
      </c>
      <c r="GG826">
        <v>7.9058281536128625</v>
      </c>
      <c r="GH826">
        <v>22.45235149400645</v>
      </c>
      <c r="GI826">
        <v>65.673348773219246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1143.5744996558892</v>
      </c>
      <c r="AO827">
        <v>140.09423071094852</v>
      </c>
      <c r="AP827">
        <v>1146.0873843929842</v>
      </c>
      <c r="AQ827">
        <v>423.13630241326257</v>
      </c>
      <c r="AR827">
        <v>135.57200311908861</v>
      </c>
      <c r="AS827">
        <v>1456.5028207632438</v>
      </c>
      <c r="AT827">
        <v>62.941531647510772</v>
      </c>
      <c r="AU827">
        <v>92.682377515176142</v>
      </c>
      <c r="AV827"/>
      <c r="AW827"/>
      <c r="FY827" s="211">
        <v>822</v>
      </c>
      <c r="FZ827">
        <v>117.83945520671553</v>
      </c>
      <c r="GA827">
        <v>171.65715678843861</v>
      </c>
      <c r="GB827">
        <v>54.684235711954585</v>
      </c>
      <c r="GC827">
        <v>8.1626915274207619</v>
      </c>
      <c r="GD827">
        <v>2.7604089052074428</v>
      </c>
      <c r="GE827">
        <v>5.7647410505220096</v>
      </c>
      <c r="GF827">
        <v>25.859098513918198</v>
      </c>
      <c r="GG827">
        <v>31.443003437200229</v>
      </c>
      <c r="GH827">
        <v>28.403708877837232</v>
      </c>
      <c r="GI827">
        <v>81.04373862281939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994.49836619968596</v>
      </c>
      <c r="AO828">
        <v>154.25422622756665</v>
      </c>
      <c r="AP828">
        <v>1259.8395745011646</v>
      </c>
      <c r="AQ828">
        <v>319.13660234166593</v>
      </c>
      <c r="AR828">
        <v>147.74862867092784</v>
      </c>
      <c r="AS828">
        <v>1562.2795040249659</v>
      </c>
      <c r="AT828">
        <v>72.559219499848254</v>
      </c>
      <c r="AU828">
        <v>287.07433743619566</v>
      </c>
      <c r="AV828"/>
      <c r="AW828"/>
      <c r="FY828" s="211">
        <v>823</v>
      </c>
      <c r="FZ828">
        <v>269.21731087054104</v>
      </c>
      <c r="GA828">
        <v>208.20993516326547</v>
      </c>
      <c r="GB828">
        <v>39.991225698907151</v>
      </c>
      <c r="GC828">
        <v>8.6393832851680692</v>
      </c>
      <c r="GD828">
        <v>4.8212728860880167</v>
      </c>
      <c r="GE828">
        <v>10.075951564628385</v>
      </c>
      <c r="GF828">
        <v>22.965292388845192</v>
      </c>
      <c r="GG828">
        <v>24.647093740711135</v>
      </c>
      <c r="GH828">
        <v>36.123601588943245</v>
      </c>
      <c r="GI828">
        <v>95.956424163180131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979.72232525475829</v>
      </c>
      <c r="AO829">
        <v>169.98142396230739</v>
      </c>
      <c r="AP829">
        <v>1398.5625302106707</v>
      </c>
      <c r="AQ829">
        <v>360.02049627187893</v>
      </c>
      <c r="AR829">
        <v>163.02863485817537</v>
      </c>
      <c r="AS829">
        <v>1632.4722296551411</v>
      </c>
      <c r="AT829">
        <v>81.873574464982497</v>
      </c>
      <c r="AU829">
        <v>125.98493704907648</v>
      </c>
      <c r="AV829"/>
      <c r="AW829"/>
      <c r="FY829" s="211">
        <v>824</v>
      </c>
      <c r="FZ829">
        <v>100.74108329933982</v>
      </c>
      <c r="GA829">
        <v>49.662832751948052</v>
      </c>
      <c r="GB829">
        <v>18.001396436028759</v>
      </c>
      <c r="GC829">
        <v>7.8587869637199237</v>
      </c>
      <c r="GD829">
        <v>3.946610246916376</v>
      </c>
      <c r="GE829">
        <v>5.5546605566071818</v>
      </c>
      <c r="GF829">
        <v>26.697438026928083</v>
      </c>
      <c r="GG829">
        <v>33.465826159612405</v>
      </c>
      <c r="GH829">
        <v>28.502788390141824</v>
      </c>
      <c r="GI829">
        <v>68.093269980140903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1095.8361716342283</v>
      </c>
      <c r="AO830">
        <v>149.55465696583369</v>
      </c>
      <c r="AP830">
        <v>1139.6169685764723</v>
      </c>
      <c r="AQ830">
        <v>410.11751856641632</v>
      </c>
      <c r="AR830">
        <v>145.13203397617531</v>
      </c>
      <c r="AS830">
        <v>1492.7235933162494</v>
      </c>
      <c r="AT830">
        <v>69.0853712155821</v>
      </c>
      <c r="AU830">
        <v>183.18593326878914</v>
      </c>
      <c r="AV830"/>
      <c r="AW830"/>
      <c r="FY830" s="211">
        <v>825</v>
      </c>
      <c r="FZ830">
        <v>211.59027001081932</v>
      </c>
      <c r="GA830">
        <v>116.2540593188666</v>
      </c>
      <c r="GB830">
        <v>23.890613410799162</v>
      </c>
      <c r="GC830">
        <v>9.7210936863180883</v>
      </c>
      <c r="GD830">
        <v>2.8411580547850876</v>
      </c>
      <c r="GE830">
        <v>5.4071116144450766</v>
      </c>
      <c r="GF830">
        <v>24.329569156936476</v>
      </c>
      <c r="GG830">
        <v>27.571607402638133</v>
      </c>
      <c r="GH830">
        <v>26.437163797560281</v>
      </c>
      <c r="GI830">
        <v>81.136656701259326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1264.841312569411</v>
      </c>
      <c r="AO831">
        <v>189.66158762474467</v>
      </c>
      <c r="AP831">
        <v>1683.9675364433717</v>
      </c>
      <c r="AQ831">
        <v>526.47188307097917</v>
      </c>
      <c r="AR831">
        <v>187.68993171239134</v>
      </c>
      <c r="AS831">
        <v>1935.1803988425297</v>
      </c>
      <c r="AT831">
        <v>87.232916497692699</v>
      </c>
      <c r="AU831">
        <v>281.48794304409364</v>
      </c>
      <c r="AV831"/>
      <c r="AW831"/>
      <c r="FY831" s="211">
        <v>826</v>
      </c>
      <c r="FZ831">
        <v>113.31932678761461</v>
      </c>
      <c r="GA831">
        <v>65.245322448688782</v>
      </c>
      <c r="GB831">
        <v>31.323059959153127</v>
      </c>
      <c r="GC831">
        <v>10.823275675337324</v>
      </c>
      <c r="GD831">
        <v>3.2653244138477193</v>
      </c>
      <c r="GE831">
        <v>4.3985108968883209</v>
      </c>
      <c r="GF831">
        <v>13.042078768867373</v>
      </c>
      <c r="GG831">
        <v>16.781162094065081</v>
      </c>
      <c r="GH831">
        <v>31.281071824953202</v>
      </c>
      <c r="GI831">
        <v>76.05395608047894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1048.5050340854507</v>
      </c>
      <c r="AO832">
        <v>172.904365294076</v>
      </c>
      <c r="AP832">
        <v>1419.047097476813</v>
      </c>
      <c r="AQ832">
        <v>450.30998025022109</v>
      </c>
      <c r="AR832">
        <v>169.36561815439214</v>
      </c>
      <c r="AS832">
        <v>1761.5247335513448</v>
      </c>
      <c r="AT832">
        <v>81.564351943994623</v>
      </c>
      <c r="AU832">
        <v>111.82520701810573</v>
      </c>
      <c r="AV832"/>
      <c r="AW832"/>
      <c r="FY832" s="211">
        <v>827</v>
      </c>
      <c r="FZ832">
        <v>127.50013606876755</v>
      </c>
      <c r="GA832">
        <v>121.12021348353422</v>
      </c>
      <c r="GB832">
        <v>33.097205435104108</v>
      </c>
      <c r="GC832">
        <v>8.2795202108500234</v>
      </c>
      <c r="GD832">
        <v>3.3639956424716502</v>
      </c>
      <c r="GE832">
        <v>5.4557554820108223</v>
      </c>
      <c r="GF832">
        <v>17.608237863486984</v>
      </c>
      <c r="GG832">
        <v>24.772292718657056</v>
      </c>
      <c r="GH832">
        <v>22.849408371107899</v>
      </c>
      <c r="GI832">
        <v>79.330357966243696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837.90566088929609</v>
      </c>
      <c r="AO833">
        <v>126.23224762461999</v>
      </c>
      <c r="AP833">
        <v>1022.6374587985831</v>
      </c>
      <c r="AQ833">
        <v>346.89006024625326</v>
      </c>
      <c r="AR833">
        <v>130.66552161712323</v>
      </c>
      <c r="AS833">
        <v>1368.370468503656</v>
      </c>
      <c r="AT833">
        <v>66.048599077115625</v>
      </c>
      <c r="AU833">
        <v>126.47751562550786</v>
      </c>
      <c r="AV833"/>
      <c r="AW833"/>
      <c r="FY833" s="211">
        <v>828</v>
      </c>
      <c r="FZ833">
        <v>147.30972606860269</v>
      </c>
      <c r="GA833">
        <v>156.62891812490295</v>
      </c>
      <c r="GB833">
        <v>42.906017451587097</v>
      </c>
      <c r="GC833">
        <v>7.0115524084547625</v>
      </c>
      <c r="GD833">
        <v>3.0054423794076408</v>
      </c>
      <c r="GE833">
        <v>4.5969618782559412</v>
      </c>
      <c r="GF833">
        <v>18.42823674421598</v>
      </c>
      <c r="GG833">
        <v>24.176936777511788</v>
      </c>
      <c r="GH833">
        <v>31.714986497334522</v>
      </c>
      <c r="GI833">
        <v>81.208524525425673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1276.2449958582097</v>
      </c>
      <c r="AO834">
        <v>179.99929794095902</v>
      </c>
      <c r="AP834">
        <v>1561.1706906824375</v>
      </c>
      <c r="AQ834">
        <v>512.13625718071637</v>
      </c>
      <c r="AR834">
        <v>178.76619079074572</v>
      </c>
      <c r="AS834">
        <v>1933.1357925783504</v>
      </c>
      <c r="AT834">
        <v>87.234981554016144</v>
      </c>
      <c r="AU834">
        <v>169.85592749955768</v>
      </c>
      <c r="AV834"/>
      <c r="AW834"/>
      <c r="FY834" s="211">
        <v>829</v>
      </c>
      <c r="FZ834">
        <v>72.992231569206865</v>
      </c>
      <c r="GA834">
        <v>63.114628397335252</v>
      </c>
      <c r="GB834">
        <v>37.167833527046163</v>
      </c>
      <c r="GC834">
        <v>12.456789936081838</v>
      </c>
      <c r="GD834">
        <v>4.0417035737240985</v>
      </c>
      <c r="GE834">
        <v>3.9516388834818912</v>
      </c>
      <c r="GF834">
        <v>42.302172710828067</v>
      </c>
      <c r="GG834">
        <v>55.327243273032217</v>
      </c>
      <c r="GH834">
        <v>28.896678216280549</v>
      </c>
      <c r="GI834">
        <v>81.392291943115481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957.24499846837102</v>
      </c>
      <c r="AO835">
        <v>155.65888855595921</v>
      </c>
      <c r="AP835">
        <v>1269.4440260093681</v>
      </c>
      <c r="AQ835">
        <v>368.77098572191528</v>
      </c>
      <c r="AR835">
        <v>152.70967679015249</v>
      </c>
      <c r="AS835">
        <v>1522.134515980079</v>
      </c>
      <c r="AT835">
        <v>73.503434177528078</v>
      </c>
      <c r="AU835">
        <v>108.93183497891945</v>
      </c>
      <c r="AV835"/>
      <c r="AW835"/>
      <c r="FY835" s="211">
        <v>830</v>
      </c>
      <c r="FZ835">
        <v>178.9928447409215</v>
      </c>
      <c r="GA835">
        <v>137.56806972834306</v>
      </c>
      <c r="GB835">
        <v>37.381236805421516</v>
      </c>
      <c r="GC835">
        <v>9.0235192320497166</v>
      </c>
      <c r="GD835">
        <v>3.5755944197969214</v>
      </c>
      <c r="GE835">
        <v>6.3890886719538216</v>
      </c>
      <c r="GF835">
        <v>38.628671480511812</v>
      </c>
      <c r="GG835">
        <v>50.874531387815651</v>
      </c>
      <c r="GH835">
        <v>16.319174530332436</v>
      </c>
      <c r="GI835">
        <v>85.646360621181117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942.08751242705694</v>
      </c>
      <c r="AO836">
        <v>146.35832280865333</v>
      </c>
      <c r="AP836">
        <v>1216.9594039991539</v>
      </c>
      <c r="AQ836">
        <v>508.80204810104954</v>
      </c>
      <c r="AR836">
        <v>145.21296655579999</v>
      </c>
      <c r="AS836">
        <v>1526.4346186105809</v>
      </c>
      <c r="AT836">
        <v>75.915277962134653</v>
      </c>
      <c r="AU836">
        <v>8.5611166894899213</v>
      </c>
      <c r="AV836"/>
      <c r="AW836"/>
      <c r="FY836" s="211">
        <v>831</v>
      </c>
      <c r="FZ836">
        <v>128.73262666727666</v>
      </c>
      <c r="GA836">
        <v>92.96087996656469</v>
      </c>
      <c r="GB836">
        <v>20.88325598719435</v>
      </c>
      <c r="GC836">
        <v>7.624698158234076</v>
      </c>
      <c r="GD836">
        <v>3.5577737375444638</v>
      </c>
      <c r="GE836">
        <v>4.6885236738217273</v>
      </c>
      <c r="GF836">
        <v>45.364289041280443</v>
      </c>
      <c r="GG836">
        <v>57.057294603606742</v>
      </c>
      <c r="GH836">
        <v>26.977656493987606</v>
      </c>
      <c r="GI836">
        <v>74.576008949485498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876.86869773490866</v>
      </c>
      <c r="AO837">
        <v>155.54453951315708</v>
      </c>
      <c r="AP837">
        <v>1229.5939273665072</v>
      </c>
      <c r="AQ837">
        <v>404.02178357638542</v>
      </c>
      <c r="AR837">
        <v>149.94216950791528</v>
      </c>
      <c r="AS837">
        <v>1641.9648609408835</v>
      </c>
      <c r="AT837">
        <v>76.477954120169116</v>
      </c>
      <c r="AU837">
        <v>-31.527434590405974</v>
      </c>
      <c r="AV837"/>
      <c r="AW837"/>
      <c r="FY837" s="211">
        <v>832</v>
      </c>
      <c r="FZ837">
        <v>111.44230881390662</v>
      </c>
      <c r="GA837">
        <v>80.334962737592832</v>
      </c>
      <c r="GB837">
        <v>23.047884556624645</v>
      </c>
      <c r="GC837">
        <v>7.7983693764992061</v>
      </c>
      <c r="GD837">
        <v>3.7411108874697367</v>
      </c>
      <c r="GE837">
        <v>6.2614923108595981</v>
      </c>
      <c r="GF837">
        <v>24.527179720332441</v>
      </c>
      <c r="GG837">
        <v>28.679689954942628</v>
      </c>
      <c r="GH837">
        <v>21.166240764141858</v>
      </c>
      <c r="GI837">
        <v>66.867751384519352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1281.5600711437301</v>
      </c>
      <c r="AO838">
        <v>174.97916172318392</v>
      </c>
      <c r="AP838">
        <v>1501.0566142263247</v>
      </c>
      <c r="AQ838">
        <v>527.61823864203393</v>
      </c>
      <c r="AR838">
        <v>168.90160518020409</v>
      </c>
      <c r="AS838">
        <v>1839.1858530737218</v>
      </c>
      <c r="AT838">
        <v>84.786545490600986</v>
      </c>
      <c r="AU838">
        <v>238.86186692861202</v>
      </c>
      <c r="AV838"/>
      <c r="AW838"/>
      <c r="FY838" s="211">
        <v>833</v>
      </c>
      <c r="FZ838">
        <v>120.18823040595686</v>
      </c>
      <c r="GA838">
        <v>108.84825001481137</v>
      </c>
      <c r="GB838">
        <v>28.811886145891005</v>
      </c>
      <c r="GC838">
        <v>6.8109045328551616</v>
      </c>
      <c r="GD838">
        <v>2.5320588627995804</v>
      </c>
      <c r="GE838">
        <v>4.3849518326358785</v>
      </c>
      <c r="GF838">
        <v>25.234511677018777</v>
      </c>
      <c r="GG838">
        <v>30.65144931628835</v>
      </c>
      <c r="GH838">
        <v>15.276791476278843</v>
      </c>
      <c r="GI838">
        <v>61.924836296996411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1415.9255383781842</v>
      </c>
      <c r="AO839">
        <v>210.13343170552358</v>
      </c>
      <c r="AP839">
        <v>1887.3203170849156</v>
      </c>
      <c r="AQ839">
        <v>720.64749135027796</v>
      </c>
      <c r="AR839">
        <v>207.17460934693696</v>
      </c>
      <c r="AS839">
        <v>2381.0781313836569</v>
      </c>
      <c r="AT839">
        <v>108.23764541139435</v>
      </c>
      <c r="AU839">
        <v>8.3507057923198147</v>
      </c>
      <c r="AV839"/>
      <c r="AW839"/>
      <c r="FY839" s="211">
        <v>834</v>
      </c>
      <c r="FZ839">
        <v>122.77810327687949</v>
      </c>
      <c r="GA839">
        <v>102.15699941334752</v>
      </c>
      <c r="GB839">
        <v>24.653572363381535</v>
      </c>
      <c r="GC839">
        <v>7.9371767150881354</v>
      </c>
      <c r="GD839">
        <v>4.101562928991676</v>
      </c>
      <c r="GE839">
        <v>6.1334215284308318</v>
      </c>
      <c r="GF839">
        <v>26.661314533960958</v>
      </c>
      <c r="GG839">
        <v>33.887769218277377</v>
      </c>
      <c r="GH839">
        <v>28.445899385960146</v>
      </c>
      <c r="GI839">
        <v>81.975411155866041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996.87256798590352</v>
      </c>
      <c r="AO840">
        <v>148.98033377666462</v>
      </c>
      <c r="AP840">
        <v>1188.1445375925227</v>
      </c>
      <c r="AQ840">
        <v>342.52469281138332</v>
      </c>
      <c r="AR840">
        <v>148.3684756740077</v>
      </c>
      <c r="AS840">
        <v>1585.1500322291404</v>
      </c>
      <c r="AT840">
        <v>72.932931799009509</v>
      </c>
      <c r="AU840">
        <v>230.44787764910657</v>
      </c>
      <c r="AV840"/>
      <c r="AW840"/>
      <c r="FY840" s="211">
        <v>835</v>
      </c>
      <c r="FZ840">
        <v>133.07361025595921</v>
      </c>
      <c r="GA840">
        <v>75.215139321240159</v>
      </c>
      <c r="GB840">
        <v>23.322471089988383</v>
      </c>
      <c r="GC840">
        <v>8.7595451745474282</v>
      </c>
      <c r="GD840">
        <v>3.734855269843349</v>
      </c>
      <c r="GE840">
        <v>6.1927944556058225</v>
      </c>
      <c r="GF840">
        <v>14.877430832743649</v>
      </c>
      <c r="GG840">
        <v>16.534267241741897</v>
      </c>
      <c r="GH840">
        <v>32.257807112072477</v>
      </c>
      <c r="GI840">
        <v>63.93523438524128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1100.4224251505623</v>
      </c>
      <c r="AO841">
        <v>172.5291669777119</v>
      </c>
      <c r="AP841">
        <v>1492.0600604873916</v>
      </c>
      <c r="AQ841">
        <v>529.17930315442754</v>
      </c>
      <c r="AR841">
        <v>171.53301625869784</v>
      </c>
      <c r="AS841">
        <v>1821.9768071005367</v>
      </c>
      <c r="AT841">
        <v>89.850392008368019</v>
      </c>
      <c r="AU841">
        <v>64.904889798916372</v>
      </c>
      <c r="AV841"/>
      <c r="AW841"/>
      <c r="FY841" s="211">
        <v>836</v>
      </c>
      <c r="FZ841">
        <v>87.048721144910672</v>
      </c>
      <c r="GA841">
        <v>47.641950289571795</v>
      </c>
      <c r="GB841">
        <v>16.164755441495615</v>
      </c>
      <c r="GC841">
        <v>5.8494195920530085</v>
      </c>
      <c r="GD841">
        <v>2.7651725921901571</v>
      </c>
      <c r="GE841">
        <v>6.4904908744717957</v>
      </c>
      <c r="GF841">
        <v>44.768343987389684</v>
      </c>
      <c r="GG841">
        <v>52.893031018539254</v>
      </c>
      <c r="GH841">
        <v>16.66328254199793</v>
      </c>
      <c r="GI841">
        <v>74.575543894193373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1065.9280577291843</v>
      </c>
      <c r="AO842">
        <v>197.57175831955928</v>
      </c>
      <c r="AP842">
        <v>1591.8318236999173</v>
      </c>
      <c r="AQ842">
        <v>365.53308894989448</v>
      </c>
      <c r="AR842">
        <v>192.77064526829176</v>
      </c>
      <c r="AS842">
        <v>1890.8278760548242</v>
      </c>
      <c r="AT842">
        <v>98.497790923733859</v>
      </c>
      <c r="AU842">
        <v>185.1560033033268</v>
      </c>
      <c r="AV842"/>
      <c r="AW842"/>
      <c r="FY842" s="211">
        <v>837</v>
      </c>
      <c r="FZ842">
        <v>90.973132004505473</v>
      </c>
      <c r="GA842">
        <v>117.29684469000527</v>
      </c>
      <c r="GB842">
        <v>36.377602939243111</v>
      </c>
      <c r="GC842">
        <v>6.6784444182311002</v>
      </c>
      <c r="GD842">
        <v>2.2864791360363963</v>
      </c>
      <c r="GE842">
        <v>4.7975080850576024</v>
      </c>
      <c r="GF842">
        <v>2.2183593692928087</v>
      </c>
      <c r="GG842">
        <v>4.2586639157533765</v>
      </c>
      <c r="GH842">
        <v>36.851137891635659</v>
      </c>
      <c r="GI842">
        <v>56.352102307497674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1091.3030672542861</v>
      </c>
      <c r="AO843">
        <v>152.2122742428532</v>
      </c>
      <c r="AP843">
        <v>1196.3283784899056</v>
      </c>
      <c r="AQ843">
        <v>443.37712324223401</v>
      </c>
      <c r="AR843">
        <v>147.81255780871533</v>
      </c>
      <c r="AS843">
        <v>1707.7151604865194</v>
      </c>
      <c r="AT843">
        <v>74.03442558364975</v>
      </c>
      <c r="AU843">
        <v>21.340762705789672</v>
      </c>
      <c r="AV843"/>
      <c r="AW843"/>
      <c r="FY843" s="211">
        <v>838</v>
      </c>
      <c r="FZ843">
        <v>132.50427971897869</v>
      </c>
      <c r="GA843">
        <v>108.35618770124363</v>
      </c>
      <c r="GB843">
        <v>22.94424535716016</v>
      </c>
      <c r="GC843">
        <v>7.9278315002963895</v>
      </c>
      <c r="GD843">
        <v>3.52836694393985</v>
      </c>
      <c r="GE843">
        <v>5.6048972892931612</v>
      </c>
      <c r="GF843">
        <v>17.583801305119565</v>
      </c>
      <c r="GG843">
        <v>21.723665170872668</v>
      </c>
      <c r="GH843">
        <v>21.526226630253493</v>
      </c>
      <c r="GI843">
        <v>63.113216055258597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1211.8753431252658</v>
      </c>
      <c r="AO844">
        <v>204.6584552975319</v>
      </c>
      <c r="AP844">
        <v>1788.2124762575875</v>
      </c>
      <c r="AQ844">
        <v>516.987302855699</v>
      </c>
      <c r="AR844">
        <v>198.01294256957962</v>
      </c>
      <c r="AS844">
        <v>2030.5804107995461</v>
      </c>
      <c r="AT844">
        <v>104.14032291540836</v>
      </c>
      <c r="AU844">
        <v>141.22528714374744</v>
      </c>
      <c r="AV844"/>
      <c r="AW844"/>
      <c r="FY844" s="211">
        <v>839</v>
      </c>
      <c r="FZ844">
        <v>132.36188649430301</v>
      </c>
      <c r="GA844">
        <v>86.406056417366742</v>
      </c>
      <c r="GB844">
        <v>31.760344589785269</v>
      </c>
      <c r="GC844">
        <v>9.2318742843160404</v>
      </c>
      <c r="GD844">
        <v>3.7457076395424669</v>
      </c>
      <c r="GE844">
        <v>5.5071587455301678</v>
      </c>
      <c r="GF844">
        <v>24.974552698482572</v>
      </c>
      <c r="GG844">
        <v>34.757098824925791</v>
      </c>
      <c r="GH844">
        <v>22.511226574098632</v>
      </c>
      <c r="GI844">
        <v>75.110355606614775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1299.6305534248968</v>
      </c>
      <c r="AO845">
        <v>165.05504512228248</v>
      </c>
      <c r="AP845">
        <v>1312.5373476005186</v>
      </c>
      <c r="AQ845">
        <v>401.64321203013236</v>
      </c>
      <c r="AR845">
        <v>160.88818643964223</v>
      </c>
      <c r="AS845">
        <v>1832.9191779942505</v>
      </c>
      <c r="AT845">
        <v>73.988673348180143</v>
      </c>
      <c r="AU845">
        <v>371.40742962622244</v>
      </c>
      <c r="AV845"/>
      <c r="AW845"/>
      <c r="FY845" s="211">
        <v>840</v>
      </c>
      <c r="FZ845">
        <v>122.62690515107107</v>
      </c>
      <c r="GA845">
        <v>132.63593661203376</v>
      </c>
      <c r="GB845">
        <v>39.38917291781636</v>
      </c>
      <c r="GC845">
        <v>8.665547113844454</v>
      </c>
      <c r="GD845">
        <v>2.9374997215562599</v>
      </c>
      <c r="GE845">
        <v>4.458753785364836</v>
      </c>
      <c r="GF845">
        <v>13.165759104562341</v>
      </c>
      <c r="GG845">
        <v>19.747576771106662</v>
      </c>
      <c r="GH845">
        <v>28.664643025817348</v>
      </c>
      <c r="GI845">
        <v>65.44684673520932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1306.5776097263401</v>
      </c>
      <c r="AO846">
        <v>179.31346805821187</v>
      </c>
      <c r="AP846">
        <v>1583.8331157197608</v>
      </c>
      <c r="AQ846">
        <v>564.39909161832747</v>
      </c>
      <c r="AR846">
        <v>175.08994777880537</v>
      </c>
      <c r="AS846">
        <v>1955.3461780246714</v>
      </c>
      <c r="AT846">
        <v>83.900062049194901</v>
      </c>
      <c r="AU846">
        <v>125.35002928657325</v>
      </c>
      <c r="AV846"/>
      <c r="AW846"/>
      <c r="FY846" s="211">
        <v>841</v>
      </c>
      <c r="FZ846">
        <v>154.75507188138016</v>
      </c>
      <c r="GA846">
        <v>150.93960038281503</v>
      </c>
      <c r="GB846">
        <v>37.443443733524397</v>
      </c>
      <c r="GC846">
        <v>9.6777224558208896</v>
      </c>
      <c r="GD846">
        <v>4.1967447981576376</v>
      </c>
      <c r="GE846">
        <v>6.2290778780185772</v>
      </c>
      <c r="GF846">
        <v>59.114055354157067</v>
      </c>
      <c r="GG846">
        <v>71.706955857586635</v>
      </c>
      <c r="GH846">
        <v>12.987850276869541</v>
      </c>
      <c r="GI846">
        <v>101.04830347789743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1211.4298674977986</v>
      </c>
      <c r="AO847">
        <v>155.65240426866643</v>
      </c>
      <c r="AP847">
        <v>1315.553241931053</v>
      </c>
      <c r="AQ847">
        <v>462.42300727899635</v>
      </c>
      <c r="AR847">
        <v>149.58691321469081</v>
      </c>
      <c r="AS847">
        <v>1686.6185005895559</v>
      </c>
      <c r="AT847">
        <v>69.403670276944098</v>
      </c>
      <c r="AU847">
        <v>182.08508879327735</v>
      </c>
      <c r="AV847"/>
      <c r="AW847"/>
      <c r="FY847" s="211">
        <v>842</v>
      </c>
      <c r="FZ847">
        <v>130.23847912330038</v>
      </c>
      <c r="GA847">
        <v>156.82552380309755</v>
      </c>
      <c r="GB847">
        <v>45.066607215329029</v>
      </c>
      <c r="GC847">
        <v>7.8928105399723023</v>
      </c>
      <c r="GD847">
        <v>3.1947774571053422</v>
      </c>
      <c r="GE847">
        <v>6.1049688136010136</v>
      </c>
      <c r="GF847">
        <v>19.406543215083893</v>
      </c>
      <c r="GG847">
        <v>23.528924342830781</v>
      </c>
      <c r="GH847">
        <v>35.007118787385437</v>
      </c>
      <c r="GI847">
        <v>81.91815309862254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984.20938490082699</v>
      </c>
      <c r="AO848">
        <v>152.49216214824429</v>
      </c>
      <c r="AP848">
        <v>1311.8164737064815</v>
      </c>
      <c r="AQ848">
        <v>373.8669905068889</v>
      </c>
      <c r="AR848">
        <v>149.15453849311987</v>
      </c>
      <c r="AS848">
        <v>1517.8095278344338</v>
      </c>
      <c r="AT848">
        <v>77.02638860223017</v>
      </c>
      <c r="AU848">
        <v>272.07106481276151</v>
      </c>
      <c r="AV848"/>
      <c r="AW848"/>
      <c r="FY848" s="211">
        <v>843</v>
      </c>
      <c r="FZ848">
        <v>118.06462648763844</v>
      </c>
      <c r="GA848">
        <v>122.44658619007653</v>
      </c>
      <c r="GB848">
        <v>33.196357411229201</v>
      </c>
      <c r="GC848">
        <v>7.4086816260335819</v>
      </c>
      <c r="GD848">
        <v>3.095152368247192</v>
      </c>
      <c r="GE848">
        <v>6.1385121753873122</v>
      </c>
      <c r="GF848">
        <v>19.750741917784687</v>
      </c>
      <c r="GG848">
        <v>20.78449788465446</v>
      </c>
      <c r="GH848">
        <v>29.535829367815222</v>
      </c>
      <c r="GI848">
        <v>71.184325587071569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973.9234776653168</v>
      </c>
      <c r="AO849">
        <v>127.07528745419532</v>
      </c>
      <c r="AP849">
        <v>1085.2064542658654</v>
      </c>
      <c r="AQ849">
        <v>404.66387056153218</v>
      </c>
      <c r="AR849">
        <v>123.21026848532861</v>
      </c>
      <c r="AS849">
        <v>1321.1936873313339</v>
      </c>
      <c r="AT849">
        <v>56.433231173357569</v>
      </c>
      <c r="AU849">
        <v>55.146893966109516</v>
      </c>
      <c r="AV849"/>
      <c r="AW849"/>
      <c r="FY849" s="211">
        <v>844</v>
      </c>
      <c r="FZ849">
        <v>45.273922070639657</v>
      </c>
      <c r="GA849">
        <v>56.815018906007978</v>
      </c>
      <c r="GB849">
        <v>24.415336028642685</v>
      </c>
      <c r="GC849">
        <v>8.7423167158586477</v>
      </c>
      <c r="GD849">
        <v>3.8055647357616662</v>
      </c>
      <c r="GE849">
        <v>6.7981041331236227</v>
      </c>
      <c r="GF849">
        <v>30.284612973700597</v>
      </c>
      <c r="GG849">
        <v>35.678590612242992</v>
      </c>
      <c r="GH849">
        <v>27.89566630945955</v>
      </c>
      <c r="GI849">
        <v>70.966778802220006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1189.3805946600733</v>
      </c>
      <c r="AO850">
        <v>190.96716427886454</v>
      </c>
      <c r="AP850">
        <v>1617.9443842416333</v>
      </c>
      <c r="AQ850">
        <v>438.73123052018366</v>
      </c>
      <c r="AR850">
        <v>184.78515893163507</v>
      </c>
      <c r="AS850">
        <v>1860.6217639576746</v>
      </c>
      <c r="AT850">
        <v>88.045573755830617</v>
      </c>
      <c r="AU850">
        <v>196.29504215779653</v>
      </c>
      <c r="AV850"/>
      <c r="AW850"/>
      <c r="FY850" s="211">
        <v>845</v>
      </c>
      <c r="FZ850">
        <v>101.08674769907603</v>
      </c>
      <c r="GA850">
        <v>117.47550481860452</v>
      </c>
      <c r="GB850">
        <v>39.758508341147007</v>
      </c>
      <c r="GC850">
        <v>8.9032563889288081</v>
      </c>
      <c r="GD850">
        <v>3.3047452753768614</v>
      </c>
      <c r="GE850">
        <v>7.8759663801823541</v>
      </c>
      <c r="GF850">
        <v>22.457518334802877</v>
      </c>
      <c r="GG850">
        <v>25.73327624186313</v>
      </c>
      <c r="GH850">
        <v>27.021781416449844</v>
      </c>
      <c r="GI850">
        <v>78.699418761462411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896.63315086182524</v>
      </c>
      <c r="AO851">
        <v>134.8793486306096</v>
      </c>
      <c r="AP851">
        <v>1115.5359917288904</v>
      </c>
      <c r="AQ851">
        <v>377.90315513898366</v>
      </c>
      <c r="AR851">
        <v>138.41094699920376</v>
      </c>
      <c r="AS851">
        <v>1447.1554656379874</v>
      </c>
      <c r="AT851">
        <v>69.827462144883427</v>
      </c>
      <c r="AU851">
        <v>47.771387815119368</v>
      </c>
      <c r="AV851"/>
      <c r="AW851"/>
      <c r="FY851" s="211">
        <v>846</v>
      </c>
      <c r="FZ851">
        <v>101.72380980269151</v>
      </c>
      <c r="GA851">
        <v>91.910805950373216</v>
      </c>
      <c r="GB851">
        <v>36.28961207514341</v>
      </c>
      <c r="GC851">
        <v>8.1790371170976233</v>
      </c>
      <c r="GD851">
        <v>2.9825478618923174</v>
      </c>
      <c r="GE851">
        <v>4.8321631803749039</v>
      </c>
      <c r="GF851">
        <v>36.481293495335834</v>
      </c>
      <c r="GG851">
        <v>49.012304642956494</v>
      </c>
      <c r="GH851">
        <v>26.96426332224593</v>
      </c>
      <c r="GI851">
        <v>83.083070410629432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1109.7384295550546</v>
      </c>
      <c r="AO852">
        <v>168.40977134816995</v>
      </c>
      <c r="AP852">
        <v>1372.5437917290428</v>
      </c>
      <c r="AQ852">
        <v>354.86071137681336</v>
      </c>
      <c r="AR852">
        <v>163.25992226584447</v>
      </c>
      <c r="AS852">
        <v>1786.0999477298235</v>
      </c>
      <c r="AT852">
        <v>78.482166607668788</v>
      </c>
      <c r="AU852">
        <v>472.15228862795055</v>
      </c>
      <c r="AV852"/>
      <c r="AW852"/>
      <c r="FY852" s="211">
        <v>847</v>
      </c>
      <c r="FZ852">
        <v>101.24397218932191</v>
      </c>
      <c r="GA852">
        <v>116.61823460668901</v>
      </c>
      <c r="GB852">
        <v>48.706381552525968</v>
      </c>
      <c r="GC852">
        <v>7.9080417082492866</v>
      </c>
      <c r="GD852">
        <v>2.7497861977610771</v>
      </c>
      <c r="GE852">
        <v>4.5599254235904922</v>
      </c>
      <c r="GF852">
        <v>43.743415562069622</v>
      </c>
      <c r="GG852">
        <v>56.652211132037898</v>
      </c>
      <c r="GH852">
        <v>19.221791788135231</v>
      </c>
      <c r="GI852">
        <v>81.477147405815771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837.53143940652683</v>
      </c>
      <c r="AO853">
        <v>135.80106465352665</v>
      </c>
      <c r="AP853">
        <v>1197.4923641835912</v>
      </c>
      <c r="AQ853">
        <v>358.09027475725844</v>
      </c>
      <c r="AR853">
        <v>132.11666799012968</v>
      </c>
      <c r="AS853">
        <v>1365.5226522542334</v>
      </c>
      <c r="AT853">
        <v>69.912075309068513</v>
      </c>
      <c r="AU853">
        <v>-181.36427320762004</v>
      </c>
      <c r="AV853"/>
      <c r="AW853"/>
      <c r="FY853" s="211">
        <v>848</v>
      </c>
      <c r="FZ853">
        <v>92.958817329747731</v>
      </c>
      <c r="GA853">
        <v>75.381979590474927</v>
      </c>
      <c r="GB853">
        <v>31.49354764603412</v>
      </c>
      <c r="GC853">
        <v>7.840404056339116</v>
      </c>
      <c r="GD853">
        <v>2.3043301678003729</v>
      </c>
      <c r="GE853">
        <v>4.7689691349951975</v>
      </c>
      <c r="GF853">
        <v>29.568300920357665</v>
      </c>
      <c r="GG853">
        <v>36.907494533857665</v>
      </c>
      <c r="GH853">
        <v>25.009266689721759</v>
      </c>
      <c r="GI853">
        <v>69.070785153032759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902.91362312605963</v>
      </c>
      <c r="AO854">
        <v>127.04853910109614</v>
      </c>
      <c r="AP854">
        <v>1081.5434992971968</v>
      </c>
      <c r="AQ854">
        <v>404.81271767241623</v>
      </c>
      <c r="AR854">
        <v>125.20142124621604</v>
      </c>
      <c r="AS854">
        <v>1339.2354247745986</v>
      </c>
      <c r="AT854">
        <v>60.590467248052384</v>
      </c>
      <c r="AU854">
        <v>27.725585288375484</v>
      </c>
      <c r="AV854"/>
      <c r="AW854"/>
      <c r="FY854" s="211">
        <v>849</v>
      </c>
      <c r="FZ854">
        <v>117.50629782113811</v>
      </c>
      <c r="GA854">
        <v>100.21322523859931</v>
      </c>
      <c r="GB854">
        <v>24.69535296656602</v>
      </c>
      <c r="GC854">
        <v>5.6986213700336883</v>
      </c>
      <c r="GD854">
        <v>3.1923090632166851</v>
      </c>
      <c r="GE854">
        <v>4.7114954082223512</v>
      </c>
      <c r="GF854">
        <v>29.919810091831444</v>
      </c>
      <c r="GG854">
        <v>42.459081226930252</v>
      </c>
      <c r="GH854">
        <v>29.25311198478148</v>
      </c>
      <c r="GI854">
        <v>79.430648188166529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1102.6877712966514</v>
      </c>
      <c r="AO855">
        <v>154.05262934786032</v>
      </c>
      <c r="AP855">
        <v>1202.7032502658492</v>
      </c>
      <c r="AQ855">
        <v>426.3662618749654</v>
      </c>
      <c r="AR855">
        <v>151.07699276017902</v>
      </c>
      <c r="AS855">
        <v>1583.7623481224186</v>
      </c>
      <c r="AT855">
        <v>74.84005982369861</v>
      </c>
      <c r="AU855">
        <v>163.70482148890744</v>
      </c>
      <c r="AV855"/>
      <c r="AW855"/>
      <c r="FY855" s="211">
        <v>850</v>
      </c>
      <c r="FZ855">
        <v>163.21613762666556</v>
      </c>
      <c r="GA855">
        <v>111.47585436879554</v>
      </c>
      <c r="GB855">
        <v>37.235876014542981</v>
      </c>
      <c r="GC855">
        <v>8.9304856083437674</v>
      </c>
      <c r="GD855">
        <v>4.152422433033462</v>
      </c>
      <c r="GE855">
        <v>7.0899953899557016</v>
      </c>
      <c r="GF855">
        <v>32.368120474285533</v>
      </c>
      <c r="GG855">
        <v>40.600292502213662</v>
      </c>
      <c r="GH855">
        <v>24.632731112790268</v>
      </c>
      <c r="GI855">
        <v>89.512932628711951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973.15638852056713</v>
      </c>
      <c r="AO856">
        <v>129.71460664560544</v>
      </c>
      <c r="AP856">
        <v>1079.7518086585594</v>
      </c>
      <c r="AQ856">
        <v>437.73864093838233</v>
      </c>
      <c r="AR856">
        <v>125.70555440965718</v>
      </c>
      <c r="AS856">
        <v>1410.8135269918937</v>
      </c>
      <c r="AT856">
        <v>61.751708017262168</v>
      </c>
      <c r="AU856">
        <v>2.2428957295785921</v>
      </c>
      <c r="AV856"/>
      <c r="AW856"/>
      <c r="FY856" s="211">
        <v>851</v>
      </c>
      <c r="FZ856">
        <v>133.84617773824428</v>
      </c>
      <c r="GA856">
        <v>99.006402837437761</v>
      </c>
      <c r="GB856">
        <v>29.708375556736257</v>
      </c>
      <c r="GC856">
        <v>8.6760866984794642</v>
      </c>
      <c r="GD856">
        <v>3.4369156006994657</v>
      </c>
      <c r="GE856">
        <v>5.0100024147365936</v>
      </c>
      <c r="GF856">
        <v>39.980437602968145</v>
      </c>
      <c r="GG856">
        <v>49.150695105438679</v>
      </c>
      <c r="GH856">
        <v>18.55352998678871</v>
      </c>
      <c r="GI856">
        <v>79.088157263090295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1620.1845895132928</v>
      </c>
      <c r="AO857">
        <v>200.02274564678225</v>
      </c>
      <c r="AP857">
        <v>1660.0432555841453</v>
      </c>
      <c r="AQ857">
        <v>608.09882609622741</v>
      </c>
      <c r="AR857">
        <v>195.73151214874275</v>
      </c>
      <c r="AS857">
        <v>2165.5461530823745</v>
      </c>
      <c r="AT857">
        <v>91.037956522293442</v>
      </c>
      <c r="AU857">
        <v>287.66276492892001</v>
      </c>
      <c r="AV857"/>
      <c r="AW857"/>
      <c r="FY857" s="211">
        <v>852</v>
      </c>
      <c r="FZ857">
        <v>181.63427272557382</v>
      </c>
      <c r="GA857">
        <v>152.37688329674705</v>
      </c>
      <c r="GB857">
        <v>29.662898950654096</v>
      </c>
      <c r="GC857">
        <v>6.4287194806270227</v>
      </c>
      <c r="GD857">
        <v>2.8271145343577846</v>
      </c>
      <c r="GE857">
        <v>7.6550756839318925</v>
      </c>
      <c r="GF857">
        <v>21.190187322745007</v>
      </c>
      <c r="GG857">
        <v>22.419328740266096</v>
      </c>
      <c r="GH857">
        <v>26.116407123753255</v>
      </c>
      <c r="GI857">
        <v>69.934187181915149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1222.301040565161</v>
      </c>
      <c r="AO858">
        <v>182.90572113145043</v>
      </c>
      <c r="AP858">
        <v>1611.5398654781832</v>
      </c>
      <c r="AQ858">
        <v>509.18390639632833</v>
      </c>
      <c r="AR858">
        <v>176.48347410206813</v>
      </c>
      <c r="AS858">
        <v>1805.3794503458175</v>
      </c>
      <c r="AT858">
        <v>87.661210458511334</v>
      </c>
      <c r="AU858">
        <v>153.82569561934775</v>
      </c>
      <c r="AV858"/>
      <c r="AW858"/>
      <c r="FY858" s="211">
        <v>853</v>
      </c>
      <c r="FZ858">
        <v>106.47693828872092</v>
      </c>
      <c r="GA858">
        <v>64.203140257471233</v>
      </c>
      <c r="GB858">
        <v>20.808352221148454</v>
      </c>
      <c r="GC858">
        <v>7.7058230816496369</v>
      </c>
      <c r="GD858">
        <v>3.7368038060883553</v>
      </c>
      <c r="GE858">
        <v>6.0377091860653014</v>
      </c>
      <c r="GF858">
        <v>47.512388147428879</v>
      </c>
      <c r="GG858">
        <v>61.180616680421814</v>
      </c>
      <c r="GH858">
        <v>17.040279136202287</v>
      </c>
      <c r="GI858">
        <v>78.081354096456991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1067.2578754501164</v>
      </c>
      <c r="AO859">
        <v>143.41933829902595</v>
      </c>
      <c r="AP859">
        <v>1183.0135403007164</v>
      </c>
      <c r="AQ859">
        <v>431.60531101593813</v>
      </c>
      <c r="AR859">
        <v>138.76720317125833</v>
      </c>
      <c r="AS859">
        <v>1475.2587312212056</v>
      </c>
      <c r="AT859">
        <v>70.543881660677116</v>
      </c>
      <c r="AU859">
        <v>95.562990338575148</v>
      </c>
      <c r="AV859"/>
      <c r="AW859"/>
      <c r="FY859" s="211">
        <v>854</v>
      </c>
      <c r="FZ859">
        <v>101.66352484373486</v>
      </c>
      <c r="GA859">
        <v>122.9026547729335</v>
      </c>
      <c r="GB859">
        <v>39.687395463068576</v>
      </c>
      <c r="GC859">
        <v>7.8598416820810506</v>
      </c>
      <c r="GD859">
        <v>3.8102884476680279</v>
      </c>
      <c r="GE859">
        <v>6.9255683217370265</v>
      </c>
      <c r="GF859">
        <v>16.345170570217853</v>
      </c>
      <c r="GG859">
        <v>20.681385048744733</v>
      </c>
      <c r="GH859">
        <v>20.71622627012632</v>
      </c>
      <c r="GI859">
        <v>74.396537818010785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1102.9548799162369</v>
      </c>
      <c r="AO860">
        <v>171.1417902614964</v>
      </c>
      <c r="AP860">
        <v>1380.7269760350339</v>
      </c>
      <c r="AQ860">
        <v>310.67591128765741</v>
      </c>
      <c r="AR860">
        <v>162.23181686975514</v>
      </c>
      <c r="AS860">
        <v>1623.5234878352944</v>
      </c>
      <c r="AT860">
        <v>77.902809952145716</v>
      </c>
      <c r="AU860">
        <v>322.61587503514454</v>
      </c>
      <c r="AV860"/>
      <c r="AW860"/>
      <c r="FY860" s="211">
        <v>855</v>
      </c>
      <c r="FZ860">
        <v>140.04674680644752</v>
      </c>
      <c r="GA860">
        <v>123.24636292538268</v>
      </c>
      <c r="GB860">
        <v>37.197322532778308</v>
      </c>
      <c r="GC860">
        <v>8.4384945571373642</v>
      </c>
      <c r="GD860">
        <v>3.9960061715697419</v>
      </c>
      <c r="GE860">
        <v>6.579532079328315</v>
      </c>
      <c r="GF860">
        <v>24.91768058751077</v>
      </c>
      <c r="GG860">
        <v>33.144312273911211</v>
      </c>
      <c r="GH860">
        <v>24.289937604756954</v>
      </c>
      <c r="GI860">
        <v>79.326025205607564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1171.3594464670355</v>
      </c>
      <c r="AO861">
        <v>167.85562914815512</v>
      </c>
      <c r="AP861">
        <v>1439.6010077181713</v>
      </c>
      <c r="AQ861">
        <v>432.31672365789393</v>
      </c>
      <c r="AR861">
        <v>161.31371062967648</v>
      </c>
      <c r="AS861">
        <v>1762.0738694369304</v>
      </c>
      <c r="AT861">
        <v>79.016132181629914</v>
      </c>
      <c r="AU861">
        <v>204.19655365316956</v>
      </c>
      <c r="AV861"/>
      <c r="AW861"/>
      <c r="FY861" s="211">
        <v>856</v>
      </c>
      <c r="FZ861">
        <v>150.02179675438106</v>
      </c>
      <c r="GA861">
        <v>113.36518782882173</v>
      </c>
      <c r="GB861">
        <v>25.468406162214546</v>
      </c>
      <c r="GC861">
        <v>6.6437699519221214</v>
      </c>
      <c r="GD861">
        <v>2.5789979746558025</v>
      </c>
      <c r="GE861">
        <v>4.2445973126380867</v>
      </c>
      <c r="GF861">
        <v>46.780574143499948</v>
      </c>
      <c r="GG861">
        <v>62.413948996131076</v>
      </c>
      <c r="GH861">
        <v>23.90631432658919</v>
      </c>
      <c r="GI861">
        <v>81.159130079492996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1244.5507670175787</v>
      </c>
      <c r="AO862">
        <v>173.21906899391902</v>
      </c>
      <c r="AP862">
        <v>1333.4163094097532</v>
      </c>
      <c r="AQ862">
        <v>441.4589078587407</v>
      </c>
      <c r="AR862">
        <v>168.08194594344246</v>
      </c>
      <c r="AS862">
        <v>1899.2351238048618</v>
      </c>
      <c r="AT862">
        <v>80.952745053862131</v>
      </c>
      <c r="AU862">
        <v>230.77819090749753</v>
      </c>
      <c r="AV862"/>
      <c r="AW862"/>
      <c r="FY862" s="211">
        <v>857</v>
      </c>
      <c r="FZ862">
        <v>190.77838448172699</v>
      </c>
      <c r="GA862">
        <v>107.95234242261809</v>
      </c>
      <c r="GB862">
        <v>17.183372878246391</v>
      </c>
      <c r="GC862">
        <v>6.5714948209954587</v>
      </c>
      <c r="GD862">
        <v>2.8998662421776604</v>
      </c>
      <c r="GE862">
        <v>5.5699782490116494</v>
      </c>
      <c r="GF862">
        <v>54.154821332526936</v>
      </c>
      <c r="GG862">
        <v>69.06294919709535</v>
      </c>
      <c r="GH862">
        <v>23.712591519733582</v>
      </c>
      <c r="GI862">
        <v>85.731437874513915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1297.2769124324627</v>
      </c>
      <c r="AO863">
        <v>148.72132132653701</v>
      </c>
      <c r="AP863">
        <v>1195.6947840296962</v>
      </c>
      <c r="AQ863">
        <v>482.88090756619624</v>
      </c>
      <c r="AR863">
        <v>147.0614603271311</v>
      </c>
      <c r="AS863">
        <v>1638.2199739106602</v>
      </c>
      <c r="AT863">
        <v>72.21662850745831</v>
      </c>
      <c r="AU863">
        <v>273.85533972986389</v>
      </c>
      <c r="AV863"/>
      <c r="AW863"/>
      <c r="FY863" s="211">
        <v>858</v>
      </c>
      <c r="FZ863">
        <v>90.148653454417257</v>
      </c>
      <c r="GA863">
        <v>68.987776952577946</v>
      </c>
      <c r="GB863">
        <v>30.912285092299363</v>
      </c>
      <c r="GC863">
        <v>8.0516800517020144</v>
      </c>
      <c r="GD863">
        <v>3.2275532210798543</v>
      </c>
      <c r="GE863">
        <v>5.5434741459941321</v>
      </c>
      <c r="GF863">
        <v>20.658990314153854</v>
      </c>
      <c r="GG863">
        <v>27.83634138771864</v>
      </c>
      <c r="GH863">
        <v>26.440517434880796</v>
      </c>
      <c r="GI863">
        <v>76.215603692793493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1067.6598914687165</v>
      </c>
      <c r="AO864">
        <v>155.58082189004523</v>
      </c>
      <c r="AP864">
        <v>1278.1878668720831</v>
      </c>
      <c r="AQ864">
        <v>375.30389522236135</v>
      </c>
      <c r="AR864">
        <v>150.52524249115069</v>
      </c>
      <c r="AS864">
        <v>1538.389713479236</v>
      </c>
      <c r="AT864">
        <v>68.440004165508711</v>
      </c>
      <c r="AU864">
        <v>223.18124007118803</v>
      </c>
      <c r="AV864"/>
      <c r="AW864"/>
      <c r="FY864" s="211">
        <v>859</v>
      </c>
      <c r="FZ864">
        <v>168.85978007602321</v>
      </c>
      <c r="GA864">
        <v>119.79387690113134</v>
      </c>
      <c r="GB864">
        <v>33.622738577840465</v>
      </c>
      <c r="GC864">
        <v>9.6856090412818645</v>
      </c>
      <c r="GD864">
        <v>3.4310240262658986</v>
      </c>
      <c r="GE864">
        <v>4.9788949200128494</v>
      </c>
      <c r="GF864">
        <v>41.922548112232242</v>
      </c>
      <c r="GG864">
        <v>53.936497825303086</v>
      </c>
      <c r="GH864">
        <v>19.603436616952116</v>
      </c>
      <c r="GI864">
        <v>94.679407521060952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1142.9260292646602</v>
      </c>
      <c r="AO865">
        <v>195.94184869554232</v>
      </c>
      <c r="AP865">
        <v>1672.377738019446</v>
      </c>
      <c r="AQ865">
        <v>437.07995335948584</v>
      </c>
      <c r="AR865">
        <v>189.54957835372724</v>
      </c>
      <c r="AS865">
        <v>1999.7090598258674</v>
      </c>
      <c r="AT865">
        <v>95.457783146399763</v>
      </c>
      <c r="AU865">
        <v>174.1258021981771</v>
      </c>
      <c r="AV865"/>
      <c r="AW865"/>
      <c r="FY865" s="211">
        <v>860</v>
      </c>
      <c r="FZ865">
        <v>96.737233173782172</v>
      </c>
      <c r="GA865">
        <v>87.813735064890082</v>
      </c>
      <c r="GB865">
        <v>32.960138719518774</v>
      </c>
      <c r="GC865">
        <v>8.1594767985955272</v>
      </c>
      <c r="GD865">
        <v>3.6734898586977156</v>
      </c>
      <c r="GE865">
        <v>7.4556540400045677</v>
      </c>
      <c r="GF865">
        <v>29.271825946018502</v>
      </c>
      <c r="GG865">
        <v>35.658099635110155</v>
      </c>
      <c r="GH865">
        <v>30.084507654521058</v>
      </c>
      <c r="GI865">
        <v>74.806145888570143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1334.4510423667091</v>
      </c>
      <c r="AO866">
        <v>201.43943138600574</v>
      </c>
      <c r="AP866">
        <v>1634.7386121658142</v>
      </c>
      <c r="AQ866">
        <v>519.21484815933843</v>
      </c>
      <c r="AR866">
        <v>198.03408890544191</v>
      </c>
      <c r="AS866">
        <v>2115.2631594660506</v>
      </c>
      <c r="AT866">
        <v>95.088654863955256</v>
      </c>
      <c r="AU866">
        <v>264.38228172324864</v>
      </c>
      <c r="AV866"/>
      <c r="AW866"/>
      <c r="FY866" s="211">
        <v>861</v>
      </c>
      <c r="FZ866">
        <v>110.83211735519188</v>
      </c>
      <c r="GA866">
        <v>86.923208451033801</v>
      </c>
      <c r="GB866">
        <v>28.563973253835215</v>
      </c>
      <c r="GC866">
        <v>7.4279725221692416</v>
      </c>
      <c r="GD866">
        <v>2.7945443176600859</v>
      </c>
      <c r="GE866">
        <v>6.3518643120524363</v>
      </c>
      <c r="GF866">
        <v>18.258490434093765</v>
      </c>
      <c r="GG866">
        <v>20.281062881207632</v>
      </c>
      <c r="GH866">
        <v>17.979831808556149</v>
      </c>
      <c r="GI866">
        <v>62.351425452647668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1217.0390757337773</v>
      </c>
      <c r="AO867">
        <v>164.42333188770064</v>
      </c>
      <c r="AP867">
        <v>1361.9092293294864</v>
      </c>
      <c r="AQ867">
        <v>466.45678080461971</v>
      </c>
      <c r="AR867">
        <v>162.03943433130698</v>
      </c>
      <c r="AS867">
        <v>1840.9730767224205</v>
      </c>
      <c r="AT867">
        <v>75.102898457279608</v>
      </c>
      <c r="AU867">
        <v>280.27734681190026</v>
      </c>
      <c r="AV867"/>
      <c r="AW867"/>
      <c r="FY867" s="211">
        <v>862</v>
      </c>
      <c r="FZ867">
        <v>115.27590283518407</v>
      </c>
      <c r="GA867">
        <v>88.142290156020081</v>
      </c>
      <c r="GB867">
        <v>29.684596861182897</v>
      </c>
      <c r="GC867">
        <v>8.2969459662527036</v>
      </c>
      <c r="GD867">
        <v>2.7958544918319186</v>
      </c>
      <c r="GE867">
        <v>5.8529376687755459</v>
      </c>
      <c r="GF867">
        <v>38.741509963273181</v>
      </c>
      <c r="GG867">
        <v>45.5646697270018</v>
      </c>
      <c r="GH867">
        <v>14.848836439170544</v>
      </c>
      <c r="GI867">
        <v>74.878171830493983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1044.6272807765008</v>
      </c>
      <c r="AO868">
        <v>152.07884899130298</v>
      </c>
      <c r="AP868">
        <v>1395.5916924767398</v>
      </c>
      <c r="AQ868">
        <v>520.24507504057124</v>
      </c>
      <c r="AR868">
        <v>149.18442842053614</v>
      </c>
      <c r="AS868">
        <v>1617.6183198831473</v>
      </c>
      <c r="AT868">
        <v>73.090336690027797</v>
      </c>
      <c r="AU868">
        <v>23.86723052137647</v>
      </c>
      <c r="AV868"/>
      <c r="AW868"/>
      <c r="FY868" s="211">
        <v>863</v>
      </c>
      <c r="FZ868">
        <v>135.58632958033618</v>
      </c>
      <c r="GA868">
        <v>164.5533585732405</v>
      </c>
      <c r="GB868">
        <v>39.097947468808577</v>
      </c>
      <c r="GC868">
        <v>10.000992471454968</v>
      </c>
      <c r="GD868">
        <v>4.96511826720901</v>
      </c>
      <c r="GE868">
        <v>6.5940324121599057</v>
      </c>
      <c r="GF868">
        <v>29.820831118827829</v>
      </c>
      <c r="GG868">
        <v>34.625078464267013</v>
      </c>
      <c r="GH868">
        <v>23.290253129868287</v>
      </c>
      <c r="GI868">
        <v>91.724270025977205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1192.9923816275095</v>
      </c>
      <c r="AO869">
        <v>160.96005675236125</v>
      </c>
      <c r="AP869">
        <v>1314.5865690349165</v>
      </c>
      <c r="AQ869">
        <v>412.78340490165385</v>
      </c>
      <c r="AR869">
        <v>155.56596468580852</v>
      </c>
      <c r="AS869">
        <v>1800.5719616683298</v>
      </c>
      <c r="AT869">
        <v>71.504014348702398</v>
      </c>
      <c r="AU869">
        <v>326.41255817806757</v>
      </c>
      <c r="AV869"/>
      <c r="AW869"/>
      <c r="FY869" s="211">
        <v>864</v>
      </c>
      <c r="FZ869">
        <v>120.37782066340331</v>
      </c>
      <c r="GA869">
        <v>68.626963591840351</v>
      </c>
      <c r="GB869">
        <v>23.358121647656024</v>
      </c>
      <c r="GC869">
        <v>7.5887838167560808</v>
      </c>
      <c r="GD869">
        <v>2.006224442677695</v>
      </c>
      <c r="GE869">
        <v>4.0260607545673608</v>
      </c>
      <c r="GF869">
        <v>33.325177274139307</v>
      </c>
      <c r="GG869">
        <v>41.766037863399369</v>
      </c>
      <c r="GH869">
        <v>25.511872157774405</v>
      </c>
      <c r="GI869">
        <v>72.239204704746541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1116.820512707038</v>
      </c>
      <c r="AO870">
        <v>163.7054838298391</v>
      </c>
      <c r="AP870">
        <v>1279.0775510560532</v>
      </c>
      <c r="AQ870">
        <v>414.98859323832278</v>
      </c>
      <c r="AR870">
        <v>155.86215487014408</v>
      </c>
      <c r="AS870">
        <v>1700.9113455809638</v>
      </c>
      <c r="AT870">
        <v>77.231237507827544</v>
      </c>
      <c r="AU870">
        <v>84.484810654298258</v>
      </c>
      <c r="AV870"/>
      <c r="AW870"/>
      <c r="FY870" s="211">
        <v>865</v>
      </c>
      <c r="FZ870">
        <v>199.49669306488502</v>
      </c>
      <c r="GA870">
        <v>86.89233916851822</v>
      </c>
      <c r="GB870">
        <v>16.430357803796596</v>
      </c>
      <c r="GC870">
        <v>8.0913793849493505</v>
      </c>
      <c r="GD870">
        <v>4.4370419115424484</v>
      </c>
      <c r="GE870">
        <v>5.8599294424053729</v>
      </c>
      <c r="GF870">
        <v>29.015274126129611</v>
      </c>
      <c r="GG870">
        <v>38.942855827460612</v>
      </c>
      <c r="GH870">
        <v>23.80294608998301</v>
      </c>
      <c r="GI870">
        <v>76.63567719392789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1195.9499372343125</v>
      </c>
      <c r="AO871">
        <v>167.79296004592842</v>
      </c>
      <c r="AP871">
        <v>1387.3106850486915</v>
      </c>
      <c r="AQ871">
        <v>481.18242074443037</v>
      </c>
      <c r="AR871">
        <v>164.62916555491003</v>
      </c>
      <c r="AS871">
        <v>1771.5900512370163</v>
      </c>
      <c r="AT871">
        <v>81.617876979142011</v>
      </c>
      <c r="AU871">
        <v>213.66185163820714</v>
      </c>
      <c r="AV871"/>
      <c r="AW871"/>
      <c r="FY871" s="211">
        <v>866</v>
      </c>
      <c r="FZ871">
        <v>135.50142751715708</v>
      </c>
      <c r="GA871">
        <v>74.968605686779725</v>
      </c>
      <c r="GB871">
        <v>19.834293633195287</v>
      </c>
      <c r="GC871">
        <v>7.4068442795486744</v>
      </c>
      <c r="GD871">
        <v>3.4453393907467689</v>
      </c>
      <c r="GE871">
        <v>6.9535664966311437</v>
      </c>
      <c r="GF871">
        <v>4.9910425825762932</v>
      </c>
      <c r="GG871">
        <v>4.0387919363227045</v>
      </c>
      <c r="GH871">
        <v>34.183407573191758</v>
      </c>
      <c r="GI871">
        <v>63.930554567719895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1222.6710530071937</v>
      </c>
      <c r="AO872">
        <v>172.97743152313757</v>
      </c>
      <c r="AP872">
        <v>1527.8277925193643</v>
      </c>
      <c r="AQ872">
        <v>516.58272353034658</v>
      </c>
      <c r="AR872">
        <v>168.50028344464278</v>
      </c>
      <c r="AS872">
        <v>1837.214682593557</v>
      </c>
      <c r="AT872">
        <v>80.738133131378945</v>
      </c>
      <c r="AU872">
        <v>289.99035568345221</v>
      </c>
      <c r="AV872"/>
      <c r="AW872"/>
      <c r="FY872" s="211">
        <v>867</v>
      </c>
      <c r="FZ872">
        <v>108.66243936881808</v>
      </c>
      <c r="GA872">
        <v>67.701744776143585</v>
      </c>
      <c r="GB872">
        <v>22.51975671227229</v>
      </c>
      <c r="GC872">
        <v>6.6670890568773471</v>
      </c>
      <c r="GD872">
        <v>2.8050402345773233</v>
      </c>
      <c r="GE872">
        <v>6.1011637899676305</v>
      </c>
      <c r="GF872">
        <v>38.952038821011563</v>
      </c>
      <c r="GG872">
        <v>46.527330847633685</v>
      </c>
      <c r="GH872">
        <v>24.895024845825045</v>
      </c>
      <c r="GI872">
        <v>67.589361469875385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1291.5989082005758</v>
      </c>
      <c r="AO873">
        <v>189.20623586493213</v>
      </c>
      <c r="AP873">
        <v>1603.6760729759819</v>
      </c>
      <c r="AQ873">
        <v>563.61723901864593</v>
      </c>
      <c r="AR873">
        <v>183.79084537605263</v>
      </c>
      <c r="AS873">
        <v>1969.9454488531746</v>
      </c>
      <c r="AT873">
        <v>92.521061285460064</v>
      </c>
      <c r="AU873">
        <v>368.23447532750527</v>
      </c>
      <c r="AV873"/>
      <c r="AW873"/>
      <c r="FY873" s="211">
        <v>868</v>
      </c>
      <c r="FZ873">
        <v>139.35479778423894</v>
      </c>
      <c r="GA873">
        <v>121.39525382828988</v>
      </c>
      <c r="GB873">
        <v>34.383059337788474</v>
      </c>
      <c r="GC873">
        <v>8.2671519340660389</v>
      </c>
      <c r="GD873">
        <v>3.6709098055015312</v>
      </c>
      <c r="GE873">
        <v>5.5815001894317442</v>
      </c>
      <c r="GF873">
        <v>35.975992635802996</v>
      </c>
      <c r="GG873">
        <v>46.720947376016788</v>
      </c>
      <c r="GH873">
        <v>21.046946175977538</v>
      </c>
      <c r="GI873">
        <v>78.5765299425763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1070.8613080123068</v>
      </c>
      <c r="AO874">
        <v>173.8060835124507</v>
      </c>
      <c r="AP874">
        <v>1327.9006473233321</v>
      </c>
      <c r="AQ874">
        <v>358.02287574761732</v>
      </c>
      <c r="AR874">
        <v>167.21860412594029</v>
      </c>
      <c r="AS874">
        <v>1798.0972559305249</v>
      </c>
      <c r="AT874">
        <v>81.851512167498882</v>
      </c>
      <c r="AU874">
        <v>134.67919457128164</v>
      </c>
      <c r="AV874"/>
      <c r="AW874"/>
      <c r="FY874" s="211">
        <v>869</v>
      </c>
      <c r="FZ874">
        <v>195.31819548299111</v>
      </c>
      <c r="GA874">
        <v>155.67904124874261</v>
      </c>
      <c r="GB874">
        <v>32.078240501395591</v>
      </c>
      <c r="GC874">
        <v>11.157405340009849</v>
      </c>
      <c r="GD874">
        <v>5.1877605649378822</v>
      </c>
      <c r="GE874">
        <v>7.3955318650062187</v>
      </c>
      <c r="GF874">
        <v>18.65627368398826</v>
      </c>
      <c r="GG874">
        <v>24.591026600649155</v>
      </c>
      <c r="GH874">
        <v>29.325000718383194</v>
      </c>
      <c r="GI874">
        <v>94.271795299781047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1411.1301412627488</v>
      </c>
      <c r="AO875">
        <v>191.12425041766659</v>
      </c>
      <c r="AP875">
        <v>1583.4417594763866</v>
      </c>
      <c r="AQ875">
        <v>550.513813618104</v>
      </c>
      <c r="AR875">
        <v>184.83698330755158</v>
      </c>
      <c r="AS875">
        <v>2080.1502103019498</v>
      </c>
      <c r="AT875">
        <v>87.906453449106138</v>
      </c>
      <c r="AU875">
        <v>209.79781090113599</v>
      </c>
      <c r="AV875"/>
      <c r="AW875"/>
      <c r="FY875" s="211">
        <v>870</v>
      </c>
      <c r="FZ875">
        <v>100.10558991509845</v>
      </c>
      <c r="GA875">
        <v>99.342045652965794</v>
      </c>
      <c r="GB875">
        <v>38.128087777288847</v>
      </c>
      <c r="GC875">
        <v>9.2501405785990318</v>
      </c>
      <c r="GD875">
        <v>3.9681440896632192</v>
      </c>
      <c r="GE875">
        <v>4.9668436975042614</v>
      </c>
      <c r="GF875">
        <v>37.43700603353934</v>
      </c>
      <c r="GG875">
        <v>48.908929143686471</v>
      </c>
      <c r="GH875">
        <v>28.347234926606436</v>
      </c>
      <c r="GI875">
        <v>87.802599402880276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1143.0658423888271</v>
      </c>
      <c r="AO876">
        <v>159.21201109546729</v>
      </c>
      <c r="AP876">
        <v>1372.9235333585746</v>
      </c>
      <c r="AQ876">
        <v>406.6203067797087</v>
      </c>
      <c r="AR876">
        <v>155.35463281405868</v>
      </c>
      <c r="AS876">
        <v>1638.9576704193587</v>
      </c>
      <c r="AT876">
        <v>74.613047798104205</v>
      </c>
      <c r="AU876">
        <v>239.7890436838569</v>
      </c>
      <c r="AV876"/>
      <c r="AW876"/>
      <c r="FY876" s="211">
        <v>871</v>
      </c>
      <c r="FZ876">
        <v>140.84144439046082</v>
      </c>
      <c r="GA876">
        <v>105.34833463205527</v>
      </c>
      <c r="GB876">
        <v>22.549005638681979</v>
      </c>
      <c r="GC876">
        <v>7.36119318754643</v>
      </c>
      <c r="GD876">
        <v>3.1440776454729229</v>
      </c>
      <c r="GE876">
        <v>5.7419278513096428</v>
      </c>
      <c r="GF876">
        <v>46.052151347338423</v>
      </c>
      <c r="GG876">
        <v>58.021939077267909</v>
      </c>
      <c r="GH876">
        <v>27.753382443206817</v>
      </c>
      <c r="GI876">
        <v>77.877320385588604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897.11311629398665</v>
      </c>
      <c r="AO877">
        <v>136.41822601787703</v>
      </c>
      <c r="AP877">
        <v>1106.3860014044931</v>
      </c>
      <c r="AQ877">
        <v>361.76449078844786</v>
      </c>
      <c r="AR877">
        <v>135.94638911816514</v>
      </c>
      <c r="AS877">
        <v>1496.9796508900922</v>
      </c>
      <c r="AT877">
        <v>66.352730723447948</v>
      </c>
      <c r="AU877">
        <v>135.43020403989402</v>
      </c>
      <c r="AV877"/>
      <c r="AW877"/>
      <c r="FY877" s="211">
        <v>872</v>
      </c>
      <c r="FZ877">
        <v>132.91711950575265</v>
      </c>
      <c r="GA877">
        <v>73.793970238506105</v>
      </c>
      <c r="GB877">
        <v>16.827708700926863</v>
      </c>
      <c r="GC877">
        <v>5.9708648962403537</v>
      </c>
      <c r="GD877">
        <v>4.088034711040315</v>
      </c>
      <c r="GE877">
        <v>8.6195022397955121</v>
      </c>
      <c r="GF877">
        <v>25.043769386926062</v>
      </c>
      <c r="GG877">
        <v>31.616947364650702</v>
      </c>
      <c r="GH877">
        <v>17.45729816979301</v>
      </c>
      <c r="GI877">
        <v>62.64582504762685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1130.8968425315215</v>
      </c>
      <c r="AO878">
        <v>158.68706444169555</v>
      </c>
      <c r="AP878">
        <v>1276.2444273093638</v>
      </c>
      <c r="AQ878">
        <v>424.08171593918678</v>
      </c>
      <c r="AR878">
        <v>154.25911979686433</v>
      </c>
      <c r="AS878">
        <v>1649.4738203063935</v>
      </c>
      <c r="AT878">
        <v>72.935011953340464</v>
      </c>
      <c r="AU878">
        <v>182.74701360341479</v>
      </c>
      <c r="AV878"/>
      <c r="AW878"/>
      <c r="FY878" s="211">
        <v>873</v>
      </c>
      <c r="FZ878">
        <v>81.579784536327665</v>
      </c>
      <c r="GA878">
        <v>69.568898772703051</v>
      </c>
      <c r="GB878">
        <v>24.45796394237264</v>
      </c>
      <c r="GC878">
        <v>8.1676505631771406</v>
      </c>
      <c r="GD878">
        <v>2.9208629388436096</v>
      </c>
      <c r="GE878">
        <v>7.0078789929783394</v>
      </c>
      <c r="GF878">
        <v>25.321372840310019</v>
      </c>
      <c r="GG878">
        <v>28.855431099256041</v>
      </c>
      <c r="GH878">
        <v>24.71320758892033</v>
      </c>
      <c r="GI878">
        <v>56.8585178395303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1403.4108455887456</v>
      </c>
      <c r="AO879">
        <v>185.36003928486318</v>
      </c>
      <c r="AP879">
        <v>1437.2365168783006</v>
      </c>
      <c r="AQ879">
        <v>540.2582115121495</v>
      </c>
      <c r="AR879">
        <v>176.01975157409757</v>
      </c>
      <c r="AS879">
        <v>1934.5656711054996</v>
      </c>
      <c r="AT879">
        <v>83.407663340806167</v>
      </c>
      <c r="AU879">
        <v>188.3830140968345</v>
      </c>
      <c r="AV879"/>
      <c r="AW879"/>
      <c r="FY879" s="211">
        <v>874</v>
      </c>
      <c r="FZ879">
        <v>179.74448370505831</v>
      </c>
      <c r="GA879">
        <v>110.34859857741462</v>
      </c>
      <c r="GB879">
        <v>28.951579912220247</v>
      </c>
      <c r="GC879">
        <v>8.5378358839287252</v>
      </c>
      <c r="GD879">
        <v>2.8438697062252603</v>
      </c>
      <c r="GE879">
        <v>5.9962789175569391</v>
      </c>
      <c r="GF879">
        <v>32.460170556051651</v>
      </c>
      <c r="GG879">
        <v>36.819585300163219</v>
      </c>
      <c r="GH879">
        <v>21.091503875320175</v>
      </c>
      <c r="GI879">
        <v>80.643311901938205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1053.6494361862437</v>
      </c>
      <c r="AO880">
        <v>181.27763813375057</v>
      </c>
      <c r="AP880">
        <v>1589.7548790079538</v>
      </c>
      <c r="AQ880">
        <v>398.82626691696049</v>
      </c>
      <c r="AR880">
        <v>175.61371937972831</v>
      </c>
      <c r="AS880">
        <v>1749.7293818771443</v>
      </c>
      <c r="AT880">
        <v>82.386097580909251</v>
      </c>
      <c r="AU880">
        <v>272.9620589176435</v>
      </c>
      <c r="AV880"/>
      <c r="AW880"/>
      <c r="FY880" s="211">
        <v>875</v>
      </c>
      <c r="FZ880">
        <v>146.18400595704412</v>
      </c>
      <c r="GA880">
        <v>81.692753243902359</v>
      </c>
      <c r="GB880">
        <v>26.5174537918877</v>
      </c>
      <c r="GC880">
        <v>8.135069767623099</v>
      </c>
      <c r="GD880">
        <v>2.2382405156567087</v>
      </c>
      <c r="GE880">
        <v>4.6676903631287523</v>
      </c>
      <c r="GF880">
        <v>6.2615302942705755</v>
      </c>
      <c r="GG880">
        <v>7.1213896904082921</v>
      </c>
      <c r="GH880">
        <v>31.497924704474581</v>
      </c>
      <c r="GI880">
        <v>58.9186273537848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1077.1156459866531</v>
      </c>
      <c r="AO881">
        <v>167.0533532129987</v>
      </c>
      <c r="AP881">
        <v>1450.9844131472348</v>
      </c>
      <c r="AQ881">
        <v>489.60449401359813</v>
      </c>
      <c r="AR881">
        <v>166.38144535419772</v>
      </c>
      <c r="AS881">
        <v>1745.8207893800993</v>
      </c>
      <c r="AT881">
        <v>81.875789443177766</v>
      </c>
      <c r="AU881">
        <v>101.55895300882597</v>
      </c>
      <c r="AV881"/>
      <c r="AW881"/>
      <c r="FY881" s="211">
        <v>876</v>
      </c>
      <c r="FZ881">
        <v>206.21546064806364</v>
      </c>
      <c r="GA881">
        <v>148.042524892899</v>
      </c>
      <c r="GB881">
        <v>24.936367761557079</v>
      </c>
      <c r="GC881">
        <v>7.9415143756955722</v>
      </c>
      <c r="GD881">
        <v>3.5363637277273465</v>
      </c>
      <c r="GE881">
        <v>4.9210656056622994</v>
      </c>
      <c r="GF881">
        <v>35.055012226698885</v>
      </c>
      <c r="GG881">
        <v>46.980037091338438</v>
      </c>
      <c r="GH881">
        <v>16.396846178124274</v>
      </c>
      <c r="GI881">
        <v>89.893331967657787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860.7226513674774</v>
      </c>
      <c r="AO882">
        <v>163.47428286380696</v>
      </c>
      <c r="AP882">
        <v>1240.5263664216491</v>
      </c>
      <c r="AQ882">
        <v>355.25387366386929</v>
      </c>
      <c r="AR882">
        <v>157.80001238557975</v>
      </c>
      <c r="AS882">
        <v>1526.2912847674818</v>
      </c>
      <c r="AT882">
        <v>79.376498163416173</v>
      </c>
      <c r="AU882">
        <v>-165.51949283972698</v>
      </c>
      <c r="AV882"/>
      <c r="AW882"/>
      <c r="FY882" s="211">
        <v>877</v>
      </c>
      <c r="FZ882">
        <v>155.19484166386451</v>
      </c>
      <c r="GA882">
        <v>112.17529198677911</v>
      </c>
      <c r="GB882">
        <v>30.367793494450645</v>
      </c>
      <c r="GC882">
        <v>8.1437398271025305</v>
      </c>
      <c r="GD882">
        <v>2.1157812072772773</v>
      </c>
      <c r="GE882">
        <v>2.536140950716077</v>
      </c>
      <c r="GF882">
        <v>26.781589426956238</v>
      </c>
      <c r="GG882">
        <v>35.598800460711139</v>
      </c>
      <c r="GH882">
        <v>22.03178016317958</v>
      </c>
      <c r="GI882">
        <v>69.177494745491614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1040.3168109274814</v>
      </c>
      <c r="AO883">
        <v>134.00937835255536</v>
      </c>
      <c r="AP883">
        <v>1128.4738950910146</v>
      </c>
      <c r="AQ883">
        <v>392.42098992300191</v>
      </c>
      <c r="AR883">
        <v>131.69192002766354</v>
      </c>
      <c r="AS883">
        <v>1425.4638656500279</v>
      </c>
      <c r="AT883">
        <v>62.972807471506002</v>
      </c>
      <c r="AU883">
        <v>305.83396229236973</v>
      </c>
      <c r="AV883"/>
      <c r="AW883"/>
      <c r="FY883" s="211">
        <v>878</v>
      </c>
      <c r="FZ883">
        <v>122.3158265011668</v>
      </c>
      <c r="GA883">
        <v>101.21369873893472</v>
      </c>
      <c r="GB883">
        <v>31.061614540239933</v>
      </c>
      <c r="GC883">
        <v>8.7329840773407934</v>
      </c>
      <c r="GD883">
        <v>3.9834848001155598</v>
      </c>
      <c r="GE883">
        <v>5.555599209717891</v>
      </c>
      <c r="GF883">
        <v>27.43227148422892</v>
      </c>
      <c r="GG883">
        <v>35.898382875622062</v>
      </c>
      <c r="GH883">
        <v>24.325114455544568</v>
      </c>
      <c r="GI883">
        <v>79.435725080519177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1249.486729870461</v>
      </c>
      <c r="AO884">
        <v>164.30902142397335</v>
      </c>
      <c r="AP884">
        <v>1360.5091849740586</v>
      </c>
      <c r="AQ884">
        <v>494.97308900969023</v>
      </c>
      <c r="AR884">
        <v>162.73217757789999</v>
      </c>
      <c r="AS884">
        <v>1840.0984176967818</v>
      </c>
      <c r="AT884">
        <v>73.8141018743719</v>
      </c>
      <c r="AU884">
        <v>113.2127964464339</v>
      </c>
      <c r="AV884"/>
      <c r="AW884"/>
      <c r="FY884" s="211">
        <v>879</v>
      </c>
      <c r="FZ884">
        <v>133.04204419805518</v>
      </c>
      <c r="GA884">
        <v>90.410552973669908</v>
      </c>
      <c r="GB884">
        <v>26.684476101135033</v>
      </c>
      <c r="GC884">
        <v>8.3611133297822526</v>
      </c>
      <c r="GD884">
        <v>4.4646817113157518</v>
      </c>
      <c r="GE884">
        <v>9.0516340532829247</v>
      </c>
      <c r="GF884">
        <v>19.323986854729139</v>
      </c>
      <c r="GG884">
        <v>22.32679136605368</v>
      </c>
      <c r="GH884">
        <v>27.201633524392943</v>
      </c>
      <c r="GI884">
        <v>69.492021354858053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1332.3023403532122</v>
      </c>
      <c r="AO885">
        <v>227.42021842225387</v>
      </c>
      <c r="AP885">
        <v>1900.7178406908292</v>
      </c>
      <c r="AQ885">
        <v>573.66027130588498</v>
      </c>
      <c r="AR885">
        <v>220.13358527063491</v>
      </c>
      <c r="AS885">
        <v>2385.3334077970521</v>
      </c>
      <c r="AT885">
        <v>112.54554220865053</v>
      </c>
      <c r="AU885">
        <v>65.992063033486048</v>
      </c>
      <c r="AV885"/>
      <c r="AW885"/>
      <c r="FY885" s="211">
        <v>880</v>
      </c>
      <c r="FZ885">
        <v>75.466373734828096</v>
      </c>
      <c r="GA885">
        <v>51.306596485838895</v>
      </c>
      <c r="GB885">
        <v>24.538486148070373</v>
      </c>
      <c r="GC885">
        <v>8.4629485552153056</v>
      </c>
      <c r="GD885">
        <v>4.7501564039385915</v>
      </c>
      <c r="GE885">
        <v>7.1196108861812881</v>
      </c>
      <c r="GF885">
        <v>9.2941170675526479</v>
      </c>
      <c r="GG885">
        <v>12.640663615840275</v>
      </c>
      <c r="GH885">
        <v>25.655546831450284</v>
      </c>
      <c r="GI885">
        <v>56.381955557056443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1354.4590243192438</v>
      </c>
      <c r="AO886">
        <v>191.13076839778185</v>
      </c>
      <c r="AP886">
        <v>1547.0751460319232</v>
      </c>
      <c r="AQ886">
        <v>458.25662121783211</v>
      </c>
      <c r="AR886">
        <v>185.59519781390986</v>
      </c>
      <c r="AS886">
        <v>2030.097184822991</v>
      </c>
      <c r="AT886">
        <v>88.41002148238266</v>
      </c>
      <c r="AU886">
        <v>301.24541203905335</v>
      </c>
      <c r="AV886"/>
      <c r="AW886"/>
      <c r="FY886" s="211">
        <v>881</v>
      </c>
      <c r="FZ886">
        <v>96.622209716037105</v>
      </c>
      <c r="GA886">
        <v>128.09701747873035</v>
      </c>
      <c r="GB886">
        <v>44.685368526972368</v>
      </c>
      <c r="GC886">
        <v>9.9976550597939529</v>
      </c>
      <c r="GD886">
        <v>3.8397780249294078</v>
      </c>
      <c r="GE886">
        <v>4.3843413321521538</v>
      </c>
      <c r="GF886">
        <v>17.527144432380283</v>
      </c>
      <c r="GG886">
        <v>23.058193401077844</v>
      </c>
      <c r="GH886">
        <v>38.817310173069309</v>
      </c>
      <c r="GI886">
        <v>80.44869648577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1205.7463224928772</v>
      </c>
      <c r="AO887">
        <v>160.2210458007624</v>
      </c>
      <c r="AP887">
        <v>1452.2613719335457</v>
      </c>
      <c r="AQ887">
        <v>494.69077659892878</v>
      </c>
      <c r="AR887">
        <v>154.43075974932663</v>
      </c>
      <c r="AS887">
        <v>1677.8778621458755</v>
      </c>
      <c r="AT887">
        <v>72.970613267636097</v>
      </c>
      <c r="AU887">
        <v>311.90522492420348</v>
      </c>
      <c r="AV887"/>
      <c r="AW887"/>
      <c r="FY887" s="211">
        <v>882</v>
      </c>
      <c r="FZ887">
        <v>122.61109358000122</v>
      </c>
      <c r="GA887">
        <v>59.790210480000354</v>
      </c>
      <c r="GB887">
        <v>13.48810482761429</v>
      </c>
      <c r="GC887">
        <v>6.2207033128718461</v>
      </c>
      <c r="GD887">
        <v>3.8019650745811315</v>
      </c>
      <c r="GE887">
        <v>5.3836463910007852</v>
      </c>
      <c r="GF887">
        <v>35.955771473809065</v>
      </c>
      <c r="GG887">
        <v>45.30429500427347</v>
      </c>
      <c r="GH887">
        <v>31.419557744512623</v>
      </c>
      <c r="GI887">
        <v>65.989198772062338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922.40830959700656</v>
      </c>
      <c r="AO888">
        <v>131.81375299674625</v>
      </c>
      <c r="AP888">
        <v>1076.463088457828</v>
      </c>
      <c r="AQ888">
        <v>378.98104026125839</v>
      </c>
      <c r="AR888">
        <v>128.958465430366</v>
      </c>
      <c r="AS888">
        <v>1402.1307456959387</v>
      </c>
      <c r="AT888">
        <v>64.119001142395447</v>
      </c>
      <c r="AU888">
        <v>139.70345322918016</v>
      </c>
      <c r="AV888"/>
      <c r="AW888"/>
      <c r="FY888" s="211">
        <v>883</v>
      </c>
      <c r="FZ888">
        <v>208.16900214483667</v>
      </c>
      <c r="GA888">
        <v>190.8967004845326</v>
      </c>
      <c r="GB888">
        <v>33.955379406452849</v>
      </c>
      <c r="GC888">
        <v>6.2638106527162929</v>
      </c>
      <c r="GD888">
        <v>2.8261556890976882</v>
      </c>
      <c r="GE888">
        <v>6.6468452756256058</v>
      </c>
      <c r="GF888">
        <v>10.19262366336419</v>
      </c>
      <c r="GG888">
        <v>10.326267163494357</v>
      </c>
      <c r="GH888">
        <v>18.321931381845683</v>
      </c>
      <c r="GI888">
        <v>76.827815221908779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904.27890929515922</v>
      </c>
      <c r="AO889">
        <v>122.57713314865639</v>
      </c>
      <c r="AP889">
        <v>1046.3080479868306</v>
      </c>
      <c r="AQ889">
        <v>329.4515691144191</v>
      </c>
      <c r="AR889">
        <v>116.63790510841685</v>
      </c>
      <c r="AS889">
        <v>1230.7634672996201</v>
      </c>
      <c r="AT889">
        <v>54.133207149789655</v>
      </c>
      <c r="AU889">
        <v>133.64078193755503</v>
      </c>
      <c r="AV889"/>
      <c r="AW889"/>
      <c r="FY889" s="211">
        <v>884</v>
      </c>
      <c r="FZ889">
        <v>124.87864461596635</v>
      </c>
      <c r="GA889">
        <v>133.40988920166404</v>
      </c>
      <c r="GB889">
        <v>37.184058484448805</v>
      </c>
      <c r="GC889">
        <v>7.6043757840916744</v>
      </c>
      <c r="GD889">
        <v>1.6679173279552237</v>
      </c>
      <c r="GE889">
        <v>2.9464643169619817</v>
      </c>
      <c r="GF889">
        <v>23.720130691854777</v>
      </c>
      <c r="GG889">
        <v>30.194549152189158</v>
      </c>
      <c r="GH889">
        <v>31.621986720812821</v>
      </c>
      <c r="GI889">
        <v>74.734655580249665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1155.6077038521803</v>
      </c>
      <c r="AO890">
        <v>161.39031382146413</v>
      </c>
      <c r="AP890">
        <v>1311.7780729764643</v>
      </c>
      <c r="AQ890">
        <v>507.43721833587739</v>
      </c>
      <c r="AR890">
        <v>159.47304074899895</v>
      </c>
      <c r="AS890">
        <v>1765.4652696234498</v>
      </c>
      <c r="AT890">
        <v>80.17931522248962</v>
      </c>
      <c r="AU890">
        <v>158.03789729489631</v>
      </c>
      <c r="AV890"/>
      <c r="AW890"/>
      <c r="FY890" s="211">
        <v>885</v>
      </c>
      <c r="FZ890">
        <v>118.45096411290056</v>
      </c>
      <c r="GA890">
        <v>120.36320727447179</v>
      </c>
      <c r="GB890">
        <v>29.994920846703788</v>
      </c>
      <c r="GC890">
        <v>7.3986616923416371</v>
      </c>
      <c r="GD890">
        <v>2.9996171600400174</v>
      </c>
      <c r="GE890">
        <v>4.9952667719543902</v>
      </c>
      <c r="GF890">
        <v>16.619288180646201</v>
      </c>
      <c r="GG890">
        <v>19.612292568312309</v>
      </c>
      <c r="GH890">
        <v>19.420505024466454</v>
      </c>
      <c r="GI890">
        <v>63.597101011290519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795.76659595464139</v>
      </c>
      <c r="AO891">
        <v>123.17588539152823</v>
      </c>
      <c r="AP891">
        <v>999.27594616228316</v>
      </c>
      <c r="AQ891">
        <v>373.23468568218107</v>
      </c>
      <c r="AR891">
        <v>121.13407833609071</v>
      </c>
      <c r="AS891">
        <v>1305.5445390449461</v>
      </c>
      <c r="AT891">
        <v>63.890827709618669</v>
      </c>
      <c r="AU891">
        <v>54.461125042661166</v>
      </c>
      <c r="AV891"/>
      <c r="AW891"/>
      <c r="FY891" s="211">
        <v>886</v>
      </c>
      <c r="FZ891">
        <v>121.41899128168926</v>
      </c>
      <c r="GA891">
        <v>129.50155525732131</v>
      </c>
      <c r="GB891">
        <v>41.845689713661336</v>
      </c>
      <c r="GC891">
        <v>10.145774869331735</v>
      </c>
      <c r="GD891">
        <v>2.6288909863501071</v>
      </c>
      <c r="GE891">
        <v>2.754156890248241</v>
      </c>
      <c r="GF891">
        <v>47.172174582810413</v>
      </c>
      <c r="GG891">
        <v>61.714113859909524</v>
      </c>
      <c r="GH891">
        <v>27.580325407383857</v>
      </c>
      <c r="GI891">
        <v>90.461433784387751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1277.8119154194042</v>
      </c>
      <c r="AO892">
        <v>196.16968121569553</v>
      </c>
      <c r="AP892">
        <v>1628.6570934393685</v>
      </c>
      <c r="AQ892">
        <v>583.91852447542442</v>
      </c>
      <c r="AR892">
        <v>187.70586618277571</v>
      </c>
      <c r="AS892">
        <v>2049.8830361464675</v>
      </c>
      <c r="AT892">
        <v>89.990662809124601</v>
      </c>
      <c r="AU892">
        <v>61.017729821277442</v>
      </c>
      <c r="AV892"/>
      <c r="AW892"/>
      <c r="FY892" s="211">
        <v>887</v>
      </c>
      <c r="FZ892">
        <v>116.29536870638695</v>
      </c>
      <c r="GA892">
        <v>77.774130550788556</v>
      </c>
      <c r="GB892">
        <v>26.248607545186605</v>
      </c>
      <c r="GC892">
        <v>9.1487103278668709</v>
      </c>
      <c r="GD892">
        <v>3.5593941657910233</v>
      </c>
      <c r="GE892">
        <v>6.7356510426348661</v>
      </c>
      <c r="GF892">
        <v>33.366995062972236</v>
      </c>
      <c r="GG892">
        <v>39.889962541245687</v>
      </c>
      <c r="GH892">
        <v>22.311227667211941</v>
      </c>
      <c r="GI892">
        <v>78.628117507941738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1016.0826521574636</v>
      </c>
      <c r="AO893">
        <v>140.04864741625508</v>
      </c>
      <c r="AP893">
        <v>1210.5668136149584</v>
      </c>
      <c r="AQ893">
        <v>464.12325392652878</v>
      </c>
      <c r="AR893">
        <v>138.30513903299828</v>
      </c>
      <c r="AS893">
        <v>1528.9908100370665</v>
      </c>
      <c r="AT893">
        <v>67.156528306663816</v>
      </c>
      <c r="AU893">
        <v>62.601468002602125</v>
      </c>
      <c r="AV893"/>
      <c r="AW893"/>
      <c r="FY893" s="211">
        <v>888</v>
      </c>
      <c r="FZ893">
        <v>136.00550149087712</v>
      </c>
      <c r="GA893">
        <v>120.41828410926522</v>
      </c>
      <c r="GB893">
        <v>28.998497368461216</v>
      </c>
      <c r="GC893">
        <v>6.4094286381402927</v>
      </c>
      <c r="GD893">
        <v>3.5125853966214331</v>
      </c>
      <c r="GE893">
        <v>7.1911495134466712</v>
      </c>
      <c r="GF893">
        <v>29.797312585600757</v>
      </c>
      <c r="GG893">
        <v>37.613293627315215</v>
      </c>
      <c r="GH893">
        <v>21.609639444719512</v>
      </c>
      <c r="GI893">
        <v>75.679337433688559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1178.051478569068</v>
      </c>
      <c r="AO894">
        <v>179.12936467569526</v>
      </c>
      <c r="AP894">
        <v>1493.9722484556664</v>
      </c>
      <c r="AQ894">
        <v>439.95470176343042</v>
      </c>
      <c r="AR894">
        <v>173.29124817719031</v>
      </c>
      <c r="AS894">
        <v>1836.6481852073468</v>
      </c>
      <c r="AT894">
        <v>88.506078066018759</v>
      </c>
      <c r="AU894">
        <v>297.56168631113746</v>
      </c>
      <c r="AV894"/>
      <c r="AW894"/>
      <c r="FY894" s="211">
        <v>889</v>
      </c>
      <c r="FZ894">
        <v>142.67457676389682</v>
      </c>
      <c r="GA894">
        <v>124.39943320821554</v>
      </c>
      <c r="GB894">
        <v>50.911775918694346</v>
      </c>
      <c r="GC894">
        <v>10.142233088188627</v>
      </c>
      <c r="GD894">
        <v>3.3869730405256293</v>
      </c>
      <c r="GE894">
        <v>7.8153796804511533</v>
      </c>
      <c r="GF894">
        <v>30.961969999410506</v>
      </c>
      <c r="GG894">
        <v>36.244945464910266</v>
      </c>
      <c r="GH894">
        <v>12.196704467449061</v>
      </c>
      <c r="GI894">
        <v>84.216192460498704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1047.824220373333</v>
      </c>
      <c r="AO895">
        <v>149.05127855922996</v>
      </c>
      <c r="AP895">
        <v>1156.0554413246177</v>
      </c>
      <c r="AQ895">
        <v>410.35893546727482</v>
      </c>
      <c r="AR895">
        <v>144.6895791100462</v>
      </c>
      <c r="AS895">
        <v>1517.6627804244179</v>
      </c>
      <c r="AT895">
        <v>66.437885168222479</v>
      </c>
      <c r="AU895">
        <v>33.773321183414581</v>
      </c>
      <c r="AV895"/>
      <c r="AW895"/>
      <c r="FY895" s="211">
        <v>890</v>
      </c>
      <c r="FZ895">
        <v>87.581640188722133</v>
      </c>
      <c r="GA895">
        <v>79.329951823291537</v>
      </c>
      <c r="GB895">
        <v>26.316761123200013</v>
      </c>
      <c r="GC895">
        <v>10.159470074137587</v>
      </c>
      <c r="GD895">
        <v>4.6560842017440898</v>
      </c>
      <c r="GE895">
        <v>6.057182666498381</v>
      </c>
      <c r="GF895">
        <v>15.899511598397453</v>
      </c>
      <c r="GG895">
        <v>19.931536726993471</v>
      </c>
      <c r="GH895">
        <v>26.146302239025911</v>
      </c>
      <c r="GI895">
        <v>72.063444228365867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813.82718884830183</v>
      </c>
      <c r="AO896">
        <v>117.7709239739781</v>
      </c>
      <c r="AP896">
        <v>943.36765649524057</v>
      </c>
      <c r="AQ896">
        <v>275.61645528597222</v>
      </c>
      <c r="AR896">
        <v>115.87919759280508</v>
      </c>
      <c r="AS896">
        <v>1192.1700474977458</v>
      </c>
      <c r="AT896">
        <v>55.91231461426046</v>
      </c>
      <c r="AU896">
        <v>47.209124290984981</v>
      </c>
      <c r="AV896"/>
      <c r="AW896"/>
      <c r="FY896" s="211">
        <v>891</v>
      </c>
      <c r="FZ896">
        <v>122.18292883204812</v>
      </c>
      <c r="GA896">
        <v>90.43180873217257</v>
      </c>
      <c r="GB896">
        <v>20.616622580226437</v>
      </c>
      <c r="GC896">
        <v>7.2579562647047329</v>
      </c>
      <c r="GD896">
        <v>3.0198039462129795</v>
      </c>
      <c r="GE896">
        <v>6.1636409911040992</v>
      </c>
      <c r="GF896">
        <v>30.915436160342068</v>
      </c>
      <c r="GG896">
        <v>37.049677870103785</v>
      </c>
      <c r="GH896">
        <v>14.183121468300781</v>
      </c>
      <c r="GI896">
        <v>66.665196240237748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1222.7839762883243</v>
      </c>
      <c r="AO897">
        <v>189.80981995314104</v>
      </c>
      <c r="AP897">
        <v>1590.995496981408</v>
      </c>
      <c r="AQ897">
        <v>447.47771463091271</v>
      </c>
      <c r="AR897">
        <v>183.37328611175579</v>
      </c>
      <c r="AS897">
        <v>1826.6974851538921</v>
      </c>
      <c r="AT897">
        <v>91.654998805140522</v>
      </c>
      <c r="AU897">
        <v>134.72455491461093</v>
      </c>
      <c r="AV897"/>
      <c r="AW897"/>
      <c r="FY897" s="211">
        <v>892</v>
      </c>
      <c r="FZ897">
        <v>189.81175822155723</v>
      </c>
      <c r="GA897">
        <v>147.4161474145678</v>
      </c>
      <c r="GB897">
        <v>34.183795019377612</v>
      </c>
      <c r="GC897">
        <v>6.6296063262407614</v>
      </c>
      <c r="GD897">
        <v>3.5836912403586396</v>
      </c>
      <c r="GE897">
        <v>7.3728239042920993</v>
      </c>
      <c r="GF897">
        <v>51.310958583962496</v>
      </c>
      <c r="GG897">
        <v>65.447997599312629</v>
      </c>
      <c r="GH897">
        <v>29.278456187530292</v>
      </c>
      <c r="GI897">
        <v>99.902001380861336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1013.330587987008</v>
      </c>
      <c r="AO898">
        <v>145.39294852679475</v>
      </c>
      <c r="AP898">
        <v>1257.0883287612589</v>
      </c>
      <c r="AQ898">
        <v>389.96454666072714</v>
      </c>
      <c r="AR898">
        <v>142.34057328514123</v>
      </c>
      <c r="AS898">
        <v>1452.501069256758</v>
      </c>
      <c r="AT898">
        <v>68.87774714105511</v>
      </c>
      <c r="AU898">
        <v>265.93970066053805</v>
      </c>
      <c r="AV898"/>
      <c r="AW898"/>
      <c r="FY898" s="211">
        <v>893</v>
      </c>
      <c r="FZ898">
        <v>137.1123406416354</v>
      </c>
      <c r="GA898">
        <v>93.570301339543789</v>
      </c>
      <c r="GB898">
        <v>21.832296300192692</v>
      </c>
      <c r="GC898">
        <v>6.4921093762351099</v>
      </c>
      <c r="GD898">
        <v>4.2019702206938572</v>
      </c>
      <c r="GE898">
        <v>7.389019112461197</v>
      </c>
      <c r="GF898">
        <v>15.97313480249213</v>
      </c>
      <c r="GG898">
        <v>20.195161698661536</v>
      </c>
      <c r="GH898">
        <v>26.943857985482605</v>
      </c>
      <c r="GI898">
        <v>65.010750367933142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1055.7871514235158</v>
      </c>
      <c r="AO899">
        <v>146.2465290809665</v>
      </c>
      <c r="AP899">
        <v>1210.0826204957464</v>
      </c>
      <c r="AQ899">
        <v>564.42653108387469</v>
      </c>
      <c r="AR899">
        <v>141.90845405904426</v>
      </c>
      <c r="AS899">
        <v>1616.9418199054223</v>
      </c>
      <c r="AT899">
        <v>73.544703808333892</v>
      </c>
      <c r="AU899">
        <v>-60.362412988166085</v>
      </c>
      <c r="AV899"/>
      <c r="AW899"/>
      <c r="FY899" s="211">
        <v>894</v>
      </c>
      <c r="FZ899">
        <v>145.40046073939081</v>
      </c>
      <c r="GA899">
        <v>133.5790428850012</v>
      </c>
      <c r="GB899">
        <v>47.043973005257477</v>
      </c>
      <c r="GC899">
        <v>9.0879742967446617</v>
      </c>
      <c r="GD899">
        <v>3.4034655507220819</v>
      </c>
      <c r="GE899">
        <v>6.9231623592345564</v>
      </c>
      <c r="GF899">
        <v>14.593238336957274</v>
      </c>
      <c r="GG899">
        <v>18.886221471695727</v>
      </c>
      <c r="GH899">
        <v>21.355351414298124</v>
      </c>
      <c r="GI899">
        <v>80.181595144655532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1089.136104104248</v>
      </c>
      <c r="AO900">
        <v>144.22834927196294</v>
      </c>
      <c r="AP900">
        <v>1165.2416801364709</v>
      </c>
      <c r="AQ900">
        <v>467.96267187619458</v>
      </c>
      <c r="AR900">
        <v>138.68229791756423</v>
      </c>
      <c r="AS900">
        <v>1584.0161479770031</v>
      </c>
      <c r="AT900">
        <v>67.908401859790743</v>
      </c>
      <c r="AU900">
        <v>35.024555085306318</v>
      </c>
      <c r="AV900"/>
      <c r="AW900"/>
      <c r="FY900" s="211">
        <v>895</v>
      </c>
      <c r="FZ900">
        <v>149.34126498235332</v>
      </c>
      <c r="GA900">
        <v>118.27065181479561</v>
      </c>
      <c r="GB900">
        <v>23.798914981677814</v>
      </c>
      <c r="GC900">
        <v>6.4190110409101502</v>
      </c>
      <c r="GD900">
        <v>3.0622378770242662</v>
      </c>
      <c r="GE900">
        <v>6.3751186310203254</v>
      </c>
      <c r="GF900">
        <v>28.976209235885968</v>
      </c>
      <c r="GG900">
        <v>32.475977007211931</v>
      </c>
      <c r="GH900">
        <v>20.412467728780367</v>
      </c>
      <c r="GI900">
        <v>71.703380687793185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937.23458590044299</v>
      </c>
      <c r="AO901">
        <v>124.24295514942067</v>
      </c>
      <c r="AP901">
        <v>946.5341580164735</v>
      </c>
      <c r="AQ901">
        <v>403.45182464312774</v>
      </c>
      <c r="AR901">
        <v>119.93429846310691</v>
      </c>
      <c r="AS901">
        <v>1315.7941595140112</v>
      </c>
      <c r="AT901">
        <v>59.868244619657141</v>
      </c>
      <c r="AU901">
        <v>19.662964450920931</v>
      </c>
      <c r="AV901"/>
      <c r="AW901"/>
      <c r="FY901" s="211">
        <v>896</v>
      </c>
      <c r="FZ901">
        <v>107.39564262111386</v>
      </c>
      <c r="GA901">
        <v>95.044113369580245</v>
      </c>
      <c r="GB901">
        <v>29.76945798463661</v>
      </c>
      <c r="GC901">
        <v>6.3627309447127036</v>
      </c>
      <c r="GD901">
        <v>3.6348944639970515</v>
      </c>
      <c r="GE901">
        <v>7.7855258328964734</v>
      </c>
      <c r="GF901">
        <v>34.536586875351503</v>
      </c>
      <c r="GG901">
        <v>44.760632645709407</v>
      </c>
      <c r="GH901">
        <v>24.755334261439771</v>
      </c>
      <c r="GI901">
        <v>76.066149475780733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1421.3400880476649</v>
      </c>
      <c r="AO902">
        <v>187.97439588329433</v>
      </c>
      <c r="AP902">
        <v>1670.7556592800952</v>
      </c>
      <c r="AQ902">
        <v>535.22310663309338</v>
      </c>
      <c r="AR902">
        <v>179.6681360404466</v>
      </c>
      <c r="AS902">
        <v>1959.3323550286962</v>
      </c>
      <c r="AT902">
        <v>86.876061291678639</v>
      </c>
      <c r="AU902">
        <v>381.86206196710594</v>
      </c>
      <c r="AV902"/>
      <c r="AW902"/>
      <c r="FY902" s="211">
        <v>897</v>
      </c>
      <c r="FZ902">
        <v>124.74909435706087</v>
      </c>
      <c r="GA902">
        <v>64.125878542750925</v>
      </c>
      <c r="GB902">
        <v>18.542290010016295</v>
      </c>
      <c r="GC902">
        <v>6.9564530744689455</v>
      </c>
      <c r="GD902">
        <v>2.9236411386184544</v>
      </c>
      <c r="GE902">
        <v>7.2685745906240857</v>
      </c>
      <c r="GF902">
        <v>19.112157813623117</v>
      </c>
      <c r="GG902">
        <v>23.881101625797967</v>
      </c>
      <c r="GH902">
        <v>34.696249425385091</v>
      </c>
      <c r="GI902">
        <v>74.622920463960739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1164.6264715197183</v>
      </c>
      <c r="AO903">
        <v>159.45456888144491</v>
      </c>
      <c r="AP903">
        <v>1300.5047902798913</v>
      </c>
      <c r="AQ903">
        <v>413.95816511802644</v>
      </c>
      <c r="AR903">
        <v>153.9034109631134</v>
      </c>
      <c r="AS903">
        <v>1776.3350302786428</v>
      </c>
      <c r="AT903">
        <v>72.856137670363196</v>
      </c>
      <c r="AU903">
        <v>153.60609137919693</v>
      </c>
      <c r="AV903"/>
      <c r="AW903"/>
      <c r="FY903" s="211">
        <v>898</v>
      </c>
      <c r="FZ903">
        <v>89.120603725859581</v>
      </c>
      <c r="GA903">
        <v>74.534495619130084</v>
      </c>
      <c r="GB903">
        <v>29.378591327917821</v>
      </c>
      <c r="GC903">
        <v>7.7965412426723741</v>
      </c>
      <c r="GD903">
        <v>2.6666414878857867</v>
      </c>
      <c r="GE903">
        <v>5.5833469382210676</v>
      </c>
      <c r="GF903">
        <v>38.480695876116926</v>
      </c>
      <c r="GG903">
        <v>49.338268735259717</v>
      </c>
      <c r="GH903">
        <v>32.752787973635144</v>
      </c>
      <c r="GI903">
        <v>78.494497949810423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1145.2446672519875</v>
      </c>
      <c r="AO904">
        <v>157.10002837254552</v>
      </c>
      <c r="AP904">
        <v>1320.0248401295128</v>
      </c>
      <c r="AQ904">
        <v>467.23502960813596</v>
      </c>
      <c r="AR904">
        <v>152.04144551209484</v>
      </c>
      <c r="AS904">
        <v>1605.6056101320978</v>
      </c>
      <c r="AT904">
        <v>70.599067946171687</v>
      </c>
      <c r="AU904">
        <v>124.90167112149339</v>
      </c>
      <c r="AV904"/>
      <c r="AW904"/>
      <c r="FY904" s="211">
        <v>899</v>
      </c>
      <c r="FZ904">
        <v>152.2424242667314</v>
      </c>
      <c r="GA904">
        <v>107.36722006701514</v>
      </c>
      <c r="GB904">
        <v>26.214144974017927</v>
      </c>
      <c r="GC904">
        <v>7.9983279382626016</v>
      </c>
      <c r="GD904">
        <v>2.7749383235897165</v>
      </c>
      <c r="GE904">
        <v>5.1147921038899664</v>
      </c>
      <c r="GF904">
        <v>44.467775849755029</v>
      </c>
      <c r="GG904">
        <v>55.540254593526001</v>
      </c>
      <c r="GH904">
        <v>25.528969242038762</v>
      </c>
      <c r="GI904">
        <v>88.224709645718363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1289.1808803108195</v>
      </c>
      <c r="AO905">
        <v>164.93560387553109</v>
      </c>
      <c r="AP905">
        <v>1325.9800492818547</v>
      </c>
      <c r="AQ905">
        <v>502.95018409224059</v>
      </c>
      <c r="AR905">
        <v>162.24855172775423</v>
      </c>
      <c r="AS905">
        <v>1765.4584590230602</v>
      </c>
      <c r="AT905">
        <v>77.939813922911995</v>
      </c>
      <c r="AU905">
        <v>234.47881265955499</v>
      </c>
      <c r="AV905"/>
      <c r="AW905"/>
      <c r="FY905" s="211">
        <v>900</v>
      </c>
      <c r="FZ905">
        <v>77.257433914938474</v>
      </c>
      <c r="GA905">
        <v>57.556117569695452</v>
      </c>
      <c r="GB905">
        <v>22.925001226815805</v>
      </c>
      <c r="GC905">
        <v>6.6909519216747873</v>
      </c>
      <c r="GD905">
        <v>3.1107917950700017</v>
      </c>
      <c r="GE905">
        <v>5.0873187465945104</v>
      </c>
      <c r="GF905">
        <v>19.326148308320715</v>
      </c>
      <c r="GG905">
        <v>24.075298712472478</v>
      </c>
      <c r="GH905">
        <v>25.80415795560415</v>
      </c>
      <c r="GI905">
        <v>62.619067241422186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1031.2029536695868</v>
      </c>
      <c r="AO906">
        <v>166.40213686707551</v>
      </c>
      <c r="AP906">
        <v>1234.99513533765</v>
      </c>
      <c r="AQ906">
        <v>348.14188487037643</v>
      </c>
      <c r="AR906">
        <v>161.86306732618704</v>
      </c>
      <c r="AS906">
        <v>1671.1856755283286</v>
      </c>
      <c r="AT906">
        <v>76.534869497837533</v>
      </c>
      <c r="AU906">
        <v>105.26972430891188</v>
      </c>
      <c r="AV906"/>
      <c r="AW906"/>
      <c r="FY906" s="211">
        <v>901</v>
      </c>
      <c r="FZ906">
        <v>142.3640904230466</v>
      </c>
      <c r="GA906">
        <v>128.80659888577543</v>
      </c>
      <c r="GB906">
        <v>28.936657982610932</v>
      </c>
      <c r="GC906">
        <v>6.2544302818755586</v>
      </c>
      <c r="GD906">
        <v>2.3686764188201472</v>
      </c>
      <c r="GE906">
        <v>4.6823994662993265</v>
      </c>
      <c r="GF906">
        <v>24.888303019512847</v>
      </c>
      <c r="GG906">
        <v>31.446949711140412</v>
      </c>
      <c r="GH906">
        <v>19.998310006144269</v>
      </c>
      <c r="GI906">
        <v>66.605867305236004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1016.8113575532388</v>
      </c>
      <c r="AO907">
        <v>153.61595148453716</v>
      </c>
      <c r="AP907">
        <v>1284.3517230747048</v>
      </c>
      <c r="AQ907">
        <v>398.48619308545335</v>
      </c>
      <c r="AR907">
        <v>146.65566830179799</v>
      </c>
      <c r="AS907">
        <v>1527.9722367988909</v>
      </c>
      <c r="AT907">
        <v>65.162147885804274</v>
      </c>
      <c r="AU907">
        <v>83.169250041834459</v>
      </c>
      <c r="AV907"/>
      <c r="AW907"/>
      <c r="FY907" s="211">
        <v>902</v>
      </c>
      <c r="FZ907">
        <v>151.05204806316164</v>
      </c>
      <c r="GA907">
        <v>80.446107994228896</v>
      </c>
      <c r="GB907">
        <v>23.98095787383318</v>
      </c>
      <c r="GC907">
        <v>9.1948079883125544</v>
      </c>
      <c r="GD907">
        <v>4.3954950433338942</v>
      </c>
      <c r="GE907">
        <v>8.0097005823817113</v>
      </c>
      <c r="GF907">
        <v>22.495300351294098</v>
      </c>
      <c r="GG907">
        <v>26.87980128281222</v>
      </c>
      <c r="GH907">
        <v>30.801431027434596</v>
      </c>
      <c r="GI907">
        <v>76.822764910679041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1516.7824318007656</v>
      </c>
      <c r="AO908">
        <v>215.74767758885838</v>
      </c>
      <c r="AP908">
        <v>1870.8141700496003</v>
      </c>
      <c r="AQ908">
        <v>634.93723587806085</v>
      </c>
      <c r="AR908">
        <v>212.53401295507095</v>
      </c>
      <c r="AS908">
        <v>2265.7536564445759</v>
      </c>
      <c r="AT908">
        <v>102.45777082975088</v>
      </c>
      <c r="AU908">
        <v>346.4510842831022</v>
      </c>
      <c r="AV908"/>
      <c r="AW908"/>
      <c r="FY908" s="211">
        <v>903</v>
      </c>
      <c r="FZ908">
        <v>141.24942846636844</v>
      </c>
      <c r="GA908">
        <v>85.528049849591611</v>
      </c>
      <c r="GB908">
        <v>26.044278223225625</v>
      </c>
      <c r="GC908">
        <v>8.2076926404896096</v>
      </c>
      <c r="GD908">
        <v>2.9135267855179032</v>
      </c>
      <c r="GE908">
        <v>6.8636407912070077</v>
      </c>
      <c r="GF908">
        <v>32.055291575131655</v>
      </c>
      <c r="GG908">
        <v>37.438170918236708</v>
      </c>
      <c r="GH908">
        <v>24.277657129184874</v>
      </c>
      <c r="GI908">
        <v>79.636419603920203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958.67718989981279</v>
      </c>
      <c r="AO909">
        <v>145.14791750224441</v>
      </c>
      <c r="AP909">
        <v>1196.5888046732507</v>
      </c>
      <c r="AQ909">
        <v>398.72094184533154</v>
      </c>
      <c r="AR909">
        <v>142.86856878987078</v>
      </c>
      <c r="AS909">
        <v>1446.6854219331224</v>
      </c>
      <c r="AT909">
        <v>68.312900233160633</v>
      </c>
      <c r="AU909">
        <v>82.387317995140251</v>
      </c>
      <c r="AV909"/>
      <c r="AW909"/>
      <c r="FY909" s="211">
        <v>904</v>
      </c>
      <c r="FZ909">
        <v>78.138868617534357</v>
      </c>
      <c r="GA909">
        <v>83.193895850201102</v>
      </c>
      <c r="GB909">
        <v>31.221141724568586</v>
      </c>
      <c r="GC909">
        <v>7.4011804497686366</v>
      </c>
      <c r="GD909">
        <v>3.5903723739584139</v>
      </c>
      <c r="GE909">
        <v>4.7897522293923593</v>
      </c>
      <c r="GF909">
        <v>27.761562818210763</v>
      </c>
      <c r="GG909">
        <v>38.706522335336054</v>
      </c>
      <c r="GH909">
        <v>23.548952961836747</v>
      </c>
      <c r="GI909">
        <v>69.169977936930678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1166.8097949392909</v>
      </c>
      <c r="AO910">
        <v>185.65486627928993</v>
      </c>
      <c r="AP910">
        <v>1604.7263943325927</v>
      </c>
      <c r="AQ910">
        <v>480.45448520395746</v>
      </c>
      <c r="AR910">
        <v>182.38671373060509</v>
      </c>
      <c r="AS910">
        <v>1919.6569377747689</v>
      </c>
      <c r="AT910">
        <v>94.016879241241739</v>
      </c>
      <c r="AU910">
        <v>146.56827849791696</v>
      </c>
      <c r="AV910"/>
      <c r="AW910"/>
      <c r="FY910" s="211">
        <v>905</v>
      </c>
      <c r="FZ910">
        <v>209.82884688738199</v>
      </c>
      <c r="GA910">
        <v>136.08905186262382</v>
      </c>
      <c r="GB910">
        <v>23.288368692687449</v>
      </c>
      <c r="GC910">
        <v>7.4668697886258482</v>
      </c>
      <c r="GD910">
        <v>2.8737051207067479</v>
      </c>
      <c r="GE910">
        <v>5.5634651621252367</v>
      </c>
      <c r="GF910">
        <v>51.977621782405421</v>
      </c>
      <c r="GG910">
        <v>62.545216742475347</v>
      </c>
      <c r="GH910">
        <v>19.976968900143078</v>
      </c>
      <c r="GI910">
        <v>94.482901239515783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1054.2005287942707</v>
      </c>
      <c r="AO911">
        <v>141.22145494802373</v>
      </c>
      <c r="AP911">
        <v>1183.4404011430536</v>
      </c>
      <c r="AQ911">
        <v>460.83523398745291</v>
      </c>
      <c r="AR911">
        <v>140.31305248781069</v>
      </c>
      <c r="AS911">
        <v>1575.613904083136</v>
      </c>
      <c r="AT911">
        <v>68.485063480355976</v>
      </c>
      <c r="AU911">
        <v>147.37309333575442</v>
      </c>
      <c r="AV911"/>
      <c r="AW911"/>
      <c r="FY911" s="211">
        <v>906</v>
      </c>
      <c r="FZ911">
        <v>107.4299692205358</v>
      </c>
      <c r="GA911">
        <v>99.365175233740374</v>
      </c>
      <c r="GB911">
        <v>43.338659644916767</v>
      </c>
      <c r="GC911">
        <v>9.4237267655243695</v>
      </c>
      <c r="GD911">
        <v>3.0903643849380162</v>
      </c>
      <c r="GE911">
        <v>5.105791658230677</v>
      </c>
      <c r="GF911">
        <v>37.723865624734472</v>
      </c>
      <c r="GG911">
        <v>47.268410643866396</v>
      </c>
      <c r="GH911">
        <v>20.111403836422184</v>
      </c>
      <c r="GI911">
        <v>75.954966573281595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1140.0667750721695</v>
      </c>
      <c r="AO912">
        <v>143.78469394112926</v>
      </c>
      <c r="AP912">
        <v>1121.8547714224735</v>
      </c>
      <c r="AQ912">
        <v>430.1110684752183</v>
      </c>
      <c r="AR912">
        <v>140.35085284788227</v>
      </c>
      <c r="AS912">
        <v>1480.5877443555758</v>
      </c>
      <c r="AT912">
        <v>67.573087112525855</v>
      </c>
      <c r="AU912">
        <v>168.67333834055557</v>
      </c>
      <c r="AV912"/>
      <c r="AW912"/>
      <c r="FY912" s="211">
        <v>907</v>
      </c>
      <c r="FZ912">
        <v>158.15256743960049</v>
      </c>
      <c r="GA912">
        <v>100.38264864832934</v>
      </c>
      <c r="GB912">
        <v>32.933351817297172</v>
      </c>
      <c r="GC912">
        <v>11.196622102157345</v>
      </c>
      <c r="GD912">
        <v>3.582515563645936</v>
      </c>
      <c r="GE912">
        <v>6.4781447547099056</v>
      </c>
      <c r="GF912">
        <v>22.830241873769694</v>
      </c>
      <c r="GG912">
        <v>26.575471829528947</v>
      </c>
      <c r="GH912">
        <v>22.022563338516253</v>
      </c>
      <c r="GI912">
        <v>73.31640278517834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1001.6493174821971</v>
      </c>
      <c r="AO913">
        <v>167.23431172653437</v>
      </c>
      <c r="AP913">
        <v>1211.447165411289</v>
      </c>
      <c r="AQ913">
        <v>376.87836104230649</v>
      </c>
      <c r="AR913">
        <v>163.44332426907425</v>
      </c>
      <c r="AS913">
        <v>1734.7893960553713</v>
      </c>
      <c r="AT913">
        <v>82.638736969790628</v>
      </c>
      <c r="AU913">
        <v>82.469000617756407</v>
      </c>
      <c r="AV913"/>
      <c r="AW913"/>
      <c r="FY913" s="211">
        <v>908</v>
      </c>
      <c r="FZ913">
        <v>69.279482637922172</v>
      </c>
      <c r="GA913">
        <v>69.910232552076039</v>
      </c>
      <c r="GB913">
        <v>32.461307804367465</v>
      </c>
      <c r="GC913">
        <v>6.9945916940401371</v>
      </c>
      <c r="GD913">
        <v>2.4215075214126518</v>
      </c>
      <c r="GE913">
        <v>6.1029779669250424</v>
      </c>
      <c r="GF913">
        <v>58.116313285291376</v>
      </c>
      <c r="GG913">
        <v>72.872914653916339</v>
      </c>
      <c r="GH913">
        <v>31.370467283251337</v>
      </c>
      <c r="GI913">
        <v>77.733640482667653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1200.1287273582416</v>
      </c>
      <c r="AO914">
        <v>172.51179469476816</v>
      </c>
      <c r="AP914">
        <v>1458.0564853999333</v>
      </c>
      <c r="AQ914">
        <v>408.14647087650889</v>
      </c>
      <c r="AR914">
        <v>166.50749325629917</v>
      </c>
      <c r="AS914">
        <v>1893.879009910594</v>
      </c>
      <c r="AT914">
        <v>80.836998166628391</v>
      </c>
      <c r="AU914">
        <v>404.75212044609151</v>
      </c>
      <c r="AV914"/>
      <c r="AW914"/>
      <c r="FY914" s="211">
        <v>909</v>
      </c>
      <c r="FZ914">
        <v>94.555102356431362</v>
      </c>
      <c r="GA914">
        <v>50.803561150530705</v>
      </c>
      <c r="GB914">
        <v>15.67616204069083</v>
      </c>
      <c r="GC914">
        <v>6.0538623546859185</v>
      </c>
      <c r="GD914">
        <v>3.0130253826872808</v>
      </c>
      <c r="GE914">
        <v>4.2193903282724232</v>
      </c>
      <c r="GF914">
        <v>22.853828005321475</v>
      </c>
      <c r="GG914">
        <v>31.581979615906732</v>
      </c>
      <c r="GH914">
        <v>24.960874921486973</v>
      </c>
      <c r="GI914">
        <v>63.658548320018852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1335.8064842703448</v>
      </c>
      <c r="AO915">
        <v>203.60705123844207</v>
      </c>
      <c r="AP915">
        <v>1788.8075724201931</v>
      </c>
      <c r="AQ915">
        <v>515.47355700454489</v>
      </c>
      <c r="AR915">
        <v>194.85839280210928</v>
      </c>
      <c r="AS915">
        <v>2043.61761490147</v>
      </c>
      <c r="AT915">
        <v>90.312052234600344</v>
      </c>
      <c r="AU915">
        <v>389.69169413430421</v>
      </c>
      <c r="AV915"/>
      <c r="AW915"/>
      <c r="FY915" s="211">
        <v>910</v>
      </c>
      <c r="FZ915">
        <v>139.7199769756136</v>
      </c>
      <c r="GA915">
        <v>101.71052538047581</v>
      </c>
      <c r="GB915">
        <v>33.438548213418912</v>
      </c>
      <c r="GC915">
        <v>8.1620110038618989</v>
      </c>
      <c r="GD915">
        <v>3.779825147588574</v>
      </c>
      <c r="GE915">
        <v>6.1351972001814641</v>
      </c>
      <c r="GF915">
        <v>18.197957283414883</v>
      </c>
      <c r="GG915">
        <v>21.873120760776946</v>
      </c>
      <c r="GH915">
        <v>26.609278851186517</v>
      </c>
      <c r="GI915">
        <v>77.119972198694271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936.9297556625022</v>
      </c>
      <c r="AO916">
        <v>158.47025343397712</v>
      </c>
      <c r="AP916">
        <v>1311.4438045219445</v>
      </c>
      <c r="AQ916">
        <v>304.45228739260858</v>
      </c>
      <c r="AR916">
        <v>157.40150936982928</v>
      </c>
      <c r="AS916">
        <v>1547.9322290451917</v>
      </c>
      <c r="AT916">
        <v>74.678045794914553</v>
      </c>
      <c r="AU916">
        <v>222.05460925071253</v>
      </c>
      <c r="AV916"/>
      <c r="AW916"/>
      <c r="FY916" s="211">
        <v>911</v>
      </c>
      <c r="FZ916">
        <v>94.306666007138801</v>
      </c>
      <c r="GA916">
        <v>91.893389483940283</v>
      </c>
      <c r="GB916">
        <v>37.311738187636053</v>
      </c>
      <c r="GC916">
        <v>7.9765303396626575</v>
      </c>
      <c r="GD916">
        <v>2.8762045542951995</v>
      </c>
      <c r="GE916">
        <v>4.7193717803804214</v>
      </c>
      <c r="GF916">
        <v>38.192331648693369</v>
      </c>
      <c r="GG916">
        <v>46.714035398947814</v>
      </c>
      <c r="GH916">
        <v>20.61537333975572</v>
      </c>
      <c r="GI916">
        <v>72.652353885592717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993.43145000940092</v>
      </c>
      <c r="AO917">
        <v>142.37737649042634</v>
      </c>
      <c r="AP917">
        <v>1246.9968057936585</v>
      </c>
      <c r="AQ917">
        <v>456.35228350046151</v>
      </c>
      <c r="AR917">
        <v>137.34633455468884</v>
      </c>
      <c r="AS917">
        <v>1486.9420839029744</v>
      </c>
      <c r="AT917">
        <v>69.761767837361546</v>
      </c>
      <c r="AU917">
        <v>186.91893165174349</v>
      </c>
      <c r="AV917"/>
      <c r="AW917"/>
      <c r="FY917" s="211">
        <v>912</v>
      </c>
      <c r="FZ917">
        <v>185.02501730467762</v>
      </c>
      <c r="GA917">
        <v>125.16158801191331</v>
      </c>
      <c r="GB917">
        <v>27.994182832648491</v>
      </c>
      <c r="GC917">
        <v>7.4904108928150599</v>
      </c>
      <c r="GD917">
        <v>1.9056959377620959</v>
      </c>
      <c r="GE917">
        <v>3.5085222889451679</v>
      </c>
      <c r="GF917">
        <v>30.657043777811033</v>
      </c>
      <c r="GG917">
        <v>40.672641767098931</v>
      </c>
      <c r="GH917">
        <v>28.302457791677206</v>
      </c>
      <c r="GI917">
        <v>81.138177079464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1083.0174382201199</v>
      </c>
      <c r="AO918">
        <v>163.51203107052754</v>
      </c>
      <c r="AP918">
        <v>1329.2632045741161</v>
      </c>
      <c r="AQ918">
        <v>434.07841511747176</v>
      </c>
      <c r="AR918">
        <v>159.45985239864379</v>
      </c>
      <c r="AS918">
        <v>1637.4228097303208</v>
      </c>
      <c r="AT918">
        <v>77.378799532272907</v>
      </c>
      <c r="AU918">
        <v>79.210700261159772</v>
      </c>
      <c r="AV918"/>
      <c r="AW918"/>
      <c r="FY918" s="211">
        <v>913</v>
      </c>
      <c r="FZ918">
        <v>136.23411808079479</v>
      </c>
      <c r="GA918">
        <v>154.99651294886124</v>
      </c>
      <c r="GB918">
        <v>42.136421695409801</v>
      </c>
      <c r="GC918">
        <v>8.4172126403612104</v>
      </c>
      <c r="GD918">
        <v>3.0159719521027597</v>
      </c>
      <c r="GE918">
        <v>4.0898576081095825</v>
      </c>
      <c r="GF918">
        <v>13.49174897180229</v>
      </c>
      <c r="GG918">
        <v>17.577656898833375</v>
      </c>
      <c r="GH918">
        <v>17.184007564906388</v>
      </c>
      <c r="GI918">
        <v>84.610622936826019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1162.0433029387798</v>
      </c>
      <c r="AO919">
        <v>179.36030731308074</v>
      </c>
      <c r="AP919">
        <v>1490.0145111703096</v>
      </c>
      <c r="AQ919">
        <v>444.21415598287365</v>
      </c>
      <c r="AR919">
        <v>172.71146788608161</v>
      </c>
      <c r="AS919">
        <v>1776.9656968821564</v>
      </c>
      <c r="AT919">
        <v>85.424858689957674</v>
      </c>
      <c r="AU919">
        <v>315.35725491745842</v>
      </c>
      <c r="AV919"/>
      <c r="AW919"/>
      <c r="FY919" s="211">
        <v>914</v>
      </c>
      <c r="FZ919">
        <v>140.06412813972341</v>
      </c>
      <c r="GA919">
        <v>103.48069512384176</v>
      </c>
      <c r="GB919">
        <v>22.608526320862243</v>
      </c>
      <c r="GC919">
        <v>5.2718078825298145</v>
      </c>
      <c r="GD919">
        <v>2.6581223411582213</v>
      </c>
      <c r="GE919">
        <v>7.3418891233183885</v>
      </c>
      <c r="GF919">
        <v>17.185920437784411</v>
      </c>
      <c r="GG919">
        <v>17.947949163149236</v>
      </c>
      <c r="GH919">
        <v>24.151010872260937</v>
      </c>
      <c r="GI919">
        <v>61.984888920605343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1075.6209053625503</v>
      </c>
      <c r="AO920">
        <v>160.67637148108949</v>
      </c>
      <c r="AP920">
        <v>1300.6960625446982</v>
      </c>
      <c r="AQ920">
        <v>367.52222729773769</v>
      </c>
      <c r="AR920">
        <v>154.51780111086526</v>
      </c>
      <c r="AS920">
        <v>1606.9036547106332</v>
      </c>
      <c r="AT920">
        <v>69.781629640075025</v>
      </c>
      <c r="AU920">
        <v>-0.52426185771103917</v>
      </c>
      <c r="AV920"/>
      <c r="AW920"/>
      <c r="FY920" s="211">
        <v>915</v>
      </c>
      <c r="FZ920">
        <v>148.23436204735094</v>
      </c>
      <c r="GA920">
        <v>167.79578243087258</v>
      </c>
      <c r="GB920">
        <v>43.566939970620325</v>
      </c>
      <c r="GC920">
        <v>9.7351203029790874</v>
      </c>
      <c r="GD920">
        <v>4.3777999777336909</v>
      </c>
      <c r="GE920">
        <v>8.3822201989828748</v>
      </c>
      <c r="GF920">
        <v>36.135282489745144</v>
      </c>
      <c r="GG920">
        <v>40.694053570533498</v>
      </c>
      <c r="GH920">
        <v>28.311261434001011</v>
      </c>
      <c r="GI920">
        <v>88.706755006949592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1380.1732639549746</v>
      </c>
      <c r="AO921">
        <v>190.06967217802699</v>
      </c>
      <c r="AP921">
        <v>1652.8044382713354</v>
      </c>
      <c r="AQ921">
        <v>614.09301617869073</v>
      </c>
      <c r="AR921">
        <v>183.85820130534617</v>
      </c>
      <c r="AS921">
        <v>2020.7529522900566</v>
      </c>
      <c r="AT921">
        <v>90.17791684602868</v>
      </c>
      <c r="AU921">
        <v>260.86682881271179</v>
      </c>
      <c r="AV921"/>
      <c r="AW921"/>
      <c r="FY921" s="211">
        <v>916</v>
      </c>
      <c r="FZ921">
        <v>109.62944035679355</v>
      </c>
      <c r="GA921">
        <v>114.09672552284898</v>
      </c>
      <c r="GB921">
        <v>32.417855130412839</v>
      </c>
      <c r="GC921">
        <v>9.7024960630609627</v>
      </c>
      <c r="GD921">
        <v>3.7269782649688343</v>
      </c>
      <c r="GE921">
        <v>5.1070576080342605</v>
      </c>
      <c r="GF921">
        <v>12.004584101044632</v>
      </c>
      <c r="GG921">
        <v>11.688046999961442</v>
      </c>
      <c r="GH921">
        <v>15.619736301112393</v>
      </c>
      <c r="GI921">
        <v>72.801308960347114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1234.8778101990877</v>
      </c>
      <c r="AO922">
        <v>150.09795510451934</v>
      </c>
      <c r="AP922">
        <v>1215.9063403288599</v>
      </c>
      <c r="AQ922">
        <v>448.81233358619062</v>
      </c>
      <c r="AR922">
        <v>146.83335032533824</v>
      </c>
      <c r="AS922">
        <v>1617.4170486897563</v>
      </c>
      <c r="AT922">
        <v>67.031456796425374</v>
      </c>
      <c r="AU922">
        <v>260.32677841678139</v>
      </c>
      <c r="AV922"/>
      <c r="AW922"/>
      <c r="FY922" s="211">
        <v>917</v>
      </c>
      <c r="FZ922">
        <v>129.50139206379529</v>
      </c>
      <c r="GA922">
        <v>116.70336398133583</v>
      </c>
      <c r="GB922">
        <v>31.304451750673188</v>
      </c>
      <c r="GC922">
        <v>8.0177923018219079</v>
      </c>
      <c r="GD922">
        <v>3.6848919688029502</v>
      </c>
      <c r="GE922">
        <v>6.5635483317679881</v>
      </c>
      <c r="GF922">
        <v>8.2780151213443087</v>
      </c>
      <c r="GG922">
        <v>6.234783639200467</v>
      </c>
      <c r="GH922">
        <v>40.184427682197956</v>
      </c>
      <c r="GI922">
        <v>65.367910595363753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1095.7453314383397</v>
      </c>
      <c r="AO923">
        <v>150.25606080083369</v>
      </c>
      <c r="AP923">
        <v>1279.3752721597571</v>
      </c>
      <c r="AQ923">
        <v>457.47053015273343</v>
      </c>
      <c r="AR923">
        <v>148.16458615848367</v>
      </c>
      <c r="AS923">
        <v>1667.6451844751584</v>
      </c>
      <c r="AT923">
        <v>69.921891852446066</v>
      </c>
      <c r="AU923">
        <v>79.563221000380878</v>
      </c>
      <c r="AV923"/>
      <c r="AW923"/>
      <c r="FY923" s="211">
        <v>918</v>
      </c>
      <c r="FZ923">
        <v>204.62186360642428</v>
      </c>
      <c r="GA923">
        <v>174.02996360056787</v>
      </c>
      <c r="GB923">
        <v>36.093250361004181</v>
      </c>
      <c r="GC923">
        <v>10.627158171106686</v>
      </c>
      <c r="GD923">
        <v>3.9318791941281477</v>
      </c>
      <c r="GE923">
        <v>6.939151350115079</v>
      </c>
      <c r="GF923">
        <v>38.379901892979113</v>
      </c>
      <c r="GG923">
        <v>44.913430327721649</v>
      </c>
      <c r="GH923">
        <v>20.389636108049217</v>
      </c>
      <c r="GI923">
        <v>92.287536944216285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1270.0027897455664</v>
      </c>
      <c r="AO924">
        <v>159.95529996287689</v>
      </c>
      <c r="AP924">
        <v>1445.0804715305328</v>
      </c>
      <c r="AQ924">
        <v>427.26343588187024</v>
      </c>
      <c r="AR924">
        <v>154.75242761215162</v>
      </c>
      <c r="AS924">
        <v>1704.7850212667761</v>
      </c>
      <c r="AT924">
        <v>75.77643217393971</v>
      </c>
      <c r="AU924">
        <v>516.6476358467761</v>
      </c>
      <c r="AV924"/>
      <c r="AW924"/>
      <c r="FY924" s="211">
        <v>919</v>
      </c>
      <c r="FZ924">
        <v>101.93282633222283</v>
      </c>
      <c r="GA924">
        <v>108.19088079965263</v>
      </c>
      <c r="GB924">
        <v>36.644867421494723</v>
      </c>
      <c r="GC924">
        <v>7.8896030945653841</v>
      </c>
      <c r="GD924">
        <v>4.7971904224036637</v>
      </c>
      <c r="GE924">
        <v>10.366473309525672</v>
      </c>
      <c r="GF924">
        <v>29.165301219317179</v>
      </c>
      <c r="GG924">
        <v>30.731912233540761</v>
      </c>
      <c r="GH924">
        <v>19.244411053122892</v>
      </c>
      <c r="GI924">
        <v>71.021931412903584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885.10633239739821</v>
      </c>
      <c r="AO925">
        <v>153.00123368683427</v>
      </c>
      <c r="AP925">
        <v>1245.3964786420058</v>
      </c>
      <c r="AQ925">
        <v>317.37633447603258</v>
      </c>
      <c r="AR925">
        <v>149.4880702224215</v>
      </c>
      <c r="AS925">
        <v>1498.2707922970242</v>
      </c>
      <c r="AT925">
        <v>72.580145324311488</v>
      </c>
      <c r="AU925">
        <v>125.77662935278623</v>
      </c>
      <c r="AV925"/>
      <c r="AW925"/>
      <c r="FY925" s="211">
        <v>920</v>
      </c>
      <c r="FZ925">
        <v>204.26984197129187</v>
      </c>
      <c r="GA925">
        <v>144.38403512966667</v>
      </c>
      <c r="GB925">
        <v>34.630335247380295</v>
      </c>
      <c r="GC925">
        <v>7.2903143517580773</v>
      </c>
      <c r="GD925">
        <v>2.9037726809756323</v>
      </c>
      <c r="GE925">
        <v>5.2822834203844957</v>
      </c>
      <c r="GF925">
        <v>27.532960523208651</v>
      </c>
      <c r="GG925">
        <v>34.009662012706031</v>
      </c>
      <c r="GH925">
        <v>19.802853810838887</v>
      </c>
      <c r="GI925">
        <v>75.573609894965045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1098.2870943524476</v>
      </c>
      <c r="AO926">
        <v>169.85023352171032</v>
      </c>
      <c r="AP926">
        <v>1310.6038516899384</v>
      </c>
      <c r="AQ926">
        <v>436.7464130152128</v>
      </c>
      <c r="AR926">
        <v>168.73371748950697</v>
      </c>
      <c r="AS926">
        <v>1707.1906926090496</v>
      </c>
      <c r="AT926">
        <v>83.801846544209468</v>
      </c>
      <c r="AU926">
        <v>169.15459558321055</v>
      </c>
      <c r="AV926"/>
      <c r="AW926"/>
      <c r="FY926" s="211">
        <v>921</v>
      </c>
      <c r="FZ926">
        <v>150.6978320936463</v>
      </c>
      <c r="GA926">
        <v>135.49117463855271</v>
      </c>
      <c r="GB926">
        <v>36.909210659509021</v>
      </c>
      <c r="GC926">
        <v>9.1575640657210791</v>
      </c>
      <c r="GD926">
        <v>3.2080181521069191</v>
      </c>
      <c r="GE926">
        <v>4.9174501230908492</v>
      </c>
      <c r="GF926">
        <v>36.967951935514265</v>
      </c>
      <c r="GG926">
        <v>46.957231496732653</v>
      </c>
      <c r="GH926">
        <v>21.629602585309815</v>
      </c>
      <c r="GI926">
        <v>94.285330828841253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1152.7020610516097</v>
      </c>
      <c r="AO927">
        <v>139.73422856518565</v>
      </c>
      <c r="AP927">
        <v>1180.5988700565799</v>
      </c>
      <c r="AQ927">
        <v>417.257994626043</v>
      </c>
      <c r="AR927">
        <v>139.98751630837185</v>
      </c>
      <c r="AS927">
        <v>1513.4754215747487</v>
      </c>
      <c r="AT927">
        <v>64.893158910035083</v>
      </c>
      <c r="AU927">
        <v>267.33795964834485</v>
      </c>
      <c r="AV927"/>
      <c r="AW927"/>
      <c r="FY927" s="211">
        <v>922</v>
      </c>
      <c r="FZ927">
        <v>152.04263738659193</v>
      </c>
      <c r="GA927">
        <v>116.63685258018916</v>
      </c>
      <c r="GB927">
        <v>30.076090292572257</v>
      </c>
      <c r="GC927">
        <v>8.8560919871204646</v>
      </c>
      <c r="GD927">
        <v>3.3697387688433413</v>
      </c>
      <c r="GE927">
        <v>5.1812893605382939</v>
      </c>
      <c r="GF927">
        <v>36.189200562960892</v>
      </c>
      <c r="GG927">
        <v>43.633170775748205</v>
      </c>
      <c r="GH927">
        <v>37.536933803522736</v>
      </c>
      <c r="GI927">
        <v>78.077141798313974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1167.599016004636</v>
      </c>
      <c r="AO928">
        <v>189.63272812551656</v>
      </c>
      <c r="AP928">
        <v>1699.2044193495967</v>
      </c>
      <c r="AQ928">
        <v>531.85573768481299</v>
      </c>
      <c r="AR928">
        <v>187.48343156877004</v>
      </c>
      <c r="AS928">
        <v>1966.1467233163221</v>
      </c>
      <c r="AT928">
        <v>93.77053771111116</v>
      </c>
      <c r="AU928">
        <v>209.50319854131536</v>
      </c>
      <c r="AV928"/>
      <c r="AW928"/>
      <c r="FY928" s="211">
        <v>923</v>
      </c>
      <c r="FZ928">
        <v>81.795564856296579</v>
      </c>
      <c r="GA928">
        <v>158.86023643747342</v>
      </c>
      <c r="GB928">
        <v>59.310143316025815</v>
      </c>
      <c r="GC928">
        <v>10.6458201438535</v>
      </c>
      <c r="GD928">
        <v>3.3749893815996561</v>
      </c>
      <c r="GE928">
        <v>3.6687790392585349</v>
      </c>
      <c r="GF928">
        <v>16.029312484647143</v>
      </c>
      <c r="GG928">
        <v>19.10102353824589</v>
      </c>
      <c r="GH928">
        <v>25.478793191134429</v>
      </c>
      <c r="GI928">
        <v>81.137894053564182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1155.3405840195824</v>
      </c>
      <c r="AO929">
        <v>190.51931765266553</v>
      </c>
      <c r="AP929">
        <v>1554.8683635706116</v>
      </c>
      <c r="AQ929">
        <v>481.75413129800739</v>
      </c>
      <c r="AR929">
        <v>183.66003732862629</v>
      </c>
      <c r="AS929">
        <v>2005.3951309166737</v>
      </c>
      <c r="AT929">
        <v>95.243567239714523</v>
      </c>
      <c r="AU929">
        <v>89.74358306486991</v>
      </c>
      <c r="AV929"/>
      <c r="AW929"/>
      <c r="FY929" s="211">
        <v>924</v>
      </c>
      <c r="FZ929">
        <v>136.252406850239</v>
      </c>
      <c r="GA929">
        <v>89.283754357205282</v>
      </c>
      <c r="GB929">
        <v>26.396134865481983</v>
      </c>
      <c r="GC929">
        <v>7.326928384503816</v>
      </c>
      <c r="GD929">
        <v>3.4862458573530608</v>
      </c>
      <c r="GE929">
        <v>7.5468814610025525</v>
      </c>
      <c r="GF929">
        <v>32.848201090834401</v>
      </c>
      <c r="GG929">
        <v>36.450066201631415</v>
      </c>
      <c r="GH929">
        <v>22.463827195956515</v>
      </c>
      <c r="GI929">
        <v>71.367068237090962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902.8572475510382</v>
      </c>
      <c r="AO930">
        <v>131.98659202697698</v>
      </c>
      <c r="AP930">
        <v>1051.4543194825769</v>
      </c>
      <c r="AQ930">
        <v>402.69493832523375</v>
      </c>
      <c r="AR930">
        <v>129.85159933963308</v>
      </c>
      <c r="AS930">
        <v>1391.5988083697166</v>
      </c>
      <c r="AT930">
        <v>62.311187194925203</v>
      </c>
      <c r="AU930">
        <v>7.4362841552640617</v>
      </c>
      <c r="AV930"/>
      <c r="AW930"/>
      <c r="FY930" s="211">
        <v>925</v>
      </c>
      <c r="FZ930">
        <v>130.75222274393386</v>
      </c>
      <c r="GA930">
        <v>121.53176893857406</v>
      </c>
      <c r="GB930">
        <v>34.711205329004144</v>
      </c>
      <c r="GC930">
        <v>9.2115070332898323</v>
      </c>
      <c r="GD930">
        <v>3.5093495458244219</v>
      </c>
      <c r="GE930">
        <v>4.3686903908960426</v>
      </c>
      <c r="GF930">
        <v>25.100987175535479</v>
      </c>
      <c r="GG930">
        <v>32.87292901686979</v>
      </c>
      <c r="GH930">
        <v>30.777832128550127</v>
      </c>
      <c r="GI930">
        <v>76.940529867304647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1418.7186343720714</v>
      </c>
      <c r="AO931">
        <v>185.65627704096644</v>
      </c>
      <c r="AP931">
        <v>1650.5420931251842</v>
      </c>
      <c r="AQ931">
        <v>575.93957742976875</v>
      </c>
      <c r="AR931">
        <v>176.58448298927794</v>
      </c>
      <c r="AS931">
        <v>1845.0289759751706</v>
      </c>
      <c r="AT931">
        <v>81.558580023623293</v>
      </c>
      <c r="AU931">
        <v>178.20359417213734</v>
      </c>
      <c r="AV931"/>
      <c r="AW931"/>
      <c r="FY931" s="211">
        <v>926</v>
      </c>
      <c r="FZ931">
        <v>122.41180205912083</v>
      </c>
      <c r="GA931">
        <v>111.43074309178905</v>
      </c>
      <c r="GB931">
        <v>21.326060583047784</v>
      </c>
      <c r="GC931">
        <v>5.0577038187033061</v>
      </c>
      <c r="GD931">
        <v>2.5575111947477405</v>
      </c>
      <c r="GE931">
        <v>5.3095611151320457</v>
      </c>
      <c r="GF931">
        <v>15.370148680875594</v>
      </c>
      <c r="GG931">
        <v>19.310098880035817</v>
      </c>
      <c r="GH931">
        <v>27.016510221218606</v>
      </c>
      <c r="GI931">
        <v>58.795741634631646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1034.7277098503866</v>
      </c>
      <c r="AO932">
        <v>159.82818758591003</v>
      </c>
      <c r="AP932">
        <v>1221.8822521041714</v>
      </c>
      <c r="AQ932">
        <v>386.79422930858499</v>
      </c>
      <c r="AR932">
        <v>155.69830363935364</v>
      </c>
      <c r="AS932">
        <v>1730.5901322604902</v>
      </c>
      <c r="AT932">
        <v>79.456271323046749</v>
      </c>
      <c r="AU932">
        <v>128.1449415311973</v>
      </c>
      <c r="AV932"/>
      <c r="AW932"/>
      <c r="FY932" s="211">
        <v>927</v>
      </c>
      <c r="FZ932">
        <v>147.52512498771293</v>
      </c>
      <c r="GA932">
        <v>93.579727808478651</v>
      </c>
      <c r="GB932">
        <v>30.201682900384181</v>
      </c>
      <c r="GC932">
        <v>7.1985731892878011</v>
      </c>
      <c r="GD932">
        <v>3.147049902432606</v>
      </c>
      <c r="GE932">
        <v>6.7879738029173211</v>
      </c>
      <c r="GF932">
        <v>39.470073737374939</v>
      </c>
      <c r="GG932">
        <v>46.210210063112129</v>
      </c>
      <c r="GH932">
        <v>27.897345679337462</v>
      </c>
      <c r="GI932">
        <v>76.413812355200236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949.47554076385609</v>
      </c>
      <c r="AO933">
        <v>142.91768053270411</v>
      </c>
      <c r="AP933">
        <v>1155.7244003169696</v>
      </c>
      <c r="AQ933">
        <v>415.84057743630365</v>
      </c>
      <c r="AR933">
        <v>140.1088502174436</v>
      </c>
      <c r="AS933">
        <v>1481.0565835133384</v>
      </c>
      <c r="AT933">
        <v>71.192056394290731</v>
      </c>
      <c r="AU933">
        <v>-89.144975052302584</v>
      </c>
      <c r="AV933"/>
      <c r="AW933"/>
      <c r="FY933" s="211">
        <v>928</v>
      </c>
      <c r="FZ933">
        <v>119.49662734770065</v>
      </c>
      <c r="GA933">
        <v>87.316193473571275</v>
      </c>
      <c r="GB933">
        <v>23.24052455543924</v>
      </c>
      <c r="GC933">
        <v>8.2248646947113517</v>
      </c>
      <c r="GD933">
        <v>4.2076533752967906</v>
      </c>
      <c r="GE933">
        <v>6.7844728317103513</v>
      </c>
      <c r="GF933">
        <v>48.408191808982494</v>
      </c>
      <c r="GG933">
        <v>60.932352779016554</v>
      </c>
      <c r="GH933">
        <v>28.027527267256929</v>
      </c>
      <c r="GI933">
        <v>86.65797442694597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1384.987134534616</v>
      </c>
      <c r="AO934">
        <v>181.8947441241715</v>
      </c>
      <c r="AP934">
        <v>1523.6947595925337</v>
      </c>
      <c r="AQ934">
        <v>632.21377155631251</v>
      </c>
      <c r="AR934">
        <v>176.30667467951216</v>
      </c>
      <c r="AS934">
        <v>1965.3132279409092</v>
      </c>
      <c r="AT934">
        <v>88.141542247310042</v>
      </c>
      <c r="AU934">
        <v>179.41778056918628</v>
      </c>
      <c r="AV934"/>
      <c r="AW934"/>
      <c r="FY934" s="211">
        <v>929</v>
      </c>
      <c r="FZ934">
        <v>122.71383476812143</v>
      </c>
      <c r="GA934">
        <v>91.216109120350126</v>
      </c>
      <c r="GB934">
        <v>30.235420790475828</v>
      </c>
      <c r="GC934">
        <v>7.4767476403669058</v>
      </c>
      <c r="GD934">
        <v>2.7199360234081804</v>
      </c>
      <c r="GE934">
        <v>6.789635603759363</v>
      </c>
      <c r="GF934">
        <v>29.274315426105126</v>
      </c>
      <c r="GG934">
        <v>37.085440673711624</v>
      </c>
      <c r="GH934">
        <v>32.844608465722303</v>
      </c>
      <c r="GI934">
        <v>71.327114177892255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1156.4061611131995</v>
      </c>
      <c r="AO935">
        <v>139.31811714770717</v>
      </c>
      <c r="AP935">
        <v>1143.6821300000686</v>
      </c>
      <c r="AQ935">
        <v>419.98539729874932</v>
      </c>
      <c r="AR935">
        <v>138.04230507260422</v>
      </c>
      <c r="AS935">
        <v>1558.25051174442</v>
      </c>
      <c r="AT935">
        <v>66.301294250622391</v>
      </c>
      <c r="AU935">
        <v>214.99953434620585</v>
      </c>
      <c r="AV935"/>
      <c r="AW935"/>
      <c r="FY935" s="211">
        <v>930</v>
      </c>
      <c r="FZ935">
        <v>86.197293470185215</v>
      </c>
      <c r="GA935">
        <v>85.855960065555394</v>
      </c>
      <c r="GB935">
        <v>29.983977782759336</v>
      </c>
      <c r="GC935">
        <v>7.8956097990552667</v>
      </c>
      <c r="GD935">
        <v>4.2090104103335459</v>
      </c>
      <c r="GE935">
        <v>7.3235376648877484</v>
      </c>
      <c r="GF935">
        <v>39.679355438536206</v>
      </c>
      <c r="GG935">
        <v>51.095601838309328</v>
      </c>
      <c r="GH935">
        <v>25.389733019558019</v>
      </c>
      <c r="GI935">
        <v>76.595547778100766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1130.5040864538473</v>
      </c>
      <c r="AO936">
        <v>158.30301273464929</v>
      </c>
      <c r="AP936">
        <v>1364.414180433967</v>
      </c>
      <c r="AQ936">
        <v>555.67966904317564</v>
      </c>
      <c r="AR936">
        <v>157.23083607184179</v>
      </c>
      <c r="AS936">
        <v>1724.582037030611</v>
      </c>
      <c r="AT936">
        <v>75.752630123155427</v>
      </c>
      <c r="AU936">
        <v>57.568460547607486</v>
      </c>
      <c r="AV936"/>
      <c r="AW936"/>
      <c r="FY936" s="211">
        <v>931</v>
      </c>
      <c r="FZ936">
        <v>105.55337021853427</v>
      </c>
      <c r="GA936">
        <v>47.197763564591121</v>
      </c>
      <c r="GB936">
        <v>17.811130033578046</v>
      </c>
      <c r="GC936">
        <v>8.7226410337850773</v>
      </c>
      <c r="GD936">
        <v>5.0930390115805473</v>
      </c>
      <c r="GE936">
        <v>7.1081451383623815</v>
      </c>
      <c r="GF936">
        <v>16.872674421304424</v>
      </c>
      <c r="GG936">
        <v>21.284131132130131</v>
      </c>
      <c r="GH936">
        <v>13.296745397466415</v>
      </c>
      <c r="GI936">
        <v>56.689647982965695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1355.4732643801151</v>
      </c>
      <c r="AO937">
        <v>209.6245946701826</v>
      </c>
      <c r="AP937">
        <v>1816.6336955640904</v>
      </c>
      <c r="AQ937">
        <v>540.2213665790249</v>
      </c>
      <c r="AR937">
        <v>203.32541728006635</v>
      </c>
      <c r="AS937">
        <v>2166.498259444134</v>
      </c>
      <c r="AT937">
        <v>100.25796158470939</v>
      </c>
      <c r="AU937">
        <v>233.95405843880269</v>
      </c>
      <c r="AV937"/>
      <c r="AW937"/>
      <c r="FY937" s="211">
        <v>932</v>
      </c>
      <c r="FZ937">
        <v>78.990690826576937</v>
      </c>
      <c r="GA937">
        <v>105.69713628042416</v>
      </c>
      <c r="GB937">
        <v>36.773945019093219</v>
      </c>
      <c r="GC937">
        <v>7.8024706382781162</v>
      </c>
      <c r="GD937">
        <v>3.9666935494228608</v>
      </c>
      <c r="GE937">
        <v>8.4996494606408337</v>
      </c>
      <c r="GF937">
        <v>33.96004202563158</v>
      </c>
      <c r="GG937">
        <v>38.212801841679457</v>
      </c>
      <c r="GH937">
        <v>17.339658676521051</v>
      </c>
      <c r="GI937">
        <v>76.135366466111535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1228.7222624004553</v>
      </c>
      <c r="AO938">
        <v>168.86418638204574</v>
      </c>
      <c r="AP938">
        <v>1474.224156310278</v>
      </c>
      <c r="AQ938">
        <v>511.59914731640123</v>
      </c>
      <c r="AR938">
        <v>165.49461287746047</v>
      </c>
      <c r="AS938">
        <v>1721.1078613441687</v>
      </c>
      <c r="AT938">
        <v>79.68678682489751</v>
      </c>
      <c r="AU938">
        <v>200.97911437149457</v>
      </c>
      <c r="AV938"/>
      <c r="AW938"/>
      <c r="FY938" s="211">
        <v>933</v>
      </c>
      <c r="FZ938">
        <v>136.47346507335612</v>
      </c>
      <c r="GA938">
        <v>122.4880878994696</v>
      </c>
      <c r="GB938">
        <v>31.866242764182054</v>
      </c>
      <c r="GC938">
        <v>8.5199382470392599</v>
      </c>
      <c r="GD938">
        <v>2.8529915995944197</v>
      </c>
      <c r="GE938">
        <v>4.9015960418399152</v>
      </c>
      <c r="GF938">
        <v>40.313394924581672</v>
      </c>
      <c r="GG938">
        <v>51.105652837440736</v>
      </c>
      <c r="GH938">
        <v>14.939594729587487</v>
      </c>
      <c r="GI938">
        <v>84.613813087616236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1263.1039786745723</v>
      </c>
      <c r="AO939">
        <v>168.52824078932534</v>
      </c>
      <c r="AP939">
        <v>1314.395337761754</v>
      </c>
      <c r="AQ939">
        <v>459.40255644209924</v>
      </c>
      <c r="AR939">
        <v>162.33939619100707</v>
      </c>
      <c r="AS939">
        <v>1749.9539795472608</v>
      </c>
      <c r="AT939">
        <v>81.485922692540669</v>
      </c>
      <c r="AU939">
        <v>176.54659674533085</v>
      </c>
      <c r="AV939"/>
      <c r="AW939"/>
      <c r="FY939" s="211">
        <v>934</v>
      </c>
      <c r="FZ939">
        <v>73.195504991165521</v>
      </c>
      <c r="GA939">
        <v>70.93534758387203</v>
      </c>
      <c r="GB939">
        <v>30.315406755781492</v>
      </c>
      <c r="GC939">
        <v>10.284915981770178</v>
      </c>
      <c r="GD939">
        <v>4.0428839460762767</v>
      </c>
      <c r="GE939">
        <v>5.5233676261499323</v>
      </c>
      <c r="GF939">
        <v>11.015146497800169</v>
      </c>
      <c r="GG939">
        <v>15.134616483043207</v>
      </c>
      <c r="GH939">
        <v>22.575862337223235</v>
      </c>
      <c r="GI939">
        <v>62.671733013953045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1088.2263736596253</v>
      </c>
      <c r="AO940">
        <v>160.54424345981238</v>
      </c>
      <c r="AP940">
        <v>1408.8564173086497</v>
      </c>
      <c r="AQ940">
        <v>433.42151450129899</v>
      </c>
      <c r="AR940">
        <v>158.06740723267944</v>
      </c>
      <c r="AS940">
        <v>1686.4391667876428</v>
      </c>
      <c r="AT940">
        <v>76.645595985632198</v>
      </c>
      <c r="AU940">
        <v>299.11901354463231</v>
      </c>
      <c r="AV940"/>
      <c r="AW940"/>
      <c r="FY940" s="211">
        <v>935</v>
      </c>
      <c r="FZ940">
        <v>129.66685775467337</v>
      </c>
      <c r="GA940">
        <v>95.537772343693916</v>
      </c>
      <c r="GB940">
        <v>26.347960675632692</v>
      </c>
      <c r="GC940">
        <v>8.5599880133926121</v>
      </c>
      <c r="GD940">
        <v>2.7474511156783521</v>
      </c>
      <c r="GE940">
        <v>5.025989023483632</v>
      </c>
      <c r="GF940">
        <v>29.564238980952236</v>
      </c>
      <c r="GG940">
        <v>32.770721042719515</v>
      </c>
      <c r="GH940">
        <v>19.08830398375396</v>
      </c>
      <c r="GI940">
        <v>69.784117906741272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1165.1713017794818</v>
      </c>
      <c r="AO941">
        <v>157.30902068908318</v>
      </c>
      <c r="AP941">
        <v>1300.0930050619365</v>
      </c>
      <c r="AQ941">
        <v>469.77702216978236</v>
      </c>
      <c r="AR941">
        <v>156.70581526372669</v>
      </c>
      <c r="AS941">
        <v>1737.4879644267637</v>
      </c>
      <c r="AT941">
        <v>73.737097408310191</v>
      </c>
      <c r="AU941">
        <v>116.79723457072222</v>
      </c>
      <c r="AV941"/>
      <c r="AW941"/>
      <c r="FY941" s="211">
        <v>936</v>
      </c>
      <c r="FZ941">
        <v>184.62050996113706</v>
      </c>
      <c r="GA941">
        <v>178.3615306439996</v>
      </c>
      <c r="GB941">
        <v>39.654179083925122</v>
      </c>
      <c r="GC941">
        <v>7.590364515065767</v>
      </c>
      <c r="GD941">
        <v>2.7154484407152735</v>
      </c>
      <c r="GE941">
        <v>5.4212046822974491</v>
      </c>
      <c r="GF941">
        <v>19.753310243289981</v>
      </c>
      <c r="GG941">
        <v>26.133648623998113</v>
      </c>
      <c r="GH941">
        <v>22.259028551443677</v>
      </c>
      <c r="GI941">
        <v>81.733890715700454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849.55449263158152</v>
      </c>
      <c r="AO942">
        <v>134.81830468563538</v>
      </c>
      <c r="AP942">
        <v>1167.2437003065959</v>
      </c>
      <c r="AQ942">
        <v>388.58588127930244</v>
      </c>
      <c r="AR942">
        <v>132.86646765771945</v>
      </c>
      <c r="AS942">
        <v>1370.8143714459788</v>
      </c>
      <c r="AT942">
        <v>63.969126855248341</v>
      </c>
      <c r="AU942">
        <v>32.446820778102293</v>
      </c>
      <c r="AV942"/>
      <c r="AW942"/>
      <c r="FY942" s="211">
        <v>937</v>
      </c>
      <c r="FZ942">
        <v>132.22291196988917</v>
      </c>
      <c r="GA942">
        <v>85.521376274490265</v>
      </c>
      <c r="GB942">
        <v>25.505027564675633</v>
      </c>
      <c r="GC942">
        <v>7.3257452788338107</v>
      </c>
      <c r="GD942">
        <v>3.0153588735390109</v>
      </c>
      <c r="GE942">
        <v>6.0353380830739987</v>
      </c>
      <c r="GF942">
        <v>31.197486124801824</v>
      </c>
      <c r="GG942">
        <v>35.380797299233954</v>
      </c>
      <c r="GH942">
        <v>11.251370786539214</v>
      </c>
      <c r="GI942">
        <v>69.929845313136582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1221.5845829703578</v>
      </c>
      <c r="AO943">
        <v>190.48151744802161</v>
      </c>
      <c r="AP943">
        <v>1611.5987978163471</v>
      </c>
      <c r="AQ943">
        <v>478.43157442623817</v>
      </c>
      <c r="AR943">
        <v>191.1426827579086</v>
      </c>
      <c r="AS943">
        <v>1914.4146380506977</v>
      </c>
      <c r="AT943">
        <v>85.081684995666663</v>
      </c>
      <c r="AU943">
        <v>336.86886942489997</v>
      </c>
      <c r="AV943"/>
      <c r="AW943"/>
      <c r="FY943" s="211">
        <v>938</v>
      </c>
      <c r="FZ943">
        <v>135.41964076456355</v>
      </c>
      <c r="GA943">
        <v>68.400210435496632</v>
      </c>
      <c r="GB943">
        <v>28.170302954676096</v>
      </c>
      <c r="GC943">
        <v>9.2922305927092967</v>
      </c>
      <c r="GD943">
        <v>4.9086675635264125</v>
      </c>
      <c r="GE943">
        <v>7.8171425219790045</v>
      </c>
      <c r="GF943">
        <v>24.269791572693656</v>
      </c>
      <c r="GG943">
        <v>33.286173291204484</v>
      </c>
      <c r="GH943">
        <v>26.120292590585635</v>
      </c>
      <c r="GI943">
        <v>79.94249735098019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1342.4836079251456</v>
      </c>
      <c r="AO944">
        <v>184.68354656396488</v>
      </c>
      <c r="AP944">
        <v>1570.2300280158829</v>
      </c>
      <c r="AQ944">
        <v>473.29638256063163</v>
      </c>
      <c r="AR944">
        <v>178.82058316847218</v>
      </c>
      <c r="AS944">
        <v>1792.3050743264503</v>
      </c>
      <c r="AT944">
        <v>80.831100651961933</v>
      </c>
      <c r="AU944">
        <v>293.67946572312411</v>
      </c>
      <c r="AV944"/>
      <c r="AW944"/>
      <c r="FY944" s="211">
        <v>939</v>
      </c>
      <c r="FZ944">
        <v>171.85337724043802</v>
      </c>
      <c r="GA944">
        <v>121.84206226806664</v>
      </c>
      <c r="GB944">
        <v>29.270459327142952</v>
      </c>
      <c r="GC944">
        <v>8.5864895752098409</v>
      </c>
      <c r="GD944">
        <v>3.3445896613381358</v>
      </c>
      <c r="GE944">
        <v>6.1962686094620887</v>
      </c>
      <c r="GF944">
        <v>41.545593230403895</v>
      </c>
      <c r="GG944">
        <v>48.961598152960484</v>
      </c>
      <c r="GH944">
        <v>26.049922070059967</v>
      </c>
      <c r="GI944">
        <v>84.263375155886067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1055.3011956173423</v>
      </c>
      <c r="AO945">
        <v>131.3146567306998</v>
      </c>
      <c r="AP945">
        <v>1137.2685085295036</v>
      </c>
      <c r="AQ945">
        <v>431.6831626899131</v>
      </c>
      <c r="AR945">
        <v>132.25684011815702</v>
      </c>
      <c r="AS945">
        <v>1571.4418983841592</v>
      </c>
      <c r="AT945">
        <v>66.482378174642761</v>
      </c>
      <c r="AU945">
        <v>122.23804847154446</v>
      </c>
      <c r="AV945"/>
      <c r="AW945"/>
      <c r="FY945" s="211">
        <v>940</v>
      </c>
      <c r="FZ945">
        <v>81.421742192817689</v>
      </c>
      <c r="GA945">
        <v>64.821202888149088</v>
      </c>
      <c r="GB945">
        <v>26.082913922199321</v>
      </c>
      <c r="GC945">
        <v>9.6952333770552812</v>
      </c>
      <c r="GD945">
        <v>5.3362413856179911</v>
      </c>
      <c r="GE945">
        <v>7.5991179239658209</v>
      </c>
      <c r="GF945">
        <v>36.819280150716295</v>
      </c>
      <c r="GG945">
        <v>48.76973846046377</v>
      </c>
      <c r="GH945">
        <v>25.119525793809636</v>
      </c>
      <c r="GI945">
        <v>78.677518976333488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1233.6134036613464</v>
      </c>
      <c r="AO946">
        <v>161.81143707076097</v>
      </c>
      <c r="AP946">
        <v>1352.6694549072201</v>
      </c>
      <c r="AQ946">
        <v>414.22562726728086</v>
      </c>
      <c r="AR946">
        <v>156.14387121732682</v>
      </c>
      <c r="AS946">
        <v>1641.6810695551376</v>
      </c>
      <c r="AT946">
        <v>67.004704322988061</v>
      </c>
      <c r="AU946">
        <v>166.6468344670194</v>
      </c>
      <c r="AV946"/>
      <c r="AW946"/>
      <c r="FY946" s="211">
        <v>941</v>
      </c>
      <c r="FZ946">
        <v>69.716284640497932</v>
      </c>
      <c r="GA946">
        <v>65.562113228130841</v>
      </c>
      <c r="GB946">
        <v>24.091016081411837</v>
      </c>
      <c r="GC946">
        <v>8.4623385088827732</v>
      </c>
      <c r="GD946">
        <v>4.5071850634708097</v>
      </c>
      <c r="GE946">
        <v>5.9910963116442746</v>
      </c>
      <c r="GF946">
        <v>40.744912655028791</v>
      </c>
      <c r="GG946">
        <v>50.656008049952561</v>
      </c>
      <c r="GH946">
        <v>25.275304795869285</v>
      </c>
      <c r="GI946">
        <v>73.046929502354715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824.60022203559618</v>
      </c>
      <c r="AO947">
        <v>118.68590200318667</v>
      </c>
      <c r="AP947">
        <v>930.83955654587669</v>
      </c>
      <c r="AQ947">
        <v>299.62928793429813</v>
      </c>
      <c r="AR947">
        <v>116.40049728670071</v>
      </c>
      <c r="AS947">
        <v>1244.0985573099433</v>
      </c>
      <c r="AT947">
        <v>57.619471744207381</v>
      </c>
      <c r="AU947">
        <v>101.78179885946111</v>
      </c>
      <c r="AV947"/>
      <c r="AW947"/>
      <c r="FY947" s="211">
        <v>942</v>
      </c>
      <c r="FZ947">
        <v>219.72107790382748</v>
      </c>
      <c r="GA947">
        <v>158.11723379536986</v>
      </c>
      <c r="GB947">
        <v>33.727398790744395</v>
      </c>
      <c r="GC947">
        <v>6.85005550100602</v>
      </c>
      <c r="GD947">
        <v>2.9162422600067588</v>
      </c>
      <c r="GE947">
        <v>3.8874383687721368</v>
      </c>
      <c r="GF947">
        <v>24.963374480162891</v>
      </c>
      <c r="GG947">
        <v>35.682549542750806</v>
      </c>
      <c r="GH947">
        <v>32.703872534964461</v>
      </c>
      <c r="GI947">
        <v>84.226076275565873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1228.5142840249689</v>
      </c>
      <c r="AO948">
        <v>167.92524028119706</v>
      </c>
      <c r="AP948">
        <v>1376.3085091569124</v>
      </c>
      <c r="AQ948">
        <v>407.3784547843797</v>
      </c>
      <c r="AR948">
        <v>162.14184052104247</v>
      </c>
      <c r="AS948">
        <v>1760.4543537014442</v>
      </c>
      <c r="AT948">
        <v>73.161567821474279</v>
      </c>
      <c r="AU948">
        <v>366.57234376347918</v>
      </c>
      <c r="AV948"/>
      <c r="AW948"/>
      <c r="FY948" s="211">
        <v>943</v>
      </c>
      <c r="FZ948">
        <v>76.955832828413691</v>
      </c>
      <c r="GA948">
        <v>89.430741983946191</v>
      </c>
      <c r="GB948">
        <v>35.81876439889384</v>
      </c>
      <c r="GC948">
        <v>8.7329262914341115</v>
      </c>
      <c r="GD948">
        <v>3.1735983142864517</v>
      </c>
      <c r="GE948">
        <v>5.7518147029472768</v>
      </c>
      <c r="GF948">
        <v>31.453873315038809</v>
      </c>
      <c r="GG948">
        <v>41.343956868828052</v>
      </c>
      <c r="GH948">
        <v>13.269929142043873</v>
      </c>
      <c r="GI948">
        <v>78.175294785914772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1279.160455306655</v>
      </c>
      <c r="AO949">
        <v>165.419215849051</v>
      </c>
      <c r="AP949">
        <v>1390.512579231322</v>
      </c>
      <c r="AQ949">
        <v>498.07477720470752</v>
      </c>
      <c r="AR949">
        <v>159.78765798887031</v>
      </c>
      <c r="AS949">
        <v>1773.3207218701414</v>
      </c>
      <c r="AT949">
        <v>76.373233327985588</v>
      </c>
      <c r="AU949">
        <v>212.27069296355364</v>
      </c>
      <c r="AV949"/>
      <c r="AW949"/>
      <c r="FY949" s="211">
        <v>944</v>
      </c>
      <c r="FZ949">
        <v>118.45713375874604</v>
      </c>
      <c r="GA949">
        <v>70.301520701653416</v>
      </c>
      <c r="GB949">
        <v>23.025095707558531</v>
      </c>
      <c r="GC949">
        <v>8.9830175281943454</v>
      </c>
      <c r="GD949">
        <v>3.8475305840050007</v>
      </c>
      <c r="GE949">
        <v>5.9402016678914924</v>
      </c>
      <c r="GF949">
        <v>17.993366833918508</v>
      </c>
      <c r="GG949">
        <v>23.487775736426443</v>
      </c>
      <c r="GH949">
        <v>27.104634205046551</v>
      </c>
      <c r="GI949">
        <v>64.664564041044983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899.88607589631886</v>
      </c>
      <c r="AO950">
        <v>132.21500567138466</v>
      </c>
      <c r="AP950">
        <v>1005.0458968574129</v>
      </c>
      <c r="AQ950">
        <v>305.6947852168351</v>
      </c>
      <c r="AR950">
        <v>130.33057362553399</v>
      </c>
      <c r="AS950">
        <v>1365.9300165837535</v>
      </c>
      <c r="AT950">
        <v>62.140225920360173</v>
      </c>
      <c r="AU950">
        <v>32.065773340178481</v>
      </c>
      <c r="AV950"/>
      <c r="AW950"/>
      <c r="FY950" s="211">
        <v>945</v>
      </c>
      <c r="FZ950">
        <v>91.856241551428539</v>
      </c>
      <c r="GA950">
        <v>102.39267011616843</v>
      </c>
      <c r="GB950">
        <v>40.366228821283343</v>
      </c>
      <c r="GC950">
        <v>9.0031025056390384</v>
      </c>
      <c r="GD950">
        <v>3.5174885514066596</v>
      </c>
      <c r="GE950">
        <v>5.1438193619319188</v>
      </c>
      <c r="GF950">
        <v>48.602177757029892</v>
      </c>
      <c r="GG950">
        <v>62.813960977377377</v>
      </c>
      <c r="GH950">
        <v>20.945606338937239</v>
      </c>
      <c r="GI950">
        <v>84.648617680407938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1082.9938334901685</v>
      </c>
      <c r="AO951">
        <v>164.62551758972612</v>
      </c>
      <c r="AP951">
        <v>1371.224760821701</v>
      </c>
      <c r="AQ951">
        <v>419.09340084072153</v>
      </c>
      <c r="AR951">
        <v>158.74738538892151</v>
      </c>
      <c r="AS951">
        <v>1574.3167578610642</v>
      </c>
      <c r="AT951">
        <v>71.664029893195533</v>
      </c>
      <c r="AU951">
        <v>239.20786987632707</v>
      </c>
      <c r="AV951"/>
      <c r="AW951"/>
      <c r="FY951" s="211">
        <v>946</v>
      </c>
      <c r="FZ951">
        <v>157.95631823408382</v>
      </c>
      <c r="GA951">
        <v>138.64351887375238</v>
      </c>
      <c r="GB951">
        <v>42.169687577557234</v>
      </c>
      <c r="GC951">
        <v>9.6523935923304656</v>
      </c>
      <c r="GD951">
        <v>4.0419413660534982</v>
      </c>
      <c r="GE951">
        <v>6.4956288103929438</v>
      </c>
      <c r="GF951">
        <v>21.945629399163238</v>
      </c>
      <c r="GG951">
        <v>24.761540295444195</v>
      </c>
      <c r="GH951">
        <v>23.893928168981677</v>
      </c>
      <c r="GI951">
        <v>79.718389685112797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1181.66630521359</v>
      </c>
      <c r="AO952">
        <v>192.96706748039335</v>
      </c>
      <c r="AP952">
        <v>1729.4945952931905</v>
      </c>
      <c r="AQ952">
        <v>568.24311546157242</v>
      </c>
      <c r="AR952">
        <v>183.92204333788908</v>
      </c>
      <c r="AS952">
        <v>1950.4181776939004</v>
      </c>
      <c r="AT952">
        <v>92.620816550428415</v>
      </c>
      <c r="AU952">
        <v>115.11252220666631</v>
      </c>
      <c r="AV952"/>
      <c r="AW952"/>
      <c r="FY952" s="211">
        <v>947</v>
      </c>
      <c r="FZ952">
        <v>169.42380647389015</v>
      </c>
      <c r="GA952">
        <v>158.8759290861351</v>
      </c>
      <c r="GB952">
        <v>39.206328446844644</v>
      </c>
      <c r="GC952">
        <v>9.7598148952198951</v>
      </c>
      <c r="GD952">
        <v>2.7613590693236363</v>
      </c>
      <c r="GE952">
        <v>4.8875176138639853</v>
      </c>
      <c r="GF952">
        <v>14.715048256148398</v>
      </c>
      <c r="GG952">
        <v>18.304158186333918</v>
      </c>
      <c r="GH952">
        <v>20.401333647128698</v>
      </c>
      <c r="GI952">
        <v>76.778244910502508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1025.4060280223009</v>
      </c>
      <c r="AO953">
        <v>137.35646562528714</v>
      </c>
      <c r="AP953">
        <v>1067.825978803945</v>
      </c>
      <c r="AQ953">
        <v>407.38525756821343</v>
      </c>
      <c r="AR953">
        <v>135.26208220906511</v>
      </c>
      <c r="AS953">
        <v>1536.610480100338</v>
      </c>
      <c r="AT953">
        <v>65.267945185773002</v>
      </c>
      <c r="AU953">
        <v>236.31565661897949</v>
      </c>
      <c r="AV953"/>
      <c r="AW953"/>
      <c r="FY953" s="211">
        <v>948</v>
      </c>
      <c r="FZ953">
        <v>157.11232740422528</v>
      </c>
      <c r="GA953">
        <v>112.94913904068979</v>
      </c>
      <c r="GB953">
        <v>44.685972388123403</v>
      </c>
      <c r="GC953">
        <v>10.231082505744105</v>
      </c>
      <c r="GD953">
        <v>4.0976420382551657</v>
      </c>
      <c r="GE953">
        <v>7.0877991135736202</v>
      </c>
      <c r="GF953">
        <v>16.692480200306328</v>
      </c>
      <c r="GG953">
        <v>20.292839932926842</v>
      </c>
      <c r="GH953">
        <v>17.567567853507303</v>
      </c>
      <c r="GI953">
        <v>69.9241861625501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1121.1069273810467</v>
      </c>
      <c r="AO954">
        <v>158.22659355208603</v>
      </c>
      <c r="AP954">
        <v>1178.9247229388759</v>
      </c>
      <c r="AQ954">
        <v>417.62694963841494</v>
      </c>
      <c r="AR954">
        <v>156.73439567340861</v>
      </c>
      <c r="AS954">
        <v>1750.3466484366904</v>
      </c>
      <c r="AT954">
        <v>81.120162080556426</v>
      </c>
      <c r="AU954">
        <v>191.44081284970719</v>
      </c>
      <c r="AV954"/>
      <c r="AW954"/>
      <c r="FY954" s="211">
        <v>949</v>
      </c>
      <c r="FZ954">
        <v>112.03283137610495</v>
      </c>
      <c r="GA954">
        <v>54.284014119210525</v>
      </c>
      <c r="GB954">
        <v>30.312344991675598</v>
      </c>
      <c r="GC954">
        <v>9.1385958192360217</v>
      </c>
      <c r="GD954">
        <v>3.38367768190709</v>
      </c>
      <c r="GE954">
        <v>5.4629549903573063</v>
      </c>
      <c r="GF954">
        <v>36.087179204440076</v>
      </c>
      <c r="GG954">
        <v>48.834300251322254</v>
      </c>
      <c r="GH954">
        <v>31.651770860564593</v>
      </c>
      <c r="GI954">
        <v>81.090774185379288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1314.6056960909025</v>
      </c>
      <c r="AO955">
        <v>181.47343620102242</v>
      </c>
      <c r="AP955">
        <v>1552.9430309187012</v>
      </c>
      <c r="AQ955">
        <v>541.91373529096802</v>
      </c>
      <c r="AR955">
        <v>176.45861970191621</v>
      </c>
      <c r="AS955">
        <v>1893.5694028236767</v>
      </c>
      <c r="AT955">
        <v>82.895824043843945</v>
      </c>
      <c r="AU955">
        <v>249.63301788988593</v>
      </c>
      <c r="AV955"/>
      <c r="AW955"/>
      <c r="FY955" s="211">
        <v>950</v>
      </c>
      <c r="FZ955">
        <v>79.69337643226828</v>
      </c>
      <c r="GA955">
        <v>52.390468334287505</v>
      </c>
      <c r="GB955">
        <v>20.833144955790608</v>
      </c>
      <c r="GC955">
        <v>7.6613185498488523</v>
      </c>
      <c r="GD955">
        <v>3.2023168177319095</v>
      </c>
      <c r="GE955">
        <v>4.9122541429787248</v>
      </c>
      <c r="GF955">
        <v>28.267793980509492</v>
      </c>
      <c r="GG955">
        <v>35.591353441437398</v>
      </c>
      <c r="GH955">
        <v>22.696155480267816</v>
      </c>
      <c r="GI955">
        <v>65.667366996346331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1191.410979790307</v>
      </c>
      <c r="AO956">
        <v>154.79607824848054</v>
      </c>
      <c r="AP956">
        <v>1213.598921388023</v>
      </c>
      <c r="AQ956">
        <v>384.34251507112839</v>
      </c>
      <c r="AR956">
        <v>149.6772175866522</v>
      </c>
      <c r="AS956">
        <v>1638.1363344899962</v>
      </c>
      <c r="AT956">
        <v>70.402703561704769</v>
      </c>
      <c r="AU956">
        <v>106.23215206489297</v>
      </c>
      <c r="AV956"/>
      <c r="AW956"/>
      <c r="FY956" s="211">
        <v>951</v>
      </c>
      <c r="FZ956">
        <v>184.15954651726616</v>
      </c>
      <c r="GA956">
        <v>130.50231748433208</v>
      </c>
      <c r="GB956">
        <v>29.160777888349266</v>
      </c>
      <c r="GC956">
        <v>8.4810736584146831</v>
      </c>
      <c r="GD956">
        <v>3.4142664595930796</v>
      </c>
      <c r="GE956">
        <v>4.9317763964130359</v>
      </c>
      <c r="GF956">
        <v>28.227298709937831</v>
      </c>
      <c r="GG956">
        <v>37.812387203733195</v>
      </c>
      <c r="GH956">
        <v>20.410926940278113</v>
      </c>
      <c r="GI956">
        <v>76.959906715140619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1193.6166064978211</v>
      </c>
      <c r="AO957">
        <v>162.45909599257206</v>
      </c>
      <c r="AP957">
        <v>1402.5297399367889</v>
      </c>
      <c r="AQ957">
        <v>368.05318883724379</v>
      </c>
      <c r="AR957">
        <v>154.71788986581555</v>
      </c>
      <c r="AS957">
        <v>1622.916227301399</v>
      </c>
      <c r="AT957">
        <v>70.491032665022004</v>
      </c>
      <c r="AU957">
        <v>282.16612626306193</v>
      </c>
      <c r="AV957"/>
      <c r="AW957"/>
      <c r="FY957" s="211">
        <v>952</v>
      </c>
      <c r="FZ957">
        <v>93.80779496075985</v>
      </c>
      <c r="GA957">
        <v>106.09329987322354</v>
      </c>
      <c r="GB957">
        <v>36.249044939153642</v>
      </c>
      <c r="GC957">
        <v>7.7905179346391451</v>
      </c>
      <c r="GD957">
        <v>2.8363920162980083</v>
      </c>
      <c r="GE957">
        <v>6.3675298564961569</v>
      </c>
      <c r="GF957">
        <v>46.854468339061995</v>
      </c>
      <c r="GG957">
        <v>59.470437213659046</v>
      </c>
      <c r="GH957">
        <v>39.459633629541059</v>
      </c>
      <c r="GI957">
        <v>84.046257714735347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1197.3659519840692</v>
      </c>
      <c r="AO958">
        <v>193.48411714313579</v>
      </c>
      <c r="AP958">
        <v>1730.939484512337</v>
      </c>
      <c r="AQ958">
        <v>602.79531945317069</v>
      </c>
      <c r="AR958">
        <v>191.41607823324668</v>
      </c>
      <c r="AS958">
        <v>1995.6419091532994</v>
      </c>
      <c r="AT958">
        <v>105.66228466195702</v>
      </c>
      <c r="AU958">
        <v>125.2606676748958</v>
      </c>
      <c r="AV958"/>
      <c r="AW958"/>
      <c r="FY958" s="211">
        <v>953</v>
      </c>
      <c r="FZ958">
        <v>93.486947433899061</v>
      </c>
      <c r="GA958">
        <v>106.62748582477968</v>
      </c>
      <c r="GB958">
        <v>38.862446364378947</v>
      </c>
      <c r="GC958">
        <v>8.3545340106224124</v>
      </c>
      <c r="GD958">
        <v>3.282810195349958</v>
      </c>
      <c r="GE958">
        <v>5.821297453019735</v>
      </c>
      <c r="GF958">
        <v>15.562152973483627</v>
      </c>
      <c r="GG958">
        <v>19.526020437835029</v>
      </c>
      <c r="GH958">
        <v>23.126778331845536</v>
      </c>
      <c r="GI958">
        <v>69.934903334812475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1179.1665503705037</v>
      </c>
      <c r="AO959">
        <v>173.94684575837223</v>
      </c>
      <c r="AP959">
        <v>1388.3135686698304</v>
      </c>
      <c r="AQ959">
        <v>384.10673263174709</v>
      </c>
      <c r="AR959">
        <v>166.71215159991436</v>
      </c>
      <c r="AS959">
        <v>1757.4968728394995</v>
      </c>
      <c r="AT959">
        <v>75.817152138581164</v>
      </c>
      <c r="AU959">
        <v>181.39165824709468</v>
      </c>
      <c r="AV959"/>
      <c r="AW959"/>
      <c r="FY959" s="211">
        <v>954</v>
      </c>
      <c r="FZ959">
        <v>175.2113583287952</v>
      </c>
      <c r="GA959">
        <v>169.99335773920751</v>
      </c>
      <c r="GB959">
        <v>46.191575879860153</v>
      </c>
      <c r="GC959">
        <v>7.5584695478081692</v>
      </c>
      <c r="GD959">
        <v>4.4393474925507199</v>
      </c>
      <c r="GE959">
        <v>8.5598706354383527</v>
      </c>
      <c r="GF959">
        <v>14.006487969240183</v>
      </c>
      <c r="GG959">
        <v>19.149444852765086</v>
      </c>
      <c r="GH959">
        <v>19.118766008618898</v>
      </c>
      <c r="GI959">
        <v>75.997759344909696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930.4203942279255</v>
      </c>
      <c r="AO960">
        <v>139.66134446178867</v>
      </c>
      <c r="AP960">
        <v>1176.2837143080294</v>
      </c>
      <c r="AQ960">
        <v>363.80484076448533</v>
      </c>
      <c r="AR960">
        <v>135.08308771051782</v>
      </c>
      <c r="AS960">
        <v>1405.3777350529595</v>
      </c>
      <c r="AT960">
        <v>64.923156864565158</v>
      </c>
      <c r="AU960">
        <v>38.903452806193165</v>
      </c>
      <c r="AV960"/>
      <c r="AW960"/>
      <c r="FY960" s="211">
        <v>955</v>
      </c>
      <c r="FZ960">
        <v>176.3952156859302</v>
      </c>
      <c r="GA960">
        <v>122.54865125056398</v>
      </c>
      <c r="GB960">
        <v>27.168483614040248</v>
      </c>
      <c r="GC960">
        <v>7.9029600430777025</v>
      </c>
      <c r="GD960">
        <v>2.8277119296928452</v>
      </c>
      <c r="GE960">
        <v>5.8049168995732181</v>
      </c>
      <c r="GF960">
        <v>24.917070387303667</v>
      </c>
      <c r="GG960">
        <v>27.656085847197254</v>
      </c>
      <c r="GH960">
        <v>21.273484688354021</v>
      </c>
      <c r="GI960">
        <v>73.079211328216417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1378.7291167833325</v>
      </c>
      <c r="AO961">
        <v>181.19296670772326</v>
      </c>
      <c r="AP961">
        <v>1612.1942435499602</v>
      </c>
      <c r="AQ961">
        <v>469.28991366161046</v>
      </c>
      <c r="AR961">
        <v>175.64588451783575</v>
      </c>
      <c r="AS961">
        <v>1920.6671118446504</v>
      </c>
      <c r="AT961">
        <v>81.644732258826664</v>
      </c>
      <c r="AU961">
        <v>366.11480626196737</v>
      </c>
      <c r="AV961"/>
      <c r="AW961"/>
      <c r="FY961" s="211">
        <v>956</v>
      </c>
      <c r="FZ961">
        <v>174.93167541416079</v>
      </c>
      <c r="GA961">
        <v>109.76504876473027</v>
      </c>
      <c r="GB961">
        <v>22.676082672387388</v>
      </c>
      <c r="GC961">
        <v>7.8912718950630873</v>
      </c>
      <c r="GD961">
        <v>3.5372152890890911</v>
      </c>
      <c r="GE961">
        <v>6.2054600551135426</v>
      </c>
      <c r="GF961">
        <v>5.2989133341246584</v>
      </c>
      <c r="GG961">
        <v>7.1190089752513899</v>
      </c>
      <c r="GH961">
        <v>33.00712102487811</v>
      </c>
      <c r="GI961">
        <v>68.111346037990671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1201.4924963072458</v>
      </c>
      <c r="AO962">
        <v>175.22695101357377</v>
      </c>
      <c r="AP962">
        <v>1529.0433346868649</v>
      </c>
      <c r="AQ962">
        <v>509.27897600287224</v>
      </c>
      <c r="AR962">
        <v>174.79703837355328</v>
      </c>
      <c r="AS962">
        <v>1864.3498530705142</v>
      </c>
      <c r="AT962">
        <v>86.670599442726413</v>
      </c>
      <c r="AU962">
        <v>214.57827742623004</v>
      </c>
      <c r="AV962"/>
      <c r="AW962"/>
      <c r="FY962" s="211">
        <v>957</v>
      </c>
      <c r="FZ962">
        <v>112.94490495247673</v>
      </c>
      <c r="GA962">
        <v>71.322748808229193</v>
      </c>
      <c r="GB962">
        <v>23.467497845671723</v>
      </c>
      <c r="GC962">
        <v>7.6399900543187487</v>
      </c>
      <c r="GD962">
        <v>3.7333173512274271</v>
      </c>
      <c r="GE962">
        <v>7.8996386781029084</v>
      </c>
      <c r="GF962">
        <v>21.261723333540406</v>
      </c>
      <c r="GG962">
        <v>26.918594388973027</v>
      </c>
      <c r="GH962">
        <v>20.42135603273972</v>
      </c>
      <c r="GI962">
        <v>62.913738603374973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1092.4051948661509</v>
      </c>
      <c r="AO963">
        <v>142.86247293473352</v>
      </c>
      <c r="AP963">
        <v>1126.1150627669901</v>
      </c>
      <c r="AQ963">
        <v>515.11354058539087</v>
      </c>
      <c r="AR963">
        <v>138.56083466518223</v>
      </c>
      <c r="AS963">
        <v>1529.1332780317518</v>
      </c>
      <c r="AT963">
        <v>70.05430088848577</v>
      </c>
      <c r="AU963">
        <v>22.425087007376447</v>
      </c>
      <c r="AV963"/>
      <c r="AW963"/>
      <c r="FY963" s="211">
        <v>958</v>
      </c>
      <c r="FZ963">
        <v>134.00806031464424</v>
      </c>
      <c r="GA963">
        <v>103.09233865464225</v>
      </c>
      <c r="GB963">
        <v>30.221287554362544</v>
      </c>
      <c r="GC963">
        <v>7.5814018409883097</v>
      </c>
      <c r="GD963">
        <v>3.8282134233141885</v>
      </c>
      <c r="GE963">
        <v>6.0928812887498704</v>
      </c>
      <c r="GF963">
        <v>22.801333097431694</v>
      </c>
      <c r="GG963">
        <v>27.401942415901843</v>
      </c>
      <c r="GH963">
        <v>21.421279258336398</v>
      </c>
      <c r="GI963">
        <v>66.851889853558873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1098.7568729542916</v>
      </c>
      <c r="AO964">
        <v>150.79390160940949</v>
      </c>
      <c r="AP964">
        <v>1285.2832369254259</v>
      </c>
      <c r="AQ964">
        <v>460.64103663990187</v>
      </c>
      <c r="AR964">
        <v>149.50496332174743</v>
      </c>
      <c r="AS964">
        <v>1505.6800867253762</v>
      </c>
      <c r="AT964">
        <v>72.50794840028118</v>
      </c>
      <c r="AU964">
        <v>129.06566422816172</v>
      </c>
      <c r="AV964"/>
      <c r="AW964"/>
      <c r="FY964" s="211">
        <v>959</v>
      </c>
      <c r="FZ964">
        <v>119.24063303772181</v>
      </c>
      <c r="GA964">
        <v>88.394460838651327</v>
      </c>
      <c r="GB964">
        <v>24.766299041773873</v>
      </c>
      <c r="GC964">
        <v>7.0540076687976185</v>
      </c>
      <c r="GD964">
        <v>3.8428379056162285</v>
      </c>
      <c r="GE964">
        <v>8.2319603930994916</v>
      </c>
      <c r="GF964">
        <v>21.383739443138801</v>
      </c>
      <c r="GG964">
        <v>25.145464620987156</v>
      </c>
      <c r="GH964">
        <v>36.673763953356449</v>
      </c>
      <c r="GI964">
        <v>80.358047025863613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1182.9451831467964</v>
      </c>
      <c r="AO965">
        <v>186.15574259667974</v>
      </c>
      <c r="AP965">
        <v>1630.7222780264137</v>
      </c>
      <c r="AQ965">
        <v>412.27844348019772</v>
      </c>
      <c r="AR965">
        <v>183.61168816891524</v>
      </c>
      <c r="AS965">
        <v>2010.926369565346</v>
      </c>
      <c r="AT965">
        <v>95.03426726106845</v>
      </c>
      <c r="AU965">
        <v>365.50137038826074</v>
      </c>
      <c r="AV965"/>
      <c r="AW965"/>
      <c r="FY965" s="211">
        <v>960</v>
      </c>
      <c r="FZ965">
        <v>178.00513701748025</v>
      </c>
      <c r="GA965">
        <v>112.79726053519262</v>
      </c>
      <c r="GB965">
        <v>21.047490454297861</v>
      </c>
      <c r="GC965">
        <v>6.4071854954389345</v>
      </c>
      <c r="GD965">
        <v>3.8217748341136728</v>
      </c>
      <c r="GE965">
        <v>7.1625033443835164</v>
      </c>
      <c r="GF965">
        <v>33.757919403138658</v>
      </c>
      <c r="GG965">
        <v>43.198511902053852</v>
      </c>
      <c r="GH965">
        <v>24.865967160798007</v>
      </c>
      <c r="GI965">
        <v>85.74975337649083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998.90910868796016</v>
      </c>
      <c r="AO966">
        <v>153.23474506432783</v>
      </c>
      <c r="AP966">
        <v>1192.9535399219581</v>
      </c>
      <c r="AQ966">
        <v>320.91554913146689</v>
      </c>
      <c r="AR966">
        <v>148.54098678104512</v>
      </c>
      <c r="AS966">
        <v>1462.5044580637448</v>
      </c>
      <c r="AT966">
        <v>63.71843167867717</v>
      </c>
      <c r="AU966">
        <v>110.94340481345773</v>
      </c>
      <c r="AV966"/>
      <c r="AW966"/>
      <c r="FY966" s="211">
        <v>961</v>
      </c>
      <c r="FZ966">
        <v>133.8684437116311</v>
      </c>
      <c r="GA966">
        <v>116.52720572080813</v>
      </c>
      <c r="GB966">
        <v>34.629499932782295</v>
      </c>
      <c r="GC966">
        <v>8.6364826932690875</v>
      </c>
      <c r="GD966">
        <v>2.7504355498608977</v>
      </c>
      <c r="GE966">
        <v>4.1046739693206415</v>
      </c>
      <c r="GF966">
        <v>39.8201564664869</v>
      </c>
      <c r="GG966">
        <v>52.853967548132673</v>
      </c>
      <c r="GH966">
        <v>26.972344888574774</v>
      </c>
      <c r="GI966">
        <v>86.278697515939527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1163.020094636254</v>
      </c>
      <c r="AO967">
        <v>179.39999273869523</v>
      </c>
      <c r="AP967">
        <v>1652.5750543662973</v>
      </c>
      <c r="AQ967">
        <v>524.06027797345814</v>
      </c>
      <c r="AR967">
        <v>175.11806976292783</v>
      </c>
      <c r="AS967">
        <v>1834.4557789639507</v>
      </c>
      <c r="AT967">
        <v>87.521827988492944</v>
      </c>
      <c r="AU967">
        <v>88.177141748705708</v>
      </c>
      <c r="AV967"/>
      <c r="AW967"/>
      <c r="FY967" s="211">
        <v>962</v>
      </c>
      <c r="FZ967">
        <v>157.60514738925121</v>
      </c>
      <c r="GA967">
        <v>145.33180069943876</v>
      </c>
      <c r="GB967">
        <v>44.515539228606002</v>
      </c>
      <c r="GC967">
        <v>8.5219644190868884</v>
      </c>
      <c r="GD967">
        <v>2.6195710392402058</v>
      </c>
      <c r="GE967">
        <v>4.1571544804123368</v>
      </c>
      <c r="GF967">
        <v>32.452346296057677</v>
      </c>
      <c r="GG967">
        <v>42.615436202292507</v>
      </c>
      <c r="GH967">
        <v>31.590839695769297</v>
      </c>
      <c r="GI967">
        <v>91.80244062288206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1339.7169309184928</v>
      </c>
      <c r="AO968">
        <v>177.04233686269848</v>
      </c>
      <c r="AP968">
        <v>1562.1955929305545</v>
      </c>
      <c r="AQ968">
        <v>482.97537647756781</v>
      </c>
      <c r="AR968">
        <v>170.71045708209488</v>
      </c>
      <c r="AS968">
        <v>1872.0241254983448</v>
      </c>
      <c r="AT968">
        <v>81.882691954363295</v>
      </c>
      <c r="AU968">
        <v>377.80535447076386</v>
      </c>
      <c r="AV968"/>
      <c r="AW968"/>
      <c r="FY968" s="211">
        <v>963</v>
      </c>
      <c r="FZ968">
        <v>123.56381064691982</v>
      </c>
      <c r="GA968">
        <v>75.788864020415929</v>
      </c>
      <c r="GB968">
        <v>26.63436633272574</v>
      </c>
      <c r="GC968">
        <v>8.4982539781329223</v>
      </c>
      <c r="GD968">
        <v>3.0201490007105392</v>
      </c>
      <c r="GE968">
        <v>4.4286133556250196</v>
      </c>
      <c r="GF968">
        <v>23.211140925499222</v>
      </c>
      <c r="GG968">
        <v>26.713420353765116</v>
      </c>
      <c r="GH968">
        <v>17.027227486088897</v>
      </c>
      <c r="GI968">
        <v>63.157066537260647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1041.1820495709676</v>
      </c>
      <c r="AO969">
        <v>149.62558305818015</v>
      </c>
      <c r="AP969">
        <v>1118.0664272775236</v>
      </c>
      <c r="AQ969">
        <v>384.58537636002643</v>
      </c>
      <c r="AR969">
        <v>146.24273887514082</v>
      </c>
      <c r="AS969">
        <v>1516.3715528948435</v>
      </c>
      <c r="AT969">
        <v>70.812087716889607</v>
      </c>
      <c r="AU969">
        <v>97.787189191012672</v>
      </c>
      <c r="AV969"/>
      <c r="AW969"/>
      <c r="FY969" s="211">
        <v>964</v>
      </c>
      <c r="FZ969">
        <v>149.81288706009317</v>
      </c>
      <c r="GA969">
        <v>102.25478134705843</v>
      </c>
      <c r="GB969">
        <v>27.185221334485266</v>
      </c>
      <c r="GC969">
        <v>9.8926166261124742</v>
      </c>
      <c r="GD969">
        <v>3.5290981958552692</v>
      </c>
      <c r="GE969">
        <v>4.4209074159682169</v>
      </c>
      <c r="GF969">
        <v>15.705649678993066</v>
      </c>
      <c r="GG969">
        <v>19.894020585590784</v>
      </c>
      <c r="GH969">
        <v>18.280107309235241</v>
      </c>
      <c r="GI969">
        <v>64.651239413450824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1160.5643073551114</v>
      </c>
      <c r="AO970">
        <v>165.47087194243198</v>
      </c>
      <c r="AP970">
        <v>1463.2642135467499</v>
      </c>
      <c r="AQ970">
        <v>540.22643779919395</v>
      </c>
      <c r="AR970">
        <v>161.50284483135565</v>
      </c>
      <c r="AS970">
        <v>1735.0328672835215</v>
      </c>
      <c r="AT970">
        <v>80.80416317838646</v>
      </c>
      <c r="AU970">
        <v>18.17479134443434</v>
      </c>
      <c r="AV970"/>
      <c r="AW970"/>
      <c r="FY970" s="211">
        <v>965</v>
      </c>
      <c r="FZ970">
        <v>190.89219606803758</v>
      </c>
      <c r="GA970">
        <v>153.79377277555966</v>
      </c>
      <c r="GB970">
        <v>36.994700300319344</v>
      </c>
      <c r="GC970">
        <v>8.4454612566810887</v>
      </c>
      <c r="GD970">
        <v>5.3692127105791299</v>
      </c>
      <c r="GE970">
        <v>9.3740002612429798</v>
      </c>
      <c r="GF970">
        <v>67.578146022248433</v>
      </c>
      <c r="GG970">
        <v>81.457997512124123</v>
      </c>
      <c r="GH970">
        <v>19.61067628699346</v>
      </c>
      <c r="GI970">
        <v>98.569246221049994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1062.8128196852508</v>
      </c>
      <c r="AO971">
        <v>157.46820982340554</v>
      </c>
      <c r="AP971">
        <v>1248.0323869571916</v>
      </c>
      <c r="AQ971">
        <v>489.57379167394959</v>
      </c>
      <c r="AR971">
        <v>156.08051774362562</v>
      </c>
      <c r="AS971">
        <v>1645.4314299492657</v>
      </c>
      <c r="AT971">
        <v>78.001369851734054</v>
      </c>
      <c r="AU971">
        <v>99.687521886022679</v>
      </c>
      <c r="AV971"/>
      <c r="AW971"/>
      <c r="FY971" s="211">
        <v>966</v>
      </c>
      <c r="FZ971">
        <v>148.87630908584455</v>
      </c>
      <c r="GA971">
        <v>65.730850279284553</v>
      </c>
      <c r="GB971">
        <v>22.27565915722985</v>
      </c>
      <c r="GC971">
        <v>8.120412061590276</v>
      </c>
      <c r="GD971">
        <v>3.08021229143867</v>
      </c>
      <c r="GE971">
        <v>6.7307326989581746</v>
      </c>
      <c r="GF971">
        <v>42.155359203020907</v>
      </c>
      <c r="GG971">
        <v>51.781826318905701</v>
      </c>
      <c r="GH971">
        <v>30.597372789427428</v>
      </c>
      <c r="GI971">
        <v>81.088734465945066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913.51443711461002</v>
      </c>
      <c r="AO972">
        <v>154.87360158337759</v>
      </c>
      <c r="AP972">
        <v>1257.9978807491775</v>
      </c>
      <c r="AQ972">
        <v>438.54314346278898</v>
      </c>
      <c r="AR972">
        <v>153.93152059323364</v>
      </c>
      <c r="AS972">
        <v>1655.9340118695413</v>
      </c>
      <c r="AT972">
        <v>83.270303536622279</v>
      </c>
      <c r="AU972">
        <v>-47.608080632265285</v>
      </c>
      <c r="AV972"/>
      <c r="AW972"/>
      <c r="FY972" s="211">
        <v>967</v>
      </c>
      <c r="FZ972">
        <v>135.53495598504594</v>
      </c>
      <c r="GA972">
        <v>107.45292963655785</v>
      </c>
      <c r="GB972">
        <v>33.779106923026497</v>
      </c>
      <c r="GC972">
        <v>8.168442564563323</v>
      </c>
      <c r="GD972">
        <v>3.9649658586979331</v>
      </c>
      <c r="GE972">
        <v>6.6994606108238042</v>
      </c>
      <c r="GF972">
        <v>9.1331852458400391</v>
      </c>
      <c r="GG972">
        <v>14.333644231172444</v>
      </c>
      <c r="GH972">
        <v>31.459665865852887</v>
      </c>
      <c r="GI972">
        <v>70.829366788403519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927.83336564463332</v>
      </c>
      <c r="AO973">
        <v>142.22491793456877</v>
      </c>
      <c r="AP973">
        <v>1248.8603512870545</v>
      </c>
      <c r="AQ973">
        <v>358.52351004865483</v>
      </c>
      <c r="AR973">
        <v>137.80697734961424</v>
      </c>
      <c r="AS973">
        <v>1399.3344023863692</v>
      </c>
      <c r="AT973">
        <v>67.223382512404626</v>
      </c>
      <c r="AU973">
        <v>187.84708932027604</v>
      </c>
      <c r="AV973"/>
      <c r="AW973"/>
      <c r="FY973" s="211">
        <v>968</v>
      </c>
      <c r="FZ973">
        <v>64.450320849542365</v>
      </c>
      <c r="GA973">
        <v>46.378771476247735</v>
      </c>
      <c r="GB973">
        <v>33.462818110139075</v>
      </c>
      <c r="GC973">
        <v>10.652351539629446</v>
      </c>
      <c r="GD973">
        <v>3.3015953968521567</v>
      </c>
      <c r="GE973">
        <v>6.3054534537002329</v>
      </c>
      <c r="GF973">
        <v>19.070330735877846</v>
      </c>
      <c r="GG973">
        <v>20.841453007948687</v>
      </c>
      <c r="GH973">
        <v>26.082115540835254</v>
      </c>
      <c r="GI973">
        <v>65.940766006202864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1031.1216097598249</v>
      </c>
      <c r="AO974">
        <v>139.63235167522038</v>
      </c>
      <c r="AP974">
        <v>1142.6149502323951</v>
      </c>
      <c r="AQ974">
        <v>423.30062770193013</v>
      </c>
      <c r="AR974">
        <v>139.26331051743574</v>
      </c>
      <c r="AS974">
        <v>1495.6852750627088</v>
      </c>
      <c r="AT974">
        <v>68.843591210245407</v>
      </c>
      <c r="AU974">
        <v>190.55408278883215</v>
      </c>
      <c r="AV974"/>
      <c r="AW974"/>
      <c r="FY974" s="211">
        <v>969</v>
      </c>
      <c r="FZ974">
        <v>129.13205481821535</v>
      </c>
      <c r="GA974">
        <v>140.67705144633845</v>
      </c>
      <c r="GB974">
        <v>38.079952054959662</v>
      </c>
      <c r="GC974">
        <v>6.3655209623276576</v>
      </c>
      <c r="GD974">
        <v>3.3847634785838205</v>
      </c>
      <c r="GE974">
        <v>5.2311603563035627</v>
      </c>
      <c r="GF974">
        <v>12.652677107000304</v>
      </c>
      <c r="GG974">
        <v>15.758003868387133</v>
      </c>
      <c r="GH974">
        <v>20.598786003469115</v>
      </c>
      <c r="GI974">
        <v>71.670894312146473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1137.553979135128</v>
      </c>
      <c r="AO975">
        <v>180.49943187148662</v>
      </c>
      <c r="AP975">
        <v>1411.4272168095276</v>
      </c>
      <c r="AQ975">
        <v>415.09121392900636</v>
      </c>
      <c r="AR975">
        <v>174.50698308059282</v>
      </c>
      <c r="AS975">
        <v>1817.4759933101143</v>
      </c>
      <c r="AT975">
        <v>85.303438019758957</v>
      </c>
      <c r="AU975">
        <v>130.67651150610197</v>
      </c>
      <c r="AV975"/>
      <c r="AW975"/>
      <c r="FY975" s="211">
        <v>970</v>
      </c>
      <c r="FZ975">
        <v>145.20590111205726</v>
      </c>
      <c r="GA975">
        <v>129.02916301772314</v>
      </c>
      <c r="GB975">
        <v>34.635642538552673</v>
      </c>
      <c r="GC975">
        <v>6.0993209243888709</v>
      </c>
      <c r="GD975">
        <v>3.2950942848386751</v>
      </c>
      <c r="GE975">
        <v>9.1324442521973186</v>
      </c>
      <c r="GF975">
        <v>13.115169356457665</v>
      </c>
      <c r="GG975">
        <v>13.459057485428898</v>
      </c>
      <c r="GH975">
        <v>33.582833142452898</v>
      </c>
      <c r="GI975">
        <v>74.006215307441636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1232.6488210260943</v>
      </c>
      <c r="AO976">
        <v>213.15967688911755</v>
      </c>
      <c r="AP976">
        <v>1861.7980966009541</v>
      </c>
      <c r="AQ976">
        <v>516.81350352338814</v>
      </c>
      <c r="AR976">
        <v>205.17518902350577</v>
      </c>
      <c r="AS976">
        <v>2050.7394935334255</v>
      </c>
      <c r="AT976">
        <v>101.4573111715401</v>
      </c>
      <c r="AU976">
        <v>309.52603401700605</v>
      </c>
      <c r="AV976"/>
      <c r="AW976"/>
      <c r="FY976" s="211">
        <v>971</v>
      </c>
      <c r="FZ976">
        <v>90.755263369285558</v>
      </c>
      <c r="GA976">
        <v>62.629500553621796</v>
      </c>
      <c r="GB976">
        <v>30.252250150565509</v>
      </c>
      <c r="GC976">
        <v>8.0232104577700927</v>
      </c>
      <c r="GD976">
        <v>1.9101122845874157</v>
      </c>
      <c r="GE976">
        <v>4.630798936406971</v>
      </c>
      <c r="GF976">
        <v>34.104725938026618</v>
      </c>
      <c r="GG976">
        <v>42.414216683518944</v>
      </c>
      <c r="GH976">
        <v>29.542725755132526</v>
      </c>
      <c r="GI976">
        <v>75.309569229427751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1316.8972082749076</v>
      </c>
      <c r="AO977">
        <v>198.67157735619108</v>
      </c>
      <c r="AP977">
        <v>1725.7081069840476</v>
      </c>
      <c r="AQ977">
        <v>506.44190799680604</v>
      </c>
      <c r="AR977">
        <v>192.73938734772813</v>
      </c>
      <c r="AS977">
        <v>2081.9757373330867</v>
      </c>
      <c r="AT977">
        <v>88.892277478720345</v>
      </c>
      <c r="AU977">
        <v>158.24710277656047</v>
      </c>
      <c r="AV977"/>
      <c r="AW977"/>
      <c r="FY977" s="211">
        <v>972</v>
      </c>
      <c r="FZ977">
        <v>97.805462241037745</v>
      </c>
      <c r="GA977">
        <v>118.88370430140723</v>
      </c>
      <c r="GB977">
        <v>37.798631623777048</v>
      </c>
      <c r="GC977">
        <v>8.0860273836910537</v>
      </c>
      <c r="GD977">
        <v>3.2742799394369198</v>
      </c>
      <c r="GE977">
        <v>4.0473840694001053</v>
      </c>
      <c r="GF977">
        <v>16.999149216344037</v>
      </c>
      <c r="GG977">
        <v>24.795352568110861</v>
      </c>
      <c r="GH977">
        <v>23.583544745938504</v>
      </c>
      <c r="GI977">
        <v>70.405584518404893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1369.9330327413741</v>
      </c>
      <c r="AO978">
        <v>211.51146799754747</v>
      </c>
      <c r="AP978">
        <v>1890.03506252443</v>
      </c>
      <c r="AQ978">
        <v>561.21224007303704</v>
      </c>
      <c r="AR978">
        <v>204.1531227577791</v>
      </c>
      <c r="AS978">
        <v>2225.2523974037472</v>
      </c>
      <c r="AT978">
        <v>102.14636793159463</v>
      </c>
      <c r="AU978">
        <v>392.98704340943459</v>
      </c>
      <c r="AV978"/>
      <c r="AW978"/>
      <c r="FY978" s="211">
        <v>973</v>
      </c>
      <c r="FZ978">
        <v>90.15349235836652</v>
      </c>
      <c r="GA978">
        <v>90.72075102724591</v>
      </c>
      <c r="GB978">
        <v>25.516364609919201</v>
      </c>
      <c r="GC978">
        <v>7.3262488074194918</v>
      </c>
      <c r="GD978">
        <v>3.8881271165431657</v>
      </c>
      <c r="GE978">
        <v>5.9425135974502226</v>
      </c>
      <c r="GF978">
        <v>15.209722500980174</v>
      </c>
      <c r="GG978">
        <v>17.441513626356091</v>
      </c>
      <c r="GH978">
        <v>27.643190163404828</v>
      </c>
      <c r="GI978">
        <v>67.946275479292041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940.48790214723067</v>
      </c>
      <c r="AO979">
        <v>135.35441625698496</v>
      </c>
      <c r="AP979">
        <v>1080.2429291455217</v>
      </c>
      <c r="AQ979">
        <v>372.0429126371439</v>
      </c>
      <c r="AR979">
        <v>133.29759952318261</v>
      </c>
      <c r="AS979">
        <v>1469.1030400863051</v>
      </c>
      <c r="AT979">
        <v>63.764282413811912</v>
      </c>
      <c r="AU979">
        <v>139.49236716422752</v>
      </c>
      <c r="AV979"/>
      <c r="AW979"/>
      <c r="FY979" s="211">
        <v>974</v>
      </c>
      <c r="FZ979">
        <v>117.71638050282601</v>
      </c>
      <c r="GA979">
        <v>62.529704155782724</v>
      </c>
      <c r="GB979">
        <v>22.348856070763819</v>
      </c>
      <c r="GC979">
        <v>8.4431448639945756</v>
      </c>
      <c r="GD979">
        <v>3.2228265957029949</v>
      </c>
      <c r="GE979">
        <v>4.9993026551426931</v>
      </c>
      <c r="GF979">
        <v>19.070987548849114</v>
      </c>
      <c r="GG979">
        <v>23.539854254669535</v>
      </c>
      <c r="GH979">
        <v>21.853344160734192</v>
      </c>
      <c r="GI979">
        <v>61.917914447962538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962.29500398246114</v>
      </c>
      <c r="AO980">
        <v>147.21215896828375</v>
      </c>
      <c r="AP980">
        <v>1253.8938096654306</v>
      </c>
      <c r="AQ980">
        <v>415.62652896684273</v>
      </c>
      <c r="AR980">
        <v>142.36444193396923</v>
      </c>
      <c r="AS980">
        <v>1519.7061654658291</v>
      </c>
      <c r="AT980">
        <v>67.648127029781392</v>
      </c>
      <c r="AU980">
        <v>67.74695680236934</v>
      </c>
      <c r="AV980"/>
      <c r="AW980"/>
      <c r="FY980" s="211">
        <v>975</v>
      </c>
      <c r="FZ980">
        <v>160.07671696155637</v>
      </c>
      <c r="GA980">
        <v>131.01771100429852</v>
      </c>
      <c r="GB980">
        <v>36.342799246579979</v>
      </c>
      <c r="GC980">
        <v>7.7885922538187362</v>
      </c>
      <c r="GD980">
        <v>2.8935224496115559</v>
      </c>
      <c r="GE980">
        <v>5.5783100552296876</v>
      </c>
      <c r="GF980">
        <v>29.278188542872286</v>
      </c>
      <c r="GG980">
        <v>37.201958043672903</v>
      </c>
      <c r="GH980">
        <v>22.009852648142761</v>
      </c>
      <c r="GI980">
        <v>79.999055496407706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1654.6234092929164</v>
      </c>
      <c r="AO981">
        <v>188.39000765494279</v>
      </c>
      <c r="AP981">
        <v>1669.4780181344588</v>
      </c>
      <c r="AQ981">
        <v>672.08540941483579</v>
      </c>
      <c r="AR981">
        <v>184.23743359315034</v>
      </c>
      <c r="AS981">
        <v>2101.5602606375915</v>
      </c>
      <c r="AT981">
        <v>84.07279365728624</v>
      </c>
      <c r="AU981">
        <v>362.60359844533627</v>
      </c>
      <c r="AV981"/>
      <c r="AW981"/>
      <c r="FY981" s="211">
        <v>976</v>
      </c>
      <c r="FZ981">
        <v>185.42104571991135</v>
      </c>
      <c r="GA981">
        <v>140.51277829974026</v>
      </c>
      <c r="GB981">
        <v>34.342759280790077</v>
      </c>
      <c r="GC981">
        <v>8.421884631407627</v>
      </c>
      <c r="GD981">
        <v>4.0024065266606836</v>
      </c>
      <c r="GE981">
        <v>7.1642098562679335</v>
      </c>
      <c r="GF981">
        <v>38.658114445178299</v>
      </c>
      <c r="GG981">
        <v>48.54964848791294</v>
      </c>
      <c r="GH981">
        <v>31.700704676856926</v>
      </c>
      <c r="GI981">
        <v>95.727643272074843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1180.1761884196462</v>
      </c>
      <c r="AO982">
        <v>167.5941241560227</v>
      </c>
      <c r="AP982">
        <v>1428.3367241798121</v>
      </c>
      <c r="AQ982">
        <v>460.43746835164518</v>
      </c>
      <c r="AR982">
        <v>165.80593858645091</v>
      </c>
      <c r="AS982">
        <v>1855.0252813362183</v>
      </c>
      <c r="AT982">
        <v>86.594488375178003</v>
      </c>
      <c r="AU982">
        <v>381.20463238885941</v>
      </c>
      <c r="AV982"/>
      <c r="AW982"/>
      <c r="FY982" s="211">
        <v>977</v>
      </c>
      <c r="FZ982">
        <v>185.0873536044985</v>
      </c>
      <c r="GA982">
        <v>128.602341598343</v>
      </c>
      <c r="GB982">
        <v>29.19725557505441</v>
      </c>
      <c r="GC982">
        <v>8.3916195243717837</v>
      </c>
      <c r="GD982">
        <v>3.7340315632283971</v>
      </c>
      <c r="GE982">
        <v>6.1259998629741634</v>
      </c>
      <c r="GF982">
        <v>18.830570327098535</v>
      </c>
      <c r="GG982">
        <v>23.92655689578827</v>
      </c>
      <c r="GH982">
        <v>27.667219955847131</v>
      </c>
      <c r="GI982">
        <v>71.416809832756343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1024.8304035145115</v>
      </c>
      <c r="AO983">
        <v>168.27481181114345</v>
      </c>
      <c r="AP983">
        <v>1441.6559373841037</v>
      </c>
      <c r="AQ983">
        <v>421.35572370998432</v>
      </c>
      <c r="AR983">
        <v>162.99595552158937</v>
      </c>
      <c r="AS983">
        <v>1710.6963471306551</v>
      </c>
      <c r="AT983">
        <v>85.246509164273888</v>
      </c>
      <c r="AU983">
        <v>84.869870435889283</v>
      </c>
      <c r="AV983"/>
      <c r="AW983"/>
      <c r="FY983" s="211">
        <v>978</v>
      </c>
      <c r="FZ983">
        <v>155.88741888013553</v>
      </c>
      <c r="GA983">
        <v>100.10812712372891</v>
      </c>
      <c r="GB983">
        <v>25.753944102388026</v>
      </c>
      <c r="GC983">
        <v>8.7658064851392155</v>
      </c>
      <c r="GD983">
        <v>3.407062691463052</v>
      </c>
      <c r="GE983">
        <v>6.7364345276898359</v>
      </c>
      <c r="GF983">
        <v>37.52593827779824</v>
      </c>
      <c r="GG983">
        <v>47.174351050414515</v>
      </c>
      <c r="GH983">
        <v>24.121474131878184</v>
      </c>
      <c r="GI983">
        <v>82.285935296273692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962.87308153029369</v>
      </c>
      <c r="AO984">
        <v>138.08101532797471</v>
      </c>
      <c r="AP984">
        <v>1088.7593592170522</v>
      </c>
      <c r="AQ984">
        <v>296.48597611697562</v>
      </c>
      <c r="AR984">
        <v>134.11197267191028</v>
      </c>
      <c r="AS984">
        <v>1430.9101592453744</v>
      </c>
      <c r="AT984">
        <v>65.321867761625995</v>
      </c>
      <c r="AU984">
        <v>171.86967647208351</v>
      </c>
      <c r="AV984"/>
      <c r="AW984"/>
      <c r="FY984" s="211">
        <v>979</v>
      </c>
      <c r="FZ984">
        <v>49.265574226315294</v>
      </c>
      <c r="GA984">
        <v>48.534249192069183</v>
      </c>
      <c r="GB984">
        <v>23.171790667192134</v>
      </c>
      <c r="GC984">
        <v>5.6163804900886625</v>
      </c>
      <c r="GD984">
        <v>2.7844093101136504</v>
      </c>
      <c r="GE984">
        <v>6.3308953440954561</v>
      </c>
      <c r="GF984">
        <v>25.48771119045799</v>
      </c>
      <c r="GG984">
        <v>32.467890576951653</v>
      </c>
      <c r="GH984">
        <v>22.611457392850475</v>
      </c>
      <c r="GI984">
        <v>65.546574144944898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1029.5021685862391</v>
      </c>
      <c r="AO985">
        <v>160.84212645843127</v>
      </c>
      <c r="AP985">
        <v>1376.9957034604922</v>
      </c>
      <c r="AQ985">
        <v>443.55086440773152</v>
      </c>
      <c r="AR985">
        <v>156.65555050834436</v>
      </c>
      <c r="AS985">
        <v>1640.7261289393252</v>
      </c>
      <c r="AT985">
        <v>79.577311171106246</v>
      </c>
      <c r="AU985">
        <v>84.027349973667128</v>
      </c>
      <c r="AV985"/>
      <c r="AW985"/>
      <c r="FY985" s="211">
        <v>980</v>
      </c>
      <c r="FZ985">
        <v>93.372653984530032</v>
      </c>
      <c r="GA985">
        <v>93.42121409790937</v>
      </c>
      <c r="GB985">
        <v>28.107790089096667</v>
      </c>
      <c r="GC985">
        <v>8.604023704980527</v>
      </c>
      <c r="GD985">
        <v>5.0393296223229038</v>
      </c>
      <c r="GE985">
        <v>9.5756193812321335</v>
      </c>
      <c r="GF985">
        <v>12.969015214534984</v>
      </c>
      <c r="GG985">
        <v>9.8056044788030903</v>
      </c>
      <c r="GH985">
        <v>17.417874160522139</v>
      </c>
      <c r="GI985">
        <v>63.369051391347291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1060.1298472244871</v>
      </c>
      <c r="AO986">
        <v>174.65714252695039</v>
      </c>
      <c r="AP986">
        <v>1507.402177357598</v>
      </c>
      <c r="AQ986">
        <v>461.56084142153907</v>
      </c>
      <c r="AR986">
        <v>168.90355177291468</v>
      </c>
      <c r="AS986">
        <v>1767.7641970941795</v>
      </c>
      <c r="AT986">
        <v>87.673592487577238</v>
      </c>
      <c r="AU986">
        <v>11.651280065819378</v>
      </c>
      <c r="AV986"/>
      <c r="AW986"/>
      <c r="FY986" s="211">
        <v>981</v>
      </c>
      <c r="FZ986">
        <v>135.50782872475818</v>
      </c>
      <c r="GA986">
        <v>114.10749454784229</v>
      </c>
      <c r="GB986">
        <v>29.794318635407958</v>
      </c>
      <c r="GC986">
        <v>9.0180085698300179</v>
      </c>
      <c r="GD986">
        <v>3.0915258108729429</v>
      </c>
      <c r="GE986">
        <v>4.0752059050221261</v>
      </c>
      <c r="GF986">
        <v>14.070944026897168</v>
      </c>
      <c r="GG986">
        <v>19.577817345489137</v>
      </c>
      <c r="GH986">
        <v>22.628816202280166</v>
      </c>
      <c r="GI986">
        <v>72.740668677621827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1081.0399154641893</v>
      </c>
      <c r="AO987">
        <v>161.3681717946198</v>
      </c>
      <c r="AP987">
        <v>1277.225967418615</v>
      </c>
      <c r="AQ987">
        <v>379.57237335834316</v>
      </c>
      <c r="AR987">
        <v>158.22439141123391</v>
      </c>
      <c r="AS987">
        <v>1789.5614683091032</v>
      </c>
      <c r="AT987">
        <v>81.94623214775369</v>
      </c>
      <c r="AU987">
        <v>323.0622328713016</v>
      </c>
      <c r="AV987"/>
      <c r="AW987"/>
      <c r="FY987" s="211">
        <v>982</v>
      </c>
      <c r="FZ987">
        <v>127.13765436740454</v>
      </c>
      <c r="GA987">
        <v>73.22327016992358</v>
      </c>
      <c r="GB987">
        <v>25.353024762660894</v>
      </c>
      <c r="GC987">
        <v>10.258033766407035</v>
      </c>
      <c r="GD987">
        <v>3.1360777611144592</v>
      </c>
      <c r="GE987">
        <v>4.2019533656794703</v>
      </c>
      <c r="GF987">
        <v>40.711260623416536</v>
      </c>
      <c r="GG987">
        <v>50.832574460129052</v>
      </c>
      <c r="GH987">
        <v>35.63352968302361</v>
      </c>
      <c r="GI987">
        <v>83.718747872771544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1062.5701827351172</v>
      </c>
      <c r="AO988">
        <v>149.5692647938327</v>
      </c>
      <c r="AP988">
        <v>1188.3365994167059</v>
      </c>
      <c r="AQ988">
        <v>405.67912060754838</v>
      </c>
      <c r="AR988">
        <v>145.25446326143495</v>
      </c>
      <c r="AS988">
        <v>1566.5550401825446</v>
      </c>
      <c r="AT988">
        <v>67.786268083343174</v>
      </c>
      <c r="AU988">
        <v>33.325564314853494</v>
      </c>
      <c r="AV988"/>
      <c r="AW988"/>
      <c r="FY988" s="211">
        <v>983</v>
      </c>
      <c r="FZ988">
        <v>105.68671738485246</v>
      </c>
      <c r="GA988">
        <v>76.078539364455949</v>
      </c>
      <c r="GB988">
        <v>34.296016119675706</v>
      </c>
      <c r="GC988">
        <v>8.909511945406825</v>
      </c>
      <c r="GD988">
        <v>3.6120743130565822</v>
      </c>
      <c r="GE988">
        <v>8.6650749672869107</v>
      </c>
      <c r="GF988">
        <v>39.239294491005424</v>
      </c>
      <c r="GG988">
        <v>44.380573089791042</v>
      </c>
      <c r="GH988">
        <v>22.280261174555541</v>
      </c>
      <c r="GI988">
        <v>72.506902959581453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975.37130219789651</v>
      </c>
      <c r="AO989">
        <v>151.88420506309265</v>
      </c>
      <c r="AP989">
        <v>1224.5866474642214</v>
      </c>
      <c r="AQ989">
        <v>351.7881992869776</v>
      </c>
      <c r="AR989">
        <v>148.58722063397946</v>
      </c>
      <c r="AS989">
        <v>1613.4802810073982</v>
      </c>
      <c r="AT989">
        <v>74.576481552723976</v>
      </c>
      <c r="AU989">
        <v>60.826290349781218</v>
      </c>
      <c r="AV989"/>
      <c r="AW989"/>
      <c r="FY989" s="211">
        <v>984</v>
      </c>
      <c r="FZ989">
        <v>210.91149944619607</v>
      </c>
      <c r="GA989">
        <v>131.00798546910062</v>
      </c>
      <c r="GB989">
        <v>28.878401768652154</v>
      </c>
      <c r="GC989">
        <v>6.7570135736456169</v>
      </c>
      <c r="GD989">
        <v>2.5362693897723649</v>
      </c>
      <c r="GE989">
        <v>4.1843307979048845</v>
      </c>
      <c r="GF989">
        <v>16.127824572259463</v>
      </c>
      <c r="GG989">
        <v>23.576053010781227</v>
      </c>
      <c r="GH989">
        <v>30.886203871066673</v>
      </c>
      <c r="GI989">
        <v>77.595155113580702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894.67945962763349</v>
      </c>
      <c r="AO990">
        <v>146.48058223638367</v>
      </c>
      <c r="AP990">
        <v>1255.0851570801763</v>
      </c>
      <c r="AQ990">
        <v>345.64231525642816</v>
      </c>
      <c r="AR990">
        <v>142.60714442505611</v>
      </c>
      <c r="AS990">
        <v>1425.0325132215473</v>
      </c>
      <c r="AT990">
        <v>68.185037287820023</v>
      </c>
      <c r="AU990">
        <v>74.311596686597937</v>
      </c>
      <c r="AV990"/>
      <c r="AW990"/>
      <c r="FY990" s="211">
        <v>985</v>
      </c>
      <c r="FZ990">
        <v>136.26472091368689</v>
      </c>
      <c r="GA990">
        <v>102.66325416223671</v>
      </c>
      <c r="GB990">
        <v>29.387998850065493</v>
      </c>
      <c r="GC990">
        <v>6.3477932118221183</v>
      </c>
      <c r="GD990">
        <v>2.0617209046812586</v>
      </c>
      <c r="GE990">
        <v>4.9634643329119896</v>
      </c>
      <c r="GF990">
        <v>7.4941155505559918</v>
      </c>
      <c r="GG990">
        <v>7.5305672611542667</v>
      </c>
      <c r="GH990">
        <v>25.306210988664219</v>
      </c>
      <c r="GI990">
        <v>55.846523923590652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1166.0384749305722</v>
      </c>
      <c r="AO991">
        <v>162.1447046750076</v>
      </c>
      <c r="AP991">
        <v>1285.9151988886333</v>
      </c>
      <c r="AQ991">
        <v>512.18670670219058</v>
      </c>
      <c r="AR991">
        <v>161.02887481758918</v>
      </c>
      <c r="AS991">
        <v>1798.6213949810206</v>
      </c>
      <c r="AT991">
        <v>78.127785537827222</v>
      </c>
      <c r="AU991">
        <v>63.734071163832468</v>
      </c>
      <c r="AV991"/>
      <c r="AW991"/>
      <c r="FY991" s="211">
        <v>986</v>
      </c>
      <c r="FZ991">
        <v>108.67197948111928</v>
      </c>
      <c r="GA991">
        <v>60.346873512578256</v>
      </c>
      <c r="GB991">
        <v>17.336329971997387</v>
      </c>
      <c r="GC991">
        <v>7.1230294391983868</v>
      </c>
      <c r="GD991">
        <v>3.5727142202653379</v>
      </c>
      <c r="GE991">
        <v>5.7170764605810103</v>
      </c>
      <c r="GF991">
        <v>31.172317883784032</v>
      </c>
      <c r="GG991">
        <v>39.320725743376748</v>
      </c>
      <c r="GH991">
        <v>24.79460773193404</v>
      </c>
      <c r="GI991">
        <v>67.456066532942728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1415.7176464429633</v>
      </c>
      <c r="AO992">
        <v>212.54143789293417</v>
      </c>
      <c r="AP992">
        <v>1807.0899365771195</v>
      </c>
      <c r="AQ992">
        <v>594.50119519680095</v>
      </c>
      <c r="AR992">
        <v>206.9684076553134</v>
      </c>
      <c r="AS992">
        <v>2246.5054148189402</v>
      </c>
      <c r="AT992">
        <v>104.51184895785487</v>
      </c>
      <c r="AU992">
        <v>302.9983010069086</v>
      </c>
      <c r="AV992"/>
      <c r="AW992"/>
      <c r="FY992" s="211">
        <v>987</v>
      </c>
      <c r="FZ992">
        <v>156.6626583798753</v>
      </c>
      <c r="GA992">
        <v>97.40505739765311</v>
      </c>
      <c r="GB992">
        <v>29.43320951403253</v>
      </c>
      <c r="GC992">
        <v>8.4811437195532697</v>
      </c>
      <c r="GD992">
        <v>4.7829376774932824</v>
      </c>
      <c r="GE992">
        <v>9.2685426456919568</v>
      </c>
      <c r="GF992">
        <v>47.579892217857903</v>
      </c>
      <c r="GG992">
        <v>59.891348978645283</v>
      </c>
      <c r="GH992">
        <v>30.145439434910109</v>
      </c>
      <c r="GI992">
        <v>88.331255964494019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1045.9390076642171</v>
      </c>
      <c r="AO993">
        <v>157.2998254023783</v>
      </c>
      <c r="AP993">
        <v>1375.2504855025468</v>
      </c>
      <c r="AQ993">
        <v>502.97975873996052</v>
      </c>
      <c r="AR993">
        <v>154.97879277182369</v>
      </c>
      <c r="AS993">
        <v>1495.6025749028356</v>
      </c>
      <c r="AT993">
        <v>76.56565258884595</v>
      </c>
      <c r="AU993">
        <v>66.780910470286955</v>
      </c>
      <c r="AV993"/>
      <c r="AW993"/>
      <c r="FY993" s="211">
        <v>988</v>
      </c>
      <c r="FZ993">
        <v>126.86453518272235</v>
      </c>
      <c r="GA993">
        <v>81.305256882296419</v>
      </c>
      <c r="GB993">
        <v>27.491657778482139</v>
      </c>
      <c r="GC993">
        <v>7.6918810543400333</v>
      </c>
      <c r="GD993">
        <v>2.4019312168149791</v>
      </c>
      <c r="GE993">
        <v>4.5539426722629077</v>
      </c>
      <c r="GF993">
        <v>31.264093548484077</v>
      </c>
      <c r="GG993">
        <v>43.885557317548013</v>
      </c>
      <c r="GH993">
        <v>31.739636261899481</v>
      </c>
      <c r="GI993">
        <v>77.059558665761486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1218.0223066571848</v>
      </c>
      <c r="AO994">
        <v>189.76281656877478</v>
      </c>
      <c r="AP994">
        <v>1628.61906300135</v>
      </c>
      <c r="AQ994">
        <v>491.76649256690911</v>
      </c>
      <c r="AR994">
        <v>181.17887839883943</v>
      </c>
      <c r="AS994">
        <v>1914.6764879169907</v>
      </c>
      <c r="AT994">
        <v>90.539361955379206</v>
      </c>
      <c r="AU994">
        <v>341.16395595684452</v>
      </c>
      <c r="AV994"/>
      <c r="AW994"/>
      <c r="FY994" s="211">
        <v>989</v>
      </c>
      <c r="FZ994">
        <v>94.417231116933991</v>
      </c>
      <c r="GA994">
        <v>89.484042507138881</v>
      </c>
      <c r="GB994">
        <v>35.667283755771756</v>
      </c>
      <c r="GC994">
        <v>6.7595600818139516</v>
      </c>
      <c r="GD994">
        <v>2.3046482529904893</v>
      </c>
      <c r="GE994">
        <v>3.5888710966250859</v>
      </c>
      <c r="GF994">
        <v>36.11267264522499</v>
      </c>
      <c r="GG994">
        <v>44.459097997554153</v>
      </c>
      <c r="GH994">
        <v>20.56884631257638</v>
      </c>
      <c r="GI994">
        <v>72.558032092763113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963.71288856518879</v>
      </c>
      <c r="AO995">
        <v>173.59259085220984</v>
      </c>
      <c r="AP995">
        <v>1531.3473484253966</v>
      </c>
      <c r="AQ995">
        <v>281.81693253507939</v>
      </c>
      <c r="AR995">
        <v>167.27816792013874</v>
      </c>
      <c r="AS995">
        <v>1689.5175662582246</v>
      </c>
      <c r="AT995">
        <v>77.669993885092296</v>
      </c>
      <c r="AU995">
        <v>272.66825494547777</v>
      </c>
      <c r="AV995"/>
      <c r="AW995"/>
      <c r="FY995" s="211">
        <v>990</v>
      </c>
      <c r="FZ995">
        <v>102.68252332608824</v>
      </c>
      <c r="GA995">
        <v>100.62407781443277</v>
      </c>
      <c r="GB995">
        <v>30.991945977619828</v>
      </c>
      <c r="GC995">
        <v>5.9013925518798072</v>
      </c>
      <c r="GD995">
        <v>2.5057068278369883</v>
      </c>
      <c r="GE995">
        <v>5.59316257030404</v>
      </c>
      <c r="GF995">
        <v>48.658134395774574</v>
      </c>
      <c r="GG995">
        <v>60.021141859551868</v>
      </c>
      <c r="GH995">
        <v>23.615605623370431</v>
      </c>
      <c r="GI995">
        <v>83.439862459093078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965.90069830561276</v>
      </c>
      <c r="AO996">
        <v>140.38910355765927</v>
      </c>
      <c r="AP996">
        <v>1141.8904735199726</v>
      </c>
      <c r="AQ996">
        <v>341.68217612527917</v>
      </c>
      <c r="AR996">
        <v>136.59915638751383</v>
      </c>
      <c r="AS996">
        <v>1389.430482357626</v>
      </c>
      <c r="AT996">
        <v>68.78343911692734</v>
      </c>
      <c r="AU996">
        <v>106.90621246790484</v>
      </c>
      <c r="AV996"/>
      <c r="AW996"/>
      <c r="FY996" s="211">
        <v>991</v>
      </c>
      <c r="FZ996">
        <v>181.33284242018098</v>
      </c>
      <c r="GA996">
        <v>120.16791214755685</v>
      </c>
      <c r="GB996">
        <v>24.967799225133813</v>
      </c>
      <c r="GC996">
        <v>6.6181243914287915</v>
      </c>
      <c r="GD996">
        <v>3.9274475626413281</v>
      </c>
      <c r="GE996">
        <v>8.4543720993661129</v>
      </c>
      <c r="GF996">
        <v>38.715828212217488</v>
      </c>
      <c r="GG996">
        <v>44.229196225519757</v>
      </c>
      <c r="GH996">
        <v>23.574841634493009</v>
      </c>
      <c r="GI996">
        <v>80.199067502656519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1006.8776084144874</v>
      </c>
      <c r="AO997">
        <v>167.4361564923891</v>
      </c>
      <c r="AP997">
        <v>1344.4044844344853</v>
      </c>
      <c r="AQ997">
        <v>424.61262844602192</v>
      </c>
      <c r="AR997">
        <v>162.81447257916625</v>
      </c>
      <c r="AS997">
        <v>1684.8734250403529</v>
      </c>
      <c r="AT997">
        <v>80.260252868602663</v>
      </c>
      <c r="AU997">
        <v>44.939878516535842</v>
      </c>
      <c r="AV997"/>
      <c r="AW997"/>
      <c r="FY997" s="211">
        <v>992</v>
      </c>
      <c r="FZ997">
        <v>125.23775491462433</v>
      </c>
      <c r="GA997">
        <v>96.448195911831618</v>
      </c>
      <c r="GB997">
        <v>34.319589054555514</v>
      </c>
      <c r="GC997">
        <v>8.1318736685104209</v>
      </c>
      <c r="GD997">
        <v>2.9093671316973948</v>
      </c>
      <c r="GE997">
        <v>6.3924398705471805</v>
      </c>
      <c r="GF997">
        <v>16.937429263134256</v>
      </c>
      <c r="GG997">
        <v>17.927361626047794</v>
      </c>
      <c r="GH997">
        <v>22.507037373975365</v>
      </c>
      <c r="GI997">
        <v>65.279713475096429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1234.5073111429579</v>
      </c>
      <c r="AO998">
        <v>176.25540483543176</v>
      </c>
      <c r="AP998">
        <v>1463.8981931950304</v>
      </c>
      <c r="AQ998">
        <v>454.20612683253069</v>
      </c>
      <c r="AR998">
        <v>174.1729920216269</v>
      </c>
      <c r="AS998">
        <v>1800.7864578376809</v>
      </c>
      <c r="AT998">
        <v>84.55007257463312</v>
      </c>
      <c r="AU998">
        <v>255.30176084927152</v>
      </c>
      <c r="AV998"/>
      <c r="AW998"/>
      <c r="FY998" s="211">
        <v>993</v>
      </c>
      <c r="FZ998">
        <v>138.31309157825089</v>
      </c>
      <c r="GA998">
        <v>113.00176699708589</v>
      </c>
      <c r="GB998">
        <v>33.659265931441738</v>
      </c>
      <c r="GC998">
        <v>9.1005405503774917</v>
      </c>
      <c r="GD998">
        <v>3.7147205716234986</v>
      </c>
      <c r="GE998">
        <v>6.1386853324818755</v>
      </c>
      <c r="GF998">
        <v>14.761309652228103</v>
      </c>
      <c r="GG998">
        <v>19.145840501902377</v>
      </c>
      <c r="GH998">
        <v>22.186168345387021</v>
      </c>
      <c r="GI998">
        <v>66.935673152464105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1185.7918400749311</v>
      </c>
      <c r="AO999">
        <v>147.0530470037076</v>
      </c>
      <c r="AP999">
        <v>1250.6532678238052</v>
      </c>
      <c r="AQ999">
        <v>415.65496580966789</v>
      </c>
      <c r="AR999">
        <v>143.79507660908723</v>
      </c>
      <c r="AS999">
        <v>1586.7125677136016</v>
      </c>
      <c r="AT999">
        <v>67.34888828923475</v>
      </c>
      <c r="AU999">
        <v>326.43147069865688</v>
      </c>
      <c r="AV999"/>
      <c r="AW999"/>
      <c r="FY999" s="211">
        <v>994</v>
      </c>
      <c r="FZ999">
        <v>155.16045766651192</v>
      </c>
      <c r="GA999">
        <v>133.47637882061616</v>
      </c>
      <c r="GB999">
        <v>33.970845976682526</v>
      </c>
      <c r="GC999">
        <v>7.4561744039514171</v>
      </c>
      <c r="GD999">
        <v>4.1236425309956779</v>
      </c>
      <c r="GE999">
        <v>6.6507357799047551</v>
      </c>
      <c r="GF999">
        <v>16.739275832235641</v>
      </c>
      <c r="GG999">
        <v>20.835443745707405</v>
      </c>
      <c r="GH999">
        <v>26.543872624370593</v>
      </c>
      <c r="GI999">
        <v>71.338291290355272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1052.7817735901176</v>
      </c>
      <c r="AO1000">
        <v>185.71811113865007</v>
      </c>
      <c r="AP1000">
        <v>1594.5433738697059</v>
      </c>
      <c r="AQ1000">
        <v>532.46073701295984</v>
      </c>
      <c r="AR1000">
        <v>186.23588041598794</v>
      </c>
      <c r="AS1000">
        <v>1966.4521412333638</v>
      </c>
      <c r="AT1000">
        <v>100.21686035933737</v>
      </c>
      <c r="AU1000">
        <v>159.8153032767608</v>
      </c>
      <c r="AV1000"/>
      <c r="AW1000"/>
      <c r="FY1000" s="211">
        <v>995</v>
      </c>
      <c r="FZ1000">
        <v>160.51760064768132</v>
      </c>
      <c r="GA1000">
        <v>104.8884397831354</v>
      </c>
      <c r="GB1000">
        <v>32.465218986204206</v>
      </c>
      <c r="GC1000">
        <v>9.9604110642948172</v>
      </c>
      <c r="GD1000">
        <v>4.7431758976593397</v>
      </c>
      <c r="GE1000">
        <v>5.9301209737628389</v>
      </c>
      <c r="GF1000">
        <v>5.0475157298856308</v>
      </c>
      <c r="GG1000">
        <v>9.7656250707821624</v>
      </c>
      <c r="GH1000">
        <v>19.876416424448838</v>
      </c>
      <c r="GI1000">
        <v>62.4064445503356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799.09627404008893</v>
      </c>
      <c r="AO1001">
        <v>131.9172329681131</v>
      </c>
      <c r="AP1001">
        <v>1140.6387654559751</v>
      </c>
      <c r="AQ1001">
        <v>377.86637009936965</v>
      </c>
      <c r="AR1001">
        <v>130.68760952821629</v>
      </c>
      <c r="AS1001">
        <v>1305.5848412059106</v>
      </c>
      <c r="AT1001">
        <v>70.338943321431188</v>
      </c>
      <c r="AU1001">
        <v>14.138750231157459</v>
      </c>
      <c r="AV1001"/>
      <c r="AW1001"/>
      <c r="FY1001" s="211">
        <v>996</v>
      </c>
      <c r="FZ1001">
        <v>70.041852727008745</v>
      </c>
      <c r="GA1001">
        <v>92.722899778484731</v>
      </c>
      <c r="GB1001">
        <v>30.662442445830379</v>
      </c>
      <c r="GC1001">
        <v>7.0503279255213416</v>
      </c>
      <c r="GD1001">
        <v>3.2467649187459395</v>
      </c>
      <c r="GE1001">
        <v>5.8682822973599862</v>
      </c>
      <c r="GF1001">
        <v>26.774613468722919</v>
      </c>
      <c r="GG1001">
        <v>32.887801266861487</v>
      </c>
      <c r="GH1001">
        <v>30.468532135307406</v>
      </c>
      <c r="GI1001">
        <v>64.552939435322173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1007.2640458463427</v>
      </c>
      <c r="AO1002">
        <v>156.91532317765888</v>
      </c>
      <c r="AP1002">
        <v>1329.5894611926281</v>
      </c>
      <c r="AQ1002">
        <v>365.51172097777714</v>
      </c>
      <c r="AR1002">
        <v>152.8716363593727</v>
      </c>
      <c r="AS1002">
        <v>1609.8759106734733</v>
      </c>
      <c r="AT1002">
        <v>72.292997318267666</v>
      </c>
      <c r="AU1002">
        <v>229.37770967719123</v>
      </c>
      <c r="AV1002"/>
      <c r="AW1002"/>
      <c r="FY1002" s="211">
        <v>997</v>
      </c>
      <c r="FZ1002">
        <v>210.49398931892006</v>
      </c>
      <c r="GA1002">
        <v>133.14104687416045</v>
      </c>
      <c r="GB1002">
        <v>22.105563260553538</v>
      </c>
      <c r="GC1002">
        <v>9.4140002858895215</v>
      </c>
      <c r="GD1002">
        <v>3.3323815168640478</v>
      </c>
      <c r="GE1002">
        <v>5.074094673654078</v>
      </c>
      <c r="GF1002">
        <v>15.287727273695758</v>
      </c>
      <c r="GG1002">
        <v>19.332779182781472</v>
      </c>
      <c r="GH1002">
        <v>22.932200214590278</v>
      </c>
      <c r="GI1002">
        <v>67.064404814336427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1405.603177165151</v>
      </c>
      <c r="AO1003">
        <v>190.02305789439436</v>
      </c>
      <c r="AP1003">
        <v>1642.8750795361268</v>
      </c>
      <c r="AQ1003">
        <v>531.98148593020676</v>
      </c>
      <c r="AR1003">
        <v>182.32851572231812</v>
      </c>
      <c r="AS1003">
        <v>1914.5124829922904</v>
      </c>
      <c r="AT1003">
        <v>82.166175581723778</v>
      </c>
      <c r="AU1003">
        <v>283.50889478871215</v>
      </c>
      <c r="AV1003"/>
      <c r="AW1003"/>
      <c r="FY1003" s="211">
        <v>998</v>
      </c>
      <c r="FZ1003">
        <v>87.623909541522607</v>
      </c>
      <c r="GA1003">
        <v>64.634659640154126</v>
      </c>
      <c r="GB1003">
        <v>24.163675632514312</v>
      </c>
      <c r="GC1003">
        <v>9.8679985261225109</v>
      </c>
      <c r="GD1003">
        <v>3.5072584013290165</v>
      </c>
      <c r="GE1003">
        <v>4.0372564830744171</v>
      </c>
      <c r="GF1003">
        <v>31.607052580872214</v>
      </c>
      <c r="GG1003">
        <v>39.81785627673969</v>
      </c>
      <c r="GH1003">
        <v>26.023064483290543</v>
      </c>
      <c r="GI1003">
        <v>73.292125752548415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1115.0045362453636</v>
      </c>
      <c r="AO1004">
        <v>165.47818056078773</v>
      </c>
      <c r="AP1004">
        <v>1323.8470627126433</v>
      </c>
      <c r="AQ1004">
        <v>434.25805058061189</v>
      </c>
      <c r="AR1004">
        <v>162.02357898074348</v>
      </c>
      <c r="AS1004">
        <v>1798.8350144776018</v>
      </c>
      <c r="AT1004">
        <v>76.935888873663529</v>
      </c>
      <c r="AU1004">
        <v>110.50318425697841</v>
      </c>
      <c r="AV1004"/>
      <c r="AW1004"/>
      <c r="FY1004" s="211">
        <v>999</v>
      </c>
      <c r="FZ1004">
        <v>166.25058085796121</v>
      </c>
      <c r="GA1004">
        <v>117.58389343142493</v>
      </c>
      <c r="GB1004">
        <v>38.148650802835576</v>
      </c>
      <c r="GC1004">
        <v>7.7093949055869659</v>
      </c>
      <c r="GD1004">
        <v>2.6726515399116497</v>
      </c>
      <c r="GE1004">
        <v>4.4799003085051794</v>
      </c>
      <c r="GF1004">
        <v>13.44803785873126</v>
      </c>
      <c r="GG1004">
        <v>19.340887815372898</v>
      </c>
      <c r="GH1004">
        <v>23.34049818397656</v>
      </c>
      <c r="GI1004">
        <v>69.459114330835035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1141.883722354389</v>
      </c>
      <c r="AO1005">
        <v>148.62779967531148</v>
      </c>
      <c r="AP1005">
        <v>1187.5443890763713</v>
      </c>
      <c r="AQ1005">
        <v>405.92028585939283</v>
      </c>
      <c r="AR1005">
        <v>147.43586246647851</v>
      </c>
      <c r="AS1005">
        <v>1659.2941851373366</v>
      </c>
      <c r="AT1005">
        <v>72.18249864457384</v>
      </c>
      <c r="AU1005">
        <v>376.83922328615472</v>
      </c>
      <c r="AV1005"/>
      <c r="AW1005"/>
      <c r="FY1005" s="211">
        <v>1000</v>
      </c>
      <c r="FZ1005">
        <v>141.8021952009168</v>
      </c>
      <c r="GA1005">
        <v>116.97432609345523</v>
      </c>
      <c r="GB1005">
        <v>34.07425877186509</v>
      </c>
      <c r="GC1005">
        <v>9.6744197118040436</v>
      </c>
      <c r="GD1005">
        <v>4.6793544303225341</v>
      </c>
      <c r="GE1005">
        <v>8.7654814590615171</v>
      </c>
      <c r="GF1005">
        <v>30.029848960264786</v>
      </c>
      <c r="GG1005">
        <v>36.36690103650735</v>
      </c>
      <c r="GH1005">
        <v>24.56331304789483</v>
      </c>
      <c r="GI1005">
        <v>83.582093954472271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1323.6261860062273</v>
      </c>
      <c r="AO1006">
        <v>176.27524959922516</v>
      </c>
      <c r="AP1006">
        <v>1469.4236770164616</v>
      </c>
      <c r="AQ1006">
        <v>464.03355340595158</v>
      </c>
      <c r="AR1006">
        <v>170.56310597166021</v>
      </c>
      <c r="AS1006">
        <v>1844.5266245929765</v>
      </c>
      <c r="AT1006">
        <v>76.073701173530267</v>
      </c>
      <c r="AU1006">
        <v>265.1317940172932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1234.6849948752474</v>
      </c>
      <c r="AO1007">
        <v>172.03908852780143</v>
      </c>
      <c r="AP1007">
        <v>1426.3839305048555</v>
      </c>
      <c r="AQ1007">
        <v>532.18743142119467</v>
      </c>
      <c r="AR1007">
        <v>169.46667885082687</v>
      </c>
      <c r="AS1007">
        <v>1731.1037054553237</v>
      </c>
      <c r="AT1007">
        <v>80.937511276642965</v>
      </c>
      <c r="AU1007">
        <v>215.58683684631185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951.96007905754266</v>
      </c>
      <c r="AO1008">
        <v>128.00100594252754</v>
      </c>
      <c r="AP1008">
        <v>1040.7040697923117</v>
      </c>
      <c r="AQ1008">
        <v>396.09076229002039</v>
      </c>
      <c r="AR1008">
        <v>129.14629153710447</v>
      </c>
      <c r="AS1008">
        <v>1402.9465624038908</v>
      </c>
      <c r="AT1008">
        <v>66.350999999079917</v>
      </c>
      <c r="AU1008">
        <v>122.05205359845515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979.70891698130549</v>
      </c>
      <c r="AO1009">
        <v>132.54659685653672</v>
      </c>
      <c r="AP1009">
        <v>1071.3930731715525</v>
      </c>
      <c r="AQ1009">
        <v>426.95706261324307</v>
      </c>
      <c r="AR1009">
        <v>126.83536060806679</v>
      </c>
      <c r="AS1009">
        <v>1395.6932051249796</v>
      </c>
      <c r="AT1009">
        <v>65.406692874967518</v>
      </c>
      <c r="AU1009">
        <v>47.473650211952467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1069.6299950157018</v>
      </c>
      <c r="AO1010">
        <v>147.90111671289159</v>
      </c>
      <c r="AP1010">
        <v>1232.1585698326769</v>
      </c>
      <c r="AQ1010">
        <v>476.29511867133135</v>
      </c>
      <c r="AR1010">
        <v>148.16139433414685</v>
      </c>
      <c r="AS1010">
        <v>1548.8136702844397</v>
      </c>
      <c r="AT1010">
        <v>72.313895253524123</v>
      </c>
      <c r="AU1010">
        <v>58.637301187596861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923.27303070679625</v>
      </c>
      <c r="AO1011">
        <v>132.99505808291491</v>
      </c>
      <c r="AP1011">
        <v>1044.2238014838986</v>
      </c>
      <c r="AQ1011">
        <v>415.60096912819012</v>
      </c>
      <c r="AR1011">
        <v>135.34216552440176</v>
      </c>
      <c r="AS1011">
        <v>1484.4903047334922</v>
      </c>
      <c r="AT1011">
        <v>69.301932836310399</v>
      </c>
      <c r="AU1011">
        <v>79.422967240559132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1036.6724531058453</v>
      </c>
      <c r="AO1012">
        <v>141.60954109364951</v>
      </c>
      <c r="AP1012">
        <v>1219.5250720444963</v>
      </c>
      <c r="AQ1012">
        <v>364.27645639916511</v>
      </c>
      <c r="AR1012">
        <v>137.55455376810423</v>
      </c>
      <c r="AS1012">
        <v>1478.6699771898298</v>
      </c>
      <c r="AT1012">
        <v>62.901669413762022</v>
      </c>
      <c r="AU1012">
        <v>200.66238189063307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944.14877641464932</v>
      </c>
      <c r="AO1013">
        <v>145.33569704266992</v>
      </c>
      <c r="AP1013">
        <v>1256.1384017481143</v>
      </c>
      <c r="AQ1013">
        <v>508.17818741544568</v>
      </c>
      <c r="AR1013">
        <v>139.71225623033436</v>
      </c>
      <c r="AS1013">
        <v>1513.0177874918211</v>
      </c>
      <c r="AT1013">
        <v>69.093612787789255</v>
      </c>
      <c r="AU1013">
        <v>-37.531803039229786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1095.1042995907674</v>
      </c>
      <c r="AO1014">
        <v>178.93315117853044</v>
      </c>
      <c r="AP1014">
        <v>1494.2604211648795</v>
      </c>
      <c r="AQ1014">
        <v>364.57485731816791</v>
      </c>
      <c r="AR1014">
        <v>170.72444030758993</v>
      </c>
      <c r="AS1014">
        <v>1733.4095296577177</v>
      </c>
      <c r="AT1014">
        <v>81.627121017259412</v>
      </c>
      <c r="AU1014">
        <v>256.48606124994194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967.40594050443667</v>
      </c>
      <c r="AO1015">
        <v>131.14553795511185</v>
      </c>
      <c r="AP1015">
        <v>1018.0571557442606</v>
      </c>
      <c r="AQ1015">
        <v>462.43361003514133</v>
      </c>
      <c r="AR1015">
        <v>135.39890422701237</v>
      </c>
      <c r="AS1015">
        <v>1458.7878317978937</v>
      </c>
      <c r="AT1015">
        <v>71.575726597862413</v>
      </c>
      <c r="AU1015">
        <v>99.367175364800403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1278.2915155579949</v>
      </c>
      <c r="AO1016">
        <v>188.68099842221108</v>
      </c>
      <c r="AP1016">
        <v>1575.9507107512277</v>
      </c>
      <c r="AQ1016">
        <v>490.51219266656443</v>
      </c>
      <c r="AR1016">
        <v>184.3970687982542</v>
      </c>
      <c r="AS1016">
        <v>1985.2384539066502</v>
      </c>
      <c r="AT1016">
        <v>86.198068662975189</v>
      </c>
      <c r="AU1016">
        <v>214.61340872452325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8"/>
  <sheetViews>
    <sheetView workbookViewId="0">
      <selection activeCell="A8" sqref="A8"/>
    </sheetView>
  </sheetViews>
  <sheetFormatPr defaultColWidth="11.44140625" defaultRowHeight="13.2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James Junker</cp:lastModifiedBy>
  <dcterms:created xsi:type="dcterms:W3CDTF">2004-12-20T04:17:09Z</dcterms:created>
  <dcterms:modified xsi:type="dcterms:W3CDTF">2023-08-12T21:49:10Z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